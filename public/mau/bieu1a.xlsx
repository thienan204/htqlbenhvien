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ProjectBVDKLS\htqlbenhvien\mau\"/>
    </mc:Choice>
  </mc:AlternateContent>
  <xr:revisionPtr revIDLastSave="0" documentId="8_{DA328A40-E452-4209-8EAF-9C590AA98196}" xr6:coauthVersionLast="47" xr6:coauthVersionMax="47" xr10:uidLastSave="{00000000-0000-0000-0000-000000000000}"/>
  <bookViews>
    <workbookView xWindow="-108" yWindow="-108" windowWidth="23256" windowHeight="12456" xr2:uid="{58B8EA3C-2DCF-46E0-A92C-5A6A8F7A270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855" i="1" l="1"/>
  <c r="AE854" i="1"/>
  <c r="AA854" i="1"/>
  <c r="AE853" i="1"/>
  <c r="AA853" i="1"/>
  <c r="AE852" i="1"/>
  <c r="AA852" i="1"/>
  <c r="AE851" i="1"/>
  <c r="AA851" i="1"/>
  <c r="AE850" i="1"/>
  <c r="AA850" i="1"/>
  <c r="AE849" i="1"/>
  <c r="AA849" i="1"/>
  <c r="AE848" i="1"/>
  <c r="AA848" i="1"/>
  <c r="AE847" i="1"/>
  <c r="AA847" i="1"/>
  <c r="AE846" i="1"/>
  <c r="AA846" i="1"/>
  <c r="AE845" i="1"/>
  <c r="AA845" i="1"/>
  <c r="AE844" i="1"/>
  <c r="AA844" i="1"/>
  <c r="AE843" i="1"/>
  <c r="AA843" i="1"/>
  <c r="AE842" i="1"/>
  <c r="AA842" i="1"/>
  <c r="AE841" i="1"/>
  <c r="AA841" i="1"/>
  <c r="AE840" i="1"/>
  <c r="AA840" i="1"/>
  <c r="AE839" i="1"/>
  <c r="AA839" i="1"/>
  <c r="AE838" i="1"/>
  <c r="AA838" i="1"/>
  <c r="AE837" i="1"/>
  <c r="AA837" i="1"/>
  <c r="AE836" i="1"/>
  <c r="AA836" i="1"/>
  <c r="AE835" i="1"/>
  <c r="AA835" i="1"/>
  <c r="AE834" i="1"/>
  <c r="AA834" i="1"/>
  <c r="AE833" i="1"/>
  <c r="AA833" i="1"/>
  <c r="AE832" i="1"/>
  <c r="AA832" i="1"/>
  <c r="AE831" i="1"/>
  <c r="AA831" i="1"/>
  <c r="AE830" i="1"/>
  <c r="AA830" i="1"/>
  <c r="AE829" i="1"/>
  <c r="AA829" i="1"/>
  <c r="AE828" i="1"/>
  <c r="AA828" i="1"/>
  <c r="AE827" i="1"/>
  <c r="AA827" i="1"/>
  <c r="AE826" i="1"/>
  <c r="AA826" i="1"/>
  <c r="AE825" i="1"/>
  <c r="AA825" i="1"/>
  <c r="AE824" i="1"/>
  <c r="AA824" i="1"/>
  <c r="AE823" i="1"/>
  <c r="AA823" i="1"/>
  <c r="AE822" i="1"/>
  <c r="AA822" i="1"/>
  <c r="AE821" i="1"/>
  <c r="AA821" i="1"/>
  <c r="AE820" i="1"/>
  <c r="AA820" i="1"/>
  <c r="AE819" i="1"/>
  <c r="AA819" i="1"/>
  <c r="AE818" i="1"/>
  <c r="AA818" i="1"/>
  <c r="AE817" i="1"/>
  <c r="AA817" i="1"/>
  <c r="AE816" i="1"/>
  <c r="AA816" i="1"/>
  <c r="AE815" i="1"/>
  <c r="AA815" i="1"/>
  <c r="AE814" i="1"/>
  <c r="AA814" i="1"/>
  <c r="AE813" i="1"/>
  <c r="AA813" i="1"/>
  <c r="AE812" i="1"/>
  <c r="AA812" i="1"/>
  <c r="AE811" i="1"/>
  <c r="AA811" i="1"/>
  <c r="AE810" i="1"/>
  <c r="AA810" i="1"/>
  <c r="AE809" i="1"/>
  <c r="AA809" i="1"/>
  <c r="AE808" i="1"/>
  <c r="AA808" i="1"/>
  <c r="AE807" i="1"/>
  <c r="AA807" i="1"/>
  <c r="AE806" i="1"/>
  <c r="AA806" i="1"/>
  <c r="AE805" i="1"/>
  <c r="AA805" i="1"/>
  <c r="AE804" i="1"/>
  <c r="AA804" i="1"/>
  <c r="AE803" i="1"/>
  <c r="AA803" i="1"/>
  <c r="AE802" i="1"/>
  <c r="AA802" i="1"/>
  <c r="AE801" i="1"/>
  <c r="AA801" i="1"/>
  <c r="AE800" i="1"/>
  <c r="AA800" i="1"/>
  <c r="AE799" i="1"/>
  <c r="AA799" i="1"/>
  <c r="AE798" i="1"/>
  <c r="AA798" i="1"/>
  <c r="AM797" i="1"/>
  <c r="AE797" i="1"/>
  <c r="AA797" i="1"/>
  <c r="B797" i="1"/>
  <c r="AM796" i="1"/>
  <c r="AE796" i="1"/>
  <c r="AC796" i="1"/>
  <c r="AA796" i="1"/>
  <c r="B796" i="1"/>
  <c r="AM795" i="1"/>
  <c r="AE795" i="1"/>
  <c r="AC795" i="1"/>
  <c r="AA795" i="1"/>
  <c r="B795" i="1"/>
  <c r="AM794" i="1"/>
  <c r="AE794" i="1"/>
  <c r="AC794" i="1"/>
  <c r="AA794" i="1"/>
  <c r="B794" i="1"/>
  <c r="AM793" i="1"/>
  <c r="AE793" i="1"/>
  <c r="AC793" i="1"/>
  <c r="AA793" i="1"/>
  <c r="B793" i="1"/>
  <c r="AM792" i="1"/>
  <c r="AE792" i="1"/>
  <c r="AC792" i="1"/>
  <c r="AA792" i="1"/>
  <c r="B792" i="1"/>
  <c r="AM791" i="1"/>
  <c r="AE791" i="1"/>
  <c r="AC791" i="1"/>
  <c r="AA791" i="1"/>
  <c r="B791" i="1"/>
  <c r="AM790" i="1"/>
  <c r="AE790" i="1"/>
  <c r="AC790" i="1"/>
  <c r="AA790" i="1"/>
  <c r="B790" i="1"/>
  <c r="AM789" i="1"/>
  <c r="AE789" i="1"/>
  <c r="AC789" i="1"/>
  <c r="AA789" i="1"/>
  <c r="B789" i="1"/>
  <c r="AM788" i="1"/>
  <c r="AE788" i="1"/>
  <c r="AC788" i="1"/>
  <c r="AA788" i="1"/>
  <c r="B788" i="1"/>
  <c r="AM787" i="1"/>
  <c r="AE787" i="1"/>
  <c r="AC787" i="1"/>
  <c r="AA787" i="1"/>
  <c r="B787" i="1"/>
  <c r="AM786" i="1"/>
  <c r="AE786" i="1"/>
  <c r="AC786" i="1"/>
  <c r="AA786" i="1"/>
  <c r="B786" i="1"/>
  <c r="AM785" i="1"/>
  <c r="AE785" i="1"/>
  <c r="AC785" i="1"/>
  <c r="AA785" i="1"/>
  <c r="B785" i="1"/>
  <c r="AM784" i="1"/>
  <c r="AE784" i="1"/>
  <c r="AC784" i="1"/>
  <c r="AA784" i="1"/>
  <c r="B784" i="1"/>
  <c r="AM783" i="1"/>
  <c r="AE783" i="1"/>
  <c r="AC783" i="1"/>
  <c r="AA783" i="1"/>
  <c r="B783" i="1"/>
  <c r="AM782" i="1"/>
  <c r="AE782" i="1"/>
  <c r="AC782" i="1"/>
  <c r="AA782" i="1"/>
  <c r="B782" i="1"/>
  <c r="AM781" i="1"/>
  <c r="AE781" i="1"/>
  <c r="AC781" i="1"/>
  <c r="AA781" i="1"/>
  <c r="B781" i="1"/>
  <c r="AM780" i="1"/>
  <c r="AE780" i="1"/>
  <c r="AC780" i="1"/>
  <c r="AA780" i="1"/>
  <c r="B780" i="1"/>
  <c r="AM779" i="1"/>
  <c r="AE779" i="1"/>
  <c r="AC779" i="1"/>
  <c r="AA779" i="1"/>
  <c r="B779" i="1"/>
  <c r="AM778" i="1"/>
  <c r="AE778" i="1"/>
  <c r="AC778" i="1"/>
  <c r="AA778" i="1"/>
  <c r="B778" i="1"/>
  <c r="AM777" i="1"/>
  <c r="AE777" i="1"/>
  <c r="AC777" i="1"/>
  <c r="AA777" i="1"/>
  <c r="B777" i="1"/>
  <c r="AM776" i="1"/>
  <c r="AE776" i="1"/>
  <c r="AC776" i="1"/>
  <c r="AA776" i="1"/>
  <c r="B776" i="1"/>
  <c r="AM775" i="1"/>
  <c r="AE775" i="1"/>
  <c r="AC775" i="1"/>
  <c r="AA775" i="1"/>
  <c r="B775" i="1"/>
  <c r="AM774" i="1"/>
  <c r="AE774" i="1"/>
  <c r="AC774" i="1"/>
  <c r="AA774" i="1"/>
  <c r="B774" i="1"/>
  <c r="AM773" i="1"/>
  <c r="AE773" i="1"/>
  <c r="AC773" i="1"/>
  <c r="AA773" i="1"/>
  <c r="B773" i="1"/>
  <c r="AM772" i="1"/>
  <c r="AE772" i="1"/>
  <c r="AC772" i="1"/>
  <c r="AA772" i="1"/>
  <c r="B772" i="1"/>
  <c r="AM771" i="1"/>
  <c r="AE771" i="1"/>
  <c r="AC771" i="1"/>
  <c r="AA771" i="1"/>
  <c r="B771" i="1"/>
  <c r="AM770" i="1"/>
  <c r="AE770" i="1"/>
  <c r="AC770" i="1"/>
  <c r="AA770" i="1"/>
  <c r="B770" i="1"/>
  <c r="AM769" i="1"/>
  <c r="AE769" i="1"/>
  <c r="AC769" i="1"/>
  <c r="AA769" i="1"/>
  <c r="B769" i="1"/>
  <c r="AM768" i="1"/>
  <c r="AE768" i="1"/>
  <c r="AC768" i="1"/>
  <c r="AA768" i="1"/>
  <c r="B768" i="1"/>
  <c r="AM767" i="1"/>
  <c r="AE767" i="1"/>
  <c r="AC767" i="1"/>
  <c r="AA767" i="1"/>
  <c r="B767" i="1"/>
  <c r="AM766" i="1"/>
  <c r="AE766" i="1"/>
  <c r="AC766" i="1"/>
  <c r="AA766" i="1"/>
  <c r="B766" i="1"/>
  <c r="AM765" i="1"/>
  <c r="AE765" i="1"/>
  <c r="AC765" i="1"/>
  <c r="AA765" i="1"/>
  <c r="B765" i="1"/>
  <c r="AM764" i="1"/>
  <c r="AE764" i="1"/>
  <c r="AC764" i="1"/>
  <c r="AA764" i="1"/>
  <c r="B764" i="1"/>
  <c r="AM763" i="1"/>
  <c r="AE763" i="1"/>
  <c r="AC763" i="1"/>
  <c r="AA763" i="1"/>
  <c r="B763" i="1"/>
  <c r="AM762" i="1"/>
  <c r="AE762" i="1"/>
  <c r="AC762" i="1"/>
  <c r="AA762" i="1"/>
  <c r="B762" i="1"/>
  <c r="AM761" i="1"/>
  <c r="AE761" i="1"/>
  <c r="AC761" i="1"/>
  <c r="AA761" i="1"/>
  <c r="B761" i="1"/>
  <c r="AM760" i="1"/>
  <c r="AE760" i="1"/>
  <c r="AC760" i="1"/>
  <c r="AA760" i="1"/>
  <c r="B760" i="1"/>
  <c r="AM759" i="1"/>
  <c r="AE759" i="1"/>
  <c r="AC759" i="1"/>
  <c r="AA759" i="1"/>
  <c r="B759" i="1"/>
  <c r="AM758" i="1"/>
  <c r="AE758" i="1"/>
  <c r="AC758" i="1"/>
  <c r="AA758" i="1"/>
  <c r="B758" i="1"/>
  <c r="AM757" i="1"/>
  <c r="AE757" i="1"/>
  <c r="AC757" i="1"/>
  <c r="AA757" i="1"/>
  <c r="B757" i="1"/>
  <c r="AM756" i="1"/>
  <c r="AE756" i="1"/>
  <c r="AC756" i="1"/>
  <c r="AA756" i="1"/>
  <c r="B756" i="1"/>
  <c r="AM755" i="1"/>
  <c r="AG755" i="1"/>
  <c r="AE755" i="1"/>
  <c r="AC755" i="1"/>
  <c r="AA755" i="1"/>
  <c r="B755" i="1"/>
  <c r="AM754" i="1"/>
  <c r="AG754" i="1"/>
  <c r="AE754" i="1"/>
  <c r="AC754" i="1"/>
  <c r="AA754" i="1"/>
  <c r="B754" i="1"/>
  <c r="AM753" i="1"/>
  <c r="AG753" i="1"/>
  <c r="AE753" i="1"/>
  <c r="AC753" i="1"/>
  <c r="AA753" i="1"/>
  <c r="B753" i="1"/>
  <c r="AM752" i="1"/>
  <c r="AG752" i="1"/>
  <c r="AE752" i="1"/>
  <c r="AC752" i="1"/>
  <c r="AA752" i="1"/>
  <c r="B752" i="1"/>
  <c r="AM751" i="1"/>
  <c r="AG751" i="1"/>
  <c r="AE751" i="1"/>
  <c r="AC751" i="1"/>
  <c r="AA751" i="1"/>
  <c r="B751" i="1"/>
  <c r="AM750" i="1"/>
  <c r="AG750" i="1"/>
  <c r="AE750" i="1"/>
  <c r="AC750" i="1"/>
  <c r="AA750" i="1"/>
  <c r="B750" i="1"/>
  <c r="AM749" i="1"/>
  <c r="AG749" i="1"/>
  <c r="AE749" i="1"/>
  <c r="AC749" i="1"/>
  <c r="AA749" i="1"/>
  <c r="B749" i="1"/>
  <c r="AM748" i="1"/>
  <c r="AG748" i="1"/>
  <c r="AE748" i="1"/>
  <c r="AC748" i="1"/>
  <c r="AA748" i="1"/>
  <c r="B748" i="1"/>
  <c r="AM747" i="1"/>
  <c r="AG747" i="1"/>
  <c r="AE747" i="1"/>
  <c r="AC747" i="1"/>
  <c r="AA747" i="1"/>
  <c r="B747" i="1"/>
  <c r="AM746" i="1"/>
  <c r="AG746" i="1"/>
  <c r="AE746" i="1"/>
  <c r="AC746" i="1"/>
  <c r="AA746" i="1"/>
  <c r="B746" i="1"/>
  <c r="AM745" i="1"/>
  <c r="AG745" i="1"/>
  <c r="AE745" i="1"/>
  <c r="AC745" i="1"/>
  <c r="AA745" i="1"/>
  <c r="B745" i="1"/>
  <c r="AM744" i="1"/>
  <c r="AG744" i="1"/>
  <c r="AE744" i="1"/>
  <c r="AC744" i="1"/>
  <c r="AA744" i="1"/>
  <c r="B744" i="1"/>
  <c r="AM743" i="1"/>
  <c r="AG743" i="1"/>
  <c r="AE743" i="1"/>
  <c r="AC743" i="1"/>
  <c r="AA743" i="1"/>
  <c r="B743" i="1"/>
  <c r="AM742" i="1"/>
  <c r="AG742" i="1"/>
  <c r="AE742" i="1"/>
  <c r="AC742" i="1"/>
  <c r="AA742" i="1"/>
  <c r="B742" i="1"/>
  <c r="AM741" i="1"/>
  <c r="AG741" i="1"/>
  <c r="AE741" i="1"/>
  <c r="AC741" i="1"/>
  <c r="AA741" i="1"/>
  <c r="B741" i="1"/>
  <c r="AM740" i="1"/>
  <c r="AG740" i="1"/>
  <c r="AE740" i="1"/>
  <c r="AC740" i="1"/>
  <c r="AA740" i="1"/>
  <c r="B740" i="1"/>
  <c r="AM739" i="1"/>
  <c r="AG739" i="1"/>
  <c r="AE739" i="1"/>
  <c r="AC739" i="1"/>
  <c r="AA739" i="1"/>
  <c r="B739" i="1"/>
  <c r="AM738" i="1"/>
  <c r="AG738" i="1"/>
  <c r="AE738" i="1"/>
  <c r="AC738" i="1"/>
  <c r="AA738" i="1"/>
  <c r="B738" i="1"/>
  <c r="AM737" i="1"/>
  <c r="AG737" i="1"/>
  <c r="AE737" i="1"/>
  <c r="AC737" i="1"/>
  <c r="AA737" i="1"/>
  <c r="B737" i="1"/>
  <c r="AM736" i="1"/>
  <c r="AG736" i="1"/>
  <c r="AE736" i="1"/>
  <c r="AC736" i="1"/>
  <c r="AA736" i="1"/>
  <c r="B736" i="1"/>
  <c r="AM735" i="1"/>
  <c r="AG735" i="1"/>
  <c r="AE735" i="1"/>
  <c r="AC735" i="1"/>
  <c r="AA735" i="1"/>
  <c r="B735" i="1"/>
  <c r="AM734" i="1"/>
  <c r="AG734" i="1"/>
  <c r="AE734" i="1"/>
  <c r="AC734" i="1"/>
  <c r="AA734" i="1"/>
  <c r="B734" i="1"/>
  <c r="AM733" i="1"/>
  <c r="AG733" i="1"/>
  <c r="AE733" i="1"/>
  <c r="AC733" i="1"/>
  <c r="AA733" i="1"/>
  <c r="B733" i="1"/>
  <c r="AM732" i="1"/>
  <c r="AG732" i="1"/>
  <c r="AE732" i="1"/>
  <c r="AC732" i="1"/>
  <c r="AA732" i="1"/>
  <c r="B732" i="1"/>
  <c r="AM731" i="1"/>
  <c r="AG731" i="1"/>
  <c r="AE731" i="1"/>
  <c r="AC731" i="1"/>
  <c r="AA731" i="1"/>
  <c r="B731" i="1"/>
  <c r="AM730" i="1"/>
  <c r="AG730" i="1"/>
  <c r="AE730" i="1"/>
  <c r="AC730" i="1"/>
  <c r="AA730" i="1"/>
  <c r="B730" i="1"/>
  <c r="AM729" i="1"/>
  <c r="AG729" i="1"/>
  <c r="AE729" i="1"/>
  <c r="AC729" i="1"/>
  <c r="AA729" i="1"/>
  <c r="B729" i="1"/>
  <c r="AM728" i="1"/>
  <c r="AG728" i="1"/>
  <c r="AE728" i="1"/>
  <c r="AC728" i="1"/>
  <c r="AA728" i="1"/>
  <c r="B728" i="1"/>
  <c r="AM727" i="1"/>
  <c r="AG727" i="1"/>
  <c r="AE727" i="1"/>
  <c r="AC727" i="1"/>
  <c r="AA727" i="1"/>
  <c r="B727" i="1"/>
  <c r="AM726" i="1"/>
  <c r="AG726" i="1"/>
  <c r="AE726" i="1"/>
  <c r="AC726" i="1"/>
  <c r="AA726" i="1"/>
  <c r="B726" i="1"/>
  <c r="AM725" i="1"/>
  <c r="AG725" i="1"/>
  <c r="AE725" i="1"/>
  <c r="AC725" i="1"/>
  <c r="AA725" i="1"/>
  <c r="B725" i="1"/>
  <c r="AM724" i="1"/>
  <c r="AG724" i="1"/>
  <c r="AE724" i="1"/>
  <c r="AC724" i="1"/>
  <c r="AA724" i="1"/>
  <c r="B724" i="1"/>
  <c r="AM723" i="1"/>
  <c r="AG723" i="1"/>
  <c r="AE723" i="1"/>
  <c r="AC723" i="1"/>
  <c r="AA723" i="1"/>
  <c r="B723" i="1"/>
  <c r="AM722" i="1"/>
  <c r="AG722" i="1"/>
  <c r="AE722" i="1"/>
  <c r="AC722" i="1"/>
  <c r="AA722" i="1"/>
  <c r="B722" i="1"/>
  <c r="AM721" i="1"/>
  <c r="AG721" i="1"/>
  <c r="AE721" i="1"/>
  <c r="AC721" i="1"/>
  <c r="AA721" i="1"/>
  <c r="B721" i="1"/>
  <c r="AM720" i="1"/>
  <c r="AG720" i="1"/>
  <c r="AE720" i="1"/>
  <c r="AC720" i="1"/>
  <c r="AA720" i="1"/>
  <c r="B720" i="1"/>
  <c r="AM719" i="1"/>
  <c r="AG719" i="1"/>
  <c r="AE719" i="1"/>
  <c r="AC719" i="1"/>
  <c r="AA719" i="1"/>
  <c r="B719" i="1"/>
  <c r="AM718" i="1"/>
  <c r="AG718" i="1"/>
  <c r="AE718" i="1"/>
  <c r="AC718" i="1"/>
  <c r="AA718" i="1"/>
  <c r="B718" i="1"/>
  <c r="AM717" i="1"/>
  <c r="AG717" i="1"/>
  <c r="AE717" i="1"/>
  <c r="AC717" i="1"/>
  <c r="AA717" i="1"/>
  <c r="B717" i="1"/>
  <c r="AM716" i="1"/>
  <c r="AG716" i="1"/>
  <c r="AE716" i="1"/>
  <c r="AC716" i="1"/>
  <c r="AA716" i="1"/>
  <c r="B716" i="1"/>
  <c r="AM715" i="1"/>
  <c r="AG715" i="1"/>
  <c r="AE715" i="1"/>
  <c r="AD715" i="1"/>
  <c r="AC715" i="1"/>
  <c r="AB715" i="1"/>
  <c r="AA715" i="1"/>
  <c r="B715" i="1"/>
  <c r="AM714" i="1"/>
  <c r="AG714" i="1"/>
  <c r="AE714" i="1"/>
  <c r="AD714" i="1"/>
  <c r="AC714" i="1"/>
  <c r="AB714" i="1"/>
  <c r="AA714" i="1"/>
  <c r="B714" i="1"/>
  <c r="AM713" i="1"/>
  <c r="AG713" i="1"/>
  <c r="AE713" i="1"/>
  <c r="AD713" i="1"/>
  <c r="AC713" i="1"/>
  <c r="AB713" i="1"/>
  <c r="AA713" i="1"/>
  <c r="B713" i="1"/>
  <c r="AM712" i="1"/>
  <c r="AG712" i="1"/>
  <c r="AE712" i="1"/>
  <c r="AD712" i="1"/>
  <c r="AC712" i="1"/>
  <c r="AB712" i="1"/>
  <c r="AA712" i="1"/>
  <c r="B712" i="1"/>
  <c r="AM711" i="1"/>
  <c r="AG711" i="1"/>
  <c r="AE711" i="1"/>
  <c r="AD711" i="1"/>
  <c r="AC711" i="1"/>
  <c r="AB711" i="1"/>
  <c r="AA711" i="1"/>
  <c r="B711" i="1"/>
  <c r="AM710" i="1"/>
  <c r="AG710" i="1"/>
  <c r="AE710" i="1"/>
  <c r="AD710" i="1"/>
  <c r="AC710" i="1"/>
  <c r="AB710" i="1"/>
  <c r="AA710" i="1"/>
  <c r="B710" i="1"/>
  <c r="AM709" i="1"/>
  <c r="AG709" i="1"/>
  <c r="AE709" i="1"/>
  <c r="AD709" i="1"/>
  <c r="AC709" i="1"/>
  <c r="AB709" i="1"/>
  <c r="AA709" i="1"/>
  <c r="B709" i="1"/>
  <c r="AM708" i="1"/>
  <c r="AG708" i="1"/>
  <c r="AE708" i="1"/>
  <c r="AD708" i="1"/>
  <c r="AC708" i="1"/>
  <c r="AB708" i="1"/>
  <c r="AA708" i="1"/>
  <c r="B708" i="1"/>
  <c r="AM707" i="1"/>
  <c r="AG707" i="1"/>
  <c r="AE707" i="1"/>
  <c r="AD707" i="1"/>
  <c r="AC707" i="1"/>
  <c r="AB707" i="1"/>
  <c r="AA707" i="1"/>
  <c r="B707" i="1"/>
  <c r="AM706" i="1"/>
  <c r="AG706" i="1"/>
  <c r="AE706" i="1"/>
  <c r="AD706" i="1"/>
  <c r="AC706" i="1"/>
  <c r="AB706" i="1"/>
  <c r="AA706" i="1"/>
  <c r="B706" i="1"/>
  <c r="AM705" i="1"/>
  <c r="AG705" i="1"/>
  <c r="AE705" i="1"/>
  <c r="AD705" i="1"/>
  <c r="AC705" i="1"/>
  <c r="AB705" i="1"/>
  <c r="AA705" i="1"/>
  <c r="B705" i="1"/>
  <c r="AM704" i="1"/>
  <c r="AG704" i="1"/>
  <c r="AE704" i="1"/>
  <c r="AD704" i="1"/>
  <c r="AC704" i="1"/>
  <c r="AB704" i="1"/>
  <c r="AA704" i="1"/>
  <c r="B704" i="1"/>
  <c r="AM703" i="1"/>
  <c r="AG703" i="1"/>
  <c r="AE703" i="1"/>
  <c r="AD703" i="1"/>
  <c r="AC703" i="1"/>
  <c r="AB703" i="1"/>
  <c r="AA703" i="1"/>
  <c r="B703" i="1"/>
  <c r="AM702" i="1"/>
  <c r="AG702" i="1"/>
  <c r="AE702" i="1"/>
  <c r="AD702" i="1"/>
  <c r="AC702" i="1"/>
  <c r="AB702" i="1"/>
  <c r="AA702" i="1"/>
  <c r="B702" i="1"/>
  <c r="AM701" i="1"/>
  <c r="AG701" i="1"/>
  <c r="AE701" i="1"/>
  <c r="AD701" i="1"/>
  <c r="AC701" i="1"/>
  <c r="AB701" i="1"/>
  <c r="AA701" i="1"/>
  <c r="B701" i="1"/>
  <c r="AM700" i="1"/>
  <c r="AG700" i="1"/>
  <c r="AE700" i="1"/>
  <c r="AD700" i="1"/>
  <c r="AC700" i="1"/>
  <c r="AB700" i="1"/>
  <c r="AA700" i="1"/>
  <c r="B700" i="1"/>
  <c r="AM699" i="1"/>
  <c r="AG699" i="1"/>
  <c r="AE699" i="1"/>
  <c r="AD699" i="1"/>
  <c r="AC699" i="1"/>
  <c r="AB699" i="1"/>
  <c r="AA699" i="1"/>
  <c r="B699" i="1"/>
  <c r="AM698" i="1"/>
  <c r="AG698" i="1"/>
  <c r="AE698" i="1"/>
  <c r="AD698" i="1"/>
  <c r="AC698" i="1"/>
  <c r="AB698" i="1"/>
  <c r="AA698" i="1"/>
  <c r="B698" i="1"/>
  <c r="AM697" i="1"/>
  <c r="AG697" i="1"/>
  <c r="AE697" i="1"/>
  <c r="AD697" i="1"/>
  <c r="AC697" i="1"/>
  <c r="AB697" i="1"/>
  <c r="AA697" i="1"/>
  <c r="B697" i="1"/>
  <c r="AM696" i="1"/>
  <c r="AG696" i="1"/>
  <c r="AE696" i="1"/>
  <c r="AD696" i="1"/>
  <c r="AC696" i="1"/>
  <c r="AB696" i="1"/>
  <c r="AA696" i="1"/>
  <c r="B696" i="1"/>
  <c r="AM695" i="1"/>
  <c r="AG695" i="1"/>
  <c r="AE695" i="1"/>
  <c r="AD695" i="1"/>
  <c r="AC695" i="1"/>
  <c r="AB695" i="1"/>
  <c r="AA695" i="1"/>
  <c r="B695" i="1"/>
  <c r="AM694" i="1"/>
  <c r="AG694" i="1"/>
  <c r="AE694" i="1"/>
  <c r="AD694" i="1"/>
  <c r="AC694" i="1"/>
  <c r="AB694" i="1"/>
  <c r="AA694" i="1"/>
  <c r="B694" i="1"/>
  <c r="AM693" i="1"/>
  <c r="AG693" i="1"/>
  <c r="AE693" i="1"/>
  <c r="AD693" i="1"/>
  <c r="AC693" i="1"/>
  <c r="AB693" i="1"/>
  <c r="AA693" i="1"/>
  <c r="B693" i="1"/>
  <c r="AM692" i="1"/>
  <c r="AG692" i="1"/>
  <c r="AE692" i="1"/>
  <c r="AD692" i="1"/>
  <c r="AC692" i="1"/>
  <c r="AB692" i="1"/>
  <c r="AA692" i="1"/>
  <c r="B692" i="1"/>
  <c r="AM691" i="1"/>
  <c r="AG691" i="1"/>
  <c r="AE691" i="1"/>
  <c r="AD691" i="1"/>
  <c r="AC691" i="1"/>
  <c r="AB691" i="1"/>
  <c r="AA691" i="1"/>
  <c r="B691" i="1"/>
  <c r="AM690" i="1"/>
  <c r="AG690" i="1"/>
  <c r="AE690" i="1"/>
  <c r="AD690" i="1"/>
  <c r="AC690" i="1"/>
  <c r="AB690" i="1"/>
  <c r="AA690" i="1"/>
  <c r="B690" i="1"/>
  <c r="AM689" i="1"/>
  <c r="AG689" i="1"/>
  <c r="AE689" i="1"/>
  <c r="AD689" i="1"/>
  <c r="AC689" i="1"/>
  <c r="AB689" i="1"/>
  <c r="AA689" i="1"/>
  <c r="B689" i="1"/>
  <c r="AM688" i="1"/>
  <c r="AG688" i="1"/>
  <c r="AE688" i="1"/>
  <c r="AD688" i="1"/>
  <c r="AC688" i="1"/>
  <c r="AB688" i="1"/>
  <c r="AA688" i="1"/>
  <c r="B688" i="1"/>
  <c r="AM687" i="1"/>
  <c r="AG687" i="1"/>
  <c r="AE687" i="1"/>
  <c r="AD687" i="1"/>
  <c r="AC687" i="1"/>
  <c r="AA687" i="1"/>
  <c r="B687" i="1"/>
  <c r="AM686" i="1"/>
  <c r="AG686" i="1"/>
  <c r="AE686" i="1"/>
  <c r="AD686" i="1"/>
  <c r="AC686" i="1"/>
  <c r="AB686" i="1"/>
  <c r="AA686" i="1"/>
  <c r="B686" i="1"/>
  <c r="AM685" i="1"/>
  <c r="AG685" i="1"/>
  <c r="AE685" i="1"/>
  <c r="AD685" i="1"/>
  <c r="AC685" i="1"/>
  <c r="AB685" i="1"/>
  <c r="AA685" i="1"/>
  <c r="B685" i="1"/>
  <c r="AM684" i="1"/>
  <c r="AG684" i="1"/>
  <c r="AE684" i="1"/>
  <c r="AD684" i="1"/>
  <c r="AC684" i="1"/>
  <c r="AB684" i="1"/>
  <c r="AA684" i="1"/>
  <c r="B684" i="1"/>
  <c r="AM683" i="1"/>
  <c r="AG683" i="1"/>
  <c r="AE683" i="1"/>
  <c r="AD683" i="1"/>
  <c r="AC683" i="1"/>
  <c r="AB683" i="1"/>
  <c r="AA683" i="1"/>
  <c r="B683" i="1"/>
  <c r="AM682" i="1"/>
  <c r="AG682" i="1"/>
  <c r="AE682" i="1"/>
  <c r="AD682" i="1"/>
  <c r="AC682" i="1"/>
  <c r="AA682" i="1"/>
  <c r="B682" i="1"/>
  <c r="AM681" i="1"/>
  <c r="AG681" i="1"/>
  <c r="AE681" i="1"/>
  <c r="AD681" i="1"/>
  <c r="AC681" i="1"/>
  <c r="AB681" i="1"/>
  <c r="AA681" i="1"/>
  <c r="B681" i="1"/>
  <c r="AM680" i="1"/>
  <c r="AG680" i="1"/>
  <c r="AE680" i="1"/>
  <c r="AD680" i="1"/>
  <c r="AC680" i="1"/>
  <c r="AA680" i="1"/>
  <c r="B680" i="1"/>
  <c r="AM679" i="1"/>
  <c r="AG679" i="1"/>
  <c r="AE679" i="1"/>
  <c r="AD679" i="1"/>
  <c r="AC679" i="1"/>
  <c r="AB679" i="1"/>
  <c r="AA679" i="1"/>
  <c r="B679" i="1"/>
  <c r="BB678" i="1"/>
  <c r="BA678" i="1"/>
  <c r="AM678" i="1"/>
  <c r="AG678" i="1"/>
  <c r="AE678" i="1"/>
  <c r="AD678" i="1"/>
  <c r="AC678" i="1"/>
  <c r="AB678" i="1"/>
  <c r="AA678" i="1"/>
  <c r="B678" i="1"/>
  <c r="AM677" i="1"/>
  <c r="AG677" i="1"/>
  <c r="AE677" i="1"/>
  <c r="AD677" i="1"/>
  <c r="AC677" i="1"/>
  <c r="AB677" i="1"/>
  <c r="AA677" i="1"/>
  <c r="B677" i="1"/>
  <c r="BB676" i="1"/>
  <c r="BA676" i="1"/>
  <c r="AM676" i="1"/>
  <c r="AG676" i="1"/>
  <c r="AE676" i="1"/>
  <c r="AD676" i="1"/>
  <c r="AC676" i="1"/>
  <c r="AB676" i="1"/>
  <c r="AA676" i="1"/>
  <c r="B676" i="1"/>
  <c r="BB675" i="1"/>
  <c r="BA675" i="1"/>
  <c r="AM675" i="1"/>
  <c r="AG675" i="1"/>
  <c r="AE675" i="1"/>
  <c r="AD675" i="1"/>
  <c r="AC675" i="1"/>
  <c r="AB675" i="1"/>
  <c r="AA675" i="1"/>
  <c r="B675" i="1"/>
  <c r="AM674" i="1"/>
  <c r="AG674" i="1"/>
  <c r="AE674" i="1"/>
  <c r="AD674" i="1"/>
  <c r="AC674" i="1"/>
  <c r="AB674" i="1"/>
  <c r="AA674" i="1"/>
  <c r="B674" i="1"/>
  <c r="AM673" i="1"/>
  <c r="AG673" i="1"/>
  <c r="AE673" i="1"/>
  <c r="AD673" i="1"/>
  <c r="AC673" i="1"/>
  <c r="AB673" i="1"/>
  <c r="AA673" i="1"/>
  <c r="B673" i="1"/>
  <c r="AM672" i="1"/>
  <c r="AG672" i="1"/>
  <c r="AE672" i="1"/>
  <c r="AD672" i="1"/>
  <c r="AC672" i="1"/>
  <c r="AB672" i="1"/>
  <c r="AA672" i="1"/>
  <c r="B672" i="1"/>
  <c r="AM671" i="1"/>
  <c r="AG671" i="1"/>
  <c r="AE671" i="1"/>
  <c r="AD671" i="1"/>
  <c r="AC671" i="1"/>
  <c r="AB671" i="1"/>
  <c r="AA671" i="1"/>
  <c r="B671" i="1"/>
  <c r="AM670" i="1"/>
  <c r="AG670" i="1"/>
  <c r="AE670" i="1"/>
  <c r="AD670" i="1"/>
  <c r="AC670" i="1"/>
  <c r="AB670" i="1"/>
  <c r="AA670" i="1"/>
  <c r="B670" i="1"/>
  <c r="AM669" i="1"/>
  <c r="AG669" i="1"/>
  <c r="AE669" i="1"/>
  <c r="AD669" i="1"/>
  <c r="AC669" i="1"/>
  <c r="AB669" i="1"/>
  <c r="AA669" i="1"/>
  <c r="B669" i="1"/>
  <c r="AM668" i="1"/>
  <c r="AG668" i="1"/>
  <c r="AE668" i="1"/>
  <c r="AD668" i="1"/>
  <c r="AC668" i="1"/>
  <c r="AB668" i="1"/>
  <c r="AA668" i="1"/>
  <c r="B668" i="1"/>
  <c r="AM667" i="1"/>
  <c r="AG667" i="1"/>
  <c r="AE667" i="1"/>
  <c r="AD667" i="1"/>
  <c r="AC667" i="1"/>
  <c r="AB667" i="1"/>
  <c r="AA667" i="1"/>
  <c r="B667" i="1"/>
  <c r="AM666" i="1"/>
  <c r="AG666" i="1"/>
  <c r="AE666" i="1"/>
  <c r="AD666" i="1"/>
  <c r="AC666" i="1"/>
  <c r="AB666" i="1"/>
  <c r="AA666" i="1"/>
  <c r="B666" i="1"/>
  <c r="AM665" i="1"/>
  <c r="AG665" i="1"/>
  <c r="AE665" i="1"/>
  <c r="AD665" i="1"/>
  <c r="AC665" i="1"/>
  <c r="AB665" i="1"/>
  <c r="AA665" i="1"/>
  <c r="B665" i="1"/>
  <c r="AM664" i="1"/>
  <c r="AG664" i="1"/>
  <c r="AE664" i="1"/>
  <c r="AD664" i="1"/>
  <c r="AC664" i="1"/>
  <c r="AB664" i="1"/>
  <c r="AA664" i="1"/>
  <c r="B664" i="1"/>
  <c r="AM663" i="1"/>
  <c r="AG663" i="1"/>
  <c r="AE663" i="1"/>
  <c r="AD663" i="1"/>
  <c r="AC663" i="1"/>
  <c r="AB663" i="1"/>
  <c r="AA663" i="1"/>
  <c r="B663" i="1"/>
  <c r="AM662" i="1"/>
  <c r="AG662" i="1"/>
  <c r="AE662" i="1"/>
  <c r="AD662" i="1"/>
  <c r="AC662" i="1"/>
  <c r="AB662" i="1"/>
  <c r="AA662" i="1"/>
  <c r="B662" i="1"/>
  <c r="AM661" i="1"/>
  <c r="AG661" i="1"/>
  <c r="AE661" i="1"/>
  <c r="AD661" i="1"/>
  <c r="AC661" i="1"/>
  <c r="AB661" i="1"/>
  <c r="AA661" i="1"/>
  <c r="B661" i="1"/>
  <c r="AM660" i="1"/>
  <c r="AG660" i="1"/>
  <c r="AE660" i="1"/>
  <c r="AD660" i="1"/>
  <c r="AC660" i="1"/>
  <c r="AB660" i="1"/>
  <c r="AA660" i="1"/>
  <c r="B660" i="1"/>
  <c r="AM659" i="1"/>
  <c r="AG659" i="1"/>
  <c r="AE659" i="1"/>
  <c r="AD659" i="1"/>
  <c r="AC659" i="1"/>
  <c r="AB659" i="1"/>
  <c r="AA659" i="1"/>
  <c r="B659" i="1"/>
  <c r="AM658" i="1"/>
  <c r="AG658" i="1"/>
  <c r="AE658" i="1"/>
  <c r="AD658" i="1"/>
  <c r="AC658" i="1"/>
  <c r="AB658" i="1"/>
  <c r="AA658" i="1"/>
  <c r="B658" i="1"/>
  <c r="AM657" i="1"/>
  <c r="AG657" i="1"/>
  <c r="AE657" i="1"/>
  <c r="AD657" i="1"/>
  <c r="AC657" i="1"/>
  <c r="AB657" i="1"/>
  <c r="AA657" i="1"/>
  <c r="B657" i="1"/>
  <c r="AM656" i="1"/>
  <c r="AG656" i="1"/>
  <c r="AE656" i="1"/>
  <c r="AD656" i="1"/>
  <c r="AC656" i="1"/>
  <c r="AB656" i="1"/>
  <c r="AA656" i="1"/>
  <c r="B656" i="1"/>
  <c r="AM655" i="1"/>
  <c r="AG655" i="1"/>
  <c r="AE655" i="1"/>
  <c r="AD655" i="1"/>
  <c r="AC655" i="1"/>
  <c r="AB655" i="1"/>
  <c r="AA655" i="1"/>
  <c r="B655" i="1"/>
  <c r="AM654" i="1"/>
  <c r="AG654" i="1"/>
  <c r="AE654" i="1"/>
  <c r="AD654" i="1"/>
  <c r="AC654" i="1"/>
  <c r="AB654" i="1"/>
  <c r="AA654" i="1"/>
  <c r="B654" i="1"/>
  <c r="AM653" i="1"/>
  <c r="AG653" i="1"/>
  <c r="AE653" i="1"/>
  <c r="AD653" i="1"/>
  <c r="AC653" i="1"/>
  <c r="AB653" i="1"/>
  <c r="AA653" i="1"/>
  <c r="B653" i="1"/>
  <c r="AM652" i="1"/>
  <c r="AG652" i="1"/>
  <c r="AE652" i="1"/>
  <c r="AD652" i="1"/>
  <c r="AC652" i="1"/>
  <c r="AB652" i="1"/>
  <c r="AA652" i="1"/>
  <c r="B652" i="1"/>
  <c r="AM651" i="1"/>
  <c r="AG651" i="1"/>
  <c r="AE651" i="1"/>
  <c r="AD651" i="1"/>
  <c r="AC651" i="1"/>
  <c r="AB651" i="1"/>
  <c r="AA651" i="1"/>
  <c r="B651" i="1"/>
  <c r="AM650" i="1"/>
  <c r="AG650" i="1"/>
  <c r="AE650" i="1"/>
  <c r="AD650" i="1"/>
  <c r="AC650" i="1"/>
  <c r="AB650" i="1"/>
  <c r="AA650" i="1"/>
  <c r="B650" i="1"/>
  <c r="AM649" i="1"/>
  <c r="AG649" i="1"/>
  <c r="AE649" i="1"/>
  <c r="AD649" i="1"/>
  <c r="AC649" i="1"/>
  <c r="AB649" i="1"/>
  <c r="AA649" i="1"/>
  <c r="B649" i="1"/>
  <c r="BB648" i="1"/>
  <c r="BA648" i="1"/>
  <c r="AM648" i="1"/>
  <c r="AG648" i="1"/>
  <c r="AE648" i="1"/>
  <c r="AD648" i="1"/>
  <c r="AC648" i="1"/>
  <c r="AB648" i="1"/>
  <c r="AA648" i="1"/>
  <c r="B648" i="1"/>
  <c r="BB647" i="1"/>
  <c r="BA647" i="1"/>
  <c r="AM647" i="1"/>
  <c r="AG647" i="1"/>
  <c r="AE647" i="1"/>
  <c r="AD647" i="1"/>
  <c r="AC647" i="1"/>
  <c r="AB647" i="1"/>
  <c r="AA647" i="1"/>
  <c r="B647" i="1"/>
  <c r="BB646" i="1"/>
  <c r="BA646" i="1"/>
  <c r="AM646" i="1"/>
  <c r="AG646" i="1"/>
  <c r="AE646" i="1"/>
  <c r="AD646" i="1"/>
  <c r="AC646" i="1"/>
  <c r="AB646" i="1"/>
  <c r="AA646" i="1"/>
  <c r="B646" i="1"/>
  <c r="AM645" i="1"/>
  <c r="AG645" i="1"/>
  <c r="AE645" i="1"/>
  <c r="AD645" i="1"/>
  <c r="AC645" i="1"/>
  <c r="AB645" i="1"/>
  <c r="AA645" i="1"/>
  <c r="B645" i="1"/>
  <c r="BB644" i="1"/>
  <c r="BA644" i="1"/>
  <c r="AM644" i="1"/>
  <c r="AG644" i="1"/>
  <c r="AE644" i="1"/>
  <c r="AD644" i="1"/>
  <c r="AC644" i="1"/>
  <c r="AB644" i="1"/>
  <c r="AA644" i="1"/>
  <c r="B644" i="1"/>
  <c r="AM643" i="1"/>
  <c r="AG643" i="1"/>
  <c r="AE643" i="1"/>
  <c r="AD643" i="1"/>
  <c r="AC643" i="1"/>
  <c r="AB643" i="1"/>
  <c r="AA643" i="1"/>
  <c r="B643" i="1"/>
  <c r="AM642" i="1"/>
  <c r="AG642" i="1"/>
  <c r="AE642" i="1"/>
  <c r="AD642" i="1"/>
  <c r="AC642" i="1"/>
  <c r="AB642" i="1"/>
  <c r="AA642" i="1"/>
  <c r="B642" i="1"/>
  <c r="AM641" i="1"/>
  <c r="AG641" i="1"/>
  <c r="AE641" i="1"/>
  <c r="AD641" i="1"/>
  <c r="AC641" i="1"/>
  <c r="AB641" i="1"/>
  <c r="AA641" i="1"/>
  <c r="B641" i="1"/>
  <c r="AM640" i="1"/>
  <c r="AG640" i="1"/>
  <c r="AE640" i="1"/>
  <c r="AD640" i="1"/>
  <c r="AC640" i="1"/>
  <c r="AB640" i="1"/>
  <c r="AA640" i="1"/>
  <c r="B640" i="1"/>
  <c r="AM639" i="1"/>
  <c r="AG639" i="1"/>
  <c r="AE639" i="1"/>
  <c r="AD639" i="1"/>
  <c r="AC639" i="1"/>
  <c r="AB639" i="1"/>
  <c r="AA639" i="1"/>
  <c r="B639" i="1"/>
  <c r="AM638" i="1"/>
  <c r="AG638" i="1"/>
  <c r="AE638" i="1"/>
  <c r="AD638" i="1"/>
  <c r="AC638" i="1"/>
  <c r="AB638" i="1"/>
  <c r="AA638" i="1"/>
  <c r="B638" i="1"/>
  <c r="AM637" i="1"/>
  <c r="AG637" i="1"/>
  <c r="AE637" i="1"/>
  <c r="AD637" i="1"/>
  <c r="AC637" i="1"/>
  <c r="AB637" i="1"/>
  <c r="AA637" i="1"/>
  <c r="B637" i="1"/>
  <c r="BB636" i="1"/>
  <c r="BA636" i="1"/>
  <c r="AM636" i="1"/>
  <c r="AG636" i="1"/>
  <c r="AE636" i="1"/>
  <c r="AD636" i="1"/>
  <c r="AC636" i="1"/>
  <c r="AB636" i="1"/>
  <c r="AA636" i="1"/>
  <c r="B636" i="1"/>
  <c r="AM635" i="1"/>
  <c r="AG635" i="1"/>
  <c r="AE635" i="1"/>
  <c r="AD635" i="1"/>
  <c r="AC635" i="1"/>
  <c r="AB635" i="1"/>
  <c r="AA635" i="1"/>
  <c r="B635" i="1"/>
  <c r="AM634" i="1"/>
  <c r="AG634" i="1"/>
  <c r="AE634" i="1"/>
  <c r="AD634" i="1"/>
  <c r="AC634" i="1"/>
  <c r="AB634" i="1"/>
  <c r="AA634" i="1"/>
  <c r="B634" i="1"/>
  <c r="AM633" i="1"/>
  <c r="AG633" i="1"/>
  <c r="AE633" i="1"/>
  <c r="AD633" i="1"/>
  <c r="AC633" i="1"/>
  <c r="AB633" i="1"/>
  <c r="AA633" i="1"/>
  <c r="B633" i="1"/>
  <c r="AM632" i="1"/>
  <c r="AG632" i="1"/>
  <c r="AE632" i="1"/>
  <c r="AD632" i="1"/>
  <c r="AC632" i="1"/>
  <c r="AB632" i="1"/>
  <c r="AA632" i="1"/>
  <c r="B632" i="1"/>
  <c r="AM631" i="1"/>
  <c r="AG631" i="1"/>
  <c r="AE631" i="1"/>
  <c r="AD631" i="1"/>
  <c r="AC631" i="1"/>
  <c r="AB631" i="1"/>
  <c r="AA631" i="1"/>
  <c r="B631" i="1"/>
  <c r="BB630" i="1"/>
  <c r="BA630" i="1"/>
  <c r="AM630" i="1"/>
  <c r="AG630" i="1"/>
  <c r="AE630" i="1"/>
  <c r="AD630" i="1"/>
  <c r="AC630" i="1"/>
  <c r="AB630" i="1"/>
  <c r="AA630" i="1"/>
  <c r="B630" i="1"/>
  <c r="BB629" i="1"/>
  <c r="BA629" i="1"/>
  <c r="AM629" i="1"/>
  <c r="AG629" i="1"/>
  <c r="AE629" i="1"/>
  <c r="AD629" i="1"/>
  <c r="AC629" i="1"/>
  <c r="AB629" i="1"/>
  <c r="AA629" i="1"/>
  <c r="B629" i="1"/>
  <c r="BB628" i="1"/>
  <c r="BA628" i="1"/>
  <c r="AM628" i="1"/>
  <c r="AG628" i="1"/>
  <c r="AE628" i="1"/>
  <c r="AD628" i="1"/>
  <c r="AC628" i="1"/>
  <c r="AB628" i="1"/>
  <c r="AA628" i="1"/>
  <c r="B628" i="1"/>
  <c r="BB627" i="1"/>
  <c r="BA627" i="1"/>
  <c r="AM627" i="1"/>
  <c r="AG627" i="1"/>
  <c r="AE627" i="1"/>
  <c r="AD627" i="1"/>
  <c r="AC627" i="1"/>
  <c r="AB627" i="1"/>
  <c r="AA627" i="1"/>
  <c r="B627" i="1"/>
  <c r="AM626" i="1"/>
  <c r="AG626" i="1"/>
  <c r="AE626" i="1"/>
  <c r="AD626" i="1"/>
  <c r="AC626" i="1"/>
  <c r="AB626" i="1"/>
  <c r="AA626" i="1"/>
  <c r="B626" i="1"/>
  <c r="BB625" i="1"/>
  <c r="BA625" i="1"/>
  <c r="AM625" i="1"/>
  <c r="AG625" i="1"/>
  <c r="AE625" i="1"/>
  <c r="AD625" i="1"/>
  <c r="AC625" i="1"/>
  <c r="AB625" i="1"/>
  <c r="AA625" i="1"/>
  <c r="B625" i="1"/>
  <c r="AM624" i="1"/>
  <c r="AG624" i="1"/>
  <c r="AE624" i="1"/>
  <c r="AD624" i="1"/>
  <c r="AC624" i="1"/>
  <c r="AB624" i="1"/>
  <c r="AA624" i="1"/>
  <c r="B624" i="1"/>
  <c r="AM623" i="1"/>
  <c r="AG623" i="1"/>
  <c r="AE623" i="1"/>
  <c r="AD623" i="1"/>
  <c r="AC623" i="1"/>
  <c r="AB623" i="1"/>
  <c r="AA623" i="1"/>
  <c r="B623" i="1"/>
  <c r="AM622" i="1"/>
  <c r="AG622" i="1"/>
  <c r="AE622" i="1"/>
  <c r="AD622" i="1"/>
  <c r="AC622" i="1"/>
  <c r="AB622" i="1"/>
  <c r="AA622" i="1"/>
  <c r="B622" i="1"/>
  <c r="AM621" i="1"/>
  <c r="AG621" i="1"/>
  <c r="AE621" i="1"/>
  <c r="AD621" i="1"/>
  <c r="AC621" i="1"/>
  <c r="AB621" i="1"/>
  <c r="AA621" i="1"/>
  <c r="B621" i="1"/>
  <c r="AM620" i="1"/>
  <c r="AG620" i="1"/>
  <c r="AE620" i="1"/>
  <c r="AD620" i="1"/>
  <c r="AC620" i="1"/>
  <c r="AB620" i="1"/>
  <c r="AA620" i="1"/>
  <c r="B620" i="1"/>
  <c r="AM619" i="1"/>
  <c r="AG619" i="1"/>
  <c r="AE619" i="1"/>
  <c r="AD619" i="1"/>
  <c r="AC619" i="1"/>
  <c r="AB619" i="1"/>
  <c r="AA619" i="1"/>
  <c r="B619" i="1"/>
  <c r="AM618" i="1"/>
  <c r="AG618" i="1"/>
  <c r="AE618" i="1"/>
  <c r="AD618" i="1"/>
  <c r="AC618" i="1"/>
  <c r="AB618" i="1"/>
  <c r="AA618" i="1"/>
  <c r="B618" i="1"/>
  <c r="AM617" i="1"/>
  <c r="AG617" i="1"/>
  <c r="AE617" i="1"/>
  <c r="AD617" i="1"/>
  <c r="AC617" i="1"/>
  <c r="AB617" i="1"/>
  <c r="AA617" i="1"/>
  <c r="B617" i="1"/>
  <c r="AM616" i="1"/>
  <c r="AG616" i="1"/>
  <c r="AE616" i="1"/>
  <c r="AD616" i="1"/>
  <c r="AC616" i="1"/>
  <c r="AB616" i="1"/>
  <c r="AA616" i="1"/>
  <c r="B616" i="1"/>
  <c r="AM615" i="1"/>
  <c r="AG615" i="1"/>
  <c r="AE615" i="1"/>
  <c r="AD615" i="1"/>
  <c r="AC615" i="1"/>
  <c r="AB615" i="1"/>
  <c r="AA615" i="1"/>
  <c r="B615" i="1"/>
  <c r="AM614" i="1"/>
  <c r="AG614" i="1"/>
  <c r="AE614" i="1"/>
  <c r="AD614" i="1"/>
  <c r="AC614" i="1"/>
  <c r="AB614" i="1"/>
  <c r="AA614" i="1"/>
  <c r="B614" i="1"/>
  <c r="AM613" i="1"/>
  <c r="AG613" i="1"/>
  <c r="AE613" i="1"/>
  <c r="AD613" i="1"/>
  <c r="AC613" i="1"/>
  <c r="AB613" i="1"/>
  <c r="AA613" i="1"/>
  <c r="B613" i="1"/>
  <c r="AM612" i="1"/>
  <c r="AG612" i="1"/>
  <c r="AE612" i="1"/>
  <c r="AD612" i="1"/>
  <c r="AC612" i="1"/>
  <c r="AB612" i="1"/>
  <c r="AA612" i="1"/>
  <c r="B612" i="1"/>
  <c r="AM611" i="1"/>
  <c r="AG611" i="1"/>
  <c r="AE611" i="1"/>
  <c r="AD611" i="1"/>
  <c r="AC611" i="1"/>
  <c r="AB611" i="1"/>
  <c r="AA611" i="1"/>
  <c r="B611" i="1"/>
  <c r="BB610" i="1"/>
  <c r="BA610" i="1"/>
  <c r="AM610" i="1"/>
  <c r="AG610" i="1"/>
  <c r="AE610" i="1"/>
  <c r="AD610" i="1"/>
  <c r="AC610" i="1"/>
  <c r="AB610" i="1"/>
  <c r="AA610" i="1"/>
  <c r="B610" i="1"/>
  <c r="BB609" i="1"/>
  <c r="BA609" i="1"/>
  <c r="AM609" i="1"/>
  <c r="AG609" i="1"/>
  <c r="AE609" i="1"/>
  <c r="AD609" i="1"/>
  <c r="AC609" i="1"/>
  <c r="AB609" i="1"/>
  <c r="AA609" i="1"/>
  <c r="B609" i="1"/>
  <c r="AM608" i="1"/>
  <c r="AG608" i="1"/>
  <c r="AE608" i="1"/>
  <c r="AD608" i="1"/>
  <c r="AC608" i="1"/>
  <c r="AB608" i="1"/>
  <c r="AA608" i="1"/>
  <c r="B608" i="1"/>
  <c r="AM607" i="1"/>
  <c r="AG607" i="1"/>
  <c r="AE607" i="1"/>
  <c r="AD607" i="1"/>
  <c r="AC607" i="1"/>
  <c r="AB607" i="1"/>
  <c r="AA607" i="1"/>
  <c r="B607" i="1"/>
  <c r="AM606" i="1"/>
  <c r="AG606" i="1"/>
  <c r="AE606" i="1"/>
  <c r="AD606" i="1"/>
  <c r="AC606" i="1"/>
  <c r="AB606" i="1"/>
  <c r="AA606" i="1"/>
  <c r="B606" i="1"/>
  <c r="AM605" i="1"/>
  <c r="AG605" i="1"/>
  <c r="AE605" i="1"/>
  <c r="AD605" i="1"/>
  <c r="AC605" i="1"/>
  <c r="AB605" i="1"/>
  <c r="AA605" i="1"/>
  <c r="B605" i="1"/>
  <c r="AM604" i="1"/>
  <c r="AG604" i="1"/>
  <c r="AE604" i="1"/>
  <c r="AD604" i="1"/>
  <c r="AC604" i="1"/>
  <c r="AB604" i="1"/>
  <c r="AA604" i="1"/>
  <c r="B604" i="1"/>
  <c r="AM603" i="1"/>
  <c r="AG603" i="1"/>
  <c r="AE603" i="1"/>
  <c r="AD603" i="1"/>
  <c r="AC603" i="1"/>
  <c r="AB603" i="1"/>
  <c r="AA603" i="1"/>
  <c r="B603" i="1"/>
  <c r="AM602" i="1"/>
  <c r="AG602" i="1"/>
  <c r="AE602" i="1"/>
  <c r="AD602" i="1"/>
  <c r="AC602" i="1"/>
  <c r="AB602" i="1"/>
  <c r="AA602" i="1"/>
  <c r="B602" i="1"/>
  <c r="AM601" i="1"/>
  <c r="AG601" i="1"/>
  <c r="AE601" i="1"/>
  <c r="AD601" i="1"/>
  <c r="AC601" i="1"/>
  <c r="AB601" i="1"/>
  <c r="AA601" i="1"/>
  <c r="B601" i="1"/>
  <c r="BB600" i="1"/>
  <c r="BA600" i="1"/>
  <c r="AM600" i="1"/>
  <c r="AG600" i="1"/>
  <c r="AE600" i="1"/>
  <c r="AD600" i="1"/>
  <c r="AC600" i="1"/>
  <c r="AB600" i="1"/>
  <c r="AA600" i="1"/>
  <c r="B600" i="1"/>
  <c r="AM599" i="1"/>
  <c r="AG599" i="1"/>
  <c r="AE599" i="1"/>
  <c r="AD599" i="1"/>
  <c r="AC599" i="1"/>
  <c r="AB599" i="1"/>
  <c r="AA599" i="1"/>
  <c r="B599" i="1"/>
  <c r="AM598" i="1"/>
  <c r="AG598" i="1"/>
  <c r="AE598" i="1"/>
  <c r="AD598" i="1"/>
  <c r="AC598" i="1"/>
  <c r="AB598" i="1"/>
  <c r="AA598" i="1"/>
  <c r="B598" i="1"/>
  <c r="AM597" i="1"/>
  <c r="AG597" i="1"/>
  <c r="AE597" i="1"/>
  <c r="AD597" i="1"/>
  <c r="AC597" i="1"/>
  <c r="AB597" i="1"/>
  <c r="AA597" i="1"/>
  <c r="B597" i="1"/>
  <c r="AM596" i="1"/>
  <c r="AG596" i="1"/>
  <c r="AE596" i="1"/>
  <c r="AD596" i="1"/>
  <c r="AC596" i="1"/>
  <c r="AB596" i="1"/>
  <c r="AA596" i="1"/>
  <c r="B596" i="1"/>
  <c r="AM595" i="1"/>
  <c r="AG595" i="1"/>
  <c r="AE595" i="1"/>
  <c r="AD595" i="1"/>
  <c r="AC595" i="1"/>
  <c r="AB595" i="1"/>
  <c r="AA595" i="1"/>
  <c r="B595" i="1"/>
  <c r="BB594" i="1"/>
  <c r="BA594" i="1"/>
  <c r="AM594" i="1"/>
  <c r="AG594" i="1"/>
  <c r="AE594" i="1"/>
  <c r="AD594" i="1"/>
  <c r="AC594" i="1"/>
  <c r="AB594" i="1"/>
  <c r="AA594" i="1"/>
  <c r="B594" i="1"/>
  <c r="AM593" i="1"/>
  <c r="AG593" i="1"/>
  <c r="AE593" i="1"/>
  <c r="AD593" i="1"/>
  <c r="AC593" i="1"/>
  <c r="AB593" i="1"/>
  <c r="AA593" i="1"/>
  <c r="B593" i="1"/>
  <c r="BB592" i="1"/>
  <c r="BA592" i="1"/>
  <c r="AM592" i="1"/>
  <c r="AG592" i="1"/>
  <c r="AE592" i="1"/>
  <c r="AD592" i="1"/>
  <c r="AC592" i="1"/>
  <c r="AB592" i="1"/>
  <c r="AA592" i="1"/>
  <c r="B592" i="1"/>
  <c r="AM591" i="1"/>
  <c r="AG591" i="1"/>
  <c r="AE591" i="1"/>
  <c r="AD591" i="1"/>
  <c r="AC591" i="1"/>
  <c r="AB591" i="1"/>
  <c r="AA591" i="1"/>
  <c r="B591" i="1"/>
  <c r="AM590" i="1"/>
  <c r="AG590" i="1"/>
  <c r="AE590" i="1"/>
  <c r="AD590" i="1"/>
  <c r="AC590" i="1"/>
  <c r="AB590" i="1"/>
  <c r="AA590" i="1"/>
  <c r="B590" i="1"/>
  <c r="AM589" i="1"/>
  <c r="AG589" i="1"/>
  <c r="AE589" i="1"/>
  <c r="AD589" i="1"/>
  <c r="AC589" i="1"/>
  <c r="AB589" i="1"/>
  <c r="AA589" i="1"/>
  <c r="B589" i="1"/>
  <c r="AM588" i="1"/>
  <c r="AG588" i="1"/>
  <c r="AE588" i="1"/>
  <c r="AD588" i="1"/>
  <c r="AC588" i="1"/>
  <c r="AB588" i="1"/>
  <c r="AA588" i="1"/>
  <c r="B588" i="1"/>
  <c r="AM587" i="1"/>
  <c r="AG587" i="1"/>
  <c r="AE587" i="1"/>
  <c r="AD587" i="1"/>
  <c r="AC587" i="1"/>
  <c r="AB587" i="1"/>
  <c r="AA587" i="1"/>
  <c r="B587" i="1"/>
  <c r="AM586" i="1"/>
  <c r="AG586" i="1"/>
  <c r="AE586" i="1"/>
  <c r="AD586" i="1"/>
  <c r="AC586" i="1"/>
  <c r="AB586" i="1"/>
  <c r="AA586" i="1"/>
  <c r="B586" i="1"/>
  <c r="AM585" i="1"/>
  <c r="AG585" i="1"/>
  <c r="AE585" i="1"/>
  <c r="AD585" i="1"/>
  <c r="AC585" i="1"/>
  <c r="AB585" i="1"/>
  <c r="AA585" i="1"/>
  <c r="B585" i="1"/>
  <c r="AM584" i="1"/>
  <c r="AG584" i="1"/>
  <c r="AE584" i="1"/>
  <c r="AD584" i="1"/>
  <c r="AC584" i="1"/>
  <c r="AB584" i="1"/>
  <c r="AA584" i="1"/>
  <c r="B584" i="1"/>
  <c r="AM583" i="1"/>
  <c r="AG583" i="1"/>
  <c r="AE583" i="1"/>
  <c r="AD583" i="1"/>
  <c r="AC583" i="1"/>
  <c r="AB583" i="1"/>
  <c r="AA583" i="1"/>
  <c r="B583" i="1"/>
  <c r="AM582" i="1"/>
  <c r="AG582" i="1"/>
  <c r="AE582" i="1"/>
  <c r="AD582" i="1"/>
  <c r="AC582" i="1"/>
  <c r="AB582" i="1"/>
  <c r="AA582" i="1"/>
  <c r="B582" i="1"/>
  <c r="AM581" i="1"/>
  <c r="AG581" i="1"/>
  <c r="AE581" i="1"/>
  <c r="AD581" i="1"/>
  <c r="AC581" i="1"/>
  <c r="AB581" i="1"/>
  <c r="AA581" i="1"/>
  <c r="B581" i="1"/>
  <c r="AM580" i="1"/>
  <c r="AG580" i="1"/>
  <c r="AE580" i="1"/>
  <c r="AD580" i="1"/>
  <c r="AC580" i="1"/>
  <c r="AB580" i="1"/>
  <c r="AA580" i="1"/>
  <c r="B580" i="1"/>
  <c r="BB579" i="1"/>
  <c r="BA579" i="1"/>
  <c r="AM579" i="1"/>
  <c r="AG579" i="1"/>
  <c r="AE579" i="1"/>
  <c r="AD579" i="1"/>
  <c r="AC579" i="1"/>
  <c r="AB579" i="1"/>
  <c r="AA579" i="1"/>
  <c r="B579" i="1"/>
  <c r="BB578" i="1"/>
  <c r="BA578" i="1"/>
  <c r="AM578" i="1"/>
  <c r="AG578" i="1"/>
  <c r="AE578" i="1"/>
  <c r="AD578" i="1"/>
  <c r="AC578" i="1"/>
  <c r="AB578" i="1"/>
  <c r="AA578" i="1"/>
  <c r="B578" i="1"/>
  <c r="AM577" i="1"/>
  <c r="AG577" i="1"/>
  <c r="AE577" i="1"/>
  <c r="AD577" i="1"/>
  <c r="AC577" i="1"/>
  <c r="AB577" i="1"/>
  <c r="AA577" i="1"/>
  <c r="B577" i="1"/>
  <c r="AM576" i="1"/>
  <c r="AG576" i="1"/>
  <c r="AE576" i="1"/>
  <c r="AD576" i="1"/>
  <c r="AC576" i="1"/>
  <c r="AB576" i="1"/>
  <c r="AA576" i="1"/>
  <c r="B576" i="1"/>
  <c r="AM575" i="1"/>
  <c r="AG575" i="1"/>
  <c r="AE575" i="1"/>
  <c r="AD575" i="1"/>
  <c r="AC575" i="1"/>
  <c r="AB575" i="1"/>
  <c r="AA575" i="1"/>
  <c r="B575" i="1"/>
  <c r="AM574" i="1"/>
  <c r="AG574" i="1"/>
  <c r="AE574" i="1"/>
  <c r="AD574" i="1"/>
  <c r="AC574" i="1"/>
  <c r="AB574" i="1"/>
  <c r="AA574" i="1"/>
  <c r="B574" i="1"/>
  <c r="BB573" i="1"/>
  <c r="BA573" i="1"/>
  <c r="AM573" i="1"/>
  <c r="AG573" i="1"/>
  <c r="AE573" i="1"/>
  <c r="AD573" i="1"/>
  <c r="AC573" i="1"/>
  <c r="AB573" i="1"/>
  <c r="AA573" i="1"/>
  <c r="B573" i="1"/>
  <c r="AM572" i="1"/>
  <c r="AG572" i="1"/>
  <c r="AE572" i="1"/>
  <c r="AD572" i="1"/>
  <c r="AC572" i="1"/>
  <c r="AB572" i="1"/>
  <c r="AA572" i="1"/>
  <c r="B572" i="1"/>
  <c r="BB571" i="1"/>
  <c r="BA571" i="1"/>
  <c r="AM571" i="1"/>
  <c r="AG571" i="1"/>
  <c r="AE571" i="1"/>
  <c r="AD571" i="1"/>
  <c r="AC571" i="1"/>
  <c r="AB571" i="1"/>
  <c r="AA571" i="1"/>
  <c r="B571" i="1"/>
  <c r="BB570" i="1"/>
  <c r="BA570" i="1"/>
  <c r="AM570" i="1"/>
  <c r="AG570" i="1"/>
  <c r="AE570" i="1"/>
  <c r="AD570" i="1"/>
  <c r="AC570" i="1"/>
  <c r="AB570" i="1"/>
  <c r="AA570" i="1"/>
  <c r="B570" i="1"/>
  <c r="BB569" i="1"/>
  <c r="BA569" i="1"/>
  <c r="AM569" i="1"/>
  <c r="AG569" i="1"/>
  <c r="AE569" i="1"/>
  <c r="AD569" i="1"/>
  <c r="AC569" i="1"/>
  <c r="AB569" i="1"/>
  <c r="AA569" i="1"/>
  <c r="B569" i="1"/>
  <c r="AM568" i="1"/>
  <c r="AG568" i="1"/>
  <c r="AE568" i="1"/>
  <c r="AD568" i="1"/>
  <c r="AC568" i="1"/>
  <c r="AB568" i="1"/>
  <c r="AA568" i="1"/>
  <c r="B568" i="1"/>
  <c r="AM567" i="1"/>
  <c r="AG567" i="1"/>
  <c r="AE567" i="1"/>
  <c r="AD567" i="1"/>
  <c r="AC567" i="1"/>
  <c r="AB567" i="1"/>
  <c r="AA567" i="1"/>
  <c r="B567" i="1"/>
  <c r="AM566" i="1"/>
  <c r="AG566" i="1"/>
  <c r="AE566" i="1"/>
  <c r="AD566" i="1"/>
  <c r="AC566" i="1"/>
  <c r="AB566" i="1"/>
  <c r="AA566" i="1"/>
  <c r="B566" i="1"/>
  <c r="AM565" i="1"/>
  <c r="AG565" i="1"/>
  <c r="AE565" i="1"/>
  <c r="AD565" i="1"/>
  <c r="AC565" i="1"/>
  <c r="AB565" i="1"/>
  <c r="AA565" i="1"/>
  <c r="B565" i="1"/>
  <c r="AM564" i="1"/>
  <c r="AG564" i="1"/>
  <c r="AE564" i="1"/>
  <c r="AD564" i="1"/>
  <c r="AC564" i="1"/>
  <c r="AB564" i="1"/>
  <c r="AA564" i="1"/>
  <c r="B564" i="1"/>
  <c r="AM563" i="1"/>
  <c r="AG563" i="1"/>
  <c r="AE563" i="1"/>
  <c r="AD563" i="1"/>
  <c r="AC563" i="1"/>
  <c r="AB563" i="1"/>
  <c r="AA563" i="1"/>
  <c r="B563" i="1"/>
  <c r="BB562" i="1"/>
  <c r="BA562" i="1"/>
  <c r="AM562" i="1"/>
  <c r="AG562" i="1"/>
  <c r="AE562" i="1"/>
  <c r="AD562" i="1"/>
  <c r="AC562" i="1"/>
  <c r="AB562" i="1"/>
  <c r="AA562" i="1"/>
  <c r="B562" i="1"/>
  <c r="AM561" i="1"/>
  <c r="AG561" i="1"/>
  <c r="AE561" i="1"/>
  <c r="AD561" i="1"/>
  <c r="AC561" i="1"/>
  <c r="AB561" i="1"/>
  <c r="AA561" i="1"/>
  <c r="B561" i="1"/>
  <c r="AM560" i="1"/>
  <c r="AG560" i="1"/>
  <c r="AE560" i="1"/>
  <c r="AD560" i="1"/>
  <c r="AC560" i="1"/>
  <c r="AB560" i="1"/>
  <c r="AA560" i="1"/>
  <c r="B560" i="1"/>
  <c r="BB559" i="1"/>
  <c r="BA559" i="1"/>
  <c r="AM559" i="1"/>
  <c r="AG559" i="1"/>
  <c r="AE559" i="1"/>
  <c r="AD559" i="1"/>
  <c r="AC559" i="1"/>
  <c r="AB559" i="1"/>
  <c r="AA559" i="1"/>
  <c r="B559" i="1"/>
  <c r="AM558" i="1"/>
  <c r="AG558" i="1"/>
  <c r="AE558" i="1"/>
  <c r="AD558" i="1"/>
  <c r="AC558" i="1"/>
  <c r="AB558" i="1"/>
  <c r="AA558" i="1"/>
  <c r="B558" i="1"/>
  <c r="AM557" i="1"/>
  <c r="AG557" i="1"/>
  <c r="AE557" i="1"/>
  <c r="AD557" i="1"/>
  <c r="AC557" i="1"/>
  <c r="AB557" i="1"/>
  <c r="AA557" i="1"/>
  <c r="B557" i="1"/>
  <c r="AM556" i="1"/>
  <c r="AG556" i="1"/>
  <c r="AE556" i="1"/>
  <c r="AD556" i="1"/>
  <c r="AC556" i="1"/>
  <c r="AB556" i="1"/>
  <c r="AA556" i="1"/>
  <c r="B556" i="1"/>
  <c r="AM555" i="1"/>
  <c r="AG555" i="1"/>
  <c r="AE555" i="1"/>
  <c r="AD555" i="1"/>
  <c r="AC555" i="1"/>
  <c r="AA555" i="1"/>
  <c r="B555" i="1"/>
  <c r="AM554" i="1"/>
  <c r="AG554" i="1"/>
  <c r="AE554" i="1"/>
  <c r="AD554" i="1"/>
  <c r="AC554" i="1"/>
  <c r="AB554" i="1"/>
  <c r="AA554" i="1"/>
  <c r="B554" i="1"/>
  <c r="AM553" i="1"/>
  <c r="AG553" i="1"/>
  <c r="AE553" i="1"/>
  <c r="AD553" i="1"/>
  <c r="AC553" i="1"/>
  <c r="AB553" i="1"/>
  <c r="AA553" i="1"/>
  <c r="B553" i="1"/>
  <c r="AM552" i="1"/>
  <c r="AG552" i="1"/>
  <c r="AE552" i="1"/>
  <c r="AD552" i="1"/>
  <c r="AC552" i="1"/>
  <c r="AB552" i="1"/>
  <c r="AA552" i="1"/>
  <c r="B552" i="1"/>
  <c r="AM551" i="1"/>
  <c r="AG551" i="1"/>
  <c r="AE551" i="1"/>
  <c r="AD551" i="1"/>
  <c r="AC551" i="1"/>
  <c r="AB551" i="1"/>
  <c r="AA551" i="1"/>
  <c r="B551" i="1"/>
  <c r="AM550" i="1"/>
  <c r="AG550" i="1"/>
  <c r="AE550" i="1"/>
  <c r="AD550" i="1"/>
  <c r="AC550" i="1"/>
  <c r="AB550" i="1"/>
  <c r="AA550" i="1"/>
  <c r="B550" i="1"/>
  <c r="AM549" i="1"/>
  <c r="AG549" i="1"/>
  <c r="AE549" i="1"/>
  <c r="AD549" i="1"/>
  <c r="AC549" i="1"/>
  <c r="AB549" i="1"/>
  <c r="AA549" i="1"/>
  <c r="B549" i="1"/>
  <c r="AM548" i="1"/>
  <c r="AG548" i="1"/>
  <c r="AE548" i="1"/>
  <c r="AD548" i="1"/>
  <c r="AC548" i="1"/>
  <c r="AA548" i="1"/>
  <c r="B548" i="1"/>
  <c r="AM547" i="1"/>
  <c r="AG547" i="1"/>
  <c r="AE547" i="1"/>
  <c r="AD547" i="1"/>
  <c r="AC547" i="1"/>
  <c r="AB547" i="1"/>
  <c r="AA547" i="1"/>
  <c r="B547" i="1"/>
  <c r="AM546" i="1"/>
  <c r="AG546" i="1"/>
  <c r="AE546" i="1"/>
  <c r="AD546" i="1"/>
  <c r="AC546" i="1"/>
  <c r="AB546" i="1"/>
  <c r="AA546" i="1"/>
  <c r="B546" i="1"/>
  <c r="AM545" i="1"/>
  <c r="AG545" i="1"/>
  <c r="AE545" i="1"/>
  <c r="AD545" i="1"/>
  <c r="AC545" i="1"/>
  <c r="AB545" i="1"/>
  <c r="AA545" i="1"/>
  <c r="B545" i="1"/>
  <c r="AM544" i="1"/>
  <c r="AG544" i="1"/>
  <c r="AE544" i="1"/>
  <c r="AD544" i="1"/>
  <c r="AC544" i="1"/>
  <c r="AB544" i="1"/>
  <c r="AA544" i="1"/>
  <c r="B544" i="1"/>
  <c r="AM543" i="1"/>
  <c r="AG543" i="1"/>
  <c r="AE543" i="1"/>
  <c r="AD543" i="1"/>
  <c r="AC543" i="1"/>
  <c r="AA543" i="1"/>
  <c r="B543" i="1"/>
  <c r="AM542" i="1"/>
  <c r="AG542" i="1"/>
  <c r="AE542" i="1"/>
  <c r="AD542" i="1"/>
  <c r="AC542" i="1"/>
  <c r="AB542" i="1"/>
  <c r="AA542" i="1"/>
  <c r="B542" i="1"/>
  <c r="AM541" i="1"/>
  <c r="AG541" i="1"/>
  <c r="AE541" i="1"/>
  <c r="AD541" i="1"/>
  <c r="AC541" i="1"/>
  <c r="AB541" i="1"/>
  <c r="AA541" i="1"/>
  <c r="B541" i="1"/>
  <c r="AM540" i="1"/>
  <c r="AG540" i="1"/>
  <c r="AE540" i="1"/>
  <c r="AD540" i="1"/>
  <c r="AC540" i="1"/>
  <c r="AB540" i="1"/>
  <c r="AA540" i="1"/>
  <c r="B540" i="1"/>
  <c r="AM539" i="1"/>
  <c r="AG539" i="1"/>
  <c r="AE539" i="1"/>
  <c r="AD539" i="1"/>
  <c r="AC539" i="1"/>
  <c r="AB539" i="1"/>
  <c r="AA539" i="1"/>
  <c r="B539" i="1"/>
  <c r="AM538" i="1"/>
  <c r="AG538" i="1"/>
  <c r="AE538" i="1"/>
  <c r="AD538" i="1"/>
  <c r="AC538" i="1"/>
  <c r="AB538" i="1"/>
  <c r="AA538" i="1"/>
  <c r="B538" i="1"/>
  <c r="AM537" i="1"/>
  <c r="AG537" i="1"/>
  <c r="AE537" i="1"/>
  <c r="AD537" i="1"/>
  <c r="AC537" i="1"/>
  <c r="AB537" i="1"/>
  <c r="AA537" i="1"/>
  <c r="B537" i="1"/>
  <c r="AM536" i="1"/>
  <c r="AG536" i="1"/>
  <c r="AE536" i="1"/>
  <c r="AD536" i="1"/>
  <c r="AC536" i="1"/>
  <c r="AB536" i="1"/>
  <c r="AA536" i="1"/>
  <c r="B536" i="1"/>
  <c r="AM535" i="1"/>
  <c r="AG535" i="1"/>
  <c r="AE535" i="1"/>
  <c r="AD535" i="1"/>
  <c r="AC535" i="1"/>
  <c r="AB535" i="1"/>
  <c r="AA535" i="1"/>
  <c r="B535" i="1"/>
  <c r="AM534" i="1"/>
  <c r="AG534" i="1"/>
  <c r="AE534" i="1"/>
  <c r="AD534" i="1"/>
  <c r="AC534" i="1"/>
  <c r="AB534" i="1"/>
  <c r="AA534" i="1"/>
  <c r="B534" i="1"/>
  <c r="AM533" i="1"/>
  <c r="AG533" i="1"/>
  <c r="AE533" i="1"/>
  <c r="AD533" i="1"/>
  <c r="AC533" i="1"/>
  <c r="AB533" i="1"/>
  <c r="AA533" i="1"/>
  <c r="B533" i="1"/>
  <c r="AM532" i="1"/>
  <c r="AG532" i="1"/>
  <c r="AE532" i="1"/>
  <c r="AD532" i="1"/>
  <c r="AC532" i="1"/>
  <c r="AB532" i="1"/>
  <c r="AA532" i="1"/>
  <c r="B532" i="1"/>
  <c r="AM531" i="1"/>
  <c r="AG531" i="1"/>
  <c r="AE531" i="1"/>
  <c r="AD531" i="1"/>
  <c r="AC531" i="1"/>
  <c r="AB531" i="1"/>
  <c r="AA531" i="1"/>
  <c r="B531" i="1"/>
  <c r="AM530" i="1"/>
  <c r="AG530" i="1"/>
  <c r="AE530" i="1"/>
  <c r="AD530" i="1"/>
  <c r="AC530" i="1"/>
  <c r="AB530" i="1"/>
  <c r="AA530" i="1"/>
  <c r="B530" i="1"/>
  <c r="AM529" i="1"/>
  <c r="AG529" i="1"/>
  <c r="AE529" i="1"/>
  <c r="AD529" i="1"/>
  <c r="AC529" i="1"/>
  <c r="AB529" i="1"/>
  <c r="AA529" i="1"/>
  <c r="B529" i="1"/>
  <c r="AM528" i="1"/>
  <c r="AG528" i="1"/>
  <c r="AE528" i="1"/>
  <c r="AD528" i="1"/>
  <c r="AC528" i="1"/>
  <c r="AB528" i="1"/>
  <c r="AA528" i="1"/>
  <c r="B528" i="1"/>
  <c r="AM527" i="1"/>
  <c r="AG527" i="1"/>
  <c r="AE527" i="1"/>
  <c r="AD527" i="1"/>
  <c r="AC527" i="1"/>
  <c r="AB527" i="1"/>
  <c r="AA527" i="1"/>
  <c r="B527" i="1"/>
  <c r="AM526" i="1"/>
  <c r="AG526" i="1"/>
  <c r="AE526" i="1"/>
  <c r="AD526" i="1"/>
  <c r="AC526" i="1"/>
  <c r="AB526" i="1"/>
  <c r="AA526" i="1"/>
  <c r="B526" i="1"/>
  <c r="AM525" i="1"/>
  <c r="AG525" i="1"/>
  <c r="AE525" i="1"/>
  <c r="AD525" i="1"/>
  <c r="AC525" i="1"/>
  <c r="AB525" i="1"/>
  <c r="AA525" i="1"/>
  <c r="B525" i="1"/>
  <c r="AM524" i="1"/>
  <c r="AG524" i="1"/>
  <c r="AE524" i="1"/>
  <c r="AD524" i="1"/>
  <c r="AC524" i="1"/>
  <c r="AB524" i="1"/>
  <c r="AA524" i="1"/>
  <c r="B524" i="1"/>
  <c r="AM523" i="1"/>
  <c r="AG523" i="1"/>
  <c r="AE523" i="1"/>
  <c r="AD523" i="1"/>
  <c r="AC523" i="1"/>
  <c r="AB523" i="1"/>
  <c r="AA523" i="1"/>
  <c r="B523" i="1"/>
  <c r="AM522" i="1"/>
  <c r="AG522" i="1"/>
  <c r="AE522" i="1"/>
  <c r="AD522" i="1"/>
  <c r="AC522" i="1"/>
  <c r="AB522" i="1"/>
  <c r="AA522" i="1"/>
  <c r="B522" i="1"/>
  <c r="AM521" i="1"/>
  <c r="AG521" i="1"/>
  <c r="AE521" i="1"/>
  <c r="AD521" i="1"/>
  <c r="AC521" i="1"/>
  <c r="AB521" i="1"/>
  <c r="AA521" i="1"/>
  <c r="B521" i="1"/>
  <c r="AM520" i="1"/>
  <c r="AG520" i="1"/>
  <c r="AE520" i="1"/>
  <c r="AD520" i="1"/>
  <c r="AC520" i="1"/>
  <c r="AB520" i="1"/>
  <c r="AA520" i="1"/>
  <c r="B520" i="1"/>
  <c r="AM519" i="1"/>
  <c r="AG519" i="1"/>
  <c r="AE519" i="1"/>
  <c r="AD519" i="1"/>
  <c r="AC519" i="1"/>
  <c r="AB519" i="1"/>
  <c r="AA519" i="1"/>
  <c r="V519" i="1"/>
  <c r="B519" i="1"/>
  <c r="AM518" i="1"/>
  <c r="AG518" i="1"/>
  <c r="AE518" i="1"/>
  <c r="AD518" i="1"/>
  <c r="AC518" i="1"/>
  <c r="AB518" i="1"/>
  <c r="AA518" i="1"/>
  <c r="V518" i="1"/>
  <c r="B518" i="1"/>
  <c r="AM517" i="1"/>
  <c r="AG517" i="1"/>
  <c r="AE517" i="1"/>
  <c r="AD517" i="1"/>
  <c r="AC517" i="1"/>
  <c r="AB517" i="1"/>
  <c r="AA517" i="1"/>
  <c r="V517" i="1"/>
  <c r="B517" i="1"/>
  <c r="AM516" i="1"/>
  <c r="AG516" i="1"/>
  <c r="AE516" i="1"/>
  <c r="AD516" i="1"/>
  <c r="AC516" i="1"/>
  <c r="AB516" i="1"/>
  <c r="AA516" i="1"/>
  <c r="V516" i="1"/>
  <c r="B516" i="1"/>
  <c r="AM515" i="1"/>
  <c r="AG515" i="1"/>
  <c r="AE515" i="1"/>
  <c r="AD515" i="1"/>
  <c r="AC515" i="1"/>
  <c r="AB515" i="1"/>
  <c r="AA515" i="1"/>
  <c r="V515" i="1"/>
  <c r="B515" i="1"/>
  <c r="AM514" i="1"/>
  <c r="AG514" i="1"/>
  <c r="AE514" i="1"/>
  <c r="AD514" i="1"/>
  <c r="AC514" i="1"/>
  <c r="AB514" i="1"/>
  <c r="AA514" i="1"/>
  <c r="V514" i="1"/>
  <c r="B514" i="1"/>
  <c r="AM513" i="1"/>
  <c r="AG513" i="1"/>
  <c r="AE513" i="1"/>
  <c r="AD513" i="1"/>
  <c r="AC513" i="1"/>
  <c r="AB513" i="1"/>
  <c r="AA513" i="1"/>
  <c r="V513" i="1"/>
  <c r="B513" i="1"/>
  <c r="AM512" i="1"/>
  <c r="AG512" i="1"/>
  <c r="AE512" i="1"/>
  <c r="AD512" i="1"/>
  <c r="AC512" i="1"/>
  <c r="AB512" i="1"/>
  <c r="AA512" i="1"/>
  <c r="V512" i="1"/>
  <c r="B512" i="1"/>
  <c r="AM511" i="1"/>
  <c r="AG511" i="1"/>
  <c r="AE511" i="1"/>
  <c r="AD511" i="1"/>
  <c r="AC511" i="1"/>
  <c r="AB511" i="1"/>
  <c r="AA511" i="1"/>
  <c r="V511" i="1"/>
  <c r="B511" i="1"/>
  <c r="AM510" i="1"/>
  <c r="AG510" i="1"/>
  <c r="AE510" i="1"/>
  <c r="AD510" i="1"/>
  <c r="AC510" i="1"/>
  <c r="AB510" i="1"/>
  <c r="AA510" i="1"/>
  <c r="B510" i="1"/>
  <c r="AM509" i="1"/>
  <c r="AG509" i="1"/>
  <c r="AE509" i="1"/>
  <c r="AD509" i="1"/>
  <c r="AC509" i="1"/>
  <c r="AB509" i="1"/>
  <c r="AA509" i="1"/>
  <c r="V509" i="1"/>
  <c r="B509" i="1"/>
  <c r="AM508" i="1"/>
  <c r="AG508" i="1"/>
  <c r="AE508" i="1"/>
  <c r="AD508" i="1"/>
  <c r="AC508" i="1"/>
  <c r="AB508" i="1"/>
  <c r="AA508" i="1"/>
  <c r="V508" i="1"/>
  <c r="B508" i="1"/>
  <c r="AM507" i="1"/>
  <c r="AG507" i="1"/>
  <c r="AE507" i="1"/>
  <c r="AD507" i="1"/>
  <c r="AC507" i="1"/>
  <c r="AB507" i="1"/>
  <c r="AA507" i="1"/>
  <c r="V507" i="1"/>
  <c r="B507" i="1"/>
  <c r="AM506" i="1"/>
  <c r="AG506" i="1"/>
  <c r="AE506" i="1"/>
  <c r="AD506" i="1"/>
  <c r="AC506" i="1"/>
  <c r="AB506" i="1"/>
  <c r="AA506" i="1"/>
  <c r="V506" i="1"/>
  <c r="B506" i="1"/>
  <c r="AM505" i="1"/>
  <c r="AG505" i="1"/>
  <c r="AE505" i="1"/>
  <c r="AD505" i="1"/>
  <c r="AC505" i="1"/>
  <c r="AB505" i="1"/>
  <c r="AA505" i="1"/>
  <c r="V505" i="1"/>
  <c r="B505" i="1"/>
  <c r="AM504" i="1"/>
  <c r="AG504" i="1"/>
  <c r="AE504" i="1"/>
  <c r="AD504" i="1"/>
  <c r="AC504" i="1"/>
  <c r="AB504" i="1"/>
  <c r="AA504" i="1"/>
  <c r="V504" i="1"/>
  <c r="B504" i="1"/>
  <c r="AM503" i="1"/>
  <c r="AG503" i="1"/>
  <c r="AE503" i="1"/>
  <c r="AD503" i="1"/>
  <c r="AC503" i="1"/>
  <c r="AB503" i="1"/>
  <c r="AA503" i="1"/>
  <c r="V503" i="1"/>
  <c r="B503" i="1"/>
  <c r="AM502" i="1"/>
  <c r="AG502" i="1"/>
  <c r="AE502" i="1"/>
  <c r="AD502" i="1"/>
  <c r="AC502" i="1"/>
  <c r="AB502" i="1"/>
  <c r="AA502" i="1"/>
  <c r="V502" i="1"/>
  <c r="B502" i="1"/>
  <c r="BB501" i="1"/>
  <c r="BA501" i="1"/>
  <c r="AM501" i="1"/>
  <c r="AG501" i="1"/>
  <c r="AE501" i="1"/>
  <c r="AD501" i="1"/>
  <c r="AC501" i="1"/>
  <c r="AB501" i="1"/>
  <c r="AA501" i="1"/>
  <c r="V501" i="1"/>
  <c r="B501" i="1"/>
  <c r="AM500" i="1"/>
  <c r="AG500" i="1"/>
  <c r="AE500" i="1"/>
  <c r="AD500" i="1"/>
  <c r="AC500" i="1"/>
  <c r="AB500" i="1"/>
  <c r="AA500" i="1"/>
  <c r="V500" i="1"/>
  <c r="B500" i="1"/>
  <c r="AM499" i="1"/>
  <c r="AG499" i="1"/>
  <c r="AE499" i="1"/>
  <c r="AD499" i="1"/>
  <c r="AC499" i="1"/>
  <c r="AB499" i="1"/>
  <c r="AA499" i="1"/>
  <c r="V499" i="1"/>
  <c r="B499" i="1"/>
  <c r="AM498" i="1"/>
  <c r="AG498" i="1"/>
  <c r="AE498" i="1"/>
  <c r="AD498" i="1"/>
  <c r="AC498" i="1"/>
  <c r="AB498" i="1"/>
  <c r="AA498" i="1"/>
  <c r="V498" i="1"/>
  <c r="B498" i="1"/>
  <c r="AM497" i="1"/>
  <c r="AG497" i="1"/>
  <c r="AE497" i="1"/>
  <c r="AD497" i="1"/>
  <c r="AC497" i="1"/>
  <c r="AB497" i="1"/>
  <c r="AA497" i="1"/>
  <c r="V497" i="1"/>
  <c r="B497" i="1"/>
  <c r="AM496" i="1"/>
  <c r="AG496" i="1"/>
  <c r="AE496" i="1"/>
  <c r="AD496" i="1"/>
  <c r="AC496" i="1"/>
  <c r="AB496" i="1"/>
  <c r="AA496" i="1"/>
  <c r="V496" i="1"/>
  <c r="B496" i="1"/>
  <c r="AM495" i="1"/>
  <c r="AG495" i="1"/>
  <c r="AE495" i="1"/>
  <c r="AD495" i="1"/>
  <c r="AC495" i="1"/>
  <c r="AB495" i="1"/>
  <c r="AA495" i="1"/>
  <c r="V495" i="1"/>
  <c r="B495" i="1"/>
  <c r="AM494" i="1"/>
  <c r="AG494" i="1"/>
  <c r="AE494" i="1"/>
  <c r="AD494" i="1"/>
  <c r="AC494" i="1"/>
  <c r="AB494" i="1"/>
  <c r="AA494" i="1"/>
  <c r="V494" i="1"/>
  <c r="B494" i="1"/>
  <c r="AM493" i="1"/>
  <c r="AE493" i="1"/>
  <c r="AC493" i="1"/>
  <c r="AA493" i="1"/>
  <c r="B493" i="1"/>
  <c r="AM492" i="1"/>
  <c r="AG492" i="1"/>
  <c r="AE492" i="1"/>
  <c r="AC492" i="1"/>
  <c r="AA492" i="1"/>
  <c r="B492" i="1"/>
  <c r="AE491" i="1"/>
  <c r="AC491" i="1"/>
  <c r="AA491" i="1"/>
  <c r="B491" i="1"/>
  <c r="AM490" i="1"/>
  <c r="AG490" i="1"/>
  <c r="AE490" i="1"/>
  <c r="AD490" i="1"/>
  <c r="AC490" i="1"/>
  <c r="AA490" i="1"/>
  <c r="B490" i="1"/>
  <c r="AM489" i="1"/>
  <c r="AG489" i="1"/>
  <c r="AE489" i="1"/>
  <c r="AD489" i="1"/>
  <c r="AC489" i="1"/>
  <c r="AA489" i="1"/>
  <c r="B489" i="1"/>
  <c r="AM488" i="1"/>
  <c r="AG488" i="1"/>
  <c r="AE488" i="1"/>
  <c r="AD488" i="1"/>
  <c r="AC488" i="1"/>
  <c r="AB488" i="1"/>
  <c r="AA488" i="1"/>
  <c r="B488" i="1"/>
  <c r="AM487" i="1"/>
  <c r="AG487" i="1"/>
  <c r="AE487" i="1"/>
  <c r="AD487" i="1"/>
  <c r="AC487" i="1"/>
  <c r="AB487" i="1"/>
  <c r="AA487" i="1"/>
  <c r="B487" i="1"/>
  <c r="AM486" i="1"/>
  <c r="AG486" i="1"/>
  <c r="AE486" i="1"/>
  <c r="AD486" i="1"/>
  <c r="AC486" i="1"/>
  <c r="AB486" i="1"/>
  <c r="AA486" i="1"/>
  <c r="B486" i="1"/>
  <c r="AM485" i="1"/>
  <c r="AG485" i="1"/>
  <c r="AE485" i="1"/>
  <c r="AD485" i="1"/>
  <c r="AC485" i="1"/>
  <c r="AB485" i="1"/>
  <c r="AA485" i="1"/>
  <c r="B485" i="1"/>
  <c r="AW484" i="1"/>
  <c r="AV484" i="1"/>
  <c r="AU484" i="1"/>
  <c r="AT484" i="1"/>
  <c r="AS484" i="1"/>
  <c r="AR484" i="1"/>
  <c r="AM484" i="1"/>
  <c r="AG484" i="1"/>
  <c r="AE484" i="1"/>
  <c r="AD484" i="1"/>
  <c r="AC484" i="1"/>
  <c r="AB484" i="1"/>
  <c r="AA484" i="1"/>
  <c r="B484" i="1"/>
  <c r="AW483" i="1"/>
  <c r="AV483" i="1"/>
  <c r="AU483" i="1"/>
  <c r="AT483" i="1"/>
  <c r="AS483" i="1"/>
  <c r="AM483" i="1"/>
  <c r="AG483" i="1"/>
  <c r="AE483" i="1"/>
  <c r="AD483" i="1"/>
  <c r="AC483" i="1"/>
  <c r="AB483" i="1"/>
  <c r="AA483" i="1"/>
  <c r="V483" i="1"/>
  <c r="B483" i="1"/>
  <c r="AW482" i="1"/>
  <c r="AV482" i="1"/>
  <c r="AU482" i="1"/>
  <c r="AT482" i="1"/>
  <c r="AS482" i="1"/>
  <c r="AR482" i="1"/>
  <c r="AM482" i="1"/>
  <c r="AG482" i="1"/>
  <c r="AE482" i="1"/>
  <c r="AD482" i="1"/>
  <c r="AC482" i="1"/>
  <c r="AB482" i="1"/>
  <c r="AA482" i="1"/>
  <c r="V482" i="1"/>
  <c r="B482" i="1"/>
  <c r="AW481" i="1"/>
  <c r="AV481" i="1"/>
  <c r="AU481" i="1"/>
  <c r="AT481" i="1"/>
  <c r="AS481" i="1"/>
  <c r="AR481" i="1"/>
  <c r="AM481" i="1"/>
  <c r="AG481" i="1"/>
  <c r="AE481" i="1"/>
  <c r="AD481" i="1"/>
  <c r="AC481" i="1"/>
  <c r="AB481" i="1"/>
  <c r="AA481" i="1"/>
  <c r="V481" i="1"/>
  <c r="B481" i="1"/>
  <c r="AW480" i="1"/>
  <c r="AV480" i="1"/>
  <c r="AU480" i="1"/>
  <c r="AT480" i="1"/>
  <c r="AS480" i="1"/>
  <c r="AR480" i="1"/>
  <c r="AM480" i="1"/>
  <c r="AG480" i="1"/>
  <c r="AE480" i="1"/>
  <c r="AD480" i="1"/>
  <c r="AC480" i="1"/>
  <c r="AB480" i="1"/>
  <c r="AA480" i="1"/>
  <c r="V480" i="1"/>
  <c r="B480" i="1"/>
  <c r="AW479" i="1"/>
  <c r="AV479" i="1"/>
  <c r="AU479" i="1"/>
  <c r="AT479" i="1"/>
  <c r="AS479" i="1"/>
  <c r="AR479" i="1"/>
  <c r="AM479" i="1"/>
  <c r="AG479" i="1"/>
  <c r="AE479" i="1"/>
  <c r="AD479" i="1"/>
  <c r="AC479" i="1"/>
  <c r="AB479" i="1"/>
  <c r="AA479" i="1"/>
  <c r="V479" i="1"/>
  <c r="B479" i="1"/>
  <c r="AW478" i="1"/>
  <c r="AV478" i="1"/>
  <c r="AU478" i="1"/>
  <c r="AS478" i="1"/>
  <c r="AM478" i="1"/>
  <c r="AG478" i="1"/>
  <c r="AE478" i="1"/>
  <c r="AD478" i="1"/>
  <c r="AC478" i="1"/>
  <c r="AB478" i="1"/>
  <c r="AA478" i="1"/>
  <c r="V478" i="1"/>
  <c r="B478" i="1"/>
  <c r="BB477" i="1"/>
  <c r="BA477" i="1"/>
  <c r="AW477" i="1"/>
  <c r="AV477" i="1"/>
  <c r="AU477" i="1"/>
  <c r="AT477" i="1"/>
  <c r="AS477" i="1"/>
  <c r="AR477" i="1"/>
  <c r="AM477" i="1"/>
  <c r="AG477" i="1"/>
  <c r="AE477" i="1"/>
  <c r="AD477" i="1"/>
  <c r="AC477" i="1"/>
  <c r="AB477" i="1"/>
  <c r="AA477" i="1"/>
  <c r="V477" i="1"/>
  <c r="B477" i="1"/>
  <c r="BB476" i="1"/>
  <c r="BA476" i="1"/>
  <c r="AW476" i="1"/>
  <c r="AV476" i="1"/>
  <c r="AU476" i="1"/>
  <c r="AS476" i="1"/>
  <c r="AR476" i="1"/>
  <c r="AM476" i="1"/>
  <c r="AG476" i="1"/>
  <c r="AE476" i="1"/>
  <c r="AD476" i="1"/>
  <c r="AC476" i="1"/>
  <c r="AB476" i="1"/>
  <c r="AA476" i="1"/>
  <c r="V476" i="1"/>
  <c r="B476" i="1"/>
  <c r="AW475" i="1"/>
  <c r="AV475" i="1"/>
  <c r="AU475" i="1"/>
  <c r="AT475" i="1"/>
  <c r="AS475" i="1"/>
  <c r="AR475" i="1"/>
  <c r="AM475" i="1"/>
  <c r="AG475" i="1"/>
  <c r="AE475" i="1"/>
  <c r="AD475" i="1"/>
  <c r="AC475" i="1"/>
  <c r="AB475" i="1"/>
  <c r="AA475" i="1"/>
  <c r="V475" i="1"/>
  <c r="B475" i="1"/>
  <c r="AW474" i="1"/>
  <c r="AV474" i="1"/>
  <c r="AU474" i="1"/>
  <c r="AT474" i="1"/>
  <c r="AS474" i="1"/>
  <c r="AR474" i="1"/>
  <c r="AM474" i="1"/>
  <c r="AG474" i="1"/>
  <c r="AE474" i="1"/>
  <c r="AD474" i="1"/>
  <c r="AC474" i="1"/>
  <c r="AB474" i="1"/>
  <c r="AA474" i="1"/>
  <c r="V474" i="1"/>
  <c r="B474" i="1"/>
  <c r="BB473" i="1"/>
  <c r="BA473" i="1"/>
  <c r="AW473" i="1"/>
  <c r="AV473" i="1"/>
  <c r="AU473" i="1"/>
  <c r="AT473" i="1"/>
  <c r="AS473" i="1"/>
  <c r="AR473" i="1"/>
  <c r="AM473" i="1"/>
  <c r="AG473" i="1"/>
  <c r="AE473" i="1"/>
  <c r="AD473" i="1"/>
  <c r="AC473" i="1"/>
  <c r="AB473" i="1"/>
  <c r="AA473" i="1"/>
  <c r="V473" i="1"/>
  <c r="B473" i="1"/>
  <c r="AW472" i="1"/>
  <c r="AV472" i="1"/>
  <c r="AU472" i="1"/>
  <c r="AT472" i="1"/>
  <c r="AS472" i="1"/>
  <c r="AR472" i="1"/>
  <c r="AM472" i="1"/>
  <c r="AE472" i="1"/>
  <c r="AD472" i="1"/>
  <c r="AC472" i="1"/>
  <c r="AB472" i="1"/>
  <c r="AA472" i="1"/>
  <c r="B472" i="1"/>
  <c r="AW471" i="1"/>
  <c r="AV471" i="1"/>
  <c r="AU471" i="1"/>
  <c r="AS471" i="1"/>
  <c r="AR471" i="1"/>
  <c r="AM471" i="1"/>
  <c r="AE471" i="1"/>
  <c r="AD471" i="1"/>
  <c r="AC471" i="1"/>
  <c r="AB471" i="1"/>
  <c r="AA471" i="1"/>
  <c r="B471" i="1"/>
  <c r="BB470" i="1"/>
  <c r="BA470" i="1"/>
  <c r="AW470" i="1"/>
  <c r="AV470" i="1"/>
  <c r="AU470" i="1"/>
  <c r="AT470" i="1"/>
  <c r="AS470" i="1"/>
  <c r="AR470" i="1"/>
  <c r="AM470" i="1"/>
  <c r="AG470" i="1"/>
  <c r="AE470" i="1"/>
  <c r="AD470" i="1"/>
  <c r="AC470" i="1"/>
  <c r="AB470" i="1"/>
  <c r="AA470" i="1"/>
  <c r="V470" i="1"/>
  <c r="B470" i="1"/>
  <c r="BB469" i="1"/>
  <c r="BA469" i="1"/>
  <c r="AW469" i="1"/>
  <c r="AV469" i="1"/>
  <c r="AU469" i="1"/>
  <c r="AT469" i="1"/>
  <c r="AS469" i="1"/>
  <c r="AR469" i="1"/>
  <c r="AM469" i="1"/>
  <c r="AG469" i="1"/>
  <c r="AE469" i="1"/>
  <c r="AD469" i="1"/>
  <c r="AC469" i="1"/>
  <c r="AB469" i="1"/>
  <c r="AA469" i="1"/>
  <c r="V469" i="1"/>
  <c r="B469" i="1"/>
  <c r="BB468" i="1"/>
  <c r="BA468" i="1"/>
  <c r="AW468" i="1"/>
  <c r="AV468" i="1"/>
  <c r="AU468" i="1"/>
  <c r="AS468" i="1"/>
  <c r="AR468" i="1"/>
  <c r="AM468" i="1"/>
  <c r="AG468" i="1"/>
  <c r="AE468" i="1"/>
  <c r="AD468" i="1"/>
  <c r="AC468" i="1"/>
  <c r="AB468" i="1"/>
  <c r="AA468" i="1"/>
  <c r="V468" i="1"/>
  <c r="B468" i="1"/>
  <c r="AW467" i="1"/>
  <c r="AV467" i="1"/>
  <c r="AU467" i="1"/>
  <c r="AT467" i="1"/>
  <c r="AS467" i="1"/>
  <c r="AR467" i="1"/>
  <c r="AM467" i="1"/>
  <c r="AG467" i="1"/>
  <c r="AE467" i="1"/>
  <c r="AD467" i="1"/>
  <c r="AC467" i="1"/>
  <c r="AB467" i="1"/>
  <c r="AA467" i="1"/>
  <c r="V467" i="1"/>
  <c r="B467" i="1"/>
  <c r="AV466" i="1"/>
  <c r="AU466" i="1"/>
  <c r="AT466" i="1"/>
  <c r="AS466" i="1"/>
  <c r="AR466" i="1"/>
  <c r="AM466" i="1"/>
  <c r="AG466" i="1"/>
  <c r="AE466" i="1"/>
  <c r="AD466" i="1"/>
  <c r="AC466" i="1"/>
  <c r="AB466" i="1"/>
  <c r="AA466" i="1"/>
  <c r="V466" i="1"/>
  <c r="B466" i="1"/>
  <c r="AV465" i="1"/>
  <c r="AU465" i="1"/>
  <c r="AT465" i="1"/>
  <c r="AS465" i="1"/>
  <c r="AR465" i="1"/>
  <c r="AM465" i="1"/>
  <c r="AG465" i="1"/>
  <c r="AE465" i="1"/>
  <c r="AD465" i="1"/>
  <c r="AC465" i="1"/>
  <c r="AB465" i="1"/>
  <c r="AA465" i="1"/>
  <c r="V465" i="1"/>
  <c r="B465" i="1"/>
  <c r="BB464" i="1"/>
  <c r="BA464" i="1"/>
  <c r="AW464" i="1"/>
  <c r="AV464" i="1"/>
  <c r="AU464" i="1"/>
  <c r="AT464" i="1"/>
  <c r="AS464" i="1"/>
  <c r="AM464" i="1"/>
  <c r="AG464" i="1"/>
  <c r="AE464" i="1"/>
  <c r="AD464" i="1"/>
  <c r="AC464" i="1"/>
  <c r="AB464" i="1"/>
  <c r="AA464" i="1"/>
  <c r="V464" i="1"/>
  <c r="B464" i="1"/>
  <c r="BB463" i="1"/>
  <c r="BA463" i="1"/>
  <c r="AW463" i="1"/>
  <c r="AV463" i="1"/>
  <c r="AU463" i="1"/>
  <c r="AT463" i="1"/>
  <c r="AS463" i="1"/>
  <c r="AR463" i="1"/>
  <c r="AM463" i="1"/>
  <c r="AG463" i="1"/>
  <c r="AE463" i="1"/>
  <c r="AD463" i="1"/>
  <c r="AC463" i="1"/>
  <c r="AB463" i="1"/>
  <c r="AA463" i="1"/>
  <c r="V463" i="1"/>
  <c r="B463" i="1"/>
  <c r="BB462" i="1"/>
  <c r="BA462" i="1"/>
  <c r="AW462" i="1"/>
  <c r="AV462" i="1"/>
  <c r="AU462" i="1"/>
  <c r="AS462" i="1"/>
  <c r="AM462" i="1"/>
  <c r="AG462" i="1"/>
  <c r="AE462" i="1"/>
  <c r="AD462" i="1"/>
  <c r="AC462" i="1"/>
  <c r="AB462" i="1"/>
  <c r="AA462" i="1"/>
  <c r="V462" i="1"/>
  <c r="B462" i="1"/>
  <c r="AW461" i="1"/>
  <c r="AV461" i="1"/>
  <c r="AU461" i="1"/>
  <c r="AT461" i="1"/>
  <c r="AS461" i="1"/>
  <c r="AR461" i="1"/>
  <c r="AM461" i="1"/>
  <c r="AE461" i="1"/>
  <c r="AD461" i="1"/>
  <c r="AC461" i="1"/>
  <c r="AB461" i="1"/>
  <c r="AA461" i="1"/>
  <c r="V461" i="1"/>
  <c r="B461" i="1"/>
  <c r="AW460" i="1"/>
  <c r="AV460" i="1"/>
  <c r="AU460" i="1"/>
  <c r="AT460" i="1"/>
  <c r="AS460" i="1"/>
  <c r="AR460" i="1"/>
  <c r="AM460" i="1"/>
  <c r="AG460" i="1"/>
  <c r="AE460" i="1"/>
  <c r="AD460" i="1"/>
  <c r="AC460" i="1"/>
  <c r="AB460" i="1"/>
  <c r="AA460" i="1"/>
  <c r="B460" i="1"/>
  <c r="AW459" i="1"/>
  <c r="AV459" i="1"/>
  <c r="AU459" i="1"/>
  <c r="AT459" i="1"/>
  <c r="AS459" i="1"/>
  <c r="AR459" i="1"/>
  <c r="AM459" i="1"/>
  <c r="AE459" i="1"/>
  <c r="AD459" i="1"/>
  <c r="AC459" i="1"/>
  <c r="AB459" i="1"/>
  <c r="AA459" i="1"/>
  <c r="B459" i="1"/>
  <c r="AW458" i="1"/>
  <c r="AV458" i="1"/>
  <c r="AU458" i="1"/>
  <c r="AT458" i="1"/>
  <c r="AS458" i="1"/>
  <c r="AR458" i="1"/>
  <c r="AM458" i="1"/>
  <c r="AG458" i="1"/>
  <c r="AE458" i="1"/>
  <c r="AD458" i="1"/>
  <c r="AC458" i="1"/>
  <c r="AB458" i="1"/>
  <c r="AA458" i="1"/>
  <c r="V458" i="1"/>
  <c r="B458" i="1"/>
  <c r="AW457" i="1"/>
  <c r="AV457" i="1"/>
  <c r="AU457" i="1"/>
  <c r="AT457" i="1"/>
  <c r="AS457" i="1"/>
  <c r="AR457" i="1"/>
  <c r="AM457" i="1"/>
  <c r="AG457" i="1"/>
  <c r="AE457" i="1"/>
  <c r="AD457" i="1"/>
  <c r="AC457" i="1"/>
  <c r="AB457" i="1"/>
  <c r="AA457" i="1"/>
  <c r="V457" i="1"/>
  <c r="B457" i="1"/>
  <c r="AW456" i="1"/>
  <c r="AV456" i="1"/>
  <c r="AU456" i="1"/>
  <c r="AT456" i="1"/>
  <c r="AS456" i="1"/>
  <c r="AR456" i="1"/>
  <c r="AM456" i="1"/>
  <c r="AG456" i="1"/>
  <c r="AE456" i="1"/>
  <c r="AD456" i="1"/>
  <c r="AC456" i="1"/>
  <c r="AB456" i="1"/>
  <c r="AA456" i="1"/>
  <c r="B456" i="1"/>
  <c r="AW455" i="1"/>
  <c r="AV455" i="1"/>
  <c r="AU455" i="1"/>
  <c r="AT455" i="1"/>
  <c r="AS455" i="1"/>
  <c r="AR455" i="1"/>
  <c r="AM455" i="1"/>
  <c r="AG455" i="1"/>
  <c r="AE455" i="1"/>
  <c r="AD455" i="1"/>
  <c r="AC455" i="1"/>
  <c r="AB455" i="1"/>
  <c r="AA455" i="1"/>
  <c r="V455" i="1"/>
  <c r="B455" i="1"/>
  <c r="AW454" i="1"/>
  <c r="AV454" i="1"/>
  <c r="AU454" i="1"/>
  <c r="AT454" i="1"/>
  <c r="AS454" i="1"/>
  <c r="AR454" i="1"/>
  <c r="AM454" i="1"/>
  <c r="AG454" i="1"/>
  <c r="AE454" i="1"/>
  <c r="AD454" i="1"/>
  <c r="AC454" i="1"/>
  <c r="AB454" i="1"/>
  <c r="AA454" i="1"/>
  <c r="V454" i="1"/>
  <c r="B454" i="1"/>
  <c r="AW453" i="1"/>
  <c r="AV453" i="1"/>
  <c r="AU453" i="1"/>
  <c r="AT453" i="1"/>
  <c r="AS453" i="1"/>
  <c r="AR453" i="1"/>
  <c r="AM453" i="1"/>
  <c r="AG453" i="1"/>
  <c r="AE453" i="1"/>
  <c r="AD453" i="1"/>
  <c r="AC453" i="1"/>
  <c r="AB453" i="1"/>
  <c r="AA453" i="1"/>
  <c r="V453" i="1"/>
  <c r="B453" i="1"/>
  <c r="AW452" i="1"/>
  <c r="AV452" i="1"/>
  <c r="AU452" i="1"/>
  <c r="AT452" i="1"/>
  <c r="AS452" i="1"/>
  <c r="AR452" i="1"/>
  <c r="AM452" i="1"/>
  <c r="AG452" i="1"/>
  <c r="AE452" i="1"/>
  <c r="AD452" i="1"/>
  <c r="AC452" i="1"/>
  <c r="AB452" i="1"/>
  <c r="AA452" i="1"/>
  <c r="V452" i="1"/>
  <c r="B452" i="1"/>
  <c r="AW451" i="1"/>
  <c r="AV451" i="1"/>
  <c r="AU451" i="1"/>
  <c r="AT451" i="1"/>
  <c r="AS451" i="1"/>
  <c r="AR451" i="1"/>
  <c r="AM451" i="1"/>
  <c r="AG451" i="1"/>
  <c r="AE451" i="1"/>
  <c r="AD451" i="1"/>
  <c r="AC451" i="1"/>
  <c r="AB451" i="1"/>
  <c r="AA451" i="1"/>
  <c r="B451" i="1"/>
  <c r="AW450" i="1"/>
  <c r="AV450" i="1"/>
  <c r="AU450" i="1"/>
  <c r="AT450" i="1"/>
  <c r="AS450" i="1"/>
  <c r="AR450" i="1"/>
  <c r="AM450" i="1"/>
  <c r="AG450" i="1"/>
  <c r="AE450" i="1"/>
  <c r="AD450" i="1"/>
  <c r="AC450" i="1"/>
  <c r="AB450" i="1"/>
  <c r="AA450" i="1"/>
  <c r="V450" i="1"/>
  <c r="B450" i="1"/>
  <c r="AW449" i="1"/>
  <c r="AV449" i="1"/>
  <c r="AU449" i="1"/>
  <c r="AT449" i="1"/>
  <c r="AS449" i="1"/>
  <c r="AR449" i="1"/>
  <c r="AM449" i="1"/>
  <c r="AG449" i="1"/>
  <c r="AE449" i="1"/>
  <c r="AD449" i="1"/>
  <c r="AC449" i="1"/>
  <c r="AB449" i="1"/>
  <c r="AA449" i="1"/>
  <c r="V449" i="1"/>
  <c r="B449" i="1"/>
  <c r="AW448" i="1"/>
  <c r="AV448" i="1"/>
  <c r="AU448" i="1"/>
  <c r="AT448" i="1"/>
  <c r="AS448" i="1"/>
  <c r="AR448" i="1"/>
  <c r="AM448" i="1"/>
  <c r="AG448" i="1"/>
  <c r="AE448" i="1"/>
  <c r="AD448" i="1"/>
  <c r="AC448" i="1"/>
  <c r="AB448" i="1"/>
  <c r="AA448" i="1"/>
  <c r="V448" i="1"/>
  <c r="B448" i="1"/>
  <c r="AW447" i="1"/>
  <c r="AV447" i="1"/>
  <c r="AU447" i="1"/>
  <c r="AT447" i="1"/>
  <c r="AS447" i="1"/>
  <c r="AR447" i="1"/>
  <c r="AM447" i="1"/>
  <c r="AG447" i="1"/>
  <c r="AE447" i="1"/>
  <c r="AD447" i="1"/>
  <c r="AC447" i="1"/>
  <c r="AB447" i="1"/>
  <c r="AA447" i="1"/>
  <c r="V447" i="1"/>
  <c r="B447" i="1"/>
  <c r="AW446" i="1"/>
  <c r="AV446" i="1"/>
  <c r="AU446" i="1"/>
  <c r="AT446" i="1"/>
  <c r="AS446" i="1"/>
  <c r="AR446" i="1"/>
  <c r="AM446" i="1"/>
  <c r="AG446" i="1"/>
  <c r="AE446" i="1"/>
  <c r="AD446" i="1"/>
  <c r="AC446" i="1"/>
  <c r="AB446" i="1"/>
  <c r="AA446" i="1"/>
  <c r="V446" i="1"/>
  <c r="B446" i="1"/>
  <c r="AW445" i="1"/>
  <c r="AV445" i="1"/>
  <c r="AU445" i="1"/>
  <c r="AT445" i="1"/>
  <c r="AS445" i="1"/>
  <c r="AR445" i="1"/>
  <c r="AM445" i="1"/>
  <c r="AG445" i="1"/>
  <c r="AE445" i="1"/>
  <c r="AD445" i="1"/>
  <c r="AC445" i="1"/>
  <c r="AB445" i="1"/>
  <c r="AA445" i="1"/>
  <c r="V445" i="1"/>
  <c r="B445" i="1"/>
  <c r="AW444" i="1"/>
  <c r="AV444" i="1"/>
  <c r="AU444" i="1"/>
  <c r="AM444" i="1"/>
  <c r="AG444" i="1"/>
  <c r="AE444" i="1"/>
  <c r="AD444" i="1"/>
  <c r="AC444" i="1"/>
  <c r="AB444" i="1"/>
  <c r="AA444" i="1"/>
  <c r="V444" i="1"/>
  <c r="B444" i="1"/>
  <c r="AW443" i="1"/>
  <c r="AV443" i="1"/>
  <c r="AU443" i="1"/>
  <c r="AT443" i="1"/>
  <c r="AS443" i="1"/>
  <c r="AR443" i="1"/>
  <c r="AM443" i="1"/>
  <c r="AG443" i="1"/>
  <c r="AE443" i="1"/>
  <c r="AD443" i="1"/>
  <c r="AC443" i="1"/>
  <c r="AB443" i="1"/>
  <c r="AA443" i="1"/>
  <c r="V443" i="1"/>
  <c r="B443" i="1"/>
  <c r="AW442" i="1"/>
  <c r="AV442" i="1"/>
  <c r="AU442" i="1"/>
  <c r="AS442" i="1"/>
  <c r="AR442" i="1"/>
  <c r="AM442" i="1"/>
  <c r="AG442" i="1"/>
  <c r="AE442" i="1"/>
  <c r="AD442" i="1"/>
  <c r="AC442" i="1"/>
  <c r="AB442" i="1"/>
  <c r="AA442" i="1"/>
  <c r="V442" i="1"/>
  <c r="B442" i="1"/>
  <c r="AW441" i="1"/>
  <c r="AV441" i="1"/>
  <c r="AU441" i="1"/>
  <c r="AS441" i="1"/>
  <c r="AR441" i="1"/>
  <c r="AM441" i="1"/>
  <c r="AG441" i="1"/>
  <c r="AE441" i="1"/>
  <c r="AD441" i="1"/>
  <c r="AC441" i="1"/>
  <c r="AB441" i="1"/>
  <c r="AA441" i="1"/>
  <c r="B441" i="1"/>
  <c r="AW440" i="1"/>
  <c r="AV440" i="1"/>
  <c r="AU440" i="1"/>
  <c r="AS440" i="1"/>
  <c r="AR440" i="1"/>
  <c r="AM440" i="1"/>
  <c r="AG440" i="1"/>
  <c r="AE440" i="1"/>
  <c r="AD440" i="1"/>
  <c r="AC440" i="1"/>
  <c r="AB440" i="1"/>
  <c r="AA440" i="1"/>
  <c r="V440" i="1"/>
  <c r="B440" i="1"/>
  <c r="AW439" i="1"/>
  <c r="AV439" i="1"/>
  <c r="AU439" i="1"/>
  <c r="AM439" i="1"/>
  <c r="AG439" i="1"/>
  <c r="AE439" i="1"/>
  <c r="AD439" i="1"/>
  <c r="AC439" i="1"/>
  <c r="AB439" i="1"/>
  <c r="AA439" i="1"/>
  <c r="V439" i="1"/>
  <c r="B439" i="1"/>
  <c r="AW438" i="1"/>
  <c r="AV438" i="1"/>
  <c r="AU438" i="1"/>
  <c r="AR438" i="1"/>
  <c r="AM438" i="1"/>
  <c r="AG438" i="1"/>
  <c r="AE438" i="1"/>
  <c r="AD438" i="1"/>
  <c r="AC438" i="1"/>
  <c r="AB438" i="1"/>
  <c r="AA438" i="1"/>
  <c r="V438" i="1"/>
  <c r="B438" i="1"/>
  <c r="BB437" i="1"/>
  <c r="BA437" i="1"/>
  <c r="AW437" i="1"/>
  <c r="AV437" i="1"/>
  <c r="AU437" i="1"/>
  <c r="AM437" i="1"/>
  <c r="AG437" i="1"/>
  <c r="AE437" i="1"/>
  <c r="AD437" i="1"/>
  <c r="AC437" i="1"/>
  <c r="AB437" i="1"/>
  <c r="AA437" i="1"/>
  <c r="V437" i="1"/>
  <c r="B437" i="1"/>
  <c r="AW436" i="1"/>
  <c r="AV436" i="1"/>
  <c r="AU436" i="1"/>
  <c r="AS436" i="1"/>
  <c r="AR436" i="1"/>
  <c r="AM436" i="1"/>
  <c r="AE436" i="1"/>
  <c r="AD436" i="1"/>
  <c r="AC436" i="1"/>
  <c r="AB436" i="1"/>
  <c r="AA436" i="1"/>
  <c r="B436" i="1"/>
  <c r="AW435" i="1"/>
  <c r="AV435" i="1"/>
  <c r="AU435" i="1"/>
  <c r="AS435" i="1"/>
  <c r="AM435" i="1"/>
  <c r="AG435" i="1"/>
  <c r="AE435" i="1"/>
  <c r="AD435" i="1"/>
  <c r="AC435" i="1"/>
  <c r="AB435" i="1"/>
  <c r="AA435" i="1"/>
  <c r="V435" i="1"/>
  <c r="B435" i="1"/>
  <c r="AW434" i="1"/>
  <c r="AV434" i="1"/>
  <c r="AU434" i="1"/>
  <c r="AS434" i="1"/>
  <c r="AM434" i="1"/>
  <c r="AG434" i="1"/>
  <c r="AE434" i="1"/>
  <c r="AD434" i="1"/>
  <c r="AC434" i="1"/>
  <c r="AB434" i="1"/>
  <c r="AA434" i="1"/>
  <c r="V434" i="1"/>
  <c r="B434" i="1"/>
  <c r="AW433" i="1"/>
  <c r="AV433" i="1"/>
  <c r="AU433" i="1"/>
  <c r="AT433" i="1"/>
  <c r="AS433" i="1"/>
  <c r="AR433" i="1"/>
  <c r="AM433" i="1"/>
  <c r="AG433" i="1"/>
  <c r="AE433" i="1"/>
  <c r="AD433" i="1"/>
  <c r="AC433" i="1"/>
  <c r="AB433" i="1"/>
  <c r="AA433" i="1"/>
  <c r="V433" i="1"/>
  <c r="B433" i="1"/>
  <c r="BB432" i="1"/>
  <c r="BA432" i="1"/>
  <c r="AW432" i="1"/>
  <c r="AV432" i="1"/>
  <c r="AU432" i="1"/>
  <c r="AS432" i="1"/>
  <c r="AM432" i="1"/>
  <c r="AE432" i="1"/>
  <c r="AD432" i="1"/>
  <c r="AC432" i="1"/>
  <c r="AB432" i="1"/>
  <c r="AA432" i="1"/>
  <c r="V432" i="1"/>
  <c r="B432" i="1"/>
  <c r="AW431" i="1"/>
  <c r="AV431" i="1"/>
  <c r="AU431" i="1"/>
  <c r="AT431" i="1"/>
  <c r="AS431" i="1"/>
  <c r="AR431" i="1"/>
  <c r="AM431" i="1"/>
  <c r="AG431" i="1"/>
  <c r="AE431" i="1"/>
  <c r="AD431" i="1"/>
  <c r="AC431" i="1"/>
  <c r="AB431" i="1"/>
  <c r="AA431" i="1"/>
  <c r="V431" i="1"/>
  <c r="B431" i="1"/>
  <c r="AW430" i="1"/>
  <c r="AV430" i="1"/>
  <c r="AU430" i="1"/>
  <c r="AT430" i="1"/>
  <c r="AS430" i="1"/>
  <c r="AR430" i="1"/>
  <c r="AM430" i="1"/>
  <c r="AG430" i="1"/>
  <c r="AE430" i="1"/>
  <c r="AD430" i="1"/>
  <c r="AC430" i="1"/>
  <c r="AB430" i="1"/>
  <c r="AA430" i="1"/>
  <c r="V430" i="1"/>
  <c r="B430" i="1"/>
  <c r="AW429" i="1"/>
  <c r="AV429" i="1"/>
  <c r="AU429" i="1"/>
  <c r="AS429" i="1"/>
  <c r="AM429" i="1"/>
  <c r="AG429" i="1"/>
  <c r="AE429" i="1"/>
  <c r="AD429" i="1"/>
  <c r="AC429" i="1"/>
  <c r="AB429" i="1"/>
  <c r="AA429" i="1"/>
  <c r="V429" i="1"/>
  <c r="B429" i="1"/>
  <c r="AW428" i="1"/>
  <c r="AV428" i="1"/>
  <c r="AU428" i="1"/>
  <c r="AM428" i="1"/>
  <c r="AG428" i="1"/>
  <c r="AE428" i="1"/>
  <c r="AD428" i="1"/>
  <c r="AC428" i="1"/>
  <c r="AB428" i="1"/>
  <c r="AA428" i="1"/>
  <c r="V428" i="1"/>
  <c r="B428" i="1"/>
  <c r="AW427" i="1"/>
  <c r="AV427" i="1"/>
  <c r="AU427" i="1"/>
  <c r="AT427" i="1"/>
  <c r="AS427" i="1"/>
  <c r="AR427" i="1"/>
  <c r="AM427" i="1"/>
  <c r="AG427" i="1"/>
  <c r="AE427" i="1"/>
  <c r="AD427" i="1"/>
  <c r="AC427" i="1"/>
  <c r="AB427" i="1"/>
  <c r="AA427" i="1"/>
  <c r="V427" i="1"/>
  <c r="B427" i="1"/>
  <c r="AW426" i="1"/>
  <c r="AV426" i="1"/>
  <c r="AU426" i="1"/>
  <c r="AT426" i="1"/>
  <c r="AS426" i="1"/>
  <c r="AR426" i="1"/>
  <c r="AM426" i="1"/>
  <c r="AG426" i="1"/>
  <c r="AE426" i="1"/>
  <c r="AD426" i="1"/>
  <c r="AC426" i="1"/>
  <c r="AB426" i="1"/>
  <c r="AA426" i="1"/>
  <c r="V426" i="1"/>
  <c r="B426" i="1"/>
  <c r="AW425" i="1"/>
  <c r="AV425" i="1"/>
  <c r="AU425" i="1"/>
  <c r="AS425" i="1"/>
  <c r="AM425" i="1"/>
  <c r="AG425" i="1"/>
  <c r="AE425" i="1"/>
  <c r="AD425" i="1"/>
  <c r="AC425" i="1"/>
  <c r="AB425" i="1"/>
  <c r="AA425" i="1"/>
  <c r="V425" i="1"/>
  <c r="B425" i="1"/>
  <c r="AW424" i="1"/>
  <c r="AV424" i="1"/>
  <c r="AU424" i="1"/>
  <c r="AS424" i="1"/>
  <c r="AR424" i="1"/>
  <c r="AM424" i="1"/>
  <c r="AG424" i="1"/>
  <c r="AE424" i="1"/>
  <c r="AD424" i="1"/>
  <c r="AC424" i="1"/>
  <c r="AB424" i="1"/>
  <c r="AA424" i="1"/>
  <c r="V424" i="1"/>
  <c r="B424" i="1"/>
  <c r="BB423" i="1"/>
  <c r="BA423" i="1"/>
  <c r="AW423" i="1"/>
  <c r="AV423" i="1"/>
  <c r="AU423" i="1"/>
  <c r="AS423" i="1"/>
  <c r="AR423" i="1"/>
  <c r="AM423" i="1"/>
  <c r="AG423" i="1"/>
  <c r="AE423" i="1"/>
  <c r="AD423" i="1"/>
  <c r="AC423" i="1"/>
  <c r="AB423" i="1"/>
  <c r="AA423" i="1"/>
  <c r="V423" i="1"/>
  <c r="B423" i="1"/>
  <c r="BB422" i="1"/>
  <c r="BA422" i="1"/>
  <c r="AW422" i="1"/>
  <c r="AV422" i="1"/>
  <c r="AU422" i="1"/>
  <c r="AS422" i="1"/>
  <c r="AM422" i="1"/>
  <c r="AG422" i="1"/>
  <c r="AE422" i="1"/>
  <c r="AD422" i="1"/>
  <c r="AC422" i="1"/>
  <c r="AB422" i="1"/>
  <c r="AA422" i="1"/>
  <c r="V422" i="1"/>
  <c r="B422" i="1"/>
  <c r="BB421" i="1"/>
  <c r="BA421" i="1"/>
  <c r="AW421" i="1"/>
  <c r="AV421" i="1"/>
  <c r="AU421" i="1"/>
  <c r="AT421" i="1"/>
  <c r="AS421" i="1"/>
  <c r="AR421" i="1"/>
  <c r="AM421" i="1"/>
  <c r="AG421" i="1"/>
  <c r="AE421" i="1"/>
  <c r="AD421" i="1"/>
  <c r="AC421" i="1"/>
  <c r="AB421" i="1"/>
  <c r="AA421" i="1"/>
  <c r="V421" i="1"/>
  <c r="B421" i="1"/>
  <c r="BB420" i="1"/>
  <c r="BA420" i="1"/>
  <c r="AW420" i="1"/>
  <c r="AV420" i="1"/>
  <c r="AU420" i="1"/>
  <c r="AS420" i="1"/>
  <c r="AR420" i="1"/>
  <c r="AM420" i="1"/>
  <c r="AG420" i="1"/>
  <c r="AE420" i="1"/>
  <c r="AD420" i="1"/>
  <c r="AC420" i="1"/>
  <c r="AB420" i="1"/>
  <c r="AA420" i="1"/>
  <c r="V420" i="1"/>
  <c r="B420" i="1"/>
  <c r="BB419" i="1"/>
  <c r="BA419" i="1"/>
  <c r="AW419" i="1"/>
  <c r="AV419" i="1"/>
  <c r="AU419" i="1"/>
  <c r="AR419" i="1"/>
  <c r="AM419" i="1"/>
  <c r="AG419" i="1"/>
  <c r="AE419" i="1"/>
  <c r="AD419" i="1"/>
  <c r="AC419" i="1"/>
  <c r="AB419" i="1"/>
  <c r="AA419" i="1"/>
  <c r="V419" i="1"/>
  <c r="B419" i="1"/>
  <c r="BB418" i="1"/>
  <c r="BA418" i="1"/>
  <c r="AW418" i="1"/>
  <c r="AV418" i="1"/>
  <c r="AU418" i="1"/>
  <c r="AS418" i="1"/>
  <c r="AM418" i="1"/>
  <c r="AG418" i="1"/>
  <c r="AE418" i="1"/>
  <c r="AD418" i="1"/>
  <c r="AC418" i="1"/>
  <c r="AB418" i="1"/>
  <c r="AA418" i="1"/>
  <c r="V418" i="1"/>
  <c r="B418" i="1"/>
  <c r="AW417" i="1"/>
  <c r="AV417" i="1"/>
  <c r="AU417" i="1"/>
  <c r="AT417" i="1"/>
  <c r="AS417" i="1"/>
  <c r="AR417" i="1"/>
  <c r="AM417" i="1"/>
  <c r="AG417" i="1"/>
  <c r="AE417" i="1"/>
  <c r="AD417" i="1"/>
  <c r="AC417" i="1"/>
  <c r="AB417" i="1"/>
  <c r="AA417" i="1"/>
  <c r="V417" i="1"/>
  <c r="B417" i="1"/>
  <c r="BB416" i="1"/>
  <c r="BA416" i="1"/>
  <c r="AW416" i="1"/>
  <c r="AV416" i="1"/>
  <c r="AU416" i="1"/>
  <c r="AT416" i="1"/>
  <c r="AS416" i="1"/>
  <c r="AR416" i="1"/>
  <c r="AM416" i="1"/>
  <c r="AG416" i="1"/>
  <c r="AE416" i="1"/>
  <c r="AD416" i="1"/>
  <c r="AC416" i="1"/>
  <c r="AB416" i="1"/>
  <c r="AA416" i="1"/>
  <c r="V416" i="1"/>
  <c r="B416" i="1"/>
  <c r="BB415" i="1"/>
  <c r="BA415" i="1"/>
  <c r="AW415" i="1"/>
  <c r="AV415" i="1"/>
  <c r="AU415" i="1"/>
  <c r="AT415" i="1"/>
  <c r="AS415" i="1"/>
  <c r="AR415" i="1"/>
  <c r="AM415" i="1"/>
  <c r="AG415" i="1"/>
  <c r="AE415" i="1"/>
  <c r="AD415" i="1"/>
  <c r="AC415" i="1"/>
  <c r="AB415" i="1"/>
  <c r="AA415" i="1"/>
  <c r="V415" i="1"/>
  <c r="B415" i="1"/>
  <c r="BB414" i="1"/>
  <c r="BA414" i="1"/>
  <c r="AW414" i="1"/>
  <c r="AV414" i="1"/>
  <c r="AU414" i="1"/>
  <c r="AT414" i="1"/>
  <c r="AS414" i="1"/>
  <c r="AR414" i="1"/>
  <c r="AM414" i="1"/>
  <c r="AG414" i="1"/>
  <c r="AE414" i="1"/>
  <c r="AD414" i="1"/>
  <c r="AC414" i="1"/>
  <c r="AB414" i="1"/>
  <c r="AA414" i="1"/>
  <c r="V414" i="1"/>
  <c r="B414" i="1"/>
  <c r="BB413" i="1"/>
  <c r="BA413" i="1"/>
  <c r="AW413" i="1"/>
  <c r="AV413" i="1"/>
  <c r="AU413" i="1"/>
  <c r="AT413" i="1"/>
  <c r="AS413" i="1"/>
  <c r="AR413" i="1"/>
  <c r="AM413" i="1"/>
  <c r="AE413" i="1"/>
  <c r="AD413" i="1"/>
  <c r="AC413" i="1"/>
  <c r="AB413" i="1"/>
  <c r="AA413" i="1"/>
  <c r="V413" i="1"/>
  <c r="B413" i="1"/>
  <c r="BB412" i="1"/>
  <c r="BA412" i="1"/>
  <c r="AW412" i="1"/>
  <c r="AV412" i="1"/>
  <c r="AU412" i="1"/>
  <c r="AT412" i="1"/>
  <c r="AS412" i="1"/>
  <c r="AR412" i="1"/>
  <c r="AM412" i="1"/>
  <c r="AG412" i="1"/>
  <c r="AE412" i="1"/>
  <c r="AD412" i="1"/>
  <c r="AC412" i="1"/>
  <c r="AB412" i="1"/>
  <c r="AA412" i="1"/>
  <c r="V412" i="1"/>
  <c r="B412" i="1"/>
  <c r="BB411" i="1"/>
  <c r="BA411" i="1"/>
  <c r="AW411" i="1"/>
  <c r="AV411" i="1"/>
  <c r="AU411" i="1"/>
  <c r="AT411" i="1"/>
  <c r="AS411" i="1"/>
  <c r="AM411" i="1"/>
  <c r="AG411" i="1"/>
  <c r="AE411" i="1"/>
  <c r="AD411" i="1"/>
  <c r="AC411" i="1"/>
  <c r="AB411" i="1"/>
  <c r="AA411" i="1"/>
  <c r="V411" i="1"/>
  <c r="B411" i="1"/>
  <c r="BB410" i="1"/>
  <c r="BA410" i="1"/>
  <c r="AW410" i="1"/>
  <c r="AV410" i="1"/>
  <c r="AU410" i="1"/>
  <c r="AT410" i="1"/>
  <c r="AS410" i="1"/>
  <c r="AR410" i="1"/>
  <c r="AM410" i="1"/>
  <c r="AG410" i="1"/>
  <c r="AE410" i="1"/>
  <c r="AD410" i="1"/>
  <c r="AC410" i="1"/>
  <c r="AB410" i="1"/>
  <c r="AA410" i="1"/>
  <c r="V410" i="1"/>
  <c r="B410" i="1"/>
  <c r="BB409" i="1"/>
  <c r="BA409" i="1"/>
  <c r="AW409" i="1"/>
  <c r="AV409" i="1"/>
  <c r="AU409" i="1"/>
  <c r="AM409" i="1"/>
  <c r="AG409" i="1"/>
  <c r="AE409" i="1"/>
  <c r="AD409" i="1"/>
  <c r="AC409" i="1"/>
  <c r="AB409" i="1"/>
  <c r="AA409" i="1"/>
  <c r="V409" i="1"/>
  <c r="B409" i="1"/>
  <c r="BB408" i="1"/>
  <c r="BA408" i="1"/>
  <c r="AW408" i="1"/>
  <c r="AV408" i="1"/>
  <c r="AU408" i="1"/>
  <c r="AT408" i="1"/>
  <c r="AS408" i="1"/>
  <c r="AR408" i="1"/>
  <c r="AM408" i="1"/>
  <c r="AG408" i="1"/>
  <c r="AE408" i="1"/>
  <c r="AD408" i="1"/>
  <c r="AC408" i="1"/>
  <c r="AB408" i="1"/>
  <c r="AA408" i="1"/>
  <c r="V408" i="1"/>
  <c r="B408" i="1"/>
  <c r="BB407" i="1"/>
  <c r="BA407" i="1"/>
  <c r="AW407" i="1"/>
  <c r="AV407" i="1"/>
  <c r="AU407" i="1"/>
  <c r="AT407" i="1"/>
  <c r="AS407" i="1"/>
  <c r="AR407" i="1"/>
  <c r="AM407" i="1"/>
  <c r="AG407" i="1"/>
  <c r="AE407" i="1"/>
  <c r="AD407" i="1"/>
  <c r="AC407" i="1"/>
  <c r="AB407" i="1"/>
  <c r="AA407" i="1"/>
  <c r="V407" i="1"/>
  <c r="B407" i="1"/>
  <c r="BB406" i="1"/>
  <c r="BA406" i="1"/>
  <c r="AW406" i="1"/>
  <c r="AV406" i="1"/>
  <c r="AU406" i="1"/>
  <c r="AT406" i="1"/>
  <c r="AS406" i="1"/>
  <c r="AR406" i="1"/>
  <c r="AM406" i="1"/>
  <c r="AG406" i="1"/>
  <c r="AE406" i="1"/>
  <c r="AD406" i="1"/>
  <c r="AC406" i="1"/>
  <c r="AB406" i="1"/>
  <c r="AA406" i="1"/>
  <c r="V406" i="1"/>
  <c r="B406" i="1"/>
  <c r="BB405" i="1"/>
  <c r="BA405" i="1"/>
  <c r="AW405" i="1"/>
  <c r="AV405" i="1"/>
  <c r="AU405" i="1"/>
  <c r="AT405" i="1"/>
  <c r="AS405" i="1"/>
  <c r="AR405" i="1"/>
  <c r="AM405" i="1"/>
  <c r="AG405" i="1"/>
  <c r="AE405" i="1"/>
  <c r="AD405" i="1"/>
  <c r="AC405" i="1"/>
  <c r="AB405" i="1"/>
  <c r="AA405" i="1"/>
  <c r="V405" i="1"/>
  <c r="B405" i="1"/>
  <c r="BB404" i="1"/>
  <c r="BA404" i="1"/>
  <c r="AW404" i="1"/>
  <c r="AV404" i="1"/>
  <c r="AU404" i="1"/>
  <c r="AT404" i="1"/>
  <c r="AS404" i="1"/>
  <c r="AR404" i="1"/>
  <c r="AM404" i="1"/>
  <c r="AG404" i="1"/>
  <c r="AE404" i="1"/>
  <c r="AD404" i="1"/>
  <c r="AC404" i="1"/>
  <c r="AB404" i="1"/>
  <c r="AA404" i="1"/>
  <c r="V404" i="1"/>
  <c r="B404" i="1"/>
  <c r="BB403" i="1"/>
  <c r="BA403" i="1"/>
  <c r="AW403" i="1"/>
  <c r="AV403" i="1"/>
  <c r="AU403" i="1"/>
  <c r="AT403" i="1"/>
  <c r="AS403" i="1"/>
  <c r="AR403" i="1"/>
  <c r="AM403" i="1"/>
  <c r="AG403" i="1"/>
  <c r="AE403" i="1"/>
  <c r="AD403" i="1"/>
  <c r="AC403" i="1"/>
  <c r="AB403" i="1"/>
  <c r="AA403" i="1"/>
  <c r="V403" i="1"/>
  <c r="B403" i="1"/>
  <c r="AW402" i="1"/>
  <c r="AV402" i="1"/>
  <c r="AU402" i="1"/>
  <c r="AT402" i="1"/>
  <c r="AS402" i="1"/>
  <c r="AR402" i="1"/>
  <c r="AM402" i="1"/>
  <c r="AE402" i="1"/>
  <c r="AD402" i="1"/>
  <c r="AC402" i="1"/>
  <c r="AB402" i="1"/>
  <c r="AA402" i="1"/>
  <c r="B402" i="1"/>
  <c r="BB401" i="1"/>
  <c r="BA401" i="1"/>
  <c r="AW401" i="1"/>
  <c r="AV401" i="1"/>
  <c r="AU401" i="1"/>
  <c r="AT401" i="1"/>
  <c r="AS401" i="1"/>
  <c r="AR401" i="1"/>
  <c r="AM401" i="1"/>
  <c r="AG401" i="1"/>
  <c r="AE401" i="1"/>
  <c r="AD401" i="1"/>
  <c r="AC401" i="1"/>
  <c r="AB401" i="1"/>
  <c r="AA401" i="1"/>
  <c r="V401" i="1"/>
  <c r="B401" i="1"/>
  <c r="BB400" i="1"/>
  <c r="BA400" i="1"/>
  <c r="AW400" i="1"/>
  <c r="AV400" i="1"/>
  <c r="AU400" i="1"/>
  <c r="AT400" i="1"/>
  <c r="AS400" i="1"/>
  <c r="AR400" i="1"/>
  <c r="AM400" i="1"/>
  <c r="AG400" i="1"/>
  <c r="AE400" i="1"/>
  <c r="AD400" i="1"/>
  <c r="AC400" i="1"/>
  <c r="AB400" i="1"/>
  <c r="AA400" i="1"/>
  <c r="V400" i="1"/>
  <c r="B400" i="1"/>
  <c r="BB399" i="1"/>
  <c r="BA399" i="1"/>
  <c r="AW399" i="1"/>
  <c r="AV399" i="1"/>
  <c r="AU399" i="1"/>
  <c r="AT399" i="1"/>
  <c r="AS399" i="1"/>
  <c r="AM399" i="1"/>
  <c r="AG399" i="1"/>
  <c r="AE399" i="1"/>
  <c r="AD399" i="1"/>
  <c r="AC399" i="1"/>
  <c r="AB399" i="1"/>
  <c r="AA399" i="1"/>
  <c r="V399" i="1"/>
  <c r="B399" i="1"/>
  <c r="BB398" i="1"/>
  <c r="BA398" i="1"/>
  <c r="AW398" i="1"/>
  <c r="AV398" i="1"/>
  <c r="AU398" i="1"/>
  <c r="AT398" i="1"/>
  <c r="AS398" i="1"/>
  <c r="AR398" i="1"/>
  <c r="AM398" i="1"/>
  <c r="AE398" i="1"/>
  <c r="AD398" i="1"/>
  <c r="AC398" i="1"/>
  <c r="AB398" i="1"/>
  <c r="AA398" i="1"/>
  <c r="V398" i="1"/>
  <c r="B398" i="1"/>
  <c r="BB397" i="1"/>
  <c r="BA397" i="1"/>
  <c r="AW397" i="1"/>
  <c r="AV397" i="1"/>
  <c r="AU397" i="1"/>
  <c r="AT397" i="1"/>
  <c r="AS397" i="1"/>
  <c r="AR397" i="1"/>
  <c r="AM397" i="1"/>
  <c r="AG397" i="1"/>
  <c r="AE397" i="1"/>
  <c r="AD397" i="1"/>
  <c r="AC397" i="1"/>
  <c r="AB397" i="1"/>
  <c r="AA397" i="1"/>
  <c r="V397" i="1"/>
  <c r="B397" i="1"/>
  <c r="BB396" i="1"/>
  <c r="BA396" i="1"/>
  <c r="AW396" i="1"/>
  <c r="AV396" i="1"/>
  <c r="AU396" i="1"/>
  <c r="AT396" i="1"/>
  <c r="AS396" i="1"/>
  <c r="AR396" i="1"/>
  <c r="AM396" i="1"/>
  <c r="AG396" i="1"/>
  <c r="AE396" i="1"/>
  <c r="AD396" i="1"/>
  <c r="AC396" i="1"/>
  <c r="AB396" i="1"/>
  <c r="AA396" i="1"/>
  <c r="V396" i="1"/>
  <c r="B396" i="1"/>
  <c r="BB395" i="1"/>
  <c r="BA395" i="1"/>
  <c r="AW395" i="1"/>
  <c r="AV395" i="1"/>
  <c r="AU395" i="1"/>
  <c r="AT395" i="1"/>
  <c r="AS395" i="1"/>
  <c r="AR395" i="1"/>
  <c r="AM395" i="1"/>
  <c r="AG395" i="1"/>
  <c r="AE395" i="1"/>
  <c r="AD395" i="1"/>
  <c r="AC395" i="1"/>
  <c r="AB395" i="1"/>
  <c r="AA395" i="1"/>
  <c r="V395" i="1"/>
  <c r="B395" i="1"/>
  <c r="BB394" i="1"/>
  <c r="BA394" i="1"/>
  <c r="AW394" i="1"/>
  <c r="AV394" i="1"/>
  <c r="AU394" i="1"/>
  <c r="AT394" i="1"/>
  <c r="AS394" i="1"/>
  <c r="AR394" i="1"/>
  <c r="AM394" i="1"/>
  <c r="AE394" i="1"/>
  <c r="AD394" i="1"/>
  <c r="AC394" i="1"/>
  <c r="AB394" i="1"/>
  <c r="AA394" i="1"/>
  <c r="V394" i="1"/>
  <c r="B394" i="1"/>
  <c r="BB393" i="1"/>
  <c r="BA393" i="1"/>
  <c r="AW393" i="1"/>
  <c r="AV393" i="1"/>
  <c r="AU393" i="1"/>
  <c r="AT393" i="1"/>
  <c r="AS393" i="1"/>
  <c r="AR393" i="1"/>
  <c r="AM393" i="1"/>
  <c r="AG393" i="1"/>
  <c r="AE393" i="1"/>
  <c r="AD393" i="1"/>
  <c r="AC393" i="1"/>
  <c r="AB393" i="1"/>
  <c r="AA393" i="1"/>
  <c r="V393" i="1"/>
  <c r="B393" i="1"/>
  <c r="BB392" i="1"/>
  <c r="BA392" i="1"/>
  <c r="AW392" i="1"/>
  <c r="AV392" i="1"/>
  <c r="AU392" i="1"/>
  <c r="AT392" i="1"/>
  <c r="AS392" i="1"/>
  <c r="AR392" i="1"/>
  <c r="AM392" i="1"/>
  <c r="AG392" i="1"/>
  <c r="AE392" i="1"/>
  <c r="AD392" i="1"/>
  <c r="AC392" i="1"/>
  <c r="AB392" i="1"/>
  <c r="AA392" i="1"/>
  <c r="V392" i="1"/>
  <c r="B392" i="1"/>
  <c r="BB391" i="1"/>
  <c r="BA391" i="1"/>
  <c r="AW391" i="1"/>
  <c r="AV391" i="1"/>
  <c r="AU391" i="1"/>
  <c r="AT391" i="1"/>
  <c r="AS391" i="1"/>
  <c r="AR391" i="1"/>
  <c r="AM391" i="1"/>
  <c r="AG391" i="1"/>
  <c r="AE391" i="1"/>
  <c r="AD391" i="1"/>
  <c r="AC391" i="1"/>
  <c r="AB391" i="1"/>
  <c r="AA391" i="1"/>
  <c r="V391" i="1"/>
  <c r="B391" i="1"/>
  <c r="BB390" i="1"/>
  <c r="BA390" i="1"/>
  <c r="AW390" i="1"/>
  <c r="AV390" i="1"/>
  <c r="AU390" i="1"/>
  <c r="AT390" i="1"/>
  <c r="AM390" i="1"/>
  <c r="AG390" i="1"/>
  <c r="AE390" i="1"/>
  <c r="AD390" i="1"/>
  <c r="AC390" i="1"/>
  <c r="AB390" i="1"/>
  <c r="AA390" i="1"/>
  <c r="V390" i="1"/>
  <c r="B390" i="1"/>
  <c r="AW389" i="1"/>
  <c r="AV389" i="1"/>
  <c r="AU389" i="1"/>
  <c r="AT389" i="1"/>
  <c r="AS389" i="1"/>
  <c r="AR389" i="1"/>
  <c r="AM389" i="1"/>
  <c r="AE389" i="1"/>
  <c r="AD389" i="1"/>
  <c r="AC389" i="1"/>
  <c r="AB389" i="1"/>
  <c r="AA389" i="1"/>
  <c r="V389" i="1"/>
  <c r="B389" i="1"/>
  <c r="AW388" i="1"/>
  <c r="AV388" i="1"/>
  <c r="AU388" i="1"/>
  <c r="AS388" i="1"/>
  <c r="AR388" i="1"/>
  <c r="AM388" i="1"/>
  <c r="AE388" i="1"/>
  <c r="AD388" i="1"/>
  <c r="AC388" i="1"/>
  <c r="AB388" i="1"/>
  <c r="AA388" i="1"/>
  <c r="B388" i="1"/>
  <c r="BB387" i="1"/>
  <c r="BA387" i="1"/>
  <c r="AW387" i="1"/>
  <c r="AV387" i="1"/>
  <c r="AU387" i="1"/>
  <c r="AS387" i="1"/>
  <c r="AR387" i="1"/>
  <c r="AM387" i="1"/>
  <c r="AG387" i="1"/>
  <c r="AE387" i="1"/>
  <c r="AD387" i="1"/>
  <c r="AC387" i="1"/>
  <c r="AB387" i="1"/>
  <c r="AA387" i="1"/>
  <c r="V387" i="1"/>
  <c r="B387" i="1"/>
  <c r="BB386" i="1"/>
  <c r="BA386" i="1"/>
  <c r="AW386" i="1"/>
  <c r="AV386" i="1"/>
  <c r="AU386" i="1"/>
  <c r="AS386" i="1"/>
  <c r="AR386" i="1"/>
  <c r="AM386" i="1"/>
  <c r="AG386" i="1"/>
  <c r="AE386" i="1"/>
  <c r="AD386" i="1"/>
  <c r="AC386" i="1"/>
  <c r="AB386" i="1"/>
  <c r="AA386" i="1"/>
  <c r="V386" i="1"/>
  <c r="B386" i="1"/>
  <c r="AW385" i="1"/>
  <c r="AV385" i="1"/>
  <c r="AU385" i="1"/>
  <c r="AS385" i="1"/>
  <c r="AR385" i="1"/>
  <c r="AM385" i="1"/>
  <c r="AG385" i="1"/>
  <c r="AE385" i="1"/>
  <c r="AD385" i="1"/>
  <c r="AC385" i="1"/>
  <c r="AB385" i="1"/>
  <c r="AA385" i="1"/>
  <c r="V385" i="1"/>
  <c r="B385" i="1"/>
  <c r="BB384" i="1"/>
  <c r="BA384" i="1"/>
  <c r="AW384" i="1"/>
  <c r="AV384" i="1"/>
  <c r="AU384" i="1"/>
  <c r="AS384" i="1"/>
  <c r="AM384" i="1"/>
  <c r="AG384" i="1"/>
  <c r="AE384" i="1"/>
  <c r="AD384" i="1"/>
  <c r="AC384" i="1"/>
  <c r="AB384" i="1"/>
  <c r="AA384" i="1"/>
  <c r="V384" i="1"/>
  <c r="B384" i="1"/>
  <c r="BB383" i="1"/>
  <c r="BA383" i="1"/>
  <c r="AW383" i="1"/>
  <c r="AV383" i="1"/>
  <c r="AU383" i="1"/>
  <c r="AT383" i="1"/>
  <c r="AS383" i="1"/>
  <c r="AR383" i="1"/>
  <c r="AM383" i="1"/>
  <c r="AG383" i="1"/>
  <c r="AE383" i="1"/>
  <c r="AD383" i="1"/>
  <c r="AC383" i="1"/>
  <c r="AB383" i="1"/>
  <c r="AA383" i="1"/>
  <c r="V383" i="1"/>
  <c r="B383" i="1"/>
  <c r="BB382" i="1"/>
  <c r="BA382" i="1"/>
  <c r="AW382" i="1"/>
  <c r="AV382" i="1"/>
  <c r="AU382" i="1"/>
  <c r="AT382" i="1"/>
  <c r="AS382" i="1"/>
  <c r="AR382" i="1"/>
  <c r="AM382" i="1"/>
  <c r="AG382" i="1"/>
  <c r="AE382" i="1"/>
  <c r="AD382" i="1"/>
  <c r="AC382" i="1"/>
  <c r="AB382" i="1"/>
  <c r="AA382" i="1"/>
  <c r="V382" i="1"/>
  <c r="B382" i="1"/>
  <c r="BB381" i="1"/>
  <c r="BA381" i="1"/>
  <c r="AW381" i="1"/>
  <c r="AV381" i="1"/>
  <c r="AU381" i="1"/>
  <c r="AT381" i="1"/>
  <c r="AS381" i="1"/>
  <c r="AR381" i="1"/>
  <c r="AM381" i="1"/>
  <c r="AG381" i="1"/>
  <c r="AE381" i="1"/>
  <c r="AD381" i="1"/>
  <c r="AC381" i="1"/>
  <c r="AB381" i="1"/>
  <c r="AA381" i="1"/>
  <c r="V381" i="1"/>
  <c r="B381" i="1"/>
  <c r="BB380" i="1"/>
  <c r="BA380" i="1"/>
  <c r="AW380" i="1"/>
  <c r="AV380" i="1"/>
  <c r="AU380" i="1"/>
  <c r="AT380" i="1"/>
  <c r="AS380" i="1"/>
  <c r="AR380" i="1"/>
  <c r="AM380" i="1"/>
  <c r="AG380" i="1"/>
  <c r="AE380" i="1"/>
  <c r="AD380" i="1"/>
  <c r="AC380" i="1"/>
  <c r="AB380" i="1"/>
  <c r="AA380" i="1"/>
  <c r="V380" i="1"/>
  <c r="B380" i="1"/>
  <c r="BB379" i="1"/>
  <c r="BA379" i="1"/>
  <c r="AW379" i="1"/>
  <c r="AV379" i="1"/>
  <c r="AU379" i="1"/>
  <c r="AT379" i="1"/>
  <c r="AS379" i="1"/>
  <c r="AR379" i="1"/>
  <c r="AM379" i="1"/>
  <c r="AG379" i="1"/>
  <c r="AE379" i="1"/>
  <c r="AD379" i="1"/>
  <c r="AC379" i="1"/>
  <c r="AB379" i="1"/>
  <c r="AA379" i="1"/>
  <c r="V379" i="1"/>
  <c r="B379" i="1"/>
  <c r="BB378" i="1"/>
  <c r="BA378" i="1"/>
  <c r="AW378" i="1"/>
  <c r="AV378" i="1"/>
  <c r="AU378" i="1"/>
  <c r="AT378" i="1"/>
  <c r="AS378" i="1"/>
  <c r="AR378" i="1"/>
  <c r="AM378" i="1"/>
  <c r="AG378" i="1"/>
  <c r="AE378" i="1"/>
  <c r="AD378" i="1"/>
  <c r="AC378" i="1"/>
  <c r="AB378" i="1"/>
  <c r="AA378" i="1"/>
  <c r="V378" i="1"/>
  <c r="B378" i="1"/>
  <c r="BB377" i="1"/>
  <c r="BA377" i="1"/>
  <c r="AW377" i="1"/>
  <c r="AV377" i="1"/>
  <c r="AU377" i="1"/>
  <c r="AS377" i="1"/>
  <c r="AR377" i="1"/>
  <c r="AM377" i="1"/>
  <c r="AG377" i="1"/>
  <c r="AE377" i="1"/>
  <c r="AD377" i="1"/>
  <c r="AC377" i="1"/>
  <c r="AB377" i="1"/>
  <c r="AA377" i="1"/>
  <c r="V377" i="1"/>
  <c r="B377" i="1"/>
  <c r="BB376" i="1"/>
  <c r="BA376" i="1"/>
  <c r="AW376" i="1"/>
  <c r="AV376" i="1"/>
  <c r="AU376" i="1"/>
  <c r="AS376" i="1"/>
  <c r="AR376" i="1"/>
  <c r="AM376" i="1"/>
  <c r="AG376" i="1"/>
  <c r="AE376" i="1"/>
  <c r="AD376" i="1"/>
  <c r="AC376" i="1"/>
  <c r="AB376" i="1"/>
  <c r="AA376" i="1"/>
  <c r="V376" i="1"/>
  <c r="B376" i="1"/>
  <c r="AW375" i="1"/>
  <c r="AV375" i="1"/>
  <c r="AU375" i="1"/>
  <c r="AT375" i="1"/>
  <c r="AS375" i="1"/>
  <c r="AR375" i="1"/>
  <c r="AM375" i="1"/>
  <c r="AE375" i="1"/>
  <c r="AD375" i="1"/>
  <c r="AC375" i="1"/>
  <c r="AB375" i="1"/>
  <c r="AA375" i="1"/>
  <c r="B375" i="1"/>
  <c r="BB374" i="1"/>
  <c r="BA374" i="1"/>
  <c r="AW374" i="1"/>
  <c r="AV374" i="1"/>
  <c r="AU374" i="1"/>
  <c r="AS374" i="1"/>
  <c r="AR374" i="1"/>
  <c r="AM374" i="1"/>
  <c r="AG374" i="1"/>
  <c r="AE374" i="1"/>
  <c r="AD374" i="1"/>
  <c r="AC374" i="1"/>
  <c r="AB374" i="1"/>
  <c r="AA374" i="1"/>
  <c r="V374" i="1"/>
  <c r="B374" i="1"/>
  <c r="BB373" i="1"/>
  <c r="BA373" i="1"/>
  <c r="AW373" i="1"/>
  <c r="AV373" i="1"/>
  <c r="AU373" i="1"/>
  <c r="AT373" i="1"/>
  <c r="AS373" i="1"/>
  <c r="AR373" i="1"/>
  <c r="AM373" i="1"/>
  <c r="AG373" i="1"/>
  <c r="AE373" i="1"/>
  <c r="AD373" i="1"/>
  <c r="AC373" i="1"/>
  <c r="AB373" i="1"/>
  <c r="AA373" i="1"/>
  <c r="V373" i="1"/>
  <c r="B373" i="1"/>
  <c r="BB372" i="1"/>
  <c r="BA372" i="1"/>
  <c r="AW372" i="1"/>
  <c r="AV372" i="1"/>
  <c r="AU372" i="1"/>
  <c r="AT372" i="1"/>
  <c r="AS372" i="1"/>
  <c r="AR372" i="1"/>
  <c r="AM372" i="1"/>
  <c r="AE372" i="1"/>
  <c r="AD372" i="1"/>
  <c r="AC372" i="1"/>
  <c r="AB372" i="1"/>
  <c r="AA372" i="1"/>
  <c r="V372" i="1"/>
  <c r="B372" i="1"/>
  <c r="BB371" i="1"/>
  <c r="BA371" i="1"/>
  <c r="AW371" i="1"/>
  <c r="AV371" i="1"/>
  <c r="AU371" i="1"/>
  <c r="AT371" i="1"/>
  <c r="AS371" i="1"/>
  <c r="AR371" i="1"/>
  <c r="AM371" i="1"/>
  <c r="AG371" i="1"/>
  <c r="AE371" i="1"/>
  <c r="AD371" i="1"/>
  <c r="AC371" i="1"/>
  <c r="AB371" i="1"/>
  <c r="AA371" i="1"/>
  <c r="V371" i="1"/>
  <c r="B371" i="1"/>
  <c r="BB370" i="1"/>
  <c r="BA370" i="1"/>
  <c r="AW370" i="1"/>
  <c r="AV370" i="1"/>
  <c r="AU370" i="1"/>
  <c r="AT370" i="1"/>
  <c r="AS370" i="1"/>
  <c r="AR370" i="1"/>
  <c r="AM370" i="1"/>
  <c r="AG370" i="1"/>
  <c r="AE370" i="1"/>
  <c r="AD370" i="1"/>
  <c r="AC370" i="1"/>
  <c r="AB370" i="1"/>
  <c r="AA370" i="1"/>
  <c r="V370" i="1"/>
  <c r="B370" i="1"/>
  <c r="BB369" i="1"/>
  <c r="BA369" i="1"/>
  <c r="AW369" i="1"/>
  <c r="AV369" i="1"/>
  <c r="AU369" i="1"/>
  <c r="AT369" i="1"/>
  <c r="AS369" i="1"/>
  <c r="AR369" i="1"/>
  <c r="AM369" i="1"/>
  <c r="AG369" i="1"/>
  <c r="AE369" i="1"/>
  <c r="AD369" i="1"/>
  <c r="AC369" i="1"/>
  <c r="AB369" i="1"/>
  <c r="AA369" i="1"/>
  <c r="V369" i="1"/>
  <c r="B369" i="1"/>
  <c r="BB368" i="1"/>
  <c r="BA368" i="1"/>
  <c r="AW368" i="1"/>
  <c r="AV368" i="1"/>
  <c r="AU368" i="1"/>
  <c r="AT368" i="1"/>
  <c r="AS368" i="1"/>
  <c r="AR368" i="1"/>
  <c r="AM368" i="1"/>
  <c r="AG368" i="1"/>
  <c r="AE368" i="1"/>
  <c r="AD368" i="1"/>
  <c r="AC368" i="1"/>
  <c r="AB368" i="1"/>
  <c r="AA368" i="1"/>
  <c r="V368" i="1"/>
  <c r="B368" i="1"/>
  <c r="BB367" i="1"/>
  <c r="BA367" i="1"/>
  <c r="AW367" i="1"/>
  <c r="AV367" i="1"/>
  <c r="AU367" i="1"/>
  <c r="AT367" i="1"/>
  <c r="AS367" i="1"/>
  <c r="AR367" i="1"/>
  <c r="AM367" i="1"/>
  <c r="AG367" i="1"/>
  <c r="AE367" i="1"/>
  <c r="AD367" i="1"/>
  <c r="AC367" i="1"/>
  <c r="AB367" i="1"/>
  <c r="AA367" i="1"/>
  <c r="V367" i="1"/>
  <c r="B367" i="1"/>
  <c r="BB366" i="1"/>
  <c r="BA366" i="1"/>
  <c r="AW366" i="1"/>
  <c r="AV366" i="1"/>
  <c r="AU366" i="1"/>
  <c r="AT366" i="1"/>
  <c r="AS366" i="1"/>
  <c r="AR366" i="1"/>
  <c r="AM366" i="1"/>
  <c r="AG366" i="1"/>
  <c r="AE366" i="1"/>
  <c r="AD366" i="1"/>
  <c r="AC366" i="1"/>
  <c r="AB366" i="1"/>
  <c r="AA366" i="1"/>
  <c r="V366" i="1"/>
  <c r="B366" i="1"/>
  <c r="BB365" i="1"/>
  <c r="BA365" i="1"/>
  <c r="AW365" i="1"/>
  <c r="AV365" i="1"/>
  <c r="AU365" i="1"/>
  <c r="AT365" i="1"/>
  <c r="AS365" i="1"/>
  <c r="AR365" i="1"/>
  <c r="AM365" i="1"/>
  <c r="AG365" i="1"/>
  <c r="AE365" i="1"/>
  <c r="AD365" i="1"/>
  <c r="AC365" i="1"/>
  <c r="AB365" i="1"/>
  <c r="AA365" i="1"/>
  <c r="V365" i="1"/>
  <c r="B365" i="1"/>
  <c r="BB364" i="1"/>
  <c r="BA364" i="1"/>
  <c r="AW364" i="1"/>
  <c r="AV364" i="1"/>
  <c r="AU364" i="1"/>
  <c r="AS364" i="1"/>
  <c r="AR364" i="1"/>
  <c r="AM364" i="1"/>
  <c r="AG364" i="1"/>
  <c r="AE364" i="1"/>
  <c r="AD364" i="1"/>
  <c r="AC364" i="1"/>
  <c r="AB364" i="1"/>
  <c r="AA364" i="1"/>
  <c r="V364" i="1"/>
  <c r="B364" i="1"/>
  <c r="BB363" i="1"/>
  <c r="BA363" i="1"/>
  <c r="AW363" i="1"/>
  <c r="AV363" i="1"/>
  <c r="AU363" i="1"/>
  <c r="AM363" i="1"/>
  <c r="AG363" i="1"/>
  <c r="AE363" i="1"/>
  <c r="AD363" i="1"/>
  <c r="AC363" i="1"/>
  <c r="AB363" i="1"/>
  <c r="AA363" i="1"/>
  <c r="V363" i="1"/>
  <c r="B363" i="1"/>
  <c r="BB362" i="1"/>
  <c r="BA362" i="1"/>
  <c r="AW362" i="1"/>
  <c r="AV362" i="1"/>
  <c r="AU362" i="1"/>
  <c r="AT362" i="1"/>
  <c r="AS362" i="1"/>
  <c r="AR362" i="1"/>
  <c r="AM362" i="1"/>
  <c r="AE362" i="1"/>
  <c r="AD362" i="1"/>
  <c r="AC362" i="1"/>
  <c r="AB362" i="1"/>
  <c r="AA362" i="1"/>
  <c r="V362" i="1"/>
  <c r="B362" i="1"/>
  <c r="BB361" i="1"/>
  <c r="BA361" i="1"/>
  <c r="AW361" i="1"/>
  <c r="AV361" i="1"/>
  <c r="AU361" i="1"/>
  <c r="AT361" i="1"/>
  <c r="AS361" i="1"/>
  <c r="AR361" i="1"/>
  <c r="AM361" i="1"/>
  <c r="AG361" i="1"/>
  <c r="AE361" i="1"/>
  <c r="AD361" i="1"/>
  <c r="AC361" i="1"/>
  <c r="AB361" i="1"/>
  <c r="AA361" i="1"/>
  <c r="V361" i="1"/>
  <c r="B361" i="1"/>
  <c r="BB360" i="1"/>
  <c r="BA360" i="1"/>
  <c r="AW360" i="1"/>
  <c r="AV360" i="1"/>
  <c r="AU360" i="1"/>
  <c r="AT360" i="1"/>
  <c r="AS360" i="1"/>
  <c r="AR360" i="1"/>
  <c r="AM360" i="1"/>
  <c r="AG360" i="1"/>
  <c r="AE360" i="1"/>
  <c r="AD360" i="1"/>
  <c r="AC360" i="1"/>
  <c r="AB360" i="1"/>
  <c r="AA360" i="1"/>
  <c r="V360" i="1"/>
  <c r="B360" i="1"/>
  <c r="BB359" i="1"/>
  <c r="BA359" i="1"/>
  <c r="AW359" i="1"/>
  <c r="AV359" i="1"/>
  <c r="AU359" i="1"/>
  <c r="AT359" i="1"/>
  <c r="AS359" i="1"/>
  <c r="AR359" i="1"/>
  <c r="AM359" i="1"/>
  <c r="AG359" i="1"/>
  <c r="AE359" i="1"/>
  <c r="AD359" i="1"/>
  <c r="AC359" i="1"/>
  <c r="AB359" i="1"/>
  <c r="AA359" i="1"/>
  <c r="V359" i="1"/>
  <c r="B359" i="1"/>
  <c r="BB358" i="1"/>
  <c r="BA358" i="1"/>
  <c r="AW358" i="1"/>
  <c r="AV358" i="1"/>
  <c r="AU358" i="1"/>
  <c r="AT358" i="1"/>
  <c r="AS358" i="1"/>
  <c r="AR358" i="1"/>
  <c r="AM358" i="1"/>
  <c r="AG358" i="1"/>
  <c r="AE358" i="1"/>
  <c r="AD358" i="1"/>
  <c r="AC358" i="1"/>
  <c r="AB358" i="1"/>
  <c r="AA358" i="1"/>
  <c r="V358" i="1"/>
  <c r="B358" i="1"/>
  <c r="BB357" i="1"/>
  <c r="BA357" i="1"/>
  <c r="AW357" i="1"/>
  <c r="AV357" i="1"/>
  <c r="AU357" i="1"/>
  <c r="AT357" i="1"/>
  <c r="AS357" i="1"/>
  <c r="AR357" i="1"/>
  <c r="AM357" i="1"/>
  <c r="AG357" i="1"/>
  <c r="AE357" i="1"/>
  <c r="AD357" i="1"/>
  <c r="AC357" i="1"/>
  <c r="AB357" i="1"/>
  <c r="AA357" i="1"/>
  <c r="V357" i="1"/>
  <c r="B357" i="1"/>
  <c r="BB356" i="1"/>
  <c r="BA356" i="1"/>
  <c r="AW356" i="1"/>
  <c r="AV356" i="1"/>
  <c r="AU356" i="1"/>
  <c r="AT356" i="1"/>
  <c r="AS356" i="1"/>
  <c r="AR356" i="1"/>
  <c r="AM356" i="1"/>
  <c r="AG356" i="1"/>
  <c r="AE356" i="1"/>
  <c r="AD356" i="1"/>
  <c r="AC356" i="1"/>
  <c r="AB356" i="1"/>
  <c r="AA356" i="1"/>
  <c r="V356" i="1"/>
  <c r="B356" i="1"/>
  <c r="BB355" i="1"/>
  <c r="BA355" i="1"/>
  <c r="AW355" i="1"/>
  <c r="AV355" i="1"/>
  <c r="AU355" i="1"/>
  <c r="AS355" i="1"/>
  <c r="AR355" i="1"/>
  <c r="AM355" i="1"/>
  <c r="AG355" i="1"/>
  <c r="AE355" i="1"/>
  <c r="AD355" i="1"/>
  <c r="AC355" i="1"/>
  <c r="AB355" i="1"/>
  <c r="AA355" i="1"/>
  <c r="V355" i="1"/>
  <c r="B355" i="1"/>
  <c r="BB354" i="1"/>
  <c r="BA354" i="1"/>
  <c r="AW354" i="1"/>
  <c r="AV354" i="1"/>
  <c r="AU354" i="1"/>
  <c r="AS354" i="1"/>
  <c r="AR354" i="1"/>
  <c r="AM354" i="1"/>
  <c r="AG354" i="1"/>
  <c r="AE354" i="1"/>
  <c r="AD354" i="1"/>
  <c r="AC354" i="1"/>
  <c r="AB354" i="1"/>
  <c r="AA354" i="1"/>
  <c r="V354" i="1"/>
  <c r="B354" i="1"/>
  <c r="BB353" i="1"/>
  <c r="BA353" i="1"/>
  <c r="AW353" i="1"/>
  <c r="AV353" i="1"/>
  <c r="AU353" i="1"/>
  <c r="AT353" i="1"/>
  <c r="AS353" i="1"/>
  <c r="AR353" i="1"/>
  <c r="AM353" i="1"/>
  <c r="AG353" i="1"/>
  <c r="AE353" i="1"/>
  <c r="AD353" i="1"/>
  <c r="AC353" i="1"/>
  <c r="AB353" i="1"/>
  <c r="AA353" i="1"/>
  <c r="V353" i="1"/>
  <c r="B353" i="1"/>
  <c r="BB352" i="1"/>
  <c r="BA352" i="1"/>
  <c r="AW352" i="1"/>
  <c r="AV352" i="1"/>
  <c r="AU352" i="1"/>
  <c r="AS352" i="1"/>
  <c r="AM352" i="1"/>
  <c r="AG352" i="1"/>
  <c r="AE352" i="1"/>
  <c r="AD352" i="1"/>
  <c r="AC352" i="1"/>
  <c r="AB352" i="1"/>
  <c r="AA352" i="1"/>
  <c r="V352" i="1"/>
  <c r="B352" i="1"/>
  <c r="AW351" i="1"/>
  <c r="AV351" i="1"/>
  <c r="AU351" i="1"/>
  <c r="AT351" i="1"/>
  <c r="AS351" i="1"/>
  <c r="AR351" i="1"/>
  <c r="AM351" i="1"/>
  <c r="AE351" i="1"/>
  <c r="AD351" i="1"/>
  <c r="AC351" i="1"/>
  <c r="AA351" i="1"/>
  <c r="B351" i="1"/>
  <c r="AW350" i="1"/>
  <c r="AV350" i="1"/>
  <c r="AU350" i="1"/>
  <c r="AT350" i="1"/>
  <c r="AS350" i="1"/>
  <c r="AR350" i="1"/>
  <c r="AM350" i="1"/>
  <c r="AE350" i="1"/>
  <c r="AD350" i="1"/>
  <c r="AC350" i="1"/>
  <c r="AB350" i="1"/>
  <c r="AA350" i="1"/>
  <c r="V350" i="1"/>
  <c r="B350" i="1"/>
  <c r="AW349" i="1"/>
  <c r="AV349" i="1"/>
  <c r="AU349" i="1"/>
  <c r="AT349" i="1"/>
  <c r="AS349" i="1"/>
  <c r="AR349" i="1"/>
  <c r="AM349" i="1"/>
  <c r="AG349" i="1"/>
  <c r="AE349" i="1"/>
  <c r="AD349" i="1"/>
  <c r="AC349" i="1"/>
  <c r="AB349" i="1"/>
  <c r="AA349" i="1"/>
  <c r="V349" i="1"/>
  <c r="B349" i="1"/>
  <c r="AW348" i="1"/>
  <c r="AV348" i="1"/>
  <c r="AU348" i="1"/>
  <c r="AT348" i="1"/>
  <c r="AS348" i="1"/>
  <c r="AR348" i="1"/>
  <c r="AM348" i="1"/>
  <c r="AG348" i="1"/>
  <c r="AE348" i="1"/>
  <c r="AD348" i="1"/>
  <c r="AC348" i="1"/>
  <c r="AB348" i="1"/>
  <c r="AA348" i="1"/>
  <c r="V348" i="1"/>
  <c r="B348" i="1"/>
  <c r="AW347" i="1"/>
  <c r="AV347" i="1"/>
  <c r="AU347" i="1"/>
  <c r="AT347" i="1"/>
  <c r="AS347" i="1"/>
  <c r="AR347" i="1"/>
  <c r="AM347" i="1"/>
  <c r="AG347" i="1"/>
  <c r="AE347" i="1"/>
  <c r="AD347" i="1"/>
  <c r="AC347" i="1"/>
  <c r="AB347" i="1"/>
  <c r="AA347" i="1"/>
  <c r="V347" i="1"/>
  <c r="B347" i="1"/>
  <c r="AW346" i="1"/>
  <c r="AV346" i="1"/>
  <c r="AU346" i="1"/>
  <c r="AS346" i="1"/>
  <c r="AR346" i="1"/>
  <c r="AM346" i="1"/>
  <c r="AG346" i="1"/>
  <c r="AE346" i="1"/>
  <c r="AD346" i="1"/>
  <c r="AC346" i="1"/>
  <c r="AB346" i="1"/>
  <c r="AA346" i="1"/>
  <c r="V346" i="1"/>
  <c r="B346" i="1"/>
  <c r="AW345" i="1"/>
  <c r="AV345" i="1"/>
  <c r="AU345" i="1"/>
  <c r="AT345" i="1"/>
  <c r="AS345" i="1"/>
  <c r="AR345" i="1"/>
  <c r="AM345" i="1"/>
  <c r="AG345" i="1"/>
  <c r="AE345" i="1"/>
  <c r="AD345" i="1"/>
  <c r="AC345" i="1"/>
  <c r="AB345" i="1"/>
  <c r="AA345" i="1"/>
  <c r="V345" i="1"/>
  <c r="B345" i="1"/>
  <c r="AW344" i="1"/>
  <c r="AV344" i="1"/>
  <c r="AU344" i="1"/>
  <c r="AT344" i="1"/>
  <c r="AS344" i="1"/>
  <c r="AR344" i="1"/>
  <c r="AM344" i="1"/>
  <c r="AG344" i="1"/>
  <c r="AE344" i="1"/>
  <c r="AD344" i="1"/>
  <c r="AC344" i="1"/>
  <c r="AB344" i="1"/>
  <c r="AA344" i="1"/>
  <c r="V344" i="1"/>
  <c r="B344" i="1"/>
  <c r="AW343" i="1"/>
  <c r="AV343" i="1"/>
  <c r="AU343" i="1"/>
  <c r="AS343" i="1"/>
  <c r="AR343" i="1"/>
  <c r="AM343" i="1"/>
  <c r="AG343" i="1"/>
  <c r="AE343" i="1"/>
  <c r="AD343" i="1"/>
  <c r="AC343" i="1"/>
  <c r="AB343" i="1"/>
  <c r="AA343" i="1"/>
  <c r="V343" i="1"/>
  <c r="B343" i="1"/>
  <c r="AW342" i="1"/>
  <c r="AV342" i="1"/>
  <c r="AU342" i="1"/>
  <c r="AS342" i="1"/>
  <c r="AR342" i="1"/>
  <c r="AM342" i="1"/>
  <c r="AG342" i="1"/>
  <c r="AE342" i="1"/>
  <c r="AD342" i="1"/>
  <c r="AC342" i="1"/>
  <c r="AB342" i="1"/>
  <c r="AA342" i="1"/>
  <c r="V342" i="1"/>
  <c r="B342" i="1"/>
  <c r="AW341" i="1"/>
  <c r="AV341" i="1"/>
  <c r="AU341" i="1"/>
  <c r="AS341" i="1"/>
  <c r="AR341" i="1"/>
  <c r="AM341" i="1"/>
  <c r="AG341" i="1"/>
  <c r="AE341" i="1"/>
  <c r="AD341" i="1"/>
  <c r="AC341" i="1"/>
  <c r="AB341" i="1"/>
  <c r="AA341" i="1"/>
  <c r="V341" i="1"/>
  <c r="B341" i="1"/>
  <c r="AW340" i="1"/>
  <c r="AV340" i="1"/>
  <c r="AU340" i="1"/>
  <c r="AR340" i="1"/>
  <c r="AM340" i="1"/>
  <c r="AG340" i="1"/>
  <c r="AE340" i="1"/>
  <c r="AD340" i="1"/>
  <c r="AC340" i="1"/>
  <c r="AB340" i="1"/>
  <c r="AA340" i="1"/>
  <c r="V340" i="1"/>
  <c r="B340" i="1"/>
  <c r="AW339" i="1"/>
  <c r="AV339" i="1"/>
  <c r="AU339" i="1"/>
  <c r="AS339" i="1"/>
  <c r="AR339" i="1"/>
  <c r="AM339" i="1"/>
  <c r="AG339" i="1"/>
  <c r="AE339" i="1"/>
  <c r="AD339" i="1"/>
  <c r="AC339" i="1"/>
  <c r="AB339" i="1"/>
  <c r="AA339" i="1"/>
  <c r="V339" i="1"/>
  <c r="B339" i="1"/>
  <c r="AW338" i="1"/>
  <c r="AV338" i="1"/>
  <c r="AU338" i="1"/>
  <c r="AM338" i="1"/>
  <c r="AG338" i="1"/>
  <c r="AE338" i="1"/>
  <c r="AD338" i="1"/>
  <c r="AC338" i="1"/>
  <c r="AB338" i="1"/>
  <c r="AA338" i="1"/>
  <c r="V338" i="1"/>
  <c r="B338" i="1"/>
  <c r="BB337" i="1"/>
  <c r="BA337" i="1"/>
  <c r="AW337" i="1"/>
  <c r="AV337" i="1"/>
  <c r="AU337" i="1"/>
  <c r="AS337" i="1"/>
  <c r="AR337" i="1"/>
  <c r="AM337" i="1"/>
  <c r="AG337" i="1"/>
  <c r="AE337" i="1"/>
  <c r="AD337" i="1"/>
  <c r="AC337" i="1"/>
  <c r="AB337" i="1"/>
  <c r="AA337" i="1"/>
  <c r="V337" i="1"/>
  <c r="B337" i="1"/>
  <c r="BB336" i="1"/>
  <c r="BA336" i="1"/>
  <c r="AW336" i="1"/>
  <c r="AV336" i="1"/>
  <c r="AU336" i="1"/>
  <c r="AT336" i="1"/>
  <c r="AS336" i="1"/>
  <c r="AR336" i="1"/>
  <c r="AM336" i="1"/>
  <c r="AG336" i="1"/>
  <c r="AE336" i="1"/>
  <c r="AD336" i="1"/>
  <c r="AC336" i="1"/>
  <c r="AB336" i="1"/>
  <c r="AA336" i="1"/>
  <c r="V336" i="1"/>
  <c r="B336" i="1"/>
  <c r="BB335" i="1"/>
  <c r="BA335" i="1"/>
  <c r="AW335" i="1"/>
  <c r="AV335" i="1"/>
  <c r="AU335" i="1"/>
  <c r="AT335" i="1"/>
  <c r="AS335" i="1"/>
  <c r="AR335" i="1"/>
  <c r="AM335" i="1"/>
  <c r="AG335" i="1"/>
  <c r="AE335" i="1"/>
  <c r="AD335" i="1"/>
  <c r="AC335" i="1"/>
  <c r="AB335" i="1"/>
  <c r="AA335" i="1"/>
  <c r="V335" i="1"/>
  <c r="B335" i="1"/>
  <c r="BB334" i="1"/>
  <c r="BA334" i="1"/>
  <c r="AW334" i="1"/>
  <c r="AV334" i="1"/>
  <c r="AU334" i="1"/>
  <c r="AT334" i="1"/>
  <c r="AS334" i="1"/>
  <c r="AR334" i="1"/>
  <c r="AM334" i="1"/>
  <c r="AG334" i="1"/>
  <c r="AE334" i="1"/>
  <c r="AD334" i="1"/>
  <c r="AC334" i="1"/>
  <c r="AB334" i="1"/>
  <c r="AA334" i="1"/>
  <c r="V334" i="1"/>
  <c r="B334" i="1"/>
  <c r="BB333" i="1"/>
  <c r="BA333" i="1"/>
  <c r="AW333" i="1"/>
  <c r="AV333" i="1"/>
  <c r="AU333" i="1"/>
  <c r="AT333" i="1"/>
  <c r="AS333" i="1"/>
  <c r="AR333" i="1"/>
  <c r="AM333" i="1"/>
  <c r="AG333" i="1"/>
  <c r="AE333" i="1"/>
  <c r="AD333" i="1"/>
  <c r="AC333" i="1"/>
  <c r="AB333" i="1"/>
  <c r="AA333" i="1"/>
  <c r="V333" i="1"/>
  <c r="B333" i="1"/>
  <c r="BB332" i="1"/>
  <c r="BA332" i="1"/>
  <c r="AW332" i="1"/>
  <c r="AV332" i="1"/>
  <c r="AU332" i="1"/>
  <c r="AT332" i="1"/>
  <c r="AS332" i="1"/>
  <c r="AR332" i="1"/>
  <c r="AM332" i="1"/>
  <c r="AG332" i="1"/>
  <c r="AE332" i="1"/>
  <c r="AD332" i="1"/>
  <c r="AC332" i="1"/>
  <c r="AB332" i="1"/>
  <c r="AA332" i="1"/>
  <c r="V332" i="1"/>
  <c r="B332" i="1"/>
  <c r="BB331" i="1"/>
  <c r="BA331" i="1"/>
  <c r="AW331" i="1"/>
  <c r="AV331" i="1"/>
  <c r="AU331" i="1"/>
  <c r="AT331" i="1"/>
  <c r="AS331" i="1"/>
  <c r="AR331" i="1"/>
  <c r="AM331" i="1"/>
  <c r="AG331" i="1"/>
  <c r="AE331" i="1"/>
  <c r="AD331" i="1"/>
  <c r="AC331" i="1"/>
  <c r="AB331" i="1"/>
  <c r="AA331" i="1"/>
  <c r="V331" i="1"/>
  <c r="B331" i="1"/>
  <c r="BB330" i="1"/>
  <c r="BA330" i="1"/>
  <c r="AW330" i="1"/>
  <c r="AV330" i="1"/>
  <c r="AU330" i="1"/>
  <c r="AT330" i="1"/>
  <c r="AS330" i="1"/>
  <c r="AR330" i="1"/>
  <c r="AM330" i="1"/>
  <c r="AG330" i="1"/>
  <c r="AE330" i="1"/>
  <c r="AD330" i="1"/>
  <c r="AC330" i="1"/>
  <c r="AB330" i="1"/>
  <c r="AA330" i="1"/>
  <c r="V330" i="1"/>
  <c r="B330" i="1"/>
  <c r="BB329" i="1"/>
  <c r="BA329" i="1"/>
  <c r="AW329" i="1"/>
  <c r="AV329" i="1"/>
  <c r="AU329" i="1"/>
  <c r="AT329" i="1"/>
  <c r="AS329" i="1"/>
  <c r="AR329" i="1"/>
  <c r="AM329" i="1"/>
  <c r="AG329" i="1"/>
  <c r="AE329" i="1"/>
  <c r="AD329" i="1"/>
  <c r="AC329" i="1"/>
  <c r="AB329" i="1"/>
  <c r="AA329" i="1"/>
  <c r="V329" i="1"/>
  <c r="B329" i="1"/>
  <c r="BB328" i="1"/>
  <c r="BA328" i="1"/>
  <c r="AW328" i="1"/>
  <c r="AV328" i="1"/>
  <c r="AU328" i="1"/>
  <c r="AT328" i="1"/>
  <c r="AS328" i="1"/>
  <c r="AR328" i="1"/>
  <c r="AM328" i="1"/>
  <c r="AG328" i="1"/>
  <c r="AE328" i="1"/>
  <c r="AD328" i="1"/>
  <c r="AC328" i="1"/>
  <c r="AB328" i="1"/>
  <c r="AA328" i="1"/>
  <c r="V328" i="1"/>
  <c r="B328" i="1"/>
  <c r="BB327" i="1"/>
  <c r="BA327" i="1"/>
  <c r="AW327" i="1"/>
  <c r="AV327" i="1"/>
  <c r="AU327" i="1"/>
  <c r="AT327" i="1"/>
  <c r="AS327" i="1"/>
  <c r="AR327" i="1"/>
  <c r="AM327" i="1"/>
  <c r="AG327" i="1"/>
  <c r="AE327" i="1"/>
  <c r="AD327" i="1"/>
  <c r="AC327" i="1"/>
  <c r="AB327" i="1"/>
  <c r="AA327" i="1"/>
  <c r="V327" i="1"/>
  <c r="B327" i="1"/>
  <c r="BB326" i="1"/>
  <c r="BA326" i="1"/>
  <c r="AW326" i="1"/>
  <c r="AV326" i="1"/>
  <c r="AU326" i="1"/>
  <c r="AT326" i="1"/>
  <c r="AS326" i="1"/>
  <c r="AR326" i="1"/>
  <c r="AM326" i="1"/>
  <c r="AG326" i="1"/>
  <c r="AE326" i="1"/>
  <c r="AD326" i="1"/>
  <c r="AC326" i="1"/>
  <c r="AB326" i="1"/>
  <c r="AA326" i="1"/>
  <c r="V326" i="1"/>
  <c r="B326" i="1"/>
  <c r="BB325" i="1"/>
  <c r="BA325" i="1"/>
  <c r="AW325" i="1"/>
  <c r="AV325" i="1"/>
  <c r="AU325" i="1"/>
  <c r="AT325" i="1"/>
  <c r="AS325" i="1"/>
  <c r="AR325" i="1"/>
  <c r="AM325" i="1"/>
  <c r="AG325" i="1"/>
  <c r="AE325" i="1"/>
  <c r="AD325" i="1"/>
  <c r="AC325" i="1"/>
  <c r="AB325" i="1"/>
  <c r="AA325" i="1"/>
  <c r="V325" i="1"/>
  <c r="B325" i="1"/>
  <c r="BB324" i="1"/>
  <c r="BA324" i="1"/>
  <c r="AW324" i="1"/>
  <c r="AV324" i="1"/>
  <c r="AU324" i="1"/>
  <c r="AT324" i="1"/>
  <c r="AS324" i="1"/>
  <c r="AR324" i="1"/>
  <c r="AM324" i="1"/>
  <c r="AG324" i="1"/>
  <c r="AE324" i="1"/>
  <c r="AD324" i="1"/>
  <c r="AC324" i="1"/>
  <c r="AB324" i="1"/>
  <c r="AA324" i="1"/>
  <c r="V324" i="1"/>
  <c r="B324" i="1"/>
  <c r="BB323" i="1"/>
  <c r="BA323" i="1"/>
  <c r="AW323" i="1"/>
  <c r="AV323" i="1"/>
  <c r="AU323" i="1"/>
  <c r="AT323" i="1"/>
  <c r="AS323" i="1"/>
  <c r="AR323" i="1"/>
  <c r="AM323" i="1"/>
  <c r="AG323" i="1"/>
  <c r="AE323" i="1"/>
  <c r="AD323" i="1"/>
  <c r="AC323" i="1"/>
  <c r="AB323" i="1"/>
  <c r="AA323" i="1"/>
  <c r="V323" i="1"/>
  <c r="B323" i="1"/>
  <c r="BB322" i="1"/>
  <c r="BA322" i="1"/>
  <c r="AW322" i="1"/>
  <c r="AV322" i="1"/>
  <c r="AU322" i="1"/>
  <c r="AT322" i="1"/>
  <c r="AS322" i="1"/>
  <c r="AR322" i="1"/>
  <c r="AM322" i="1"/>
  <c r="AG322" i="1"/>
  <c r="AE322" i="1"/>
  <c r="AD322" i="1"/>
  <c r="AC322" i="1"/>
  <c r="AB322" i="1"/>
  <c r="AA322" i="1"/>
  <c r="V322" i="1"/>
  <c r="B322" i="1"/>
  <c r="BB321" i="1"/>
  <c r="BA321" i="1"/>
  <c r="AW321" i="1"/>
  <c r="AV321" i="1"/>
  <c r="AU321" i="1"/>
  <c r="AT321" i="1"/>
  <c r="AS321" i="1"/>
  <c r="AR321" i="1"/>
  <c r="AM321" i="1"/>
  <c r="AG321" i="1"/>
  <c r="AE321" i="1"/>
  <c r="AD321" i="1"/>
  <c r="AC321" i="1"/>
  <c r="AB321" i="1"/>
  <c r="AA321" i="1"/>
  <c r="V321" i="1"/>
  <c r="B321" i="1"/>
  <c r="BB320" i="1"/>
  <c r="BA320" i="1"/>
  <c r="AW320" i="1"/>
  <c r="AV320" i="1"/>
  <c r="AU320" i="1"/>
  <c r="AT320" i="1"/>
  <c r="AS320" i="1"/>
  <c r="AR320" i="1"/>
  <c r="AM320" i="1"/>
  <c r="AG320" i="1"/>
  <c r="AE320" i="1"/>
  <c r="AD320" i="1"/>
  <c r="AC320" i="1"/>
  <c r="AB320" i="1"/>
  <c r="AA320" i="1"/>
  <c r="V320" i="1"/>
  <c r="B320" i="1"/>
  <c r="BB319" i="1"/>
  <c r="BA319" i="1"/>
  <c r="AW319" i="1"/>
  <c r="AV319" i="1"/>
  <c r="AU319" i="1"/>
  <c r="AS319" i="1"/>
  <c r="AR319" i="1"/>
  <c r="AM319" i="1"/>
  <c r="AG319" i="1"/>
  <c r="AE319" i="1"/>
  <c r="AD319" i="1"/>
  <c r="AC319" i="1"/>
  <c r="AB319" i="1"/>
  <c r="AA319" i="1"/>
  <c r="V319" i="1"/>
  <c r="B319" i="1"/>
  <c r="BB318" i="1"/>
  <c r="BA318" i="1"/>
  <c r="AW318" i="1"/>
  <c r="AV318" i="1"/>
  <c r="AU318" i="1"/>
  <c r="AT318" i="1"/>
  <c r="AS318" i="1"/>
  <c r="AR318" i="1"/>
  <c r="AM318" i="1"/>
  <c r="AG318" i="1"/>
  <c r="AE318" i="1"/>
  <c r="AD318" i="1"/>
  <c r="AC318" i="1"/>
  <c r="AB318" i="1"/>
  <c r="AA318" i="1"/>
  <c r="V318" i="1"/>
  <c r="B318" i="1"/>
  <c r="BB317" i="1"/>
  <c r="BA317" i="1"/>
  <c r="AW317" i="1"/>
  <c r="AV317" i="1"/>
  <c r="AU317" i="1"/>
  <c r="AS317" i="1"/>
  <c r="AR317" i="1"/>
  <c r="AM317" i="1"/>
  <c r="AG317" i="1"/>
  <c r="AE317" i="1"/>
  <c r="AD317" i="1"/>
  <c r="AC317" i="1"/>
  <c r="AB317" i="1"/>
  <c r="AA317" i="1"/>
  <c r="V317" i="1"/>
  <c r="B317" i="1"/>
  <c r="BB316" i="1"/>
  <c r="BA316" i="1"/>
  <c r="AW316" i="1"/>
  <c r="AV316" i="1"/>
  <c r="AU316" i="1"/>
  <c r="AT316" i="1"/>
  <c r="AS316" i="1"/>
  <c r="AR316" i="1"/>
  <c r="AM316" i="1"/>
  <c r="AG316" i="1"/>
  <c r="AE316" i="1"/>
  <c r="AD316" i="1"/>
  <c r="AC316" i="1"/>
  <c r="AB316" i="1"/>
  <c r="AA316" i="1"/>
  <c r="V316" i="1"/>
  <c r="B316" i="1"/>
  <c r="BB315" i="1"/>
  <c r="BA315" i="1"/>
  <c r="AW315" i="1"/>
  <c r="AV315" i="1"/>
  <c r="AU315" i="1"/>
  <c r="AR315" i="1"/>
  <c r="AM315" i="1"/>
  <c r="AG315" i="1"/>
  <c r="AE315" i="1"/>
  <c r="AD315" i="1"/>
  <c r="AC315" i="1"/>
  <c r="AB315" i="1"/>
  <c r="AA315" i="1"/>
  <c r="V315" i="1"/>
  <c r="B315" i="1"/>
  <c r="BB314" i="1"/>
  <c r="BA314" i="1"/>
  <c r="AW314" i="1"/>
  <c r="AV314" i="1"/>
  <c r="AU314" i="1"/>
  <c r="AS314" i="1"/>
  <c r="AR314" i="1"/>
  <c r="AM314" i="1"/>
  <c r="AG314" i="1"/>
  <c r="AE314" i="1"/>
  <c r="AD314" i="1"/>
  <c r="AC314" i="1"/>
  <c r="AB314" i="1"/>
  <c r="AA314" i="1"/>
  <c r="V314" i="1"/>
  <c r="B314" i="1"/>
  <c r="BB313" i="1"/>
  <c r="BA313" i="1"/>
  <c r="AW313" i="1"/>
  <c r="AV313" i="1"/>
  <c r="AU313" i="1"/>
  <c r="AS313" i="1"/>
  <c r="AR313" i="1"/>
  <c r="AM313" i="1"/>
  <c r="AG313" i="1"/>
  <c r="AE313" i="1"/>
  <c r="AD313" i="1"/>
  <c r="AC313" i="1"/>
  <c r="AB313" i="1"/>
  <c r="AA313" i="1"/>
  <c r="V313" i="1"/>
  <c r="B313" i="1"/>
  <c r="AW312" i="1"/>
  <c r="AV312" i="1"/>
  <c r="AU312" i="1"/>
  <c r="AT312" i="1"/>
  <c r="AS312" i="1"/>
  <c r="AR312" i="1"/>
  <c r="AM312" i="1"/>
  <c r="AG312" i="1"/>
  <c r="AE312" i="1"/>
  <c r="AD312" i="1"/>
  <c r="AC312" i="1"/>
  <c r="AB312" i="1"/>
  <c r="AA312" i="1"/>
  <c r="B312" i="1"/>
  <c r="BB311" i="1"/>
  <c r="BA311" i="1"/>
  <c r="AW311" i="1"/>
  <c r="AV311" i="1"/>
  <c r="AU311" i="1"/>
  <c r="AM311" i="1"/>
  <c r="AG311" i="1"/>
  <c r="AE311" i="1"/>
  <c r="AD311" i="1"/>
  <c r="AC311" i="1"/>
  <c r="AB311" i="1"/>
  <c r="AA311" i="1"/>
  <c r="V311" i="1"/>
  <c r="B311" i="1"/>
  <c r="BB310" i="1"/>
  <c r="BA310" i="1"/>
  <c r="AW310" i="1"/>
  <c r="AV310" i="1"/>
  <c r="AU310" i="1"/>
  <c r="AT310" i="1"/>
  <c r="AS310" i="1"/>
  <c r="AR310" i="1"/>
  <c r="AM310" i="1"/>
  <c r="AG310" i="1"/>
  <c r="AE310" i="1"/>
  <c r="AD310" i="1"/>
  <c r="AC310" i="1"/>
  <c r="AB310" i="1"/>
  <c r="AA310" i="1"/>
  <c r="V310" i="1"/>
  <c r="B310" i="1"/>
  <c r="BB309" i="1"/>
  <c r="BA309" i="1"/>
  <c r="AW309" i="1"/>
  <c r="AV309" i="1"/>
  <c r="AU309" i="1"/>
  <c r="AM309" i="1"/>
  <c r="AG309" i="1"/>
  <c r="AE309" i="1"/>
  <c r="AD309" i="1"/>
  <c r="AC309" i="1"/>
  <c r="AB309" i="1"/>
  <c r="AA309" i="1"/>
  <c r="V309" i="1"/>
  <c r="B309" i="1"/>
  <c r="BB308" i="1"/>
  <c r="BA308" i="1"/>
  <c r="AW308" i="1"/>
  <c r="AV308" i="1"/>
  <c r="AU308" i="1"/>
  <c r="AT308" i="1"/>
  <c r="AS308" i="1"/>
  <c r="AR308" i="1"/>
  <c r="AM308" i="1"/>
  <c r="AG308" i="1"/>
  <c r="AE308" i="1"/>
  <c r="AD308" i="1"/>
  <c r="AC308" i="1"/>
  <c r="AB308" i="1"/>
  <c r="AA308" i="1"/>
  <c r="V308" i="1"/>
  <c r="B308" i="1"/>
  <c r="BB307" i="1"/>
  <c r="BA307" i="1"/>
  <c r="AW307" i="1"/>
  <c r="AV307" i="1"/>
  <c r="AU307" i="1"/>
  <c r="AT307" i="1"/>
  <c r="AS307" i="1"/>
  <c r="AR307" i="1"/>
  <c r="AM307" i="1"/>
  <c r="AG307" i="1"/>
  <c r="AE307" i="1"/>
  <c r="AD307" i="1"/>
  <c r="AC307" i="1"/>
  <c r="AB307" i="1"/>
  <c r="AA307" i="1"/>
  <c r="V307" i="1"/>
  <c r="B307" i="1"/>
  <c r="AW306" i="1"/>
  <c r="AV306" i="1"/>
  <c r="AU306" i="1"/>
  <c r="AT306" i="1"/>
  <c r="AS306" i="1"/>
  <c r="AR306" i="1"/>
  <c r="AM306" i="1"/>
  <c r="AG306" i="1"/>
  <c r="AE306" i="1"/>
  <c r="AD306" i="1"/>
  <c r="AC306" i="1"/>
  <c r="AB306" i="1"/>
  <c r="AA306" i="1"/>
  <c r="V306" i="1"/>
  <c r="B306" i="1"/>
  <c r="BB305" i="1"/>
  <c r="BA305" i="1"/>
  <c r="AW305" i="1"/>
  <c r="AV305" i="1"/>
  <c r="AU305" i="1"/>
  <c r="AT305" i="1"/>
  <c r="AS305" i="1"/>
  <c r="AR305" i="1"/>
  <c r="AM305" i="1"/>
  <c r="AG305" i="1"/>
  <c r="AE305" i="1"/>
  <c r="AD305" i="1"/>
  <c r="AC305" i="1"/>
  <c r="AB305" i="1"/>
  <c r="AA305" i="1"/>
  <c r="V305" i="1"/>
  <c r="B305" i="1"/>
  <c r="BB304" i="1"/>
  <c r="BA304" i="1"/>
  <c r="AW304" i="1"/>
  <c r="AV304" i="1"/>
  <c r="AU304" i="1"/>
  <c r="AS304" i="1"/>
  <c r="AR304" i="1"/>
  <c r="AM304" i="1"/>
  <c r="AG304" i="1"/>
  <c r="AE304" i="1"/>
  <c r="AD304" i="1"/>
  <c r="AC304" i="1"/>
  <c r="AB304" i="1"/>
  <c r="AA304" i="1"/>
  <c r="V304" i="1"/>
  <c r="B304" i="1"/>
  <c r="BB303" i="1"/>
  <c r="BA303" i="1"/>
  <c r="AW303" i="1"/>
  <c r="AV303" i="1"/>
  <c r="AU303" i="1"/>
  <c r="AT303" i="1"/>
  <c r="AS303" i="1"/>
  <c r="AR303" i="1"/>
  <c r="AM303" i="1"/>
  <c r="AG303" i="1"/>
  <c r="AE303" i="1"/>
  <c r="AD303" i="1"/>
  <c r="AC303" i="1"/>
  <c r="AB303" i="1"/>
  <c r="AA303" i="1"/>
  <c r="V303" i="1"/>
  <c r="B303" i="1"/>
  <c r="BB302" i="1"/>
  <c r="BA302" i="1"/>
  <c r="AW302" i="1"/>
  <c r="AV302" i="1"/>
  <c r="AU302" i="1"/>
  <c r="AS302" i="1"/>
  <c r="AR302" i="1"/>
  <c r="AM302" i="1"/>
  <c r="AG302" i="1"/>
  <c r="AE302" i="1"/>
  <c r="AD302" i="1"/>
  <c r="AC302" i="1"/>
  <c r="AB302" i="1"/>
  <c r="AA302" i="1"/>
  <c r="V302" i="1"/>
  <c r="B302" i="1"/>
  <c r="BB301" i="1"/>
  <c r="BA301" i="1"/>
  <c r="AW301" i="1"/>
  <c r="AV301" i="1"/>
  <c r="AU301" i="1"/>
  <c r="AT301" i="1"/>
  <c r="AS301" i="1"/>
  <c r="AR301" i="1"/>
  <c r="AM301" i="1"/>
  <c r="AG301" i="1"/>
  <c r="AE301" i="1"/>
  <c r="AD301" i="1"/>
  <c r="AC301" i="1"/>
  <c r="AB301" i="1"/>
  <c r="AA301" i="1"/>
  <c r="B301" i="1"/>
  <c r="AW300" i="1"/>
  <c r="AV300" i="1"/>
  <c r="AU300" i="1"/>
  <c r="AT300" i="1"/>
  <c r="AS300" i="1"/>
  <c r="AR300" i="1"/>
  <c r="AM300" i="1"/>
  <c r="AG300" i="1"/>
  <c r="AE300" i="1"/>
  <c r="AD300" i="1"/>
  <c r="AC300" i="1"/>
  <c r="AB300" i="1"/>
  <c r="AA300" i="1"/>
  <c r="B300" i="1"/>
  <c r="AW299" i="1"/>
  <c r="AV299" i="1"/>
  <c r="AU299" i="1"/>
  <c r="AT299" i="1"/>
  <c r="AS299" i="1"/>
  <c r="AR299" i="1"/>
  <c r="AM299" i="1"/>
  <c r="AE299" i="1"/>
  <c r="AD299" i="1"/>
  <c r="AC299" i="1"/>
  <c r="AB299" i="1"/>
  <c r="AA299" i="1"/>
  <c r="B299" i="1"/>
  <c r="BB298" i="1"/>
  <c r="BA298" i="1"/>
  <c r="AW298" i="1"/>
  <c r="AV298" i="1"/>
  <c r="AU298" i="1"/>
  <c r="AS298" i="1"/>
  <c r="AM298" i="1"/>
  <c r="AG298" i="1"/>
  <c r="AE298" i="1"/>
  <c r="AD298" i="1"/>
  <c r="AC298" i="1"/>
  <c r="AB298" i="1"/>
  <c r="AA298" i="1"/>
  <c r="V298" i="1"/>
  <c r="B298" i="1"/>
  <c r="BB297" i="1"/>
  <c r="BA297" i="1"/>
  <c r="AW297" i="1"/>
  <c r="AV297" i="1"/>
  <c r="AU297" i="1"/>
  <c r="AT297" i="1"/>
  <c r="AS297" i="1"/>
  <c r="AR297" i="1"/>
  <c r="AM297" i="1"/>
  <c r="AG297" i="1"/>
  <c r="AE297" i="1"/>
  <c r="AD297" i="1"/>
  <c r="AC297" i="1"/>
  <c r="AB297" i="1"/>
  <c r="AA297" i="1"/>
  <c r="V297" i="1"/>
  <c r="B297" i="1"/>
  <c r="BB296" i="1"/>
  <c r="BA296" i="1"/>
  <c r="AW296" i="1"/>
  <c r="AV296" i="1"/>
  <c r="AU296" i="1"/>
  <c r="AS296" i="1"/>
  <c r="AR296" i="1"/>
  <c r="AM296" i="1"/>
  <c r="AG296" i="1"/>
  <c r="AE296" i="1"/>
  <c r="AD296" i="1"/>
  <c r="AC296" i="1"/>
  <c r="AB296" i="1"/>
  <c r="AA296" i="1"/>
  <c r="V296" i="1"/>
  <c r="B296" i="1"/>
  <c r="BB295" i="1"/>
  <c r="BA295" i="1"/>
  <c r="AW295" i="1"/>
  <c r="AV295" i="1"/>
  <c r="AU295" i="1"/>
  <c r="AS295" i="1"/>
  <c r="AR295" i="1"/>
  <c r="AM295" i="1"/>
  <c r="AG295" i="1"/>
  <c r="AE295" i="1"/>
  <c r="AD295" i="1"/>
  <c r="AC295" i="1"/>
  <c r="AB295" i="1"/>
  <c r="AA295" i="1"/>
  <c r="V295" i="1"/>
  <c r="B295" i="1"/>
  <c r="BB294" i="1"/>
  <c r="BA294" i="1"/>
  <c r="AW294" i="1"/>
  <c r="AV294" i="1"/>
  <c r="AU294" i="1"/>
  <c r="AT294" i="1"/>
  <c r="AS294" i="1"/>
  <c r="AR294" i="1"/>
  <c r="AM294" i="1"/>
  <c r="AG294" i="1"/>
  <c r="AE294" i="1"/>
  <c r="AD294" i="1"/>
  <c r="AC294" i="1"/>
  <c r="AB294" i="1"/>
  <c r="AA294" i="1"/>
  <c r="V294" i="1"/>
  <c r="B294" i="1"/>
  <c r="BB293" i="1"/>
  <c r="BA293" i="1"/>
  <c r="AW293" i="1"/>
  <c r="AV293" i="1"/>
  <c r="AU293" i="1"/>
  <c r="AT293" i="1"/>
  <c r="AS293" i="1"/>
  <c r="AR293" i="1"/>
  <c r="AM293" i="1"/>
  <c r="AG293" i="1"/>
  <c r="AE293" i="1"/>
  <c r="AD293" i="1"/>
  <c r="AC293" i="1"/>
  <c r="AB293" i="1"/>
  <c r="AA293" i="1"/>
  <c r="V293" i="1"/>
  <c r="B293" i="1"/>
  <c r="BB292" i="1"/>
  <c r="BA292" i="1"/>
  <c r="AW292" i="1"/>
  <c r="AV292" i="1"/>
  <c r="AU292" i="1"/>
  <c r="AT292" i="1"/>
  <c r="AM292" i="1"/>
  <c r="AG292" i="1"/>
  <c r="AE292" i="1"/>
  <c r="AD292" i="1"/>
  <c r="AC292" i="1"/>
  <c r="AB292" i="1"/>
  <c r="AA292" i="1"/>
  <c r="V292" i="1"/>
  <c r="B292" i="1"/>
  <c r="BB291" i="1"/>
  <c r="BA291" i="1"/>
  <c r="AW291" i="1"/>
  <c r="AV291" i="1"/>
  <c r="AU291" i="1"/>
  <c r="AT291" i="1"/>
  <c r="AS291" i="1"/>
  <c r="AR291" i="1"/>
  <c r="AM291" i="1"/>
  <c r="AG291" i="1"/>
  <c r="AE291" i="1"/>
  <c r="AD291" i="1"/>
  <c r="AC291" i="1"/>
  <c r="AB291" i="1"/>
  <c r="AA291" i="1"/>
  <c r="V291" i="1"/>
  <c r="B291" i="1"/>
  <c r="BB290" i="1"/>
  <c r="BA290" i="1"/>
  <c r="AW290" i="1"/>
  <c r="AV290" i="1"/>
  <c r="AU290" i="1"/>
  <c r="AM290" i="1"/>
  <c r="AG290" i="1"/>
  <c r="AE290" i="1"/>
  <c r="AD290" i="1"/>
  <c r="AC290" i="1"/>
  <c r="AB290" i="1"/>
  <c r="AA290" i="1"/>
  <c r="V290" i="1"/>
  <c r="B290" i="1"/>
  <c r="BB289" i="1"/>
  <c r="BA289" i="1"/>
  <c r="AW289" i="1"/>
  <c r="AV289" i="1"/>
  <c r="AU289" i="1"/>
  <c r="AT289" i="1"/>
  <c r="AS289" i="1"/>
  <c r="AR289" i="1"/>
  <c r="AM289" i="1"/>
  <c r="AG289" i="1"/>
  <c r="AE289" i="1"/>
  <c r="AD289" i="1"/>
  <c r="AC289" i="1"/>
  <c r="AB289" i="1"/>
  <c r="AA289" i="1"/>
  <c r="V289" i="1"/>
  <c r="B289" i="1"/>
  <c r="BB288" i="1"/>
  <c r="BA288" i="1"/>
  <c r="AW288" i="1"/>
  <c r="AV288" i="1"/>
  <c r="AU288" i="1"/>
  <c r="AT288" i="1"/>
  <c r="AS288" i="1"/>
  <c r="AR288" i="1"/>
  <c r="AM288" i="1"/>
  <c r="AG288" i="1"/>
  <c r="AE288" i="1"/>
  <c r="AD288" i="1"/>
  <c r="AC288" i="1"/>
  <c r="AB288" i="1"/>
  <c r="AA288" i="1"/>
  <c r="V288" i="1"/>
  <c r="B288" i="1"/>
  <c r="BB287" i="1"/>
  <c r="BA287" i="1"/>
  <c r="AW287" i="1"/>
  <c r="AV287" i="1"/>
  <c r="AU287" i="1"/>
  <c r="AT287" i="1"/>
  <c r="AS287" i="1"/>
  <c r="AR287" i="1"/>
  <c r="AM287" i="1"/>
  <c r="AG287" i="1"/>
  <c r="AE287" i="1"/>
  <c r="AD287" i="1"/>
  <c r="AC287" i="1"/>
  <c r="AB287" i="1"/>
  <c r="AA287" i="1"/>
  <c r="V287" i="1"/>
  <c r="B287" i="1"/>
  <c r="BB286" i="1"/>
  <c r="BA286" i="1"/>
  <c r="AW286" i="1"/>
  <c r="AV286" i="1"/>
  <c r="AU286" i="1"/>
  <c r="AT286" i="1"/>
  <c r="AS286" i="1"/>
  <c r="AR286" i="1"/>
  <c r="AM286" i="1"/>
  <c r="AG286" i="1"/>
  <c r="AE286" i="1"/>
  <c r="AD286" i="1"/>
  <c r="AC286" i="1"/>
  <c r="AB286" i="1"/>
  <c r="AA286" i="1"/>
  <c r="V286" i="1"/>
  <c r="B286" i="1"/>
  <c r="BB285" i="1"/>
  <c r="BA285" i="1"/>
  <c r="AW285" i="1"/>
  <c r="AV285" i="1"/>
  <c r="AU285" i="1"/>
  <c r="AT285" i="1"/>
  <c r="AS285" i="1"/>
  <c r="AR285" i="1"/>
  <c r="AM285" i="1"/>
  <c r="AG285" i="1"/>
  <c r="AE285" i="1"/>
  <c r="AD285" i="1"/>
  <c r="AC285" i="1"/>
  <c r="AB285" i="1"/>
  <c r="AA285" i="1"/>
  <c r="V285" i="1"/>
  <c r="B285" i="1"/>
  <c r="BB284" i="1"/>
  <c r="BA284" i="1"/>
  <c r="AW284" i="1"/>
  <c r="AV284" i="1"/>
  <c r="AU284" i="1"/>
  <c r="AT284" i="1"/>
  <c r="AS284" i="1"/>
  <c r="AR284" i="1"/>
  <c r="AM284" i="1"/>
  <c r="AG284" i="1"/>
  <c r="AE284" i="1"/>
  <c r="AD284" i="1"/>
  <c r="AC284" i="1"/>
  <c r="AB284" i="1"/>
  <c r="AA284" i="1"/>
  <c r="V284" i="1"/>
  <c r="B284" i="1"/>
  <c r="BB283" i="1"/>
  <c r="BA283" i="1"/>
  <c r="AW283" i="1"/>
  <c r="AV283" i="1"/>
  <c r="AU283" i="1"/>
  <c r="AT283" i="1"/>
  <c r="AS283" i="1"/>
  <c r="AR283" i="1"/>
  <c r="AM283" i="1"/>
  <c r="AG283" i="1"/>
  <c r="AE283" i="1"/>
  <c r="AD283" i="1"/>
  <c r="AC283" i="1"/>
  <c r="AB283" i="1"/>
  <c r="AA283" i="1"/>
  <c r="V283" i="1"/>
  <c r="B283" i="1"/>
  <c r="BB282" i="1"/>
  <c r="BA282" i="1"/>
  <c r="AW282" i="1"/>
  <c r="AV282" i="1"/>
  <c r="AU282" i="1"/>
  <c r="AT282" i="1"/>
  <c r="AS282" i="1"/>
  <c r="AR282" i="1"/>
  <c r="AM282" i="1"/>
  <c r="AG282" i="1"/>
  <c r="AE282" i="1"/>
  <c r="AD282" i="1"/>
  <c r="AC282" i="1"/>
  <c r="AB282" i="1"/>
  <c r="AA282" i="1"/>
  <c r="V282" i="1"/>
  <c r="B282" i="1"/>
  <c r="BB281" i="1"/>
  <c r="BA281" i="1"/>
  <c r="AW281" i="1"/>
  <c r="AV281" i="1"/>
  <c r="AU281" i="1"/>
  <c r="AT281" i="1"/>
  <c r="AS281" i="1"/>
  <c r="AM281" i="1"/>
  <c r="AG281" i="1"/>
  <c r="AE281" i="1"/>
  <c r="AD281" i="1"/>
  <c r="AC281" i="1"/>
  <c r="AB281" i="1"/>
  <c r="AA281" i="1"/>
  <c r="V281" i="1"/>
  <c r="B281" i="1"/>
  <c r="BB280" i="1"/>
  <c r="BA280" i="1"/>
  <c r="AW280" i="1"/>
  <c r="AV280" i="1"/>
  <c r="AU280" i="1"/>
  <c r="AT280" i="1"/>
  <c r="AR280" i="1"/>
  <c r="AM280" i="1"/>
  <c r="AG280" i="1"/>
  <c r="AE280" i="1"/>
  <c r="AD280" i="1"/>
  <c r="AC280" i="1"/>
  <c r="AB280" i="1"/>
  <c r="AA280" i="1"/>
  <c r="V280" i="1"/>
  <c r="B280" i="1"/>
  <c r="BB279" i="1"/>
  <c r="BA279" i="1"/>
  <c r="AW279" i="1"/>
  <c r="AV279" i="1"/>
  <c r="AU279" i="1"/>
  <c r="AT279" i="1"/>
  <c r="AS279" i="1"/>
  <c r="AR279" i="1"/>
  <c r="AM279" i="1"/>
  <c r="AG279" i="1"/>
  <c r="AE279" i="1"/>
  <c r="AD279" i="1"/>
  <c r="AC279" i="1"/>
  <c r="AB279" i="1"/>
  <c r="AA279" i="1"/>
  <c r="V279" i="1"/>
  <c r="B279" i="1"/>
  <c r="BB278" i="1"/>
  <c r="BA278" i="1"/>
  <c r="AW278" i="1"/>
  <c r="AV278" i="1"/>
  <c r="AU278" i="1"/>
  <c r="AT278" i="1"/>
  <c r="AS278" i="1"/>
  <c r="AR278" i="1"/>
  <c r="AM278" i="1"/>
  <c r="AG278" i="1"/>
  <c r="AE278" i="1"/>
  <c r="AD278" i="1"/>
  <c r="AC278" i="1"/>
  <c r="AB278" i="1"/>
  <c r="AA278" i="1"/>
  <c r="V278" i="1"/>
  <c r="B278" i="1"/>
  <c r="BB277" i="1"/>
  <c r="BA277" i="1"/>
  <c r="AW277" i="1"/>
  <c r="AV277" i="1"/>
  <c r="AU277" i="1"/>
  <c r="AT277" i="1"/>
  <c r="AS277" i="1"/>
  <c r="AR277" i="1"/>
  <c r="AM277" i="1"/>
  <c r="AG277" i="1"/>
  <c r="AE277" i="1"/>
  <c r="AD277" i="1"/>
  <c r="AC277" i="1"/>
  <c r="AB277" i="1"/>
  <c r="AA277" i="1"/>
  <c r="V277" i="1"/>
  <c r="B277" i="1"/>
  <c r="BB276" i="1"/>
  <c r="BA276" i="1"/>
  <c r="AW276" i="1"/>
  <c r="AV276" i="1"/>
  <c r="AU276" i="1"/>
  <c r="AT276" i="1"/>
  <c r="AS276" i="1"/>
  <c r="AR276" i="1"/>
  <c r="AM276" i="1"/>
  <c r="AG276" i="1"/>
  <c r="AE276" i="1"/>
  <c r="AD276" i="1"/>
  <c r="AC276" i="1"/>
  <c r="AB276" i="1"/>
  <c r="AA276" i="1"/>
  <c r="V276" i="1"/>
  <c r="B276" i="1"/>
  <c r="BB275" i="1"/>
  <c r="BA275" i="1"/>
  <c r="AW275" i="1"/>
  <c r="AV275" i="1"/>
  <c r="AU275" i="1"/>
  <c r="AT275" i="1"/>
  <c r="AS275" i="1"/>
  <c r="AR275" i="1"/>
  <c r="AM275" i="1"/>
  <c r="AG275" i="1"/>
  <c r="AE275" i="1"/>
  <c r="AD275" i="1"/>
  <c r="AC275" i="1"/>
  <c r="AB275" i="1"/>
  <c r="AA275" i="1"/>
  <c r="V275" i="1"/>
  <c r="B275" i="1"/>
  <c r="BB274" i="1"/>
  <c r="BA274" i="1"/>
  <c r="AW274" i="1"/>
  <c r="AV274" i="1"/>
  <c r="AU274" i="1"/>
  <c r="AT274" i="1"/>
  <c r="AS274" i="1"/>
  <c r="AR274" i="1"/>
  <c r="AM274" i="1"/>
  <c r="AG274" i="1"/>
  <c r="AE274" i="1"/>
  <c r="AD274" i="1"/>
  <c r="AC274" i="1"/>
  <c r="AB274" i="1"/>
  <c r="AA274" i="1"/>
  <c r="V274" i="1"/>
  <c r="B274" i="1"/>
  <c r="BB273" i="1"/>
  <c r="BA273" i="1"/>
  <c r="AW273" i="1"/>
  <c r="AV273" i="1"/>
  <c r="AU273" i="1"/>
  <c r="AT273" i="1"/>
  <c r="AS273" i="1"/>
  <c r="AR273" i="1"/>
  <c r="AM273" i="1"/>
  <c r="AG273" i="1"/>
  <c r="AE273" i="1"/>
  <c r="AD273" i="1"/>
  <c r="AC273" i="1"/>
  <c r="AB273" i="1"/>
  <c r="AA273" i="1"/>
  <c r="V273" i="1"/>
  <c r="B273" i="1"/>
  <c r="BB272" i="1"/>
  <c r="BA272" i="1"/>
  <c r="AW272" i="1"/>
  <c r="AV272" i="1"/>
  <c r="AU272" i="1"/>
  <c r="AT272" i="1"/>
  <c r="AS272" i="1"/>
  <c r="AR272" i="1"/>
  <c r="AM272" i="1"/>
  <c r="AG272" i="1"/>
  <c r="AE272" i="1"/>
  <c r="AD272" i="1"/>
  <c r="AC272" i="1"/>
  <c r="AB272" i="1"/>
  <c r="AA272" i="1"/>
  <c r="V272" i="1"/>
  <c r="J272" i="1"/>
  <c r="B272" i="1"/>
  <c r="BB271" i="1"/>
  <c r="BA271" i="1"/>
  <c r="AW271" i="1"/>
  <c r="AV271" i="1"/>
  <c r="AU271" i="1"/>
  <c r="AS271" i="1"/>
  <c r="AR271" i="1"/>
  <c r="AM271" i="1"/>
  <c r="AG271" i="1"/>
  <c r="AE271" i="1"/>
  <c r="AD271" i="1"/>
  <c r="AC271" i="1"/>
  <c r="AB271" i="1"/>
  <c r="AA271" i="1"/>
  <c r="V271" i="1"/>
  <c r="B271" i="1"/>
  <c r="BB270" i="1"/>
  <c r="BA270" i="1"/>
  <c r="AW270" i="1"/>
  <c r="AV270" i="1"/>
  <c r="AU270" i="1"/>
  <c r="AT270" i="1"/>
  <c r="AS270" i="1"/>
  <c r="AR270" i="1"/>
  <c r="AM270" i="1"/>
  <c r="AG270" i="1"/>
  <c r="AE270" i="1"/>
  <c r="AD270" i="1"/>
  <c r="AC270" i="1"/>
  <c r="AB270" i="1"/>
  <c r="AA270" i="1"/>
  <c r="V270" i="1"/>
  <c r="B270" i="1"/>
  <c r="BB269" i="1"/>
  <c r="BA269" i="1"/>
  <c r="AW269" i="1"/>
  <c r="AV269" i="1"/>
  <c r="AU269" i="1"/>
  <c r="AS269" i="1"/>
  <c r="AM269" i="1"/>
  <c r="AG269" i="1"/>
  <c r="AE269" i="1"/>
  <c r="AD269" i="1"/>
  <c r="AC269" i="1"/>
  <c r="AB269" i="1"/>
  <c r="AA269" i="1"/>
  <c r="V269" i="1"/>
  <c r="B269" i="1"/>
  <c r="BB268" i="1"/>
  <c r="BA268" i="1"/>
  <c r="AW268" i="1"/>
  <c r="AV268" i="1"/>
  <c r="AU268" i="1"/>
  <c r="AT268" i="1"/>
  <c r="AS268" i="1"/>
  <c r="AR268" i="1"/>
  <c r="AM268" i="1"/>
  <c r="AG268" i="1"/>
  <c r="AE268" i="1"/>
  <c r="AD268" i="1"/>
  <c r="AC268" i="1"/>
  <c r="AB268" i="1"/>
  <c r="AA268" i="1"/>
  <c r="V268" i="1"/>
  <c r="B268" i="1"/>
  <c r="AW267" i="1"/>
  <c r="AV267" i="1"/>
  <c r="AU267" i="1"/>
  <c r="AT267" i="1"/>
  <c r="AS267" i="1"/>
  <c r="AR267" i="1"/>
  <c r="AM267" i="1"/>
  <c r="AE267" i="1"/>
  <c r="AD267" i="1"/>
  <c r="AC267" i="1"/>
  <c r="AB267" i="1"/>
  <c r="AA267" i="1"/>
  <c r="B267" i="1"/>
  <c r="BB266" i="1"/>
  <c r="BA266" i="1"/>
  <c r="AW266" i="1"/>
  <c r="AV266" i="1"/>
  <c r="AU266" i="1"/>
  <c r="AT266" i="1"/>
  <c r="AS266" i="1"/>
  <c r="AR266" i="1"/>
  <c r="AM266" i="1"/>
  <c r="AG266" i="1"/>
  <c r="AE266" i="1"/>
  <c r="AD266" i="1"/>
  <c r="AC266" i="1"/>
  <c r="AB266" i="1"/>
  <c r="AA266" i="1"/>
  <c r="V266" i="1"/>
  <c r="B266" i="1"/>
  <c r="AW265" i="1"/>
  <c r="AV265" i="1"/>
  <c r="AU265" i="1"/>
  <c r="AT265" i="1"/>
  <c r="AS265" i="1"/>
  <c r="AR265" i="1"/>
  <c r="AM265" i="1"/>
  <c r="AE265" i="1"/>
  <c r="AD265" i="1"/>
  <c r="AC265" i="1"/>
  <c r="AA265" i="1"/>
  <c r="B265" i="1"/>
  <c r="BB264" i="1"/>
  <c r="BA264" i="1"/>
  <c r="AW264" i="1"/>
  <c r="AV264" i="1"/>
  <c r="AU264" i="1"/>
  <c r="AT264" i="1"/>
  <c r="AS264" i="1"/>
  <c r="AR264" i="1"/>
  <c r="AM264" i="1"/>
  <c r="AG264" i="1"/>
  <c r="AE264" i="1"/>
  <c r="AD264" i="1"/>
  <c r="AC264" i="1"/>
  <c r="AB264" i="1"/>
  <c r="AA264" i="1"/>
  <c r="V264" i="1"/>
  <c r="B264" i="1"/>
  <c r="BB263" i="1"/>
  <c r="BA263" i="1"/>
  <c r="AW263" i="1"/>
  <c r="AV263" i="1"/>
  <c r="AU263" i="1"/>
  <c r="AT263" i="1"/>
  <c r="AS263" i="1"/>
  <c r="AR263" i="1"/>
  <c r="AM263" i="1"/>
  <c r="AG263" i="1"/>
  <c r="AE263" i="1"/>
  <c r="AD263" i="1"/>
  <c r="AC263" i="1"/>
  <c r="AB263" i="1"/>
  <c r="AA263" i="1"/>
  <c r="V263" i="1"/>
  <c r="B263" i="1"/>
  <c r="BB262" i="1"/>
  <c r="BA262" i="1"/>
  <c r="AW262" i="1"/>
  <c r="AV262" i="1"/>
  <c r="AU262" i="1"/>
  <c r="AT262" i="1"/>
  <c r="AS262" i="1"/>
  <c r="AR262" i="1"/>
  <c r="AM262" i="1"/>
  <c r="AG262" i="1"/>
  <c r="AE262" i="1"/>
  <c r="AD262" i="1"/>
  <c r="AC262" i="1"/>
  <c r="AB262" i="1"/>
  <c r="AA262" i="1"/>
  <c r="V262" i="1"/>
  <c r="B262" i="1"/>
  <c r="BB261" i="1"/>
  <c r="BA261" i="1"/>
  <c r="AW261" i="1"/>
  <c r="AV261" i="1"/>
  <c r="AU261" i="1"/>
  <c r="AT261" i="1"/>
  <c r="AS261" i="1"/>
  <c r="AR261" i="1"/>
  <c r="AM261" i="1"/>
  <c r="AG261" i="1"/>
  <c r="AE261" i="1"/>
  <c r="AD261" i="1"/>
  <c r="AC261" i="1"/>
  <c r="AB261" i="1"/>
  <c r="AA261" i="1"/>
  <c r="V261" i="1"/>
  <c r="B261" i="1"/>
  <c r="BB260" i="1"/>
  <c r="BA260" i="1"/>
  <c r="AW260" i="1"/>
  <c r="AV260" i="1"/>
  <c r="AU260" i="1"/>
  <c r="AT260" i="1"/>
  <c r="AS260" i="1"/>
  <c r="AR260" i="1"/>
  <c r="AM260" i="1"/>
  <c r="AG260" i="1"/>
  <c r="AE260" i="1"/>
  <c r="AD260" i="1"/>
  <c r="AC260" i="1"/>
  <c r="AB260" i="1"/>
  <c r="AA260" i="1"/>
  <c r="V260" i="1"/>
  <c r="B260" i="1"/>
  <c r="BB259" i="1"/>
  <c r="BA259" i="1"/>
  <c r="AW259" i="1"/>
  <c r="AV259" i="1"/>
  <c r="AU259" i="1"/>
  <c r="AT259" i="1"/>
  <c r="AS259" i="1"/>
  <c r="AR259" i="1"/>
  <c r="AM259" i="1"/>
  <c r="AG259" i="1"/>
  <c r="AE259" i="1"/>
  <c r="AD259" i="1"/>
  <c r="AC259" i="1"/>
  <c r="AB259" i="1"/>
  <c r="AA259" i="1"/>
  <c r="V259" i="1"/>
  <c r="J259" i="1"/>
  <c r="B259" i="1"/>
  <c r="BB258" i="1"/>
  <c r="BA258" i="1"/>
  <c r="AW258" i="1"/>
  <c r="AV258" i="1"/>
  <c r="AU258" i="1"/>
  <c r="AT258" i="1"/>
  <c r="AS258" i="1"/>
  <c r="AM258" i="1"/>
  <c r="AG258" i="1"/>
  <c r="AE258" i="1"/>
  <c r="AD258" i="1"/>
  <c r="AC258" i="1"/>
  <c r="AB258" i="1"/>
  <c r="AA258" i="1"/>
  <c r="V258" i="1"/>
  <c r="B258" i="1"/>
  <c r="BB257" i="1"/>
  <c r="BA257" i="1"/>
  <c r="AW257" i="1"/>
  <c r="AV257" i="1"/>
  <c r="AU257" i="1"/>
  <c r="AT257" i="1"/>
  <c r="AS257" i="1"/>
  <c r="AR257" i="1"/>
  <c r="AM257" i="1"/>
  <c r="AG257" i="1"/>
  <c r="AE257" i="1"/>
  <c r="AD257" i="1"/>
  <c r="AC257" i="1"/>
  <c r="AB257" i="1"/>
  <c r="AA257" i="1"/>
  <c r="V257" i="1"/>
  <c r="B257" i="1"/>
  <c r="BB256" i="1"/>
  <c r="BA256" i="1"/>
  <c r="AW256" i="1"/>
  <c r="AV256" i="1"/>
  <c r="AU256" i="1"/>
  <c r="AT256" i="1"/>
  <c r="AS256" i="1"/>
  <c r="AR256" i="1"/>
  <c r="AM256" i="1"/>
  <c r="AG256" i="1"/>
  <c r="AE256" i="1"/>
  <c r="AD256" i="1"/>
  <c r="AC256" i="1"/>
  <c r="AB256" i="1"/>
  <c r="AA256" i="1"/>
  <c r="V256" i="1"/>
  <c r="B256" i="1"/>
  <c r="BB255" i="1"/>
  <c r="BA255" i="1"/>
  <c r="AW255" i="1"/>
  <c r="AV255" i="1"/>
  <c r="AU255" i="1"/>
  <c r="AT255" i="1"/>
  <c r="AS255" i="1"/>
  <c r="AR255" i="1"/>
  <c r="AM255" i="1"/>
  <c r="AG255" i="1"/>
  <c r="AE255" i="1"/>
  <c r="AD255" i="1"/>
  <c r="AC255" i="1"/>
  <c r="AB255" i="1"/>
  <c r="AA255" i="1"/>
  <c r="V255" i="1"/>
  <c r="B255" i="1"/>
  <c r="BB254" i="1"/>
  <c r="BA254" i="1"/>
  <c r="AW254" i="1"/>
  <c r="AV254" i="1"/>
  <c r="AU254" i="1"/>
  <c r="AT254" i="1"/>
  <c r="AS254" i="1"/>
  <c r="AR254" i="1"/>
  <c r="AM254" i="1"/>
  <c r="AG254" i="1"/>
  <c r="AE254" i="1"/>
  <c r="AD254" i="1"/>
  <c r="AC254" i="1"/>
  <c r="AB254" i="1"/>
  <c r="AA254" i="1"/>
  <c r="V254" i="1"/>
  <c r="J254" i="1"/>
  <c r="B254" i="1"/>
  <c r="BB253" i="1"/>
  <c r="BA253" i="1"/>
  <c r="AW253" i="1"/>
  <c r="AV253" i="1"/>
  <c r="AU253" i="1"/>
  <c r="AT253" i="1"/>
  <c r="AS253" i="1"/>
  <c r="AR253" i="1"/>
  <c r="AM253" i="1"/>
  <c r="AG253" i="1"/>
  <c r="AE253" i="1"/>
  <c r="AD253" i="1"/>
  <c r="AC253" i="1"/>
  <c r="AB253" i="1"/>
  <c r="AA253" i="1"/>
  <c r="V253" i="1"/>
  <c r="B253" i="1"/>
  <c r="BB252" i="1"/>
  <c r="BA252" i="1"/>
  <c r="AW252" i="1"/>
  <c r="AV252" i="1"/>
  <c r="AU252" i="1"/>
  <c r="AT252" i="1"/>
  <c r="AS252" i="1"/>
  <c r="AR252" i="1"/>
  <c r="AM252" i="1"/>
  <c r="AG252" i="1"/>
  <c r="AE252" i="1"/>
  <c r="AD252" i="1"/>
  <c r="AC252" i="1"/>
  <c r="AB252" i="1"/>
  <c r="AA252" i="1"/>
  <c r="V252" i="1"/>
  <c r="B252" i="1"/>
  <c r="BB251" i="1"/>
  <c r="BA251" i="1"/>
  <c r="AW251" i="1"/>
  <c r="AV251" i="1"/>
  <c r="AU251" i="1"/>
  <c r="AT251" i="1"/>
  <c r="AS251" i="1"/>
  <c r="AR251" i="1"/>
  <c r="AM251" i="1"/>
  <c r="AG251" i="1"/>
  <c r="AE251" i="1"/>
  <c r="AD251" i="1"/>
  <c r="AC251" i="1"/>
  <c r="AB251" i="1"/>
  <c r="AA251" i="1"/>
  <c r="V251" i="1"/>
  <c r="J251" i="1"/>
  <c r="B251" i="1"/>
  <c r="BB250" i="1"/>
  <c r="BA250" i="1"/>
  <c r="AW250" i="1"/>
  <c r="AV250" i="1"/>
  <c r="AU250" i="1"/>
  <c r="AT250" i="1"/>
  <c r="AR250" i="1"/>
  <c r="AM250" i="1"/>
  <c r="AG250" i="1"/>
  <c r="AE250" i="1"/>
  <c r="AD250" i="1"/>
  <c r="AC250" i="1"/>
  <c r="AB250" i="1"/>
  <c r="AA250" i="1"/>
  <c r="V250" i="1"/>
  <c r="B250" i="1"/>
  <c r="BB249" i="1"/>
  <c r="BA249" i="1"/>
  <c r="AW249" i="1"/>
  <c r="AV249" i="1"/>
  <c r="AU249" i="1"/>
  <c r="AT249" i="1"/>
  <c r="AS249" i="1"/>
  <c r="AR249" i="1"/>
  <c r="AM249" i="1"/>
  <c r="AE249" i="1"/>
  <c r="AD249" i="1"/>
  <c r="AC249" i="1"/>
  <c r="AB249" i="1"/>
  <c r="AA249" i="1"/>
  <c r="V249" i="1"/>
  <c r="B249" i="1"/>
  <c r="BB248" i="1"/>
  <c r="BA248" i="1"/>
  <c r="AW248" i="1"/>
  <c r="AV248" i="1"/>
  <c r="AU248" i="1"/>
  <c r="AS248" i="1"/>
  <c r="AR248" i="1"/>
  <c r="AM248" i="1"/>
  <c r="AG248" i="1"/>
  <c r="AE248" i="1"/>
  <c r="AD248" i="1"/>
  <c r="AC248" i="1"/>
  <c r="AB248" i="1"/>
  <c r="AA248" i="1"/>
  <c r="V248" i="1"/>
  <c r="J248" i="1"/>
  <c r="B248" i="1"/>
  <c r="BB247" i="1"/>
  <c r="BA247" i="1"/>
  <c r="AW247" i="1"/>
  <c r="AV247" i="1"/>
  <c r="AU247" i="1"/>
  <c r="AM247" i="1"/>
  <c r="AG247" i="1"/>
  <c r="AE247" i="1"/>
  <c r="AD247" i="1"/>
  <c r="AC247" i="1"/>
  <c r="AB247" i="1"/>
  <c r="AA247" i="1"/>
  <c r="V247" i="1"/>
  <c r="B247" i="1"/>
  <c r="BB246" i="1"/>
  <c r="BA246" i="1"/>
  <c r="AW246" i="1"/>
  <c r="AV246" i="1"/>
  <c r="AU246" i="1"/>
  <c r="AT246" i="1"/>
  <c r="AS246" i="1"/>
  <c r="AR246" i="1"/>
  <c r="AM246" i="1"/>
  <c r="AG246" i="1"/>
  <c r="AE246" i="1"/>
  <c r="AD246" i="1"/>
  <c r="AC246" i="1"/>
  <c r="AB246" i="1"/>
  <c r="AA246" i="1"/>
  <c r="V246" i="1"/>
  <c r="B246" i="1"/>
  <c r="BB245" i="1"/>
  <c r="BA245" i="1"/>
  <c r="AW245" i="1"/>
  <c r="AV245" i="1"/>
  <c r="AU245" i="1"/>
  <c r="AT245" i="1"/>
  <c r="AS245" i="1"/>
  <c r="AR245" i="1"/>
  <c r="AM245" i="1"/>
  <c r="AG245" i="1"/>
  <c r="AE245" i="1"/>
  <c r="AD245" i="1"/>
  <c r="AC245" i="1"/>
  <c r="AB245" i="1"/>
  <c r="AA245" i="1"/>
  <c r="V245" i="1"/>
  <c r="B245" i="1"/>
  <c r="BB244" i="1"/>
  <c r="BA244" i="1"/>
  <c r="AW244" i="1"/>
  <c r="AV244" i="1"/>
  <c r="AU244" i="1"/>
  <c r="AT244" i="1"/>
  <c r="AS244" i="1"/>
  <c r="AR244" i="1"/>
  <c r="AM244" i="1"/>
  <c r="AG244" i="1"/>
  <c r="AE244" i="1"/>
  <c r="AD244" i="1"/>
  <c r="AC244" i="1"/>
  <c r="AB244" i="1"/>
  <c r="AA244" i="1"/>
  <c r="V244" i="1"/>
  <c r="B244" i="1"/>
  <c r="BB243" i="1"/>
  <c r="BA243" i="1"/>
  <c r="AW243" i="1"/>
  <c r="AV243" i="1"/>
  <c r="AU243" i="1"/>
  <c r="AT243" i="1"/>
  <c r="AS243" i="1"/>
  <c r="AR243" i="1"/>
  <c r="AM243" i="1"/>
  <c r="AG243" i="1"/>
  <c r="AE243" i="1"/>
  <c r="AD243" i="1"/>
  <c r="AC243" i="1"/>
  <c r="AB243" i="1"/>
  <c r="AA243" i="1"/>
  <c r="V243" i="1"/>
  <c r="B243" i="1"/>
  <c r="BB242" i="1"/>
  <c r="BA242" i="1"/>
  <c r="AW242" i="1"/>
  <c r="AV242" i="1"/>
  <c r="AU242" i="1"/>
  <c r="AS242" i="1"/>
  <c r="AR242" i="1"/>
  <c r="AM242" i="1"/>
  <c r="AG242" i="1"/>
  <c r="AE242" i="1"/>
  <c r="AD242" i="1"/>
  <c r="AC242" i="1"/>
  <c r="AB242" i="1"/>
  <c r="AA242" i="1"/>
  <c r="V242" i="1"/>
  <c r="B242" i="1"/>
  <c r="BB241" i="1"/>
  <c r="BA241" i="1"/>
  <c r="AW241" i="1"/>
  <c r="AV241" i="1"/>
  <c r="AU241" i="1"/>
  <c r="AT241" i="1"/>
  <c r="AS241" i="1"/>
  <c r="AR241" i="1"/>
  <c r="AM241" i="1"/>
  <c r="AG241" i="1"/>
  <c r="AE241" i="1"/>
  <c r="AD241" i="1"/>
  <c r="AC241" i="1"/>
  <c r="AB241" i="1"/>
  <c r="AA241" i="1"/>
  <c r="V241" i="1"/>
  <c r="B241" i="1"/>
  <c r="AW240" i="1"/>
  <c r="AV240" i="1"/>
  <c r="AU240" i="1"/>
  <c r="AS240" i="1"/>
  <c r="AR240" i="1"/>
  <c r="AM240" i="1"/>
  <c r="AG240" i="1"/>
  <c r="AE240" i="1"/>
  <c r="AD240" i="1"/>
  <c r="AC240" i="1"/>
  <c r="AB240" i="1"/>
  <c r="AA240" i="1"/>
  <c r="V240" i="1"/>
  <c r="B240" i="1"/>
  <c r="BB239" i="1"/>
  <c r="BA239" i="1"/>
  <c r="AW239" i="1"/>
  <c r="AV239" i="1"/>
  <c r="AU239" i="1"/>
  <c r="AS239" i="1"/>
  <c r="AR239" i="1"/>
  <c r="AM239" i="1"/>
  <c r="AG239" i="1"/>
  <c r="AE239" i="1"/>
  <c r="AD239" i="1"/>
  <c r="AC239" i="1"/>
  <c r="AB239" i="1"/>
  <c r="AA239" i="1"/>
  <c r="V239" i="1"/>
  <c r="B239" i="1"/>
  <c r="BB238" i="1"/>
  <c r="BA238" i="1"/>
  <c r="AW238" i="1"/>
  <c r="AV238" i="1"/>
  <c r="AU238" i="1"/>
  <c r="AS238" i="1"/>
  <c r="AR238" i="1"/>
  <c r="AM238" i="1"/>
  <c r="AG238" i="1"/>
  <c r="AE238" i="1"/>
  <c r="AD238" i="1"/>
  <c r="AC238" i="1"/>
  <c r="AB238" i="1"/>
  <c r="AA238" i="1"/>
  <c r="V238" i="1"/>
  <c r="B238" i="1"/>
  <c r="BB237" i="1"/>
  <c r="BA237" i="1"/>
  <c r="AW237" i="1"/>
  <c r="AV237" i="1"/>
  <c r="AU237" i="1"/>
  <c r="AS237" i="1"/>
  <c r="AR237" i="1"/>
  <c r="AM237" i="1"/>
  <c r="AG237" i="1"/>
  <c r="AE237" i="1"/>
  <c r="AD237" i="1"/>
  <c r="AC237" i="1"/>
  <c r="AB237" i="1"/>
  <c r="AA237" i="1"/>
  <c r="V237" i="1"/>
  <c r="J237" i="1"/>
  <c r="B237" i="1"/>
  <c r="BB236" i="1"/>
  <c r="BA236" i="1"/>
  <c r="AW236" i="1"/>
  <c r="AV236" i="1"/>
  <c r="AU236" i="1"/>
  <c r="AT236" i="1"/>
  <c r="AS236" i="1"/>
  <c r="AR236" i="1"/>
  <c r="AM236" i="1"/>
  <c r="AG236" i="1"/>
  <c r="AE236" i="1"/>
  <c r="AD236" i="1"/>
  <c r="AC236" i="1"/>
  <c r="AB236" i="1"/>
  <c r="AA236" i="1"/>
  <c r="V236" i="1"/>
  <c r="B236" i="1"/>
  <c r="BB235" i="1"/>
  <c r="BA235" i="1"/>
  <c r="AW235" i="1"/>
  <c r="AV235" i="1"/>
  <c r="AU235" i="1"/>
  <c r="AR235" i="1"/>
  <c r="AM235" i="1"/>
  <c r="AG235" i="1"/>
  <c r="AE235" i="1"/>
  <c r="AD235" i="1"/>
  <c r="AC235" i="1"/>
  <c r="AB235" i="1"/>
  <c r="AA235" i="1"/>
  <c r="V235" i="1"/>
  <c r="B235" i="1"/>
  <c r="BB234" i="1"/>
  <c r="BA234" i="1"/>
  <c r="AW234" i="1"/>
  <c r="AV234" i="1"/>
  <c r="AU234" i="1"/>
  <c r="AT234" i="1"/>
  <c r="AS234" i="1"/>
  <c r="AR234" i="1"/>
  <c r="AM234" i="1"/>
  <c r="AG234" i="1"/>
  <c r="AE234" i="1"/>
  <c r="AD234" i="1"/>
  <c r="AC234" i="1"/>
  <c r="AB234" i="1"/>
  <c r="AA234" i="1"/>
  <c r="V234" i="1"/>
  <c r="B234" i="1"/>
  <c r="BB233" i="1"/>
  <c r="BA233" i="1"/>
  <c r="AW233" i="1"/>
  <c r="AV233" i="1"/>
  <c r="AU233" i="1"/>
  <c r="AT233" i="1"/>
  <c r="AS233" i="1"/>
  <c r="AR233" i="1"/>
  <c r="AM233" i="1"/>
  <c r="AG233" i="1"/>
  <c r="AE233" i="1"/>
  <c r="AD233" i="1"/>
  <c r="AC233" i="1"/>
  <c r="AB233" i="1"/>
  <c r="AA233" i="1"/>
  <c r="V233" i="1"/>
  <c r="B233" i="1"/>
  <c r="BB232" i="1"/>
  <c r="BA232" i="1"/>
  <c r="AW232" i="1"/>
  <c r="AV232" i="1"/>
  <c r="AU232" i="1"/>
  <c r="AT232" i="1"/>
  <c r="AS232" i="1"/>
  <c r="AR232" i="1"/>
  <c r="AM232" i="1"/>
  <c r="AG232" i="1"/>
  <c r="AE232" i="1"/>
  <c r="AD232" i="1"/>
  <c r="AC232" i="1"/>
  <c r="AB232" i="1"/>
  <c r="AA232" i="1"/>
  <c r="V232" i="1"/>
  <c r="B232" i="1"/>
  <c r="BB231" i="1"/>
  <c r="BA231" i="1"/>
  <c r="AW231" i="1"/>
  <c r="AV231" i="1"/>
  <c r="AU231" i="1"/>
  <c r="AT231" i="1"/>
  <c r="AS231" i="1"/>
  <c r="AR231" i="1"/>
  <c r="AM231" i="1"/>
  <c r="AG231" i="1"/>
  <c r="AE231" i="1"/>
  <c r="AD231" i="1"/>
  <c r="AC231" i="1"/>
  <c r="AB231" i="1"/>
  <c r="AA231" i="1"/>
  <c r="V231" i="1"/>
  <c r="B231" i="1"/>
  <c r="BB230" i="1"/>
  <c r="BA230" i="1"/>
  <c r="AW230" i="1"/>
  <c r="AV230" i="1"/>
  <c r="AU230" i="1"/>
  <c r="AT230" i="1"/>
  <c r="AS230" i="1"/>
  <c r="AR230" i="1"/>
  <c r="AM230" i="1"/>
  <c r="AG230" i="1"/>
  <c r="AE230" i="1"/>
  <c r="AD230" i="1"/>
  <c r="AC230" i="1"/>
  <c r="AB230" i="1"/>
  <c r="AA230" i="1"/>
  <c r="V230" i="1"/>
  <c r="B230" i="1"/>
  <c r="BB229" i="1"/>
  <c r="BA229" i="1"/>
  <c r="AW229" i="1"/>
  <c r="AV229" i="1"/>
  <c r="AU229" i="1"/>
  <c r="AT229" i="1"/>
  <c r="AS229" i="1"/>
  <c r="AR229" i="1"/>
  <c r="AM229" i="1"/>
  <c r="AG229" i="1"/>
  <c r="AE229" i="1"/>
  <c r="AD229" i="1"/>
  <c r="AC229" i="1"/>
  <c r="AB229" i="1"/>
  <c r="AA229" i="1"/>
  <c r="V229" i="1"/>
  <c r="B229" i="1"/>
  <c r="BB228" i="1"/>
  <c r="BA228" i="1"/>
  <c r="AW228" i="1"/>
  <c r="AV228" i="1"/>
  <c r="AU228" i="1"/>
  <c r="AT228" i="1"/>
  <c r="AS228" i="1"/>
  <c r="AR228" i="1"/>
  <c r="AM228" i="1"/>
  <c r="AG228" i="1"/>
  <c r="AE228" i="1"/>
  <c r="AD228" i="1"/>
  <c r="AC228" i="1"/>
  <c r="AB228" i="1"/>
  <c r="AA228" i="1"/>
  <c r="V228" i="1"/>
  <c r="B228" i="1"/>
  <c r="BB227" i="1"/>
  <c r="BA227" i="1"/>
  <c r="AW227" i="1"/>
  <c r="AV227" i="1"/>
  <c r="AU227" i="1"/>
  <c r="AT227" i="1"/>
  <c r="AS227" i="1"/>
  <c r="AR227" i="1"/>
  <c r="AM227" i="1"/>
  <c r="AG227" i="1"/>
  <c r="AE227" i="1"/>
  <c r="AD227" i="1"/>
  <c r="AC227" i="1"/>
  <c r="AB227" i="1"/>
  <c r="AA227" i="1"/>
  <c r="V227" i="1"/>
  <c r="J227" i="1"/>
  <c r="B227" i="1"/>
  <c r="BB226" i="1"/>
  <c r="BA226" i="1"/>
  <c r="AW226" i="1"/>
  <c r="AV226" i="1"/>
  <c r="AU226" i="1"/>
  <c r="AT226" i="1"/>
  <c r="AS226" i="1"/>
  <c r="AR226" i="1"/>
  <c r="AM226" i="1"/>
  <c r="AG226" i="1"/>
  <c r="AE226" i="1"/>
  <c r="AD226" i="1"/>
  <c r="AC226" i="1"/>
  <c r="AB226" i="1"/>
  <c r="AA226" i="1"/>
  <c r="V226" i="1"/>
  <c r="B226" i="1"/>
  <c r="BB225" i="1"/>
  <c r="BA225" i="1"/>
  <c r="AW225" i="1"/>
  <c r="AV225" i="1"/>
  <c r="AU225" i="1"/>
  <c r="AT225" i="1"/>
  <c r="AS225" i="1"/>
  <c r="AR225" i="1"/>
  <c r="AM225" i="1"/>
  <c r="AG225" i="1"/>
  <c r="AE225" i="1"/>
  <c r="AD225" i="1"/>
  <c r="AC225" i="1"/>
  <c r="AB225" i="1"/>
  <c r="AA225" i="1"/>
  <c r="V225" i="1"/>
  <c r="B225" i="1"/>
  <c r="BB224" i="1"/>
  <c r="BA224" i="1"/>
  <c r="AW224" i="1"/>
  <c r="AV224" i="1"/>
  <c r="AU224" i="1"/>
  <c r="AS224" i="1"/>
  <c r="AR224" i="1"/>
  <c r="AM224" i="1"/>
  <c r="AG224" i="1"/>
  <c r="AE224" i="1"/>
  <c r="AD224" i="1"/>
  <c r="AC224" i="1"/>
  <c r="AB224" i="1"/>
  <c r="AA224" i="1"/>
  <c r="V224" i="1"/>
  <c r="B224" i="1"/>
  <c r="BB223" i="1"/>
  <c r="BA223" i="1"/>
  <c r="AW223" i="1"/>
  <c r="AV223" i="1"/>
  <c r="AU223" i="1"/>
  <c r="AS223" i="1"/>
  <c r="AR223" i="1"/>
  <c r="AM223" i="1"/>
  <c r="AG223" i="1"/>
  <c r="AE223" i="1"/>
  <c r="AD223" i="1"/>
  <c r="AC223" i="1"/>
  <c r="AB223" i="1"/>
  <c r="AA223" i="1"/>
  <c r="V223" i="1"/>
  <c r="J223" i="1"/>
  <c r="B223" i="1"/>
  <c r="BB222" i="1"/>
  <c r="BA222" i="1"/>
  <c r="AW222" i="1"/>
  <c r="AV222" i="1"/>
  <c r="AU222" i="1"/>
  <c r="AT222" i="1"/>
  <c r="AS222" i="1"/>
  <c r="AR222" i="1"/>
  <c r="AM222" i="1"/>
  <c r="AG222" i="1"/>
  <c r="AE222" i="1"/>
  <c r="AD222" i="1"/>
  <c r="AC222" i="1"/>
  <c r="AB222" i="1"/>
  <c r="AA222" i="1"/>
  <c r="V222" i="1"/>
  <c r="B222" i="1"/>
  <c r="BB221" i="1"/>
  <c r="BA221" i="1"/>
  <c r="AW221" i="1"/>
  <c r="AV221" i="1"/>
  <c r="AU221" i="1"/>
  <c r="AT221" i="1"/>
  <c r="AS221" i="1"/>
  <c r="AR221" i="1"/>
  <c r="AM221" i="1"/>
  <c r="AG221" i="1"/>
  <c r="AE221" i="1"/>
  <c r="AD221" i="1"/>
  <c r="AC221" i="1"/>
  <c r="AB221" i="1"/>
  <c r="AA221" i="1"/>
  <c r="V221" i="1"/>
  <c r="B221" i="1"/>
  <c r="BB220" i="1"/>
  <c r="BA220" i="1"/>
  <c r="AW220" i="1"/>
  <c r="AV220" i="1"/>
  <c r="AU220" i="1"/>
  <c r="AS220" i="1"/>
  <c r="AR220" i="1"/>
  <c r="AM220" i="1"/>
  <c r="AG220" i="1"/>
  <c r="AE220" i="1"/>
  <c r="AD220" i="1"/>
  <c r="AC220" i="1"/>
  <c r="AB220" i="1"/>
  <c r="AA220" i="1"/>
  <c r="V220" i="1"/>
  <c r="B220" i="1"/>
  <c r="BB219" i="1"/>
  <c r="BA219" i="1"/>
  <c r="AW219" i="1"/>
  <c r="AV219" i="1"/>
  <c r="AU219" i="1"/>
  <c r="AS219" i="1"/>
  <c r="AM219" i="1"/>
  <c r="AG219" i="1"/>
  <c r="AE219" i="1"/>
  <c r="AD219" i="1"/>
  <c r="AC219" i="1"/>
  <c r="AB219" i="1"/>
  <c r="AA219" i="1"/>
  <c r="V219" i="1"/>
  <c r="B219" i="1"/>
  <c r="BB218" i="1"/>
  <c r="BA218" i="1"/>
  <c r="AW218" i="1"/>
  <c r="AV218" i="1"/>
  <c r="AU218" i="1"/>
  <c r="AS218" i="1"/>
  <c r="AR218" i="1"/>
  <c r="AM218" i="1"/>
  <c r="AG218" i="1"/>
  <c r="AE218" i="1"/>
  <c r="AD218" i="1"/>
  <c r="AC218" i="1"/>
  <c r="AB218" i="1"/>
  <c r="AA218" i="1"/>
  <c r="V218" i="1"/>
  <c r="B218" i="1"/>
  <c r="AW217" i="1"/>
  <c r="AV217" i="1"/>
  <c r="AU217" i="1"/>
  <c r="AT217" i="1"/>
  <c r="AS217" i="1"/>
  <c r="AR217" i="1"/>
  <c r="AM217" i="1"/>
  <c r="AG217" i="1"/>
  <c r="AE217" i="1"/>
  <c r="AD217" i="1"/>
  <c r="AC217" i="1"/>
  <c r="AB217" i="1"/>
  <c r="AA217" i="1"/>
  <c r="B217" i="1"/>
  <c r="BB216" i="1"/>
  <c r="BA216" i="1"/>
  <c r="AW216" i="1"/>
  <c r="AV216" i="1"/>
  <c r="AU216" i="1"/>
  <c r="AS216" i="1"/>
  <c r="AR216" i="1"/>
  <c r="AM216" i="1"/>
  <c r="AG216" i="1"/>
  <c r="AE216" i="1"/>
  <c r="AD216" i="1"/>
  <c r="AC216" i="1"/>
  <c r="AB216" i="1"/>
  <c r="AA216" i="1"/>
  <c r="V216" i="1"/>
  <c r="B216" i="1"/>
  <c r="BB215" i="1"/>
  <c r="BA215" i="1"/>
  <c r="AW215" i="1"/>
  <c r="AV215" i="1"/>
  <c r="AU215" i="1"/>
  <c r="AS215" i="1"/>
  <c r="AR215" i="1"/>
  <c r="AM215" i="1"/>
  <c r="AG215" i="1"/>
  <c r="AE215" i="1"/>
  <c r="AD215" i="1"/>
  <c r="AC215" i="1"/>
  <c r="AB215" i="1"/>
  <c r="AA215" i="1"/>
  <c r="V215" i="1"/>
  <c r="B215" i="1"/>
  <c r="BB214" i="1"/>
  <c r="BA214" i="1"/>
  <c r="AW214" i="1"/>
  <c r="AV214" i="1"/>
  <c r="AU214" i="1"/>
  <c r="AS214" i="1"/>
  <c r="AR214" i="1"/>
  <c r="AM214" i="1"/>
  <c r="AG214" i="1"/>
  <c r="AE214" i="1"/>
  <c r="AD214" i="1"/>
  <c r="AC214" i="1"/>
  <c r="AB214" i="1"/>
  <c r="AA214" i="1"/>
  <c r="V214" i="1"/>
  <c r="J214" i="1"/>
  <c r="B214" i="1"/>
  <c r="BB213" i="1"/>
  <c r="BA213" i="1"/>
  <c r="AW213" i="1"/>
  <c r="AV213" i="1"/>
  <c r="AU213" i="1"/>
  <c r="AM213" i="1"/>
  <c r="AG213" i="1"/>
  <c r="AE213" i="1"/>
  <c r="AD213" i="1"/>
  <c r="AC213" i="1"/>
  <c r="AB213" i="1"/>
  <c r="AA213" i="1"/>
  <c r="V213" i="1"/>
  <c r="B213" i="1"/>
  <c r="AW212" i="1"/>
  <c r="AV212" i="1"/>
  <c r="AU212" i="1"/>
  <c r="AT212" i="1"/>
  <c r="AS212" i="1"/>
  <c r="AR212" i="1"/>
  <c r="AM212" i="1"/>
  <c r="AE212" i="1"/>
  <c r="AD212" i="1"/>
  <c r="AC212" i="1"/>
  <c r="AB212" i="1"/>
  <c r="AA212" i="1"/>
  <c r="B212" i="1"/>
  <c r="BB211" i="1"/>
  <c r="BA211" i="1"/>
  <c r="AW211" i="1"/>
  <c r="AV211" i="1"/>
  <c r="AU211" i="1"/>
  <c r="AT211" i="1"/>
  <c r="AS211" i="1"/>
  <c r="AR211" i="1"/>
  <c r="AM211" i="1"/>
  <c r="AG211" i="1"/>
  <c r="AE211" i="1"/>
  <c r="AD211" i="1"/>
  <c r="AC211" i="1"/>
  <c r="AB211" i="1"/>
  <c r="AA211" i="1"/>
  <c r="B211" i="1"/>
  <c r="AW210" i="1"/>
  <c r="AV210" i="1"/>
  <c r="AU210" i="1"/>
  <c r="AT210" i="1"/>
  <c r="AS210" i="1"/>
  <c r="AR210" i="1"/>
  <c r="AM210" i="1"/>
  <c r="AG210" i="1"/>
  <c r="AE210" i="1"/>
  <c r="AD210" i="1"/>
  <c r="AC210" i="1"/>
  <c r="AB210" i="1"/>
  <c r="AA210" i="1"/>
  <c r="V210" i="1"/>
  <c r="B210" i="1"/>
  <c r="BB209" i="1"/>
  <c r="BA209" i="1"/>
  <c r="AW209" i="1"/>
  <c r="AV209" i="1"/>
  <c r="AU209" i="1"/>
  <c r="AT209" i="1"/>
  <c r="AS209" i="1"/>
  <c r="AR209" i="1"/>
  <c r="AM209" i="1"/>
  <c r="AG209" i="1"/>
  <c r="AE209" i="1"/>
  <c r="AD209" i="1"/>
  <c r="AC209" i="1"/>
  <c r="AB209" i="1"/>
  <c r="AA209" i="1"/>
  <c r="V209" i="1"/>
  <c r="J209" i="1"/>
  <c r="B209" i="1"/>
  <c r="BB208" i="1"/>
  <c r="BA208" i="1"/>
  <c r="AW208" i="1"/>
  <c r="AV208" i="1"/>
  <c r="AU208" i="1"/>
  <c r="AT208" i="1"/>
  <c r="AS208" i="1"/>
  <c r="AR208" i="1"/>
  <c r="AM208" i="1"/>
  <c r="AG208" i="1"/>
  <c r="AE208" i="1"/>
  <c r="AD208" i="1"/>
  <c r="AC208" i="1"/>
  <c r="AB208" i="1"/>
  <c r="AA208" i="1"/>
  <c r="V208" i="1"/>
  <c r="B208" i="1"/>
  <c r="BB207" i="1"/>
  <c r="BA207" i="1"/>
  <c r="AW207" i="1"/>
  <c r="AV207" i="1"/>
  <c r="AU207" i="1"/>
  <c r="AT207" i="1"/>
  <c r="AS207" i="1"/>
  <c r="AR207" i="1"/>
  <c r="AM207" i="1"/>
  <c r="AG207" i="1"/>
  <c r="AE207" i="1"/>
  <c r="AD207" i="1"/>
  <c r="AC207" i="1"/>
  <c r="AB207" i="1"/>
  <c r="AA207" i="1"/>
  <c r="V207" i="1"/>
  <c r="B207" i="1"/>
  <c r="BB206" i="1"/>
  <c r="BA206" i="1"/>
  <c r="AW206" i="1"/>
  <c r="AV206" i="1"/>
  <c r="AU206" i="1"/>
  <c r="AT206" i="1"/>
  <c r="AS206" i="1"/>
  <c r="AR206" i="1"/>
  <c r="AM206" i="1"/>
  <c r="AG206" i="1"/>
  <c r="AE206" i="1"/>
  <c r="AD206" i="1"/>
  <c r="AC206" i="1"/>
  <c r="AB206" i="1"/>
  <c r="AA206" i="1"/>
  <c r="V206" i="1"/>
  <c r="B206" i="1"/>
  <c r="BB205" i="1"/>
  <c r="BA205" i="1"/>
  <c r="AW205" i="1"/>
  <c r="AV205" i="1"/>
  <c r="AU205" i="1"/>
  <c r="AT205" i="1"/>
  <c r="AS205" i="1"/>
  <c r="AR205" i="1"/>
  <c r="AM205" i="1"/>
  <c r="AG205" i="1"/>
  <c r="AE205" i="1"/>
  <c r="AD205" i="1"/>
  <c r="AC205" i="1"/>
  <c r="AB205" i="1"/>
  <c r="AA205" i="1"/>
  <c r="V205" i="1"/>
  <c r="J205" i="1"/>
  <c r="B205" i="1"/>
  <c r="BB204" i="1"/>
  <c r="BA204" i="1"/>
  <c r="AW204" i="1"/>
  <c r="AV204" i="1"/>
  <c r="AU204" i="1"/>
  <c r="AT204" i="1"/>
  <c r="AS204" i="1"/>
  <c r="AR204" i="1"/>
  <c r="AM204" i="1"/>
  <c r="AG204" i="1"/>
  <c r="AE204" i="1"/>
  <c r="AD204" i="1"/>
  <c r="AC204" i="1"/>
  <c r="AB204" i="1"/>
  <c r="AA204" i="1"/>
  <c r="V204" i="1"/>
  <c r="B204" i="1"/>
  <c r="BB203" i="1"/>
  <c r="BA203" i="1"/>
  <c r="AW203" i="1"/>
  <c r="AV203" i="1"/>
  <c r="AU203" i="1"/>
  <c r="AT203" i="1"/>
  <c r="AS203" i="1"/>
  <c r="AR203" i="1"/>
  <c r="AM203" i="1"/>
  <c r="AG203" i="1"/>
  <c r="AE203" i="1"/>
  <c r="AD203" i="1"/>
  <c r="AC203" i="1"/>
  <c r="AB203" i="1"/>
  <c r="AA203" i="1"/>
  <c r="V203" i="1"/>
  <c r="B203" i="1"/>
  <c r="BB202" i="1"/>
  <c r="BA202" i="1"/>
  <c r="AW202" i="1"/>
  <c r="AV202" i="1"/>
  <c r="AU202" i="1"/>
  <c r="AT202" i="1"/>
  <c r="AS202" i="1"/>
  <c r="AR202" i="1"/>
  <c r="AM202" i="1"/>
  <c r="AG202" i="1"/>
  <c r="AE202" i="1"/>
  <c r="AD202" i="1"/>
  <c r="AC202" i="1"/>
  <c r="AB202" i="1"/>
  <c r="AA202" i="1"/>
  <c r="V202" i="1"/>
  <c r="B202" i="1"/>
  <c r="BB201" i="1"/>
  <c r="BA201" i="1"/>
  <c r="AW201" i="1"/>
  <c r="AV201" i="1"/>
  <c r="AU201" i="1"/>
  <c r="AT201" i="1"/>
  <c r="AS201" i="1"/>
  <c r="AR201" i="1"/>
  <c r="AM201" i="1"/>
  <c r="AG201" i="1"/>
  <c r="AE201" i="1"/>
  <c r="AD201" i="1"/>
  <c r="AC201" i="1"/>
  <c r="AB201" i="1"/>
  <c r="AA201" i="1"/>
  <c r="V201" i="1"/>
  <c r="J201" i="1"/>
  <c r="B201" i="1"/>
  <c r="BB200" i="1"/>
  <c r="BA200" i="1"/>
  <c r="AW200" i="1"/>
  <c r="AV200" i="1"/>
  <c r="AU200" i="1"/>
  <c r="AT200" i="1"/>
  <c r="AS200" i="1"/>
  <c r="AR200" i="1"/>
  <c r="AM200" i="1"/>
  <c r="AG200" i="1"/>
  <c r="AE200" i="1"/>
  <c r="AD200" i="1"/>
  <c r="AC200" i="1"/>
  <c r="AB200" i="1"/>
  <c r="AA200" i="1"/>
  <c r="V200" i="1"/>
  <c r="B200" i="1"/>
  <c r="BB199" i="1"/>
  <c r="BA199" i="1"/>
  <c r="AW199" i="1"/>
  <c r="AV199" i="1"/>
  <c r="AU199" i="1"/>
  <c r="AT199" i="1"/>
  <c r="AS199" i="1"/>
  <c r="AR199" i="1"/>
  <c r="AM199" i="1"/>
  <c r="AG199" i="1"/>
  <c r="AE199" i="1"/>
  <c r="AD199" i="1"/>
  <c r="AC199" i="1"/>
  <c r="AB199" i="1"/>
  <c r="AA199" i="1"/>
  <c r="V199" i="1"/>
  <c r="B199" i="1"/>
  <c r="BB198" i="1"/>
  <c r="BA198" i="1"/>
  <c r="AW198" i="1"/>
  <c r="AV198" i="1"/>
  <c r="AU198" i="1"/>
  <c r="AT198" i="1"/>
  <c r="AS198" i="1"/>
  <c r="AR198" i="1"/>
  <c r="AM198" i="1"/>
  <c r="AG198" i="1"/>
  <c r="AE198" i="1"/>
  <c r="AD198" i="1"/>
  <c r="AC198" i="1"/>
  <c r="AB198" i="1"/>
  <c r="AA198" i="1"/>
  <c r="V198" i="1"/>
  <c r="B198" i="1"/>
  <c r="BB197" i="1"/>
  <c r="BA197" i="1"/>
  <c r="AW197" i="1"/>
  <c r="AV197" i="1"/>
  <c r="AU197" i="1"/>
  <c r="AT197" i="1"/>
  <c r="AS197" i="1"/>
  <c r="AR197" i="1"/>
  <c r="AM197" i="1"/>
  <c r="AG197" i="1"/>
  <c r="AE197" i="1"/>
  <c r="AD197" i="1"/>
  <c r="AC197" i="1"/>
  <c r="AB197" i="1"/>
  <c r="AA197" i="1"/>
  <c r="V197" i="1"/>
  <c r="J197" i="1"/>
  <c r="B197" i="1"/>
  <c r="BB196" i="1"/>
  <c r="BA196" i="1"/>
  <c r="AW196" i="1"/>
  <c r="AV196" i="1"/>
  <c r="AU196" i="1"/>
  <c r="AT196" i="1"/>
  <c r="AS196" i="1"/>
  <c r="AR196" i="1"/>
  <c r="AM196" i="1"/>
  <c r="AG196" i="1"/>
  <c r="AE196" i="1"/>
  <c r="AD196" i="1"/>
  <c r="AC196" i="1"/>
  <c r="AB196" i="1"/>
  <c r="AA196" i="1"/>
  <c r="V196" i="1"/>
  <c r="B196" i="1"/>
  <c r="BB195" i="1"/>
  <c r="BA195" i="1"/>
  <c r="AW195" i="1"/>
  <c r="AV195" i="1"/>
  <c r="AU195" i="1"/>
  <c r="AT195" i="1"/>
  <c r="AS195" i="1"/>
  <c r="AR195" i="1"/>
  <c r="AM195" i="1"/>
  <c r="AG195" i="1"/>
  <c r="AE195" i="1"/>
  <c r="AD195" i="1"/>
  <c r="AC195" i="1"/>
  <c r="AB195" i="1"/>
  <c r="AA195" i="1"/>
  <c r="V195" i="1"/>
  <c r="B195" i="1"/>
  <c r="BB194" i="1"/>
  <c r="BA194" i="1"/>
  <c r="AW194" i="1"/>
  <c r="AV194" i="1"/>
  <c r="AU194" i="1"/>
  <c r="AT194" i="1"/>
  <c r="AS194" i="1"/>
  <c r="AR194" i="1"/>
  <c r="AM194" i="1"/>
  <c r="AG194" i="1"/>
  <c r="AE194" i="1"/>
  <c r="AD194" i="1"/>
  <c r="AC194" i="1"/>
  <c r="AB194" i="1"/>
  <c r="AA194" i="1"/>
  <c r="V194" i="1"/>
  <c r="B194" i="1"/>
  <c r="BB193" i="1"/>
  <c r="BA193" i="1"/>
  <c r="AW193" i="1"/>
  <c r="AV193" i="1"/>
  <c r="AU193" i="1"/>
  <c r="AT193" i="1"/>
  <c r="AS193" i="1"/>
  <c r="AR193" i="1"/>
  <c r="AM193" i="1"/>
  <c r="AG193" i="1"/>
  <c r="AE193" i="1"/>
  <c r="AD193" i="1"/>
  <c r="AC193" i="1"/>
  <c r="AB193" i="1"/>
  <c r="AA193" i="1"/>
  <c r="V193" i="1"/>
  <c r="J193" i="1"/>
  <c r="B193" i="1"/>
  <c r="BB192" i="1"/>
  <c r="BA192" i="1"/>
  <c r="AW192" i="1"/>
  <c r="AV192" i="1"/>
  <c r="AU192" i="1"/>
  <c r="AT192" i="1"/>
  <c r="AS192" i="1"/>
  <c r="AR192" i="1"/>
  <c r="AM192" i="1"/>
  <c r="AG192" i="1"/>
  <c r="AE192" i="1"/>
  <c r="AD192" i="1"/>
  <c r="AC192" i="1"/>
  <c r="AB192" i="1"/>
  <c r="AA192" i="1"/>
  <c r="V192" i="1"/>
  <c r="B192" i="1"/>
  <c r="BB191" i="1"/>
  <c r="BA191" i="1"/>
  <c r="AW191" i="1"/>
  <c r="AV191" i="1"/>
  <c r="AU191" i="1"/>
  <c r="AT191" i="1"/>
  <c r="AS191" i="1"/>
  <c r="AR191" i="1"/>
  <c r="AM191" i="1"/>
  <c r="AG191" i="1"/>
  <c r="AE191" i="1"/>
  <c r="AD191" i="1"/>
  <c r="AC191" i="1"/>
  <c r="AB191" i="1"/>
  <c r="AA191" i="1"/>
  <c r="V191" i="1"/>
  <c r="B191" i="1"/>
  <c r="BB190" i="1"/>
  <c r="BA190" i="1"/>
  <c r="AW190" i="1"/>
  <c r="AV190" i="1"/>
  <c r="AU190" i="1"/>
  <c r="AT190" i="1"/>
  <c r="AS190" i="1"/>
  <c r="AR190" i="1"/>
  <c r="AM190" i="1"/>
  <c r="AG190" i="1"/>
  <c r="AE190" i="1"/>
  <c r="AD190" i="1"/>
  <c r="AC190" i="1"/>
  <c r="AB190" i="1"/>
  <c r="AA190" i="1"/>
  <c r="V190" i="1"/>
  <c r="B190" i="1"/>
  <c r="BB189" i="1"/>
  <c r="BA189" i="1"/>
  <c r="AW189" i="1"/>
  <c r="AV189" i="1"/>
  <c r="AU189" i="1"/>
  <c r="AT189" i="1"/>
  <c r="AS189" i="1"/>
  <c r="AR189" i="1"/>
  <c r="AM189" i="1"/>
  <c r="AG189" i="1"/>
  <c r="AE189" i="1"/>
  <c r="AD189" i="1"/>
  <c r="AC189" i="1"/>
  <c r="AB189" i="1"/>
  <c r="AA189" i="1"/>
  <c r="V189" i="1"/>
  <c r="J189" i="1"/>
  <c r="B189" i="1"/>
  <c r="BB188" i="1"/>
  <c r="BA188" i="1"/>
  <c r="AW188" i="1"/>
  <c r="AV188" i="1"/>
  <c r="AU188" i="1"/>
  <c r="AT188" i="1"/>
  <c r="AS188" i="1"/>
  <c r="AR188" i="1"/>
  <c r="AM188" i="1"/>
  <c r="AG188" i="1"/>
  <c r="AE188" i="1"/>
  <c r="AD188" i="1"/>
  <c r="AC188" i="1"/>
  <c r="AB188" i="1"/>
  <c r="AA188" i="1"/>
  <c r="V188" i="1"/>
  <c r="B188" i="1"/>
  <c r="BB187" i="1"/>
  <c r="BA187" i="1"/>
  <c r="AW187" i="1"/>
  <c r="AV187" i="1"/>
  <c r="AU187" i="1"/>
  <c r="AT187" i="1"/>
  <c r="AS187" i="1"/>
  <c r="AR187" i="1"/>
  <c r="AM187" i="1"/>
  <c r="AG187" i="1"/>
  <c r="AE187" i="1"/>
  <c r="AD187" i="1"/>
  <c r="AC187" i="1"/>
  <c r="AB187" i="1"/>
  <c r="AA187" i="1"/>
  <c r="V187" i="1"/>
  <c r="B187" i="1"/>
  <c r="BB186" i="1"/>
  <c r="BA186" i="1"/>
  <c r="AW186" i="1"/>
  <c r="AV186" i="1"/>
  <c r="AU186" i="1"/>
  <c r="AT186" i="1"/>
  <c r="AS186" i="1"/>
  <c r="AR186" i="1"/>
  <c r="AM186" i="1"/>
  <c r="AG186" i="1"/>
  <c r="AE186" i="1"/>
  <c r="AD186" i="1"/>
  <c r="AC186" i="1"/>
  <c r="AB186" i="1"/>
  <c r="AA186" i="1"/>
  <c r="V186" i="1"/>
  <c r="B186" i="1"/>
  <c r="BB185" i="1"/>
  <c r="BA185" i="1"/>
  <c r="AW185" i="1"/>
  <c r="AV185" i="1"/>
  <c r="AU185" i="1"/>
  <c r="AT185" i="1"/>
  <c r="AS185" i="1"/>
  <c r="AR185" i="1"/>
  <c r="AM185" i="1"/>
  <c r="AG185" i="1"/>
  <c r="AE185" i="1"/>
  <c r="AD185" i="1"/>
  <c r="AC185" i="1"/>
  <c r="AB185" i="1"/>
  <c r="AA185" i="1"/>
  <c r="V185" i="1"/>
  <c r="J185" i="1"/>
  <c r="B185" i="1"/>
  <c r="BB184" i="1"/>
  <c r="BA184" i="1"/>
  <c r="AW184" i="1"/>
  <c r="AV184" i="1"/>
  <c r="AU184" i="1"/>
  <c r="AT184" i="1"/>
  <c r="AS184" i="1"/>
  <c r="AR184" i="1"/>
  <c r="AM184" i="1"/>
  <c r="AG184" i="1"/>
  <c r="AE184" i="1"/>
  <c r="AD184" i="1"/>
  <c r="AC184" i="1"/>
  <c r="AB184" i="1"/>
  <c r="AA184" i="1"/>
  <c r="V184" i="1"/>
  <c r="B184" i="1"/>
  <c r="BB183" i="1"/>
  <c r="BA183" i="1"/>
  <c r="AW183" i="1"/>
  <c r="AV183" i="1"/>
  <c r="AU183" i="1"/>
  <c r="AT183" i="1"/>
  <c r="AR183" i="1"/>
  <c r="AM183" i="1"/>
  <c r="AG183" i="1"/>
  <c r="AE183" i="1"/>
  <c r="AD183" i="1"/>
  <c r="AC183" i="1"/>
  <c r="AB183" i="1"/>
  <c r="AA183" i="1"/>
  <c r="V183" i="1"/>
  <c r="J183" i="1"/>
  <c r="B183" i="1"/>
  <c r="BB182" i="1"/>
  <c r="BA182" i="1"/>
  <c r="AW182" i="1"/>
  <c r="AV182" i="1"/>
  <c r="AU182" i="1"/>
  <c r="AT182" i="1"/>
  <c r="AS182" i="1"/>
  <c r="AR182" i="1"/>
  <c r="AM182" i="1"/>
  <c r="AG182" i="1"/>
  <c r="AE182" i="1"/>
  <c r="AD182" i="1"/>
  <c r="AC182" i="1"/>
  <c r="AB182" i="1"/>
  <c r="AA182" i="1"/>
  <c r="V182" i="1"/>
  <c r="B182" i="1"/>
  <c r="AW181" i="1"/>
  <c r="AV181" i="1"/>
  <c r="AU181" i="1"/>
  <c r="AT181" i="1"/>
  <c r="AS181" i="1"/>
  <c r="AR181" i="1"/>
  <c r="AM181" i="1"/>
  <c r="AE181" i="1"/>
  <c r="AD181" i="1"/>
  <c r="AC181" i="1"/>
  <c r="AB181" i="1"/>
  <c r="AA181" i="1"/>
  <c r="J181" i="1"/>
  <c r="B181" i="1"/>
  <c r="BB180" i="1"/>
  <c r="BA180" i="1"/>
  <c r="AW180" i="1"/>
  <c r="AV180" i="1"/>
  <c r="AU180" i="1"/>
  <c r="AT180" i="1"/>
  <c r="AS180" i="1"/>
  <c r="AR180" i="1"/>
  <c r="AM180" i="1"/>
  <c r="AG180" i="1"/>
  <c r="AE180" i="1"/>
  <c r="AD180" i="1"/>
  <c r="AC180" i="1"/>
  <c r="AB180" i="1"/>
  <c r="AA180" i="1"/>
  <c r="V180" i="1"/>
  <c r="B180" i="1"/>
  <c r="BB179" i="1"/>
  <c r="BA179" i="1"/>
  <c r="AW179" i="1"/>
  <c r="AV179" i="1"/>
  <c r="AU179" i="1"/>
  <c r="AT179" i="1"/>
  <c r="AS179" i="1"/>
  <c r="AR179" i="1"/>
  <c r="AM179" i="1"/>
  <c r="AG179" i="1"/>
  <c r="AE179" i="1"/>
  <c r="AD179" i="1"/>
  <c r="AC179" i="1"/>
  <c r="AB179" i="1"/>
  <c r="AA179" i="1"/>
  <c r="V179" i="1"/>
  <c r="B179" i="1"/>
  <c r="BB178" i="1"/>
  <c r="BA178" i="1"/>
  <c r="AW178" i="1"/>
  <c r="AV178" i="1"/>
  <c r="AU178" i="1"/>
  <c r="AT178" i="1"/>
  <c r="AS178" i="1"/>
  <c r="AR178" i="1"/>
  <c r="AM178" i="1"/>
  <c r="AG178" i="1"/>
  <c r="AE178" i="1"/>
  <c r="AD178" i="1"/>
  <c r="AC178" i="1"/>
  <c r="AB178" i="1"/>
  <c r="AA178" i="1"/>
  <c r="V178" i="1"/>
  <c r="B178" i="1"/>
  <c r="BB177" i="1"/>
  <c r="BA177" i="1"/>
  <c r="AW177" i="1"/>
  <c r="AV177" i="1"/>
  <c r="AU177" i="1"/>
  <c r="AT177" i="1"/>
  <c r="AS177" i="1"/>
  <c r="AR177" i="1"/>
  <c r="AM177" i="1"/>
  <c r="AG177" i="1"/>
  <c r="AE177" i="1"/>
  <c r="AD177" i="1"/>
  <c r="AC177" i="1"/>
  <c r="AB177" i="1"/>
  <c r="AA177" i="1"/>
  <c r="V177" i="1"/>
  <c r="J177" i="1"/>
  <c r="B177" i="1"/>
  <c r="BB176" i="1"/>
  <c r="BA176" i="1"/>
  <c r="AW176" i="1"/>
  <c r="AV176" i="1"/>
  <c r="AU176" i="1"/>
  <c r="AT176" i="1"/>
  <c r="AS176" i="1"/>
  <c r="AR176" i="1"/>
  <c r="AM176" i="1"/>
  <c r="AG176" i="1"/>
  <c r="AE176" i="1"/>
  <c r="AD176" i="1"/>
  <c r="AC176" i="1"/>
  <c r="AB176" i="1"/>
  <c r="AA176" i="1"/>
  <c r="V176" i="1"/>
  <c r="B176" i="1"/>
  <c r="BB175" i="1"/>
  <c r="BA175" i="1"/>
  <c r="AW175" i="1"/>
  <c r="AV175" i="1"/>
  <c r="AU175" i="1"/>
  <c r="AT175" i="1"/>
  <c r="AS175" i="1"/>
  <c r="AR175" i="1"/>
  <c r="AM175" i="1"/>
  <c r="AG175" i="1"/>
  <c r="AE175" i="1"/>
  <c r="AD175" i="1"/>
  <c r="AC175" i="1"/>
  <c r="AB175" i="1"/>
  <c r="AA175" i="1"/>
  <c r="V175" i="1"/>
  <c r="B175" i="1"/>
  <c r="BB174" i="1"/>
  <c r="BA174" i="1"/>
  <c r="AW174" i="1"/>
  <c r="AV174" i="1"/>
  <c r="AU174" i="1"/>
  <c r="AS174" i="1"/>
  <c r="AR174" i="1"/>
  <c r="AM174" i="1"/>
  <c r="AG174" i="1"/>
  <c r="AE174" i="1"/>
  <c r="AD174" i="1"/>
  <c r="AC174" i="1"/>
  <c r="AB174" i="1"/>
  <c r="AA174" i="1"/>
  <c r="V174" i="1"/>
  <c r="J174" i="1"/>
  <c r="B174" i="1"/>
  <c r="BB173" i="1"/>
  <c r="BA173" i="1"/>
  <c r="AW173" i="1"/>
  <c r="AV173" i="1"/>
  <c r="AU173" i="1"/>
  <c r="AT173" i="1"/>
  <c r="AS173" i="1"/>
  <c r="AR173" i="1"/>
  <c r="AM173" i="1"/>
  <c r="AG173" i="1"/>
  <c r="AE173" i="1"/>
  <c r="AD173" i="1"/>
  <c r="AC173" i="1"/>
  <c r="AB173" i="1"/>
  <c r="AA173" i="1"/>
  <c r="V173" i="1"/>
  <c r="B173" i="1"/>
  <c r="AW172" i="1"/>
  <c r="AV172" i="1"/>
  <c r="AU172" i="1"/>
  <c r="AT172" i="1"/>
  <c r="AS172" i="1"/>
  <c r="AR172" i="1"/>
  <c r="AM172" i="1"/>
  <c r="AE172" i="1"/>
  <c r="AD172" i="1"/>
  <c r="AC172" i="1"/>
  <c r="AB172" i="1"/>
  <c r="AA172" i="1"/>
  <c r="J172" i="1"/>
  <c r="B172" i="1"/>
  <c r="AW171" i="1"/>
  <c r="AV171" i="1"/>
  <c r="AU171" i="1"/>
  <c r="AT171" i="1"/>
  <c r="AS171" i="1"/>
  <c r="AR171" i="1"/>
  <c r="AM171" i="1"/>
  <c r="AE171" i="1"/>
  <c r="AD171" i="1"/>
  <c r="AC171" i="1"/>
  <c r="AB171" i="1"/>
  <c r="AA171" i="1"/>
  <c r="B171" i="1"/>
  <c r="BB170" i="1"/>
  <c r="BA170" i="1"/>
  <c r="AW170" i="1"/>
  <c r="AV170" i="1"/>
  <c r="AU170" i="1"/>
  <c r="AT170" i="1"/>
  <c r="AS170" i="1"/>
  <c r="AR170" i="1"/>
  <c r="AM170" i="1"/>
  <c r="AG170" i="1"/>
  <c r="AE170" i="1"/>
  <c r="AD170" i="1"/>
  <c r="AC170" i="1"/>
  <c r="AB170" i="1"/>
  <c r="AA170" i="1"/>
  <c r="V170" i="1"/>
  <c r="J170" i="1"/>
  <c r="B170" i="1"/>
  <c r="BB169" i="1"/>
  <c r="BA169" i="1"/>
  <c r="AW169" i="1"/>
  <c r="AV169" i="1"/>
  <c r="AU169" i="1"/>
  <c r="AT169" i="1"/>
  <c r="AS169" i="1"/>
  <c r="AR169" i="1"/>
  <c r="AM169" i="1"/>
  <c r="AG169" i="1"/>
  <c r="AE169" i="1"/>
  <c r="AD169" i="1"/>
  <c r="AC169" i="1"/>
  <c r="AB169" i="1"/>
  <c r="AA169" i="1"/>
  <c r="B169" i="1"/>
  <c r="BB168" i="1"/>
  <c r="BA168" i="1"/>
  <c r="AW168" i="1"/>
  <c r="AV168" i="1"/>
  <c r="AU168" i="1"/>
  <c r="AR168" i="1"/>
  <c r="AM168" i="1"/>
  <c r="AG168" i="1"/>
  <c r="AE168" i="1"/>
  <c r="AD168" i="1"/>
  <c r="AC168" i="1"/>
  <c r="AB168" i="1"/>
  <c r="AA168" i="1"/>
  <c r="V168" i="1"/>
  <c r="B168" i="1"/>
  <c r="BB167" i="1"/>
  <c r="BA167" i="1"/>
  <c r="AW167" i="1"/>
  <c r="AV167" i="1"/>
  <c r="AU167" i="1"/>
  <c r="AT167" i="1"/>
  <c r="AS167" i="1"/>
  <c r="AR167" i="1"/>
  <c r="AM167" i="1"/>
  <c r="AG167" i="1"/>
  <c r="AE167" i="1"/>
  <c r="AD167" i="1"/>
  <c r="AC167" i="1"/>
  <c r="AB167" i="1"/>
  <c r="AA167" i="1"/>
  <c r="V167" i="1"/>
  <c r="J167" i="1"/>
  <c r="B167" i="1"/>
  <c r="BB166" i="1"/>
  <c r="BA166" i="1"/>
  <c r="AW166" i="1"/>
  <c r="AV166" i="1"/>
  <c r="AU166" i="1"/>
  <c r="AT166" i="1"/>
  <c r="AS166" i="1"/>
  <c r="AR166" i="1"/>
  <c r="AM166" i="1"/>
  <c r="AG166" i="1"/>
  <c r="AE166" i="1"/>
  <c r="AD166" i="1"/>
  <c r="AC166" i="1"/>
  <c r="AB166" i="1"/>
  <c r="AA166" i="1"/>
  <c r="V166" i="1"/>
  <c r="B166" i="1"/>
  <c r="BB165" i="1"/>
  <c r="BA165" i="1"/>
  <c r="AW165" i="1"/>
  <c r="AV165" i="1"/>
  <c r="AU165" i="1"/>
  <c r="AT165" i="1"/>
  <c r="AS165" i="1"/>
  <c r="AR165" i="1"/>
  <c r="AM165" i="1"/>
  <c r="AG165" i="1"/>
  <c r="AE165" i="1"/>
  <c r="AD165" i="1"/>
  <c r="AC165" i="1"/>
  <c r="AB165" i="1"/>
  <c r="AA165" i="1"/>
  <c r="V165" i="1"/>
  <c r="B165" i="1"/>
  <c r="BB164" i="1"/>
  <c r="BA164" i="1"/>
  <c r="AW164" i="1"/>
  <c r="AV164" i="1"/>
  <c r="AU164" i="1"/>
  <c r="AT164" i="1"/>
  <c r="AS164" i="1"/>
  <c r="AR164" i="1"/>
  <c r="AM164" i="1"/>
  <c r="AG164" i="1"/>
  <c r="AE164" i="1"/>
  <c r="AD164" i="1"/>
  <c r="AC164" i="1"/>
  <c r="AB164" i="1"/>
  <c r="AA164" i="1"/>
  <c r="V164" i="1"/>
  <c r="B164" i="1"/>
  <c r="BB163" i="1"/>
  <c r="BA163" i="1"/>
  <c r="AW163" i="1"/>
  <c r="AV163" i="1"/>
  <c r="AU163" i="1"/>
  <c r="AT163" i="1"/>
  <c r="AS163" i="1"/>
  <c r="AR163" i="1"/>
  <c r="AM163" i="1"/>
  <c r="AG163" i="1"/>
  <c r="AE163" i="1"/>
  <c r="AD163" i="1"/>
  <c r="AC163" i="1"/>
  <c r="AB163" i="1"/>
  <c r="AA163" i="1"/>
  <c r="V163" i="1"/>
  <c r="J163" i="1"/>
  <c r="B163" i="1"/>
  <c r="BB162" i="1"/>
  <c r="BA162" i="1"/>
  <c r="AW162" i="1"/>
  <c r="AV162" i="1"/>
  <c r="AU162" i="1"/>
  <c r="AM162" i="1"/>
  <c r="AG162" i="1"/>
  <c r="AE162" i="1"/>
  <c r="AD162" i="1"/>
  <c r="AC162" i="1"/>
  <c r="AB162" i="1"/>
  <c r="AA162" i="1"/>
  <c r="V162" i="1"/>
  <c r="B162" i="1"/>
  <c r="BB161" i="1"/>
  <c r="BA161" i="1"/>
  <c r="AW161" i="1"/>
  <c r="AV161" i="1"/>
  <c r="AU161" i="1"/>
  <c r="AT161" i="1"/>
  <c r="AS161" i="1"/>
  <c r="AR161" i="1"/>
  <c r="AM161" i="1"/>
  <c r="AG161" i="1"/>
  <c r="AE161" i="1"/>
  <c r="AD161" i="1"/>
  <c r="AC161" i="1"/>
  <c r="AB161" i="1"/>
  <c r="AA161" i="1"/>
  <c r="V161" i="1"/>
  <c r="B161" i="1"/>
  <c r="BB160" i="1"/>
  <c r="BA160" i="1"/>
  <c r="AW160" i="1"/>
  <c r="AV160" i="1"/>
  <c r="AU160" i="1"/>
  <c r="AT160" i="1"/>
  <c r="AS160" i="1"/>
  <c r="AR160" i="1"/>
  <c r="AM160" i="1"/>
  <c r="AG160" i="1"/>
  <c r="AE160" i="1"/>
  <c r="AD160" i="1"/>
  <c r="AC160" i="1"/>
  <c r="AB160" i="1"/>
  <c r="AA160" i="1"/>
  <c r="V160" i="1"/>
  <c r="B160" i="1"/>
  <c r="BB159" i="1"/>
  <c r="BA159" i="1"/>
  <c r="AW159" i="1"/>
  <c r="AV159" i="1"/>
  <c r="AU159" i="1"/>
  <c r="AS159" i="1"/>
  <c r="AR159" i="1"/>
  <c r="AM159" i="1"/>
  <c r="AG159" i="1"/>
  <c r="AE159" i="1"/>
  <c r="AD159" i="1"/>
  <c r="AC159" i="1"/>
  <c r="AB159" i="1"/>
  <c r="AA159" i="1"/>
  <c r="V159" i="1"/>
  <c r="B159" i="1"/>
  <c r="BB158" i="1"/>
  <c r="BA158" i="1"/>
  <c r="AW158" i="1"/>
  <c r="AV158" i="1"/>
  <c r="AU158" i="1"/>
  <c r="AT158" i="1"/>
  <c r="AS158" i="1"/>
  <c r="AR158" i="1"/>
  <c r="AM158" i="1"/>
  <c r="AG158" i="1"/>
  <c r="AE158" i="1"/>
  <c r="AD158" i="1"/>
  <c r="AC158" i="1"/>
  <c r="AB158" i="1"/>
  <c r="AA158" i="1"/>
  <c r="V158" i="1"/>
  <c r="B158" i="1"/>
  <c r="AW157" i="1"/>
  <c r="AV157" i="1"/>
  <c r="AU157" i="1"/>
  <c r="AS157" i="1"/>
  <c r="AR157" i="1"/>
  <c r="AM157" i="1"/>
  <c r="AE157" i="1"/>
  <c r="AD157" i="1"/>
  <c r="AC157" i="1"/>
  <c r="AB157" i="1"/>
  <c r="AA157" i="1"/>
  <c r="V157" i="1"/>
  <c r="B157" i="1"/>
  <c r="BB156" i="1"/>
  <c r="BA156" i="1"/>
  <c r="AW156" i="1"/>
  <c r="AV156" i="1"/>
  <c r="AU156" i="1"/>
  <c r="AS156" i="1"/>
  <c r="AR156" i="1"/>
  <c r="AM156" i="1"/>
  <c r="AG156" i="1"/>
  <c r="AE156" i="1"/>
  <c r="AD156" i="1"/>
  <c r="AC156" i="1"/>
  <c r="AB156" i="1"/>
  <c r="AA156" i="1"/>
  <c r="V156" i="1"/>
  <c r="J156" i="1"/>
  <c r="B156" i="1"/>
  <c r="BB155" i="1"/>
  <c r="BA155" i="1"/>
  <c r="AW155" i="1"/>
  <c r="AV155" i="1"/>
  <c r="AU155" i="1"/>
  <c r="AS155" i="1"/>
  <c r="AR155" i="1"/>
  <c r="AM155" i="1"/>
  <c r="AG155" i="1"/>
  <c r="AE155" i="1"/>
  <c r="AD155" i="1"/>
  <c r="AC155" i="1"/>
  <c r="AB155" i="1"/>
  <c r="AA155" i="1"/>
  <c r="V155" i="1"/>
  <c r="B155" i="1"/>
  <c r="AW154" i="1"/>
  <c r="AV154" i="1"/>
  <c r="AU154" i="1"/>
  <c r="AS154" i="1"/>
  <c r="AR154" i="1"/>
  <c r="AM154" i="1"/>
  <c r="AG154" i="1"/>
  <c r="AE154" i="1"/>
  <c r="AD154" i="1"/>
  <c r="AC154" i="1"/>
  <c r="AB154" i="1"/>
  <c r="AA154" i="1"/>
  <c r="V154" i="1"/>
  <c r="J154" i="1"/>
  <c r="B154" i="1"/>
  <c r="BB153" i="1"/>
  <c r="BA153" i="1"/>
  <c r="AW153" i="1"/>
  <c r="AV153" i="1"/>
  <c r="AU153" i="1"/>
  <c r="AS153" i="1"/>
  <c r="AR153" i="1"/>
  <c r="AM153" i="1"/>
  <c r="AG153" i="1"/>
  <c r="AE153" i="1"/>
  <c r="AD153" i="1"/>
  <c r="AC153" i="1"/>
  <c r="AB153" i="1"/>
  <c r="AA153" i="1"/>
  <c r="V153" i="1"/>
  <c r="B153" i="1"/>
  <c r="BB152" i="1"/>
  <c r="BA152" i="1"/>
  <c r="AW152" i="1"/>
  <c r="AV152" i="1"/>
  <c r="AU152" i="1"/>
  <c r="AS152" i="1"/>
  <c r="AR152" i="1"/>
  <c r="AM152" i="1"/>
  <c r="AG152" i="1"/>
  <c r="AE152" i="1"/>
  <c r="AD152" i="1"/>
  <c r="AC152" i="1"/>
  <c r="AB152" i="1"/>
  <c r="AA152" i="1"/>
  <c r="V152" i="1"/>
  <c r="B152" i="1"/>
  <c r="BB151" i="1"/>
  <c r="BA151" i="1"/>
  <c r="AV151" i="1"/>
  <c r="AS151" i="1"/>
  <c r="AR151" i="1"/>
  <c r="AM151" i="1"/>
  <c r="AG151" i="1"/>
  <c r="AE151" i="1"/>
  <c r="AD151" i="1"/>
  <c r="AC151" i="1"/>
  <c r="AB151" i="1"/>
  <c r="AA151" i="1"/>
  <c r="V151" i="1"/>
  <c r="B151" i="1"/>
  <c r="BB150" i="1"/>
  <c r="BA150" i="1"/>
  <c r="AW150" i="1"/>
  <c r="AV150" i="1"/>
  <c r="AU150" i="1"/>
  <c r="AR150" i="1"/>
  <c r="AM150" i="1"/>
  <c r="AG150" i="1"/>
  <c r="AE150" i="1"/>
  <c r="AD150" i="1"/>
  <c r="AC150" i="1"/>
  <c r="AB150" i="1"/>
  <c r="AA150" i="1"/>
  <c r="V150" i="1"/>
  <c r="B150" i="1"/>
  <c r="BB149" i="1"/>
  <c r="BA149" i="1"/>
  <c r="AW149" i="1"/>
  <c r="AV149" i="1"/>
  <c r="AU149" i="1"/>
  <c r="AS149" i="1"/>
  <c r="AM149" i="1"/>
  <c r="AG149" i="1"/>
  <c r="AE149" i="1"/>
  <c r="AD149" i="1"/>
  <c r="AC149" i="1"/>
  <c r="AB149" i="1"/>
  <c r="AA149" i="1"/>
  <c r="V149" i="1"/>
  <c r="B149" i="1"/>
  <c r="BB148" i="1"/>
  <c r="BA148" i="1"/>
  <c r="AW148" i="1"/>
  <c r="AV148" i="1"/>
  <c r="AU148" i="1"/>
  <c r="AS148" i="1"/>
  <c r="AR148" i="1"/>
  <c r="AM148" i="1"/>
  <c r="AG148" i="1"/>
  <c r="AE148" i="1"/>
  <c r="AD148" i="1"/>
  <c r="AC148" i="1"/>
  <c r="AB148" i="1"/>
  <c r="AA148" i="1"/>
  <c r="V148" i="1"/>
  <c r="B148" i="1"/>
  <c r="AW147" i="1"/>
  <c r="AV147" i="1"/>
  <c r="AU147" i="1"/>
  <c r="AT147" i="1"/>
  <c r="AS147" i="1"/>
  <c r="AR147" i="1"/>
  <c r="AM147" i="1"/>
  <c r="AE147" i="1"/>
  <c r="AD147" i="1"/>
  <c r="AC147" i="1"/>
  <c r="AB147" i="1"/>
  <c r="AA147" i="1"/>
  <c r="J147" i="1"/>
  <c r="B147" i="1"/>
  <c r="BB146" i="1"/>
  <c r="BA146" i="1"/>
  <c r="AW146" i="1"/>
  <c r="AV146" i="1"/>
  <c r="AU146" i="1"/>
  <c r="AT146" i="1"/>
  <c r="AS146" i="1"/>
  <c r="AR146" i="1"/>
  <c r="AM146" i="1"/>
  <c r="AG146" i="1"/>
  <c r="AE146" i="1"/>
  <c r="AD146" i="1"/>
  <c r="AC146" i="1"/>
  <c r="AB146" i="1"/>
  <c r="AA146" i="1"/>
  <c r="V146" i="1"/>
  <c r="B146" i="1"/>
  <c r="BB145" i="1"/>
  <c r="BA145" i="1"/>
  <c r="AW145" i="1"/>
  <c r="AV145" i="1"/>
  <c r="AU145" i="1"/>
  <c r="AT145" i="1"/>
  <c r="AS145" i="1"/>
  <c r="AR145" i="1"/>
  <c r="AM145" i="1"/>
  <c r="AG145" i="1"/>
  <c r="AE145" i="1"/>
  <c r="AD145" i="1"/>
  <c r="AC145" i="1"/>
  <c r="AB145" i="1"/>
  <c r="AA145" i="1"/>
  <c r="V145" i="1"/>
  <c r="B145" i="1"/>
  <c r="BB144" i="1"/>
  <c r="BA144" i="1"/>
  <c r="AW144" i="1"/>
  <c r="AV144" i="1"/>
  <c r="AU144" i="1"/>
  <c r="AS144" i="1"/>
  <c r="AR144" i="1"/>
  <c r="AM144" i="1"/>
  <c r="AG144" i="1"/>
  <c r="AE144" i="1"/>
  <c r="AD144" i="1"/>
  <c r="AC144" i="1"/>
  <c r="AB144" i="1"/>
  <c r="AA144" i="1"/>
  <c r="V144" i="1"/>
  <c r="B144" i="1"/>
  <c r="BB143" i="1"/>
  <c r="BA143" i="1"/>
  <c r="AW143" i="1"/>
  <c r="AV143" i="1"/>
  <c r="AU143" i="1"/>
  <c r="AT143" i="1"/>
  <c r="AS143" i="1"/>
  <c r="AR143" i="1"/>
  <c r="AM143" i="1"/>
  <c r="AG143" i="1"/>
  <c r="AE143" i="1"/>
  <c r="AD143" i="1"/>
  <c r="AC143" i="1"/>
  <c r="AB143" i="1"/>
  <c r="AA143" i="1"/>
  <c r="V143" i="1"/>
  <c r="B143" i="1"/>
  <c r="BB142" i="1"/>
  <c r="BA142" i="1"/>
  <c r="AW142" i="1"/>
  <c r="AV142" i="1"/>
  <c r="AU142" i="1"/>
  <c r="AS142" i="1"/>
  <c r="AR142" i="1"/>
  <c r="AM142" i="1"/>
  <c r="AG142" i="1"/>
  <c r="AE142" i="1"/>
  <c r="AD142" i="1"/>
  <c r="AC142" i="1"/>
  <c r="AB142" i="1"/>
  <c r="AA142" i="1"/>
  <c r="V142" i="1"/>
  <c r="J142" i="1"/>
  <c r="B142" i="1"/>
  <c r="BB141" i="1"/>
  <c r="BA141" i="1"/>
  <c r="AW141" i="1"/>
  <c r="AV141" i="1"/>
  <c r="AU141" i="1"/>
  <c r="AM141" i="1"/>
  <c r="AG141" i="1"/>
  <c r="AE141" i="1"/>
  <c r="AD141" i="1"/>
  <c r="AC141" i="1"/>
  <c r="AB141" i="1"/>
  <c r="AA141" i="1"/>
  <c r="V141" i="1"/>
  <c r="B141" i="1"/>
  <c r="BB140" i="1"/>
  <c r="BA140" i="1"/>
  <c r="AW140" i="1"/>
  <c r="AV140" i="1"/>
  <c r="AU140" i="1"/>
  <c r="AS140" i="1"/>
  <c r="AR140" i="1"/>
  <c r="AM140" i="1"/>
  <c r="AG140" i="1"/>
  <c r="AE140" i="1"/>
  <c r="AD140" i="1"/>
  <c r="AC140" i="1"/>
  <c r="AB140" i="1"/>
  <c r="AA140" i="1"/>
  <c r="V140" i="1"/>
  <c r="J140" i="1"/>
  <c r="B140" i="1"/>
  <c r="AW139" i="1"/>
  <c r="AV139" i="1"/>
  <c r="AU139" i="1"/>
  <c r="AT139" i="1"/>
  <c r="AS139" i="1"/>
  <c r="AR139" i="1"/>
  <c r="AM139" i="1"/>
  <c r="AE139" i="1"/>
  <c r="AD139" i="1"/>
  <c r="AC139" i="1"/>
  <c r="AB139" i="1"/>
  <c r="AA139" i="1"/>
  <c r="B139" i="1"/>
  <c r="BB138" i="1"/>
  <c r="BA138" i="1"/>
  <c r="AW138" i="1"/>
  <c r="AV138" i="1"/>
  <c r="AU138" i="1"/>
  <c r="AS138" i="1"/>
  <c r="AM138" i="1"/>
  <c r="AG138" i="1"/>
  <c r="AE138" i="1"/>
  <c r="AD138" i="1"/>
  <c r="AC138" i="1"/>
  <c r="AB138" i="1"/>
  <c r="AA138" i="1"/>
  <c r="V138" i="1"/>
  <c r="B138" i="1"/>
  <c r="BB137" i="1"/>
  <c r="BA137" i="1"/>
  <c r="AW137" i="1"/>
  <c r="AV137" i="1"/>
  <c r="AU137" i="1"/>
  <c r="AR137" i="1"/>
  <c r="AM137" i="1"/>
  <c r="AG137" i="1"/>
  <c r="AE137" i="1"/>
  <c r="AD137" i="1"/>
  <c r="AC137" i="1"/>
  <c r="AB137" i="1"/>
  <c r="AA137" i="1"/>
  <c r="V137" i="1"/>
  <c r="B137" i="1"/>
  <c r="BB136" i="1"/>
  <c r="BA136" i="1"/>
  <c r="AW136" i="1"/>
  <c r="AV136" i="1"/>
  <c r="AU136" i="1"/>
  <c r="AS136" i="1"/>
  <c r="AM136" i="1"/>
  <c r="AG136" i="1"/>
  <c r="AE136" i="1"/>
  <c r="AD136" i="1"/>
  <c r="AC136" i="1"/>
  <c r="AB136" i="1"/>
  <c r="AA136" i="1"/>
  <c r="V136" i="1"/>
  <c r="B136" i="1"/>
  <c r="BB135" i="1"/>
  <c r="BA135" i="1"/>
  <c r="AW135" i="1"/>
  <c r="AV135" i="1"/>
  <c r="AU135" i="1"/>
  <c r="AT135" i="1"/>
  <c r="AS135" i="1"/>
  <c r="AR135" i="1"/>
  <c r="AM135" i="1"/>
  <c r="AG135" i="1"/>
  <c r="AE135" i="1"/>
  <c r="AD135" i="1"/>
  <c r="AC135" i="1"/>
  <c r="AB135" i="1"/>
  <c r="AA135" i="1"/>
  <c r="V135" i="1"/>
  <c r="J135" i="1"/>
  <c r="B135" i="1"/>
  <c r="BB134" i="1"/>
  <c r="BA134" i="1"/>
  <c r="AW134" i="1"/>
  <c r="AV134" i="1"/>
  <c r="AU134" i="1"/>
  <c r="AT134" i="1"/>
  <c r="AS134" i="1"/>
  <c r="AR134" i="1"/>
  <c r="AM134" i="1"/>
  <c r="AG134" i="1"/>
  <c r="AE134" i="1"/>
  <c r="AD134" i="1"/>
  <c r="AC134" i="1"/>
  <c r="AB134" i="1"/>
  <c r="AA134" i="1"/>
  <c r="V134" i="1"/>
  <c r="B134" i="1"/>
  <c r="BB133" i="1"/>
  <c r="BA133" i="1"/>
  <c r="AW133" i="1"/>
  <c r="AV133" i="1"/>
  <c r="AU133" i="1"/>
  <c r="AT133" i="1"/>
  <c r="AS133" i="1"/>
  <c r="AR133" i="1"/>
  <c r="AM133" i="1"/>
  <c r="AG133" i="1"/>
  <c r="AE133" i="1"/>
  <c r="AD133" i="1"/>
  <c r="AC133" i="1"/>
  <c r="AB133" i="1"/>
  <c r="AA133" i="1"/>
  <c r="V133" i="1"/>
  <c r="B133" i="1"/>
  <c r="BB132" i="1"/>
  <c r="BA132" i="1"/>
  <c r="AW132" i="1"/>
  <c r="AV132" i="1"/>
  <c r="AU132" i="1"/>
  <c r="AT132" i="1"/>
  <c r="AS132" i="1"/>
  <c r="AR132" i="1"/>
  <c r="AM132" i="1"/>
  <c r="AG132" i="1"/>
  <c r="AE132" i="1"/>
  <c r="AD132" i="1"/>
  <c r="AC132" i="1"/>
  <c r="AB132" i="1"/>
  <c r="AA132" i="1"/>
  <c r="V132" i="1"/>
  <c r="B132" i="1"/>
  <c r="AW131" i="1"/>
  <c r="AV131" i="1"/>
  <c r="AU131" i="1"/>
  <c r="AS131" i="1"/>
  <c r="AR131" i="1"/>
  <c r="AM131" i="1"/>
  <c r="AE131" i="1"/>
  <c r="AD131" i="1"/>
  <c r="AC131" i="1"/>
  <c r="AB131" i="1"/>
  <c r="AA131" i="1"/>
  <c r="J131" i="1"/>
  <c r="B131" i="1"/>
  <c r="BB130" i="1"/>
  <c r="BA130" i="1"/>
  <c r="AW130" i="1"/>
  <c r="AV130" i="1"/>
  <c r="AU130" i="1"/>
  <c r="AT130" i="1"/>
  <c r="AS130" i="1"/>
  <c r="AR130" i="1"/>
  <c r="AM130" i="1"/>
  <c r="AG130" i="1"/>
  <c r="AE130" i="1"/>
  <c r="AD130" i="1"/>
  <c r="AC130" i="1"/>
  <c r="AB130" i="1"/>
  <c r="AA130" i="1"/>
  <c r="B130" i="1"/>
  <c r="BB129" i="1"/>
  <c r="BA129" i="1"/>
  <c r="AW129" i="1"/>
  <c r="AV129" i="1"/>
  <c r="AU129" i="1"/>
  <c r="AS129" i="1"/>
  <c r="AR129" i="1"/>
  <c r="AM129" i="1"/>
  <c r="AG129" i="1"/>
  <c r="AE129" i="1"/>
  <c r="AD129" i="1"/>
  <c r="AC129" i="1"/>
  <c r="AB129" i="1"/>
  <c r="AA129" i="1"/>
  <c r="V129" i="1"/>
  <c r="B129" i="1"/>
  <c r="BB128" i="1"/>
  <c r="BA128" i="1"/>
  <c r="AW128" i="1"/>
  <c r="AV128" i="1"/>
  <c r="AU128" i="1"/>
  <c r="AT128" i="1"/>
  <c r="AM128" i="1"/>
  <c r="AG128" i="1"/>
  <c r="AE128" i="1"/>
  <c r="AD128" i="1"/>
  <c r="AC128" i="1"/>
  <c r="AB128" i="1"/>
  <c r="AA128" i="1"/>
  <c r="V128" i="1"/>
  <c r="B128" i="1"/>
  <c r="BB127" i="1"/>
  <c r="BA127" i="1"/>
  <c r="AV127" i="1"/>
  <c r="AU127" i="1"/>
  <c r="AT127" i="1"/>
  <c r="AS127" i="1"/>
  <c r="AR127" i="1"/>
  <c r="AM127" i="1"/>
  <c r="AG127" i="1"/>
  <c r="AE127" i="1"/>
  <c r="AD127" i="1"/>
  <c r="AC127" i="1"/>
  <c r="AB127" i="1"/>
  <c r="AA127" i="1"/>
  <c r="V127" i="1"/>
  <c r="B127" i="1"/>
  <c r="BB126" i="1"/>
  <c r="BA126" i="1"/>
  <c r="AW126" i="1"/>
  <c r="AV126" i="1"/>
  <c r="AU126" i="1"/>
  <c r="AT126" i="1"/>
  <c r="AS126" i="1"/>
  <c r="AR126" i="1"/>
  <c r="AM126" i="1"/>
  <c r="AG126" i="1"/>
  <c r="AE126" i="1"/>
  <c r="AD126" i="1"/>
  <c r="AC126" i="1"/>
  <c r="AB126" i="1"/>
  <c r="AA126" i="1"/>
  <c r="V126" i="1"/>
  <c r="J126" i="1"/>
  <c r="B126" i="1"/>
  <c r="BB125" i="1"/>
  <c r="BA125" i="1"/>
  <c r="AW125" i="1"/>
  <c r="AV125" i="1"/>
  <c r="AU125" i="1"/>
  <c r="AT125" i="1"/>
  <c r="AS125" i="1"/>
  <c r="AR125" i="1"/>
  <c r="AM125" i="1"/>
  <c r="AG125" i="1"/>
  <c r="AE125" i="1"/>
  <c r="AD125" i="1"/>
  <c r="AC125" i="1"/>
  <c r="AB125" i="1"/>
  <c r="AA125" i="1"/>
  <c r="V125" i="1"/>
  <c r="B125" i="1"/>
  <c r="BB124" i="1"/>
  <c r="BA124" i="1"/>
  <c r="AW124" i="1"/>
  <c r="AV124" i="1"/>
  <c r="AU124" i="1"/>
  <c r="AT124" i="1"/>
  <c r="AS124" i="1"/>
  <c r="AR124" i="1"/>
  <c r="AM124" i="1"/>
  <c r="AG124" i="1"/>
  <c r="AE124" i="1"/>
  <c r="AD124" i="1"/>
  <c r="AC124" i="1"/>
  <c r="AB124" i="1"/>
  <c r="AA124" i="1"/>
  <c r="V124" i="1"/>
  <c r="B124" i="1"/>
  <c r="BB123" i="1"/>
  <c r="BA123" i="1"/>
  <c r="AW123" i="1"/>
  <c r="AV123" i="1"/>
  <c r="AU123" i="1"/>
  <c r="AS123" i="1"/>
  <c r="AR123" i="1"/>
  <c r="AM123" i="1"/>
  <c r="AG123" i="1"/>
  <c r="AE123" i="1"/>
  <c r="AD123" i="1"/>
  <c r="AC123" i="1"/>
  <c r="AB123" i="1"/>
  <c r="AA123" i="1"/>
  <c r="V123" i="1"/>
  <c r="B123" i="1"/>
  <c r="BB122" i="1"/>
  <c r="BA122" i="1"/>
  <c r="AW122" i="1"/>
  <c r="AV122" i="1"/>
  <c r="AU122" i="1"/>
  <c r="AT122" i="1"/>
  <c r="AS122" i="1"/>
  <c r="AR122" i="1"/>
  <c r="AM122" i="1"/>
  <c r="AG122" i="1"/>
  <c r="AE122" i="1"/>
  <c r="AD122" i="1"/>
  <c r="AC122" i="1"/>
  <c r="AB122" i="1"/>
  <c r="AA122" i="1"/>
  <c r="V122" i="1"/>
  <c r="B122" i="1"/>
  <c r="BB121" i="1"/>
  <c r="BA121" i="1"/>
  <c r="AW121" i="1"/>
  <c r="AV121" i="1"/>
  <c r="AU121" i="1"/>
  <c r="AR121" i="1"/>
  <c r="AM121" i="1"/>
  <c r="AG121" i="1"/>
  <c r="AE121" i="1"/>
  <c r="AD121" i="1"/>
  <c r="AC121" i="1"/>
  <c r="AB121" i="1"/>
  <c r="AA121" i="1"/>
  <c r="V121" i="1"/>
  <c r="B121" i="1"/>
  <c r="BB120" i="1"/>
  <c r="BA120" i="1"/>
  <c r="AW120" i="1"/>
  <c r="AV120" i="1"/>
  <c r="AU120" i="1"/>
  <c r="AM120" i="1"/>
  <c r="AG120" i="1"/>
  <c r="AE120" i="1"/>
  <c r="AD120" i="1"/>
  <c r="AC120" i="1"/>
  <c r="AB120" i="1"/>
  <c r="AA120" i="1"/>
  <c r="V120" i="1"/>
  <c r="B120" i="1"/>
  <c r="BB119" i="1"/>
  <c r="BA119" i="1"/>
  <c r="AW119" i="1"/>
  <c r="AV119" i="1"/>
  <c r="AU119" i="1"/>
  <c r="AT119" i="1"/>
  <c r="AS119" i="1"/>
  <c r="AR119" i="1"/>
  <c r="AM119" i="1"/>
  <c r="AG119" i="1"/>
  <c r="AE119" i="1"/>
  <c r="AD119" i="1"/>
  <c r="AC119" i="1"/>
  <c r="AB119" i="1"/>
  <c r="AA119" i="1"/>
  <c r="V119" i="1"/>
  <c r="J119" i="1"/>
  <c r="B119" i="1"/>
  <c r="BB118" i="1"/>
  <c r="BA118" i="1"/>
  <c r="AW118" i="1"/>
  <c r="AV118" i="1"/>
  <c r="AU118" i="1"/>
  <c r="AT118" i="1"/>
  <c r="AS118" i="1"/>
  <c r="AR118" i="1"/>
  <c r="AM118" i="1"/>
  <c r="AG118" i="1"/>
  <c r="AE118" i="1"/>
  <c r="AD118" i="1"/>
  <c r="AC118" i="1"/>
  <c r="AB118" i="1"/>
  <c r="AA118" i="1"/>
  <c r="V118" i="1"/>
  <c r="B118" i="1"/>
  <c r="BB117" i="1"/>
  <c r="BA117" i="1"/>
  <c r="AW117" i="1"/>
  <c r="AV117" i="1"/>
  <c r="AU117" i="1"/>
  <c r="AS117" i="1"/>
  <c r="AR117" i="1"/>
  <c r="AM117" i="1"/>
  <c r="AG117" i="1"/>
  <c r="AE117" i="1"/>
  <c r="AD117" i="1"/>
  <c r="AC117" i="1"/>
  <c r="AB117" i="1"/>
  <c r="AA117" i="1"/>
  <c r="V117" i="1"/>
  <c r="J117" i="1"/>
  <c r="B117" i="1"/>
  <c r="BB116" i="1"/>
  <c r="BA116" i="1"/>
  <c r="AW116" i="1"/>
  <c r="AV116" i="1"/>
  <c r="AU116" i="1"/>
  <c r="AT116" i="1"/>
  <c r="AS116" i="1"/>
  <c r="AR116" i="1"/>
  <c r="AM116" i="1"/>
  <c r="AG116" i="1"/>
  <c r="AE116" i="1"/>
  <c r="AD116" i="1"/>
  <c r="AC116" i="1"/>
  <c r="AB116" i="1"/>
  <c r="AA116" i="1"/>
  <c r="V116" i="1"/>
  <c r="B116" i="1"/>
  <c r="BB115" i="1"/>
  <c r="BA115" i="1"/>
  <c r="AW115" i="1"/>
  <c r="AV115" i="1"/>
  <c r="AU115" i="1"/>
  <c r="AS115" i="1"/>
  <c r="AR115" i="1"/>
  <c r="AM115" i="1"/>
  <c r="AG115" i="1"/>
  <c r="AE115" i="1"/>
  <c r="AD115" i="1"/>
  <c r="AC115" i="1"/>
  <c r="AB115" i="1"/>
  <c r="AA115" i="1"/>
  <c r="V115" i="1"/>
  <c r="B115" i="1"/>
  <c r="BB114" i="1"/>
  <c r="BA114" i="1"/>
  <c r="AW114" i="1"/>
  <c r="AV114" i="1"/>
  <c r="AU114" i="1"/>
  <c r="AS114" i="1"/>
  <c r="AR114" i="1"/>
  <c r="AM114" i="1"/>
  <c r="AG114" i="1"/>
  <c r="AE114" i="1"/>
  <c r="AD114" i="1"/>
  <c r="AC114" i="1"/>
  <c r="AB114" i="1"/>
  <c r="AA114" i="1"/>
  <c r="V114" i="1"/>
  <c r="B114" i="1"/>
  <c r="BB113" i="1"/>
  <c r="BA113" i="1"/>
  <c r="AW113" i="1"/>
  <c r="AV113" i="1"/>
  <c r="AU113" i="1"/>
  <c r="AS113" i="1"/>
  <c r="AR113" i="1"/>
  <c r="AM113" i="1"/>
  <c r="AG113" i="1"/>
  <c r="AE113" i="1"/>
  <c r="AD113" i="1"/>
  <c r="AC113" i="1"/>
  <c r="AB113" i="1"/>
  <c r="AA113" i="1"/>
  <c r="V113" i="1"/>
  <c r="J113" i="1"/>
  <c r="B113" i="1"/>
  <c r="AW112" i="1"/>
  <c r="AV112" i="1"/>
  <c r="AU112" i="1"/>
  <c r="AT112" i="1"/>
  <c r="AS112" i="1"/>
  <c r="AR112" i="1"/>
  <c r="AM112" i="1"/>
  <c r="AE112" i="1"/>
  <c r="AD112" i="1"/>
  <c r="AC112" i="1"/>
  <c r="AB112" i="1"/>
  <c r="AA112" i="1"/>
  <c r="B112" i="1"/>
  <c r="BB111" i="1"/>
  <c r="BA111" i="1"/>
  <c r="AW111" i="1"/>
  <c r="AV111" i="1"/>
  <c r="AU111" i="1"/>
  <c r="AS111" i="1"/>
  <c r="AR111" i="1"/>
  <c r="AM111" i="1"/>
  <c r="AG111" i="1"/>
  <c r="AE111" i="1"/>
  <c r="AD111" i="1"/>
  <c r="AC111" i="1"/>
  <c r="AB111" i="1"/>
  <c r="AA111" i="1"/>
  <c r="V111" i="1"/>
  <c r="B111" i="1"/>
  <c r="BB110" i="1"/>
  <c r="BA110" i="1"/>
  <c r="AW110" i="1"/>
  <c r="AV110" i="1"/>
  <c r="AU110" i="1"/>
  <c r="AM110" i="1"/>
  <c r="AG110" i="1"/>
  <c r="AE110" i="1"/>
  <c r="AD110" i="1"/>
  <c r="AC110" i="1"/>
  <c r="AB110" i="1"/>
  <c r="AA110" i="1"/>
  <c r="V110" i="1"/>
  <c r="B110" i="1"/>
  <c r="BB109" i="1"/>
  <c r="BA109" i="1"/>
  <c r="AW109" i="1"/>
  <c r="AV109" i="1"/>
  <c r="AU109" i="1"/>
  <c r="AT109" i="1"/>
  <c r="AS109" i="1"/>
  <c r="AR109" i="1"/>
  <c r="AM109" i="1"/>
  <c r="AG109" i="1"/>
  <c r="AE109" i="1"/>
  <c r="AD109" i="1"/>
  <c r="AC109" i="1"/>
  <c r="AB109" i="1"/>
  <c r="AA109" i="1"/>
  <c r="V109" i="1"/>
  <c r="J109" i="1"/>
  <c r="B109" i="1"/>
  <c r="BB108" i="1"/>
  <c r="BA108" i="1"/>
  <c r="AW108" i="1"/>
  <c r="AV108" i="1"/>
  <c r="AU108" i="1"/>
  <c r="AS108" i="1"/>
  <c r="AR108" i="1"/>
  <c r="AM108" i="1"/>
  <c r="AG108" i="1"/>
  <c r="AE108" i="1"/>
  <c r="AD108" i="1"/>
  <c r="AC108" i="1"/>
  <c r="AB108" i="1"/>
  <c r="AA108" i="1"/>
  <c r="V108" i="1"/>
  <c r="B108" i="1"/>
  <c r="AW107" i="1"/>
  <c r="AV107" i="1"/>
  <c r="AU107" i="1"/>
  <c r="AT107" i="1"/>
  <c r="AS107" i="1"/>
  <c r="AR107" i="1"/>
  <c r="AM107" i="1"/>
  <c r="AG107" i="1"/>
  <c r="AE107" i="1"/>
  <c r="AD107" i="1"/>
  <c r="AC107" i="1"/>
  <c r="AB107" i="1"/>
  <c r="AA107" i="1"/>
  <c r="V107" i="1"/>
  <c r="B107" i="1"/>
  <c r="BB106" i="1"/>
  <c r="BA106" i="1"/>
  <c r="AW106" i="1"/>
  <c r="AV106" i="1"/>
  <c r="AU106" i="1"/>
  <c r="AS106" i="1"/>
  <c r="AR106" i="1"/>
  <c r="AM106" i="1"/>
  <c r="AG106" i="1"/>
  <c r="AE106" i="1"/>
  <c r="AD106" i="1"/>
  <c r="AC106" i="1"/>
  <c r="AB106" i="1"/>
  <c r="AA106" i="1"/>
  <c r="V106" i="1"/>
  <c r="B106" i="1"/>
  <c r="BB105" i="1"/>
  <c r="AW105" i="1"/>
  <c r="AV105" i="1"/>
  <c r="AU105" i="1"/>
  <c r="AT105" i="1"/>
  <c r="AS105" i="1"/>
  <c r="AR105" i="1"/>
  <c r="AM105" i="1"/>
  <c r="AG105" i="1"/>
  <c r="AE105" i="1"/>
  <c r="AD105" i="1"/>
  <c r="AC105" i="1"/>
  <c r="AB105" i="1"/>
  <c r="AA105" i="1"/>
  <c r="V105" i="1"/>
  <c r="J105" i="1"/>
  <c r="B105" i="1"/>
  <c r="AW104" i="1"/>
  <c r="AV104" i="1"/>
  <c r="AU104" i="1"/>
  <c r="AT104" i="1"/>
  <c r="AS104" i="1"/>
  <c r="AR104" i="1"/>
  <c r="AM104" i="1"/>
  <c r="AG104" i="1"/>
  <c r="AE104" i="1"/>
  <c r="AD104" i="1"/>
  <c r="AC104" i="1"/>
  <c r="AB104" i="1"/>
  <c r="AA104" i="1"/>
  <c r="B104" i="1"/>
  <c r="BB103" i="1"/>
  <c r="BA103" i="1"/>
  <c r="AW103" i="1"/>
  <c r="AV103" i="1"/>
  <c r="AU103" i="1"/>
  <c r="AT103" i="1"/>
  <c r="AS103" i="1"/>
  <c r="AR103" i="1"/>
  <c r="AM103" i="1"/>
  <c r="AG103" i="1"/>
  <c r="AE103" i="1"/>
  <c r="AD103" i="1"/>
  <c r="AC103" i="1"/>
  <c r="AB103" i="1"/>
  <c r="AA103" i="1"/>
  <c r="V103" i="1"/>
  <c r="B103" i="1"/>
  <c r="BB102" i="1"/>
  <c r="BA102" i="1"/>
  <c r="AW102" i="1"/>
  <c r="AV102" i="1"/>
  <c r="AU102" i="1"/>
  <c r="AS102" i="1"/>
  <c r="AR102" i="1"/>
  <c r="AM102" i="1"/>
  <c r="AE102" i="1"/>
  <c r="AD102" i="1"/>
  <c r="AC102" i="1"/>
  <c r="AB102" i="1"/>
  <c r="AA102" i="1"/>
  <c r="J102" i="1"/>
  <c r="B102" i="1"/>
  <c r="BB101" i="1"/>
  <c r="BA101" i="1"/>
  <c r="AW101" i="1"/>
  <c r="AV101" i="1"/>
  <c r="AU101" i="1"/>
  <c r="AM101" i="1"/>
  <c r="AG101" i="1"/>
  <c r="AE101" i="1"/>
  <c r="AD101" i="1"/>
  <c r="AC101" i="1"/>
  <c r="AB101" i="1"/>
  <c r="AA101" i="1"/>
  <c r="V101" i="1"/>
  <c r="B101" i="1"/>
  <c r="BB100" i="1"/>
  <c r="BA100" i="1"/>
  <c r="AW100" i="1"/>
  <c r="AV100" i="1"/>
  <c r="AU100" i="1"/>
  <c r="AT100" i="1"/>
  <c r="AS100" i="1"/>
  <c r="AR100" i="1"/>
  <c r="AM100" i="1"/>
  <c r="AG100" i="1"/>
  <c r="AE100" i="1"/>
  <c r="AD100" i="1"/>
  <c r="AC100" i="1"/>
  <c r="AB100" i="1"/>
  <c r="AA100" i="1"/>
  <c r="V100" i="1"/>
  <c r="B100" i="1"/>
  <c r="BB99" i="1"/>
  <c r="BA99" i="1"/>
  <c r="AW99" i="1"/>
  <c r="AV99" i="1"/>
  <c r="AU99" i="1"/>
  <c r="AT99" i="1"/>
  <c r="AS99" i="1"/>
  <c r="AR99" i="1"/>
  <c r="AM99" i="1"/>
  <c r="AG99" i="1"/>
  <c r="AE99" i="1"/>
  <c r="AD99" i="1"/>
  <c r="AC99" i="1"/>
  <c r="AB99" i="1"/>
  <c r="AA99" i="1"/>
  <c r="V99" i="1"/>
  <c r="B99" i="1"/>
  <c r="BB98" i="1"/>
  <c r="BA98" i="1"/>
  <c r="AW98" i="1"/>
  <c r="AV98" i="1"/>
  <c r="AU98" i="1"/>
  <c r="AT98" i="1"/>
  <c r="AS98" i="1"/>
  <c r="AR98" i="1"/>
  <c r="AM98" i="1"/>
  <c r="AG98" i="1"/>
  <c r="AE98" i="1"/>
  <c r="AD98" i="1"/>
  <c r="AC98" i="1"/>
  <c r="AB98" i="1"/>
  <c r="AA98" i="1"/>
  <c r="V98" i="1"/>
  <c r="J98" i="1"/>
  <c r="B98" i="1"/>
  <c r="BB97" i="1"/>
  <c r="BA97" i="1"/>
  <c r="AW97" i="1"/>
  <c r="AV97" i="1"/>
  <c r="AU97" i="1"/>
  <c r="AT97" i="1"/>
  <c r="AS97" i="1"/>
  <c r="AR97" i="1"/>
  <c r="AM97" i="1"/>
  <c r="AG97" i="1"/>
  <c r="AE97" i="1"/>
  <c r="AD97" i="1"/>
  <c r="AC97" i="1"/>
  <c r="AB97" i="1"/>
  <c r="AA97" i="1"/>
  <c r="V97" i="1"/>
  <c r="B97" i="1"/>
  <c r="BB96" i="1"/>
  <c r="BA96" i="1"/>
  <c r="AW96" i="1"/>
  <c r="AV96" i="1"/>
  <c r="AU96" i="1"/>
  <c r="AT96" i="1"/>
  <c r="AS96" i="1"/>
  <c r="AR96" i="1"/>
  <c r="AM96" i="1"/>
  <c r="AG96" i="1"/>
  <c r="AE96" i="1"/>
  <c r="AD96" i="1"/>
  <c r="AC96" i="1"/>
  <c r="AB96" i="1"/>
  <c r="AA96" i="1"/>
  <c r="V96" i="1"/>
  <c r="B96" i="1"/>
  <c r="BB95" i="1"/>
  <c r="BA95" i="1"/>
  <c r="AW95" i="1"/>
  <c r="AV95" i="1"/>
  <c r="AU95" i="1"/>
  <c r="AT95" i="1"/>
  <c r="AS95" i="1"/>
  <c r="AR95" i="1"/>
  <c r="AM95" i="1"/>
  <c r="AG95" i="1"/>
  <c r="AE95" i="1"/>
  <c r="AD95" i="1"/>
  <c r="AC95" i="1"/>
  <c r="AB95" i="1"/>
  <c r="AA95" i="1"/>
  <c r="V95" i="1"/>
  <c r="B95" i="1"/>
  <c r="BB94" i="1"/>
  <c r="BA94" i="1"/>
  <c r="AW94" i="1"/>
  <c r="AV94" i="1"/>
  <c r="AU94" i="1"/>
  <c r="AT94" i="1"/>
  <c r="AS94" i="1"/>
  <c r="AR94" i="1"/>
  <c r="AM94" i="1"/>
  <c r="AG94" i="1"/>
  <c r="AE94" i="1"/>
  <c r="AD94" i="1"/>
  <c r="AC94" i="1"/>
  <c r="AB94" i="1"/>
  <c r="AA94" i="1"/>
  <c r="V94" i="1"/>
  <c r="J94" i="1"/>
  <c r="B94" i="1"/>
  <c r="BB93" i="1"/>
  <c r="BA93" i="1"/>
  <c r="AW93" i="1"/>
  <c r="AV93" i="1"/>
  <c r="AU93" i="1"/>
  <c r="AT93" i="1"/>
  <c r="AS93" i="1"/>
  <c r="AR93" i="1"/>
  <c r="AM93" i="1"/>
  <c r="AG93" i="1"/>
  <c r="AE93" i="1"/>
  <c r="AD93" i="1"/>
  <c r="AC93" i="1"/>
  <c r="AB93" i="1"/>
  <c r="AA93" i="1"/>
  <c r="V93" i="1"/>
  <c r="B93" i="1"/>
  <c r="BB92" i="1"/>
  <c r="BA92" i="1"/>
  <c r="AW92" i="1"/>
  <c r="AV92" i="1"/>
  <c r="AU92" i="1"/>
  <c r="AT92" i="1"/>
  <c r="AS92" i="1"/>
  <c r="AR92" i="1"/>
  <c r="AM92" i="1"/>
  <c r="AG92" i="1"/>
  <c r="AE92" i="1"/>
  <c r="AD92" i="1"/>
  <c r="AC92" i="1"/>
  <c r="AB92" i="1"/>
  <c r="AA92" i="1"/>
  <c r="V92" i="1"/>
  <c r="B92" i="1"/>
  <c r="BB91" i="1"/>
  <c r="BA91" i="1"/>
  <c r="AW91" i="1"/>
  <c r="AV91" i="1"/>
  <c r="AU91" i="1"/>
  <c r="AT91" i="1"/>
  <c r="AS91" i="1"/>
  <c r="AR91" i="1"/>
  <c r="AM91" i="1"/>
  <c r="AG91" i="1"/>
  <c r="AE91" i="1"/>
  <c r="AD91" i="1"/>
  <c r="AC91" i="1"/>
  <c r="AB91" i="1"/>
  <c r="AA91" i="1"/>
  <c r="V91" i="1"/>
  <c r="B91" i="1"/>
  <c r="BB90" i="1"/>
  <c r="BA90" i="1"/>
  <c r="AW90" i="1"/>
  <c r="AV90" i="1"/>
  <c r="AU90" i="1"/>
  <c r="AS90" i="1"/>
  <c r="AR90" i="1"/>
  <c r="AM90" i="1"/>
  <c r="AG90" i="1"/>
  <c r="AE90" i="1"/>
  <c r="AD90" i="1"/>
  <c r="AC90" i="1"/>
  <c r="AB90" i="1"/>
  <c r="AA90" i="1"/>
  <c r="V90" i="1"/>
  <c r="B90" i="1"/>
  <c r="BB89" i="1"/>
  <c r="BA89" i="1"/>
  <c r="AW89" i="1"/>
  <c r="AV89" i="1"/>
  <c r="AU89" i="1"/>
  <c r="AS89" i="1"/>
  <c r="AR89" i="1"/>
  <c r="AM89" i="1"/>
  <c r="AG89" i="1"/>
  <c r="AE89" i="1"/>
  <c r="AD89" i="1"/>
  <c r="AC89" i="1"/>
  <c r="AB89" i="1"/>
  <c r="AA89" i="1"/>
  <c r="V89" i="1"/>
  <c r="J89" i="1"/>
  <c r="B89" i="1"/>
  <c r="AW88" i="1"/>
  <c r="AV88" i="1"/>
  <c r="AU88" i="1"/>
  <c r="AT88" i="1"/>
  <c r="AS88" i="1"/>
  <c r="AR88" i="1"/>
  <c r="AM88" i="1"/>
  <c r="AE88" i="1"/>
  <c r="AD88" i="1"/>
  <c r="AC88" i="1"/>
  <c r="AB88" i="1"/>
  <c r="AA88" i="1"/>
  <c r="V88" i="1"/>
  <c r="B88" i="1"/>
  <c r="BB87" i="1"/>
  <c r="BA87" i="1"/>
  <c r="AW87" i="1"/>
  <c r="AV87" i="1"/>
  <c r="AU87" i="1"/>
  <c r="AT87" i="1"/>
  <c r="AS87" i="1"/>
  <c r="AR87" i="1"/>
  <c r="AM87" i="1"/>
  <c r="AG87" i="1"/>
  <c r="AE87" i="1"/>
  <c r="AD87" i="1"/>
  <c r="AC87" i="1"/>
  <c r="AB87" i="1"/>
  <c r="AA87" i="1"/>
  <c r="V87" i="1"/>
  <c r="B87" i="1"/>
  <c r="BB86" i="1"/>
  <c r="BA86" i="1"/>
  <c r="AW86" i="1"/>
  <c r="AV86" i="1"/>
  <c r="AU86" i="1"/>
  <c r="AT86" i="1"/>
  <c r="AS86" i="1"/>
  <c r="AR86" i="1"/>
  <c r="AM86" i="1"/>
  <c r="AG86" i="1"/>
  <c r="AE86" i="1"/>
  <c r="AD86" i="1"/>
  <c r="AC86" i="1"/>
  <c r="AB86" i="1"/>
  <c r="AA86" i="1"/>
  <c r="V86" i="1"/>
  <c r="J86" i="1"/>
  <c r="B86" i="1"/>
  <c r="BB85" i="1"/>
  <c r="BA85" i="1"/>
  <c r="AW85" i="1"/>
  <c r="AV85" i="1"/>
  <c r="AU85" i="1"/>
  <c r="AM85" i="1"/>
  <c r="AG85" i="1"/>
  <c r="AE85" i="1"/>
  <c r="AD85" i="1"/>
  <c r="AC85" i="1"/>
  <c r="AB85" i="1"/>
  <c r="AA85" i="1"/>
  <c r="V85" i="1"/>
  <c r="B85" i="1"/>
  <c r="BB84" i="1"/>
  <c r="BA84" i="1"/>
  <c r="AW84" i="1"/>
  <c r="AV84" i="1"/>
  <c r="AU84" i="1"/>
  <c r="AT84" i="1"/>
  <c r="AS84" i="1"/>
  <c r="AR84" i="1"/>
  <c r="AM84" i="1"/>
  <c r="AG84" i="1"/>
  <c r="AE84" i="1"/>
  <c r="AD84" i="1"/>
  <c r="AC84" i="1"/>
  <c r="AB84" i="1"/>
  <c r="AA84" i="1"/>
  <c r="V84" i="1"/>
  <c r="B84" i="1"/>
  <c r="BB83" i="1"/>
  <c r="BA83" i="1"/>
  <c r="AW83" i="1"/>
  <c r="AV83" i="1"/>
  <c r="AU83" i="1"/>
  <c r="AT83" i="1"/>
  <c r="AS83" i="1"/>
  <c r="AR83" i="1"/>
  <c r="AM83" i="1"/>
  <c r="AG83" i="1"/>
  <c r="AE83" i="1"/>
  <c r="AD83" i="1"/>
  <c r="AC83" i="1"/>
  <c r="AB83" i="1"/>
  <c r="AA83" i="1"/>
  <c r="V83" i="1"/>
  <c r="B83" i="1"/>
  <c r="BB82" i="1"/>
  <c r="BA82" i="1"/>
  <c r="AW82" i="1"/>
  <c r="AV82" i="1"/>
  <c r="AU82" i="1"/>
  <c r="AT82" i="1"/>
  <c r="AS82" i="1"/>
  <c r="AR82" i="1"/>
  <c r="AM82" i="1"/>
  <c r="AG82" i="1"/>
  <c r="AE82" i="1"/>
  <c r="AD82" i="1"/>
  <c r="AC82" i="1"/>
  <c r="AB82" i="1"/>
  <c r="AA82" i="1"/>
  <c r="V82" i="1"/>
  <c r="J82" i="1"/>
  <c r="B82" i="1"/>
  <c r="BB81" i="1"/>
  <c r="BA81" i="1"/>
  <c r="AW81" i="1"/>
  <c r="AV81" i="1"/>
  <c r="AU81" i="1"/>
  <c r="AS81" i="1"/>
  <c r="AR81" i="1"/>
  <c r="AM81" i="1"/>
  <c r="AG81" i="1"/>
  <c r="AE81" i="1"/>
  <c r="AD81" i="1"/>
  <c r="AC81" i="1"/>
  <c r="AB81" i="1"/>
  <c r="AA81" i="1"/>
  <c r="V81" i="1"/>
  <c r="B81" i="1"/>
  <c r="BB80" i="1"/>
  <c r="BA80" i="1"/>
  <c r="AW80" i="1"/>
  <c r="AV80" i="1"/>
  <c r="AU80" i="1"/>
  <c r="AT80" i="1"/>
  <c r="AS80" i="1"/>
  <c r="AR80" i="1"/>
  <c r="AM80" i="1"/>
  <c r="AG80" i="1"/>
  <c r="AE80" i="1"/>
  <c r="AD80" i="1"/>
  <c r="AC80" i="1"/>
  <c r="AB80" i="1"/>
  <c r="AA80" i="1"/>
  <c r="V80" i="1"/>
  <c r="J80" i="1"/>
  <c r="B80" i="1"/>
  <c r="BB79" i="1"/>
  <c r="BA79" i="1"/>
  <c r="AW79" i="1"/>
  <c r="AV79" i="1"/>
  <c r="AU79" i="1"/>
  <c r="AT79" i="1"/>
  <c r="AS79" i="1"/>
  <c r="AR79" i="1"/>
  <c r="AM79" i="1"/>
  <c r="AG79" i="1"/>
  <c r="AE79" i="1"/>
  <c r="AD79" i="1"/>
  <c r="AC79" i="1"/>
  <c r="AB79" i="1"/>
  <c r="AA79" i="1"/>
  <c r="V79" i="1"/>
  <c r="B79" i="1"/>
  <c r="BB78" i="1"/>
  <c r="BA78" i="1"/>
  <c r="AW78" i="1"/>
  <c r="AV78" i="1"/>
  <c r="AU78" i="1"/>
  <c r="AS78" i="1"/>
  <c r="AR78" i="1"/>
  <c r="AM78" i="1"/>
  <c r="AG78" i="1"/>
  <c r="AE78" i="1"/>
  <c r="AD78" i="1"/>
  <c r="AC78" i="1"/>
  <c r="AB78" i="1"/>
  <c r="AA78" i="1"/>
  <c r="V78" i="1"/>
  <c r="B78" i="1"/>
  <c r="BB77" i="1"/>
  <c r="BA77" i="1"/>
  <c r="AW77" i="1"/>
  <c r="AV77" i="1"/>
  <c r="AU77" i="1"/>
  <c r="AS77" i="1"/>
  <c r="AR77" i="1"/>
  <c r="AM77" i="1"/>
  <c r="AG77" i="1"/>
  <c r="AE77" i="1"/>
  <c r="AD77" i="1"/>
  <c r="AC77" i="1"/>
  <c r="AB77" i="1"/>
  <c r="AA77" i="1"/>
  <c r="V77" i="1"/>
  <c r="B77" i="1"/>
  <c r="BB76" i="1"/>
  <c r="BA76" i="1"/>
  <c r="AW76" i="1"/>
  <c r="AV76" i="1"/>
  <c r="AU76" i="1"/>
  <c r="AM76" i="1"/>
  <c r="AG76" i="1"/>
  <c r="AE76" i="1"/>
  <c r="AD76" i="1"/>
  <c r="AC76" i="1"/>
  <c r="AB76" i="1"/>
  <c r="AA76" i="1"/>
  <c r="V76" i="1"/>
  <c r="B76" i="1"/>
  <c r="BB75" i="1"/>
  <c r="BA75" i="1"/>
  <c r="AW75" i="1"/>
  <c r="AV75" i="1"/>
  <c r="AU75" i="1"/>
  <c r="AS75" i="1"/>
  <c r="AR75" i="1"/>
  <c r="AM75" i="1"/>
  <c r="AE75" i="1"/>
  <c r="AD75" i="1"/>
  <c r="AC75" i="1"/>
  <c r="AB75" i="1"/>
  <c r="AA75" i="1"/>
  <c r="B75" i="1"/>
  <c r="AW74" i="1"/>
  <c r="AV74" i="1"/>
  <c r="AU74" i="1"/>
  <c r="AT74" i="1"/>
  <c r="AS74" i="1"/>
  <c r="AR74" i="1"/>
  <c r="AM74" i="1"/>
  <c r="AG74" i="1"/>
  <c r="AE74" i="1"/>
  <c r="AD74" i="1"/>
  <c r="AC74" i="1"/>
  <c r="AB74" i="1"/>
  <c r="AA74" i="1"/>
  <c r="B74" i="1"/>
  <c r="BB73" i="1"/>
  <c r="BA73" i="1"/>
  <c r="AW73" i="1"/>
  <c r="AV73" i="1"/>
  <c r="AU73" i="1"/>
  <c r="AT73" i="1"/>
  <c r="AS73" i="1"/>
  <c r="AR73" i="1"/>
  <c r="AM73" i="1"/>
  <c r="AG73" i="1"/>
  <c r="AE73" i="1"/>
  <c r="AD73" i="1"/>
  <c r="AC73" i="1"/>
  <c r="AB73" i="1"/>
  <c r="AA73" i="1"/>
  <c r="V73" i="1"/>
  <c r="B73" i="1"/>
  <c r="BB72" i="1"/>
  <c r="BA72" i="1"/>
  <c r="AW72" i="1"/>
  <c r="AV72" i="1"/>
  <c r="AU72" i="1"/>
  <c r="AM72" i="1"/>
  <c r="AG72" i="1"/>
  <c r="AE72" i="1"/>
  <c r="AD72" i="1"/>
  <c r="AC72" i="1"/>
  <c r="AB72" i="1"/>
  <c r="AA72" i="1"/>
  <c r="V72" i="1"/>
  <c r="B72" i="1"/>
  <c r="BB71" i="1"/>
  <c r="BA71" i="1"/>
  <c r="AW71" i="1"/>
  <c r="AV71" i="1"/>
  <c r="AU71" i="1"/>
  <c r="AS71" i="1"/>
  <c r="AR71" i="1"/>
  <c r="AM71" i="1"/>
  <c r="AG71" i="1"/>
  <c r="AE71" i="1"/>
  <c r="AD71" i="1"/>
  <c r="AC71" i="1"/>
  <c r="AB71" i="1"/>
  <c r="AA71" i="1"/>
  <c r="V71" i="1"/>
  <c r="B71" i="1"/>
  <c r="BB70" i="1"/>
  <c r="BA70" i="1"/>
  <c r="AW70" i="1"/>
  <c r="AV70" i="1"/>
  <c r="AU70" i="1"/>
  <c r="AT70" i="1"/>
  <c r="AS70" i="1"/>
  <c r="AR70" i="1"/>
  <c r="AM70" i="1"/>
  <c r="AG70" i="1"/>
  <c r="AE70" i="1"/>
  <c r="AD70" i="1"/>
  <c r="AC70" i="1"/>
  <c r="AB70" i="1"/>
  <c r="AA70" i="1"/>
  <c r="V70" i="1"/>
  <c r="J70" i="1"/>
  <c r="B70" i="1"/>
  <c r="BB69" i="1"/>
  <c r="BA69" i="1"/>
  <c r="AW69" i="1"/>
  <c r="AV69" i="1"/>
  <c r="AU69" i="1"/>
  <c r="AS69" i="1"/>
  <c r="AR69" i="1"/>
  <c r="AM69" i="1"/>
  <c r="AG69" i="1"/>
  <c r="AE69" i="1"/>
  <c r="AD69" i="1"/>
  <c r="AC69" i="1"/>
  <c r="AB69" i="1"/>
  <c r="AA69" i="1"/>
  <c r="V69" i="1"/>
  <c r="B69" i="1"/>
  <c r="AW68" i="1"/>
  <c r="AV68" i="1"/>
  <c r="AU68" i="1"/>
  <c r="AT68" i="1"/>
  <c r="AS68" i="1"/>
  <c r="AR68" i="1"/>
  <c r="AM68" i="1"/>
  <c r="AG68" i="1"/>
  <c r="AE68" i="1"/>
  <c r="AD68" i="1"/>
  <c r="AC68" i="1"/>
  <c r="AB68" i="1"/>
  <c r="AA68" i="1"/>
  <c r="J68" i="1"/>
  <c r="B68" i="1"/>
  <c r="BB67" i="1"/>
  <c r="BA67" i="1"/>
  <c r="AW67" i="1"/>
  <c r="AV67" i="1"/>
  <c r="AU67" i="1"/>
  <c r="AS67" i="1"/>
  <c r="AR67" i="1"/>
  <c r="AM67" i="1"/>
  <c r="AG67" i="1"/>
  <c r="AE67" i="1"/>
  <c r="AD67" i="1"/>
  <c r="AC67" i="1"/>
  <c r="AB67" i="1"/>
  <c r="AA67" i="1"/>
  <c r="V67" i="1"/>
  <c r="B67" i="1"/>
  <c r="BB66" i="1"/>
  <c r="BA66" i="1"/>
  <c r="AW66" i="1"/>
  <c r="AV66" i="1"/>
  <c r="AU66" i="1"/>
  <c r="AT66" i="1"/>
  <c r="AS66" i="1"/>
  <c r="AR66" i="1"/>
  <c r="AM66" i="1"/>
  <c r="AG66" i="1"/>
  <c r="AE66" i="1"/>
  <c r="AD66" i="1"/>
  <c r="AC66" i="1"/>
  <c r="AB66" i="1"/>
  <c r="AA66" i="1"/>
  <c r="V66" i="1"/>
  <c r="J66" i="1"/>
  <c r="B66" i="1"/>
  <c r="BB65" i="1"/>
  <c r="BA65" i="1"/>
  <c r="AW65" i="1"/>
  <c r="AV65" i="1"/>
  <c r="AU65" i="1"/>
  <c r="AT65" i="1"/>
  <c r="AS65" i="1"/>
  <c r="AR65" i="1"/>
  <c r="AM65" i="1"/>
  <c r="AG65" i="1"/>
  <c r="AE65" i="1"/>
  <c r="AD65" i="1"/>
  <c r="AC65" i="1"/>
  <c r="AB65" i="1"/>
  <c r="AA65" i="1"/>
  <c r="V65" i="1"/>
  <c r="B65" i="1"/>
  <c r="BB64" i="1"/>
  <c r="BA64" i="1"/>
  <c r="AW64" i="1"/>
  <c r="AV64" i="1"/>
  <c r="AU64" i="1"/>
  <c r="AT64" i="1"/>
  <c r="AS64" i="1"/>
  <c r="AR64" i="1"/>
  <c r="AM64" i="1"/>
  <c r="AG64" i="1"/>
  <c r="AE64" i="1"/>
  <c r="AD64" i="1"/>
  <c r="AC64" i="1"/>
  <c r="AB64" i="1"/>
  <c r="AA64" i="1"/>
  <c r="V64" i="1"/>
  <c r="B64" i="1"/>
  <c r="BB63" i="1"/>
  <c r="BA63" i="1"/>
  <c r="AW63" i="1"/>
  <c r="AV63" i="1"/>
  <c r="AU63" i="1"/>
  <c r="AS63" i="1"/>
  <c r="AR63" i="1"/>
  <c r="AM63" i="1"/>
  <c r="AG63" i="1"/>
  <c r="AE63" i="1"/>
  <c r="AD63" i="1"/>
  <c r="AC63" i="1"/>
  <c r="AB63" i="1"/>
  <c r="AA63" i="1"/>
  <c r="V63" i="1"/>
  <c r="J63" i="1"/>
  <c r="B63" i="1"/>
  <c r="BB62" i="1"/>
  <c r="BA62" i="1"/>
  <c r="AW62" i="1"/>
  <c r="AV62" i="1"/>
  <c r="AU62" i="1"/>
  <c r="AS62" i="1"/>
  <c r="AR62" i="1"/>
  <c r="AM62" i="1"/>
  <c r="AG62" i="1"/>
  <c r="AE62" i="1"/>
  <c r="AD62" i="1"/>
  <c r="AC62" i="1"/>
  <c r="AB62" i="1"/>
  <c r="AA62" i="1"/>
  <c r="V62" i="1"/>
  <c r="B62" i="1"/>
  <c r="AW61" i="1"/>
  <c r="AV61" i="1"/>
  <c r="AU61" i="1"/>
  <c r="AS61" i="1"/>
  <c r="AR61" i="1"/>
  <c r="AM61" i="1"/>
  <c r="AG61" i="1"/>
  <c r="AE61" i="1"/>
  <c r="AD61" i="1"/>
  <c r="AC61" i="1"/>
  <c r="AB61" i="1"/>
  <c r="AA61" i="1"/>
  <c r="V61" i="1"/>
  <c r="J61" i="1"/>
  <c r="B61" i="1"/>
  <c r="BB60" i="1"/>
  <c r="BA60" i="1"/>
  <c r="AW60" i="1"/>
  <c r="AV60" i="1"/>
  <c r="AU60" i="1"/>
  <c r="AT60" i="1"/>
  <c r="AS60" i="1"/>
  <c r="AR60" i="1"/>
  <c r="AM60" i="1"/>
  <c r="AG60" i="1"/>
  <c r="AE60" i="1"/>
  <c r="AD60" i="1"/>
  <c r="AC60" i="1"/>
  <c r="AB60" i="1"/>
  <c r="AA60" i="1"/>
  <c r="V60" i="1"/>
  <c r="B60" i="1"/>
  <c r="AW59" i="1"/>
  <c r="AV59" i="1"/>
  <c r="AU59" i="1"/>
  <c r="AS59" i="1"/>
  <c r="AM59" i="1"/>
  <c r="AE59" i="1"/>
  <c r="AD59" i="1"/>
  <c r="AC59" i="1"/>
  <c r="AB59" i="1"/>
  <c r="AA59" i="1"/>
  <c r="B59" i="1"/>
  <c r="BB58" i="1"/>
  <c r="BA58" i="1"/>
  <c r="AW58" i="1"/>
  <c r="AV58" i="1"/>
  <c r="AU58" i="1"/>
  <c r="AS58" i="1"/>
  <c r="AR58" i="1"/>
  <c r="AM58" i="1"/>
  <c r="AG58" i="1"/>
  <c r="AE58" i="1"/>
  <c r="AD58" i="1"/>
  <c r="AC58" i="1"/>
  <c r="AB58" i="1"/>
  <c r="AA58" i="1"/>
  <c r="V58" i="1"/>
  <c r="B58" i="1"/>
  <c r="BB57" i="1"/>
  <c r="BA57" i="1"/>
  <c r="AW57" i="1"/>
  <c r="AV57" i="1"/>
  <c r="AU57" i="1"/>
  <c r="AT57" i="1"/>
  <c r="AS57" i="1"/>
  <c r="AR57" i="1"/>
  <c r="AM57" i="1"/>
  <c r="AG57" i="1"/>
  <c r="AE57" i="1"/>
  <c r="AD57" i="1"/>
  <c r="AC57" i="1"/>
  <c r="AB57" i="1"/>
  <c r="AA57" i="1"/>
  <c r="V57" i="1"/>
  <c r="B57" i="1"/>
  <c r="BB56" i="1"/>
  <c r="BA56" i="1"/>
  <c r="AW56" i="1"/>
  <c r="AV56" i="1"/>
  <c r="AU56" i="1"/>
  <c r="AT56" i="1"/>
  <c r="AS56" i="1"/>
  <c r="AR56" i="1"/>
  <c r="AM56" i="1"/>
  <c r="AG56" i="1"/>
  <c r="AE56" i="1"/>
  <c r="AD56" i="1"/>
  <c r="AC56" i="1"/>
  <c r="AB56" i="1"/>
  <c r="AA56" i="1"/>
  <c r="V56" i="1"/>
  <c r="J56" i="1"/>
  <c r="B56" i="1"/>
  <c r="BB55" i="1"/>
  <c r="BA55" i="1"/>
  <c r="AW55" i="1"/>
  <c r="AV55" i="1"/>
  <c r="AU55" i="1"/>
  <c r="AS55" i="1"/>
  <c r="AR55" i="1"/>
  <c r="AM55" i="1"/>
  <c r="AG55" i="1"/>
  <c r="AE55" i="1"/>
  <c r="AD55" i="1"/>
  <c r="AC55" i="1"/>
  <c r="AB55" i="1"/>
  <c r="AA55" i="1"/>
  <c r="V55" i="1"/>
  <c r="B55" i="1"/>
  <c r="BB54" i="1"/>
  <c r="BA54" i="1"/>
  <c r="AW54" i="1"/>
  <c r="AV54" i="1"/>
  <c r="AU54" i="1"/>
  <c r="AS54" i="1"/>
  <c r="AR54" i="1"/>
  <c r="AM54" i="1"/>
  <c r="AG54" i="1"/>
  <c r="AE54" i="1"/>
  <c r="AD54" i="1"/>
  <c r="AC54" i="1"/>
  <c r="AB54" i="1"/>
  <c r="AA54" i="1"/>
  <c r="V54" i="1"/>
  <c r="B54" i="1"/>
  <c r="BB53" i="1"/>
  <c r="BA53" i="1"/>
  <c r="AW53" i="1"/>
  <c r="AV53" i="1"/>
  <c r="AU53" i="1"/>
  <c r="AS53" i="1"/>
  <c r="AR53" i="1"/>
  <c r="AM53" i="1"/>
  <c r="AG53" i="1"/>
  <c r="AE53" i="1"/>
  <c r="AD53" i="1"/>
  <c r="AC53" i="1"/>
  <c r="AB53" i="1"/>
  <c r="AA53" i="1"/>
  <c r="V53" i="1"/>
  <c r="B53" i="1"/>
  <c r="BB52" i="1"/>
  <c r="BA52" i="1"/>
  <c r="AW52" i="1"/>
  <c r="AV52" i="1"/>
  <c r="AU52" i="1"/>
  <c r="AT52" i="1"/>
  <c r="AS52" i="1"/>
  <c r="AR52" i="1"/>
  <c r="AM52" i="1"/>
  <c r="AG52" i="1"/>
  <c r="AE52" i="1"/>
  <c r="AD52" i="1"/>
  <c r="AC52" i="1"/>
  <c r="AB52" i="1"/>
  <c r="AA52" i="1"/>
  <c r="V52" i="1"/>
  <c r="J52" i="1"/>
  <c r="B52" i="1"/>
  <c r="BB51" i="1"/>
  <c r="BA51" i="1"/>
  <c r="AW51" i="1"/>
  <c r="AV51" i="1"/>
  <c r="AU51" i="1"/>
  <c r="AM51" i="1"/>
  <c r="AG51" i="1"/>
  <c r="AE51" i="1"/>
  <c r="AD51" i="1"/>
  <c r="AC51" i="1"/>
  <c r="AB51" i="1"/>
  <c r="AA51" i="1"/>
  <c r="V51" i="1"/>
  <c r="B51" i="1"/>
  <c r="BB50" i="1"/>
  <c r="BA50" i="1"/>
  <c r="AW50" i="1"/>
  <c r="AV50" i="1"/>
  <c r="AU50" i="1"/>
  <c r="AT50" i="1"/>
  <c r="AS50" i="1"/>
  <c r="AR50" i="1"/>
  <c r="AM50" i="1"/>
  <c r="AG50" i="1"/>
  <c r="AE50" i="1"/>
  <c r="AD50" i="1"/>
  <c r="AC50" i="1"/>
  <c r="AB50" i="1"/>
  <c r="AA50" i="1"/>
  <c r="V50" i="1"/>
  <c r="B50" i="1"/>
  <c r="BB49" i="1"/>
  <c r="BA49" i="1"/>
  <c r="AW49" i="1"/>
  <c r="AV49" i="1"/>
  <c r="AU49" i="1"/>
  <c r="AT49" i="1"/>
  <c r="AS49" i="1"/>
  <c r="AR49" i="1"/>
  <c r="AM49" i="1"/>
  <c r="AG49" i="1"/>
  <c r="AE49" i="1"/>
  <c r="AD49" i="1"/>
  <c r="AC49" i="1"/>
  <c r="AB49" i="1"/>
  <c r="AA49" i="1"/>
  <c r="V49" i="1"/>
  <c r="J49" i="1"/>
  <c r="B49" i="1"/>
  <c r="BB48" i="1"/>
  <c r="BA48" i="1"/>
  <c r="AW48" i="1"/>
  <c r="AV48" i="1"/>
  <c r="AU48" i="1"/>
  <c r="AT48" i="1"/>
  <c r="AS48" i="1"/>
  <c r="AR48" i="1"/>
  <c r="AM48" i="1"/>
  <c r="AG48" i="1"/>
  <c r="AE48" i="1"/>
  <c r="AD48" i="1"/>
  <c r="AC48" i="1"/>
  <c r="AB48" i="1"/>
  <c r="V48" i="1"/>
  <c r="B48" i="1"/>
  <c r="BB47" i="1"/>
  <c r="BA47" i="1"/>
  <c r="AW47" i="1"/>
  <c r="AV47" i="1"/>
  <c r="AU47" i="1"/>
  <c r="AT47" i="1"/>
  <c r="AS47" i="1"/>
  <c r="AR47" i="1"/>
  <c r="AM47" i="1"/>
  <c r="AG47" i="1"/>
  <c r="AE47" i="1"/>
  <c r="AD47" i="1"/>
  <c r="AC47" i="1"/>
  <c r="AB47" i="1"/>
  <c r="AA47" i="1"/>
  <c r="V47" i="1"/>
  <c r="B47" i="1"/>
  <c r="BB46" i="1"/>
  <c r="BA46" i="1"/>
  <c r="AW46" i="1"/>
  <c r="AV46" i="1"/>
  <c r="AU46" i="1"/>
  <c r="AT46" i="1"/>
  <c r="AS46" i="1"/>
  <c r="AR46" i="1"/>
  <c r="AM46" i="1"/>
  <c r="AG46" i="1"/>
  <c r="AE46" i="1"/>
  <c r="AD46" i="1"/>
  <c r="AC46" i="1"/>
  <c r="AB46" i="1"/>
  <c r="AA46" i="1"/>
  <c r="V46" i="1"/>
  <c r="J46" i="1"/>
  <c r="B46" i="1"/>
  <c r="AW45" i="1"/>
  <c r="AV45" i="1"/>
  <c r="AU45" i="1"/>
  <c r="AS45" i="1"/>
  <c r="AR45" i="1"/>
  <c r="AM45" i="1"/>
  <c r="AE45" i="1"/>
  <c r="AD45" i="1"/>
  <c r="AC45" i="1"/>
  <c r="AB45" i="1"/>
  <c r="AA45" i="1"/>
  <c r="B45" i="1"/>
  <c r="BB44" i="1"/>
  <c r="BA44" i="1"/>
  <c r="AW44" i="1"/>
  <c r="AV44" i="1"/>
  <c r="AU44" i="1"/>
  <c r="AT44" i="1"/>
  <c r="AS44" i="1"/>
  <c r="AR44" i="1"/>
  <c r="AM44" i="1"/>
  <c r="AG44" i="1"/>
  <c r="AE44" i="1"/>
  <c r="AD44" i="1"/>
  <c r="AC44" i="1"/>
  <c r="AB44" i="1"/>
  <c r="AA44" i="1"/>
  <c r="V44" i="1"/>
  <c r="B44" i="1"/>
  <c r="BB43" i="1"/>
  <c r="BA43" i="1"/>
  <c r="AW43" i="1"/>
  <c r="AV43" i="1"/>
  <c r="AU43" i="1"/>
  <c r="AS43" i="1"/>
  <c r="AR43" i="1"/>
  <c r="AM43" i="1"/>
  <c r="AG43" i="1"/>
  <c r="AE43" i="1"/>
  <c r="AD43" i="1"/>
  <c r="AC43" i="1"/>
  <c r="AB43" i="1"/>
  <c r="AA43" i="1"/>
  <c r="V43" i="1"/>
  <c r="J43" i="1"/>
  <c r="B43" i="1"/>
  <c r="BB42" i="1"/>
  <c r="BA42" i="1"/>
  <c r="AW42" i="1"/>
  <c r="AV42" i="1"/>
  <c r="AU42" i="1"/>
  <c r="AT42" i="1"/>
  <c r="AS42" i="1"/>
  <c r="AR42" i="1"/>
  <c r="AM42" i="1"/>
  <c r="AG42" i="1"/>
  <c r="AE42" i="1"/>
  <c r="AD42" i="1"/>
  <c r="AC42" i="1"/>
  <c r="AB42" i="1"/>
  <c r="AA42" i="1"/>
  <c r="V42" i="1"/>
  <c r="B42" i="1"/>
  <c r="AM41" i="1"/>
  <c r="AE41" i="1"/>
  <c r="AD41" i="1"/>
  <c r="AC41" i="1"/>
  <c r="AA41" i="1"/>
  <c r="B41" i="1"/>
  <c r="AW40" i="1"/>
  <c r="AV40" i="1"/>
  <c r="AU40" i="1"/>
  <c r="AS40" i="1"/>
  <c r="AR40" i="1"/>
  <c r="AM40" i="1"/>
  <c r="AE40" i="1"/>
  <c r="AD40" i="1"/>
  <c r="AC40" i="1"/>
  <c r="AB40" i="1"/>
  <c r="AA40" i="1"/>
  <c r="B40" i="1"/>
  <c r="BB39" i="1"/>
  <c r="BA39" i="1"/>
  <c r="AW39" i="1"/>
  <c r="AV39" i="1"/>
  <c r="AU39" i="1"/>
  <c r="AS39" i="1"/>
  <c r="AR39" i="1"/>
  <c r="AM39" i="1"/>
  <c r="AG39" i="1"/>
  <c r="AE39" i="1"/>
  <c r="AD39" i="1"/>
  <c r="AC39" i="1"/>
  <c r="AB39" i="1"/>
  <c r="AA39" i="1"/>
  <c r="V39" i="1"/>
  <c r="B39" i="1"/>
  <c r="BB38" i="1"/>
  <c r="BA38" i="1"/>
  <c r="AW38" i="1"/>
  <c r="AV38" i="1"/>
  <c r="AU38" i="1"/>
  <c r="AT38" i="1"/>
  <c r="AS38" i="1"/>
  <c r="AR38" i="1"/>
  <c r="AM38" i="1"/>
  <c r="AG38" i="1"/>
  <c r="AE38" i="1"/>
  <c r="AD38" i="1"/>
  <c r="AC38" i="1"/>
  <c r="AB38" i="1"/>
  <c r="AA38" i="1"/>
  <c r="V38" i="1"/>
  <c r="B38" i="1"/>
  <c r="BB37" i="1"/>
  <c r="BA37" i="1"/>
  <c r="AW37" i="1"/>
  <c r="AV37" i="1"/>
  <c r="AU37" i="1"/>
  <c r="AT37" i="1"/>
  <c r="AS37" i="1"/>
  <c r="AR37" i="1"/>
  <c r="AM37" i="1"/>
  <c r="AG37" i="1"/>
  <c r="AE37" i="1"/>
  <c r="AD37" i="1"/>
  <c r="AC37" i="1"/>
  <c r="AB37" i="1"/>
  <c r="AA37" i="1"/>
  <c r="V37" i="1"/>
  <c r="J37" i="1"/>
  <c r="B37" i="1"/>
  <c r="BB36" i="1"/>
  <c r="BA36" i="1"/>
  <c r="AW36" i="1"/>
  <c r="AV36" i="1"/>
  <c r="AU36" i="1"/>
  <c r="AT36" i="1"/>
  <c r="AS36" i="1"/>
  <c r="AR36" i="1"/>
  <c r="AM36" i="1"/>
  <c r="AG36" i="1"/>
  <c r="AE36" i="1"/>
  <c r="AD36" i="1"/>
  <c r="AC36" i="1"/>
  <c r="AB36" i="1"/>
  <c r="AA36" i="1"/>
  <c r="V36" i="1"/>
  <c r="B36" i="1"/>
  <c r="BB35" i="1"/>
  <c r="BA35" i="1"/>
  <c r="AW35" i="1"/>
  <c r="AV35" i="1"/>
  <c r="AU35" i="1"/>
  <c r="AT35" i="1"/>
  <c r="AS35" i="1"/>
  <c r="AR35" i="1"/>
  <c r="AM35" i="1"/>
  <c r="AG35" i="1"/>
  <c r="AE35" i="1"/>
  <c r="AD35" i="1"/>
  <c r="AC35" i="1"/>
  <c r="AB35" i="1"/>
  <c r="AA35" i="1"/>
  <c r="V35" i="1"/>
  <c r="B35" i="1"/>
  <c r="BB34" i="1"/>
  <c r="BA34" i="1"/>
  <c r="AW34" i="1"/>
  <c r="AV34" i="1"/>
  <c r="AU34" i="1"/>
  <c r="AT34" i="1"/>
  <c r="AS34" i="1"/>
  <c r="AR34" i="1"/>
  <c r="AM34" i="1"/>
  <c r="AG34" i="1"/>
  <c r="AE34" i="1"/>
  <c r="AD34" i="1"/>
  <c r="AC34" i="1"/>
  <c r="AB34" i="1"/>
  <c r="AA34" i="1"/>
  <c r="J34" i="1"/>
  <c r="B34" i="1"/>
  <c r="BB33" i="1"/>
  <c r="BA33" i="1"/>
  <c r="AW33" i="1"/>
  <c r="AV33" i="1"/>
  <c r="AU33" i="1"/>
  <c r="AS33" i="1"/>
  <c r="AR33" i="1"/>
  <c r="AM33" i="1"/>
  <c r="AG33" i="1"/>
  <c r="AE33" i="1"/>
  <c r="AD33" i="1"/>
  <c r="AC33" i="1"/>
  <c r="AB33" i="1"/>
  <c r="AA33" i="1"/>
  <c r="V33" i="1"/>
  <c r="B33" i="1"/>
  <c r="BB32" i="1"/>
  <c r="BA32" i="1"/>
  <c r="AW32" i="1"/>
  <c r="AV32" i="1"/>
  <c r="AU32" i="1"/>
  <c r="AS32" i="1"/>
  <c r="AR32" i="1"/>
  <c r="AM32" i="1"/>
  <c r="AG32" i="1"/>
  <c r="AE32" i="1"/>
  <c r="AD32" i="1"/>
  <c r="AC32" i="1"/>
  <c r="AB32" i="1"/>
  <c r="AA32" i="1"/>
  <c r="V32" i="1"/>
  <c r="B32" i="1"/>
  <c r="BB31" i="1"/>
  <c r="BA31" i="1"/>
  <c r="AW31" i="1"/>
  <c r="AV31" i="1"/>
  <c r="AU31" i="1"/>
  <c r="AS31" i="1"/>
  <c r="AR31" i="1"/>
  <c r="AM31" i="1"/>
  <c r="AG31" i="1"/>
  <c r="AE31" i="1"/>
  <c r="AD31" i="1"/>
  <c r="AC31" i="1"/>
  <c r="AB31" i="1"/>
  <c r="AA31" i="1"/>
  <c r="V31" i="1"/>
  <c r="J31" i="1"/>
  <c r="B31" i="1"/>
  <c r="AW30" i="1"/>
  <c r="AV30" i="1"/>
  <c r="AU30" i="1"/>
  <c r="AT30" i="1"/>
  <c r="AS30" i="1"/>
  <c r="AR30" i="1"/>
  <c r="AM30" i="1"/>
  <c r="AG30" i="1"/>
  <c r="AE30" i="1"/>
  <c r="AD30" i="1"/>
  <c r="AC30" i="1"/>
  <c r="AB30" i="1"/>
  <c r="AA30" i="1"/>
  <c r="B30" i="1"/>
  <c r="BB29" i="1"/>
  <c r="BA29" i="1"/>
  <c r="AW29" i="1"/>
  <c r="AV29" i="1"/>
  <c r="AU29" i="1"/>
  <c r="AS29" i="1"/>
  <c r="AR29" i="1"/>
  <c r="AM29" i="1"/>
  <c r="AE29" i="1"/>
  <c r="AD29" i="1"/>
  <c r="AC29" i="1"/>
  <c r="AB29" i="1"/>
  <c r="AA29" i="1"/>
  <c r="B29" i="1"/>
  <c r="AW28" i="1"/>
  <c r="AV28" i="1"/>
  <c r="AU28" i="1"/>
  <c r="AT28" i="1"/>
  <c r="AS28" i="1"/>
  <c r="AR28" i="1"/>
  <c r="AM28" i="1"/>
  <c r="AG28" i="1"/>
  <c r="AE28" i="1"/>
  <c r="AD28" i="1"/>
  <c r="AC28" i="1"/>
  <c r="AB28" i="1"/>
  <c r="AA28" i="1"/>
  <c r="V28" i="1"/>
  <c r="B28" i="1"/>
  <c r="BB27" i="1"/>
  <c r="BA27" i="1"/>
  <c r="AW27" i="1"/>
  <c r="AV27" i="1"/>
  <c r="AU27" i="1"/>
  <c r="AT27" i="1"/>
  <c r="AS27" i="1"/>
  <c r="AR27" i="1"/>
  <c r="AM27" i="1"/>
  <c r="AG27" i="1"/>
  <c r="AE27" i="1"/>
  <c r="AD27" i="1"/>
  <c r="AC27" i="1"/>
  <c r="AB27" i="1"/>
  <c r="AA27" i="1"/>
  <c r="V27" i="1"/>
  <c r="J27" i="1"/>
  <c r="B27" i="1"/>
  <c r="BB26" i="1"/>
  <c r="BA26" i="1"/>
  <c r="AW26" i="1"/>
  <c r="AV26" i="1"/>
  <c r="AU26" i="1"/>
  <c r="AM26" i="1"/>
  <c r="AG26" i="1"/>
  <c r="AE26" i="1"/>
  <c r="AD26" i="1"/>
  <c r="AC26" i="1"/>
  <c r="AB26" i="1"/>
  <c r="AA26" i="1"/>
  <c r="V26" i="1"/>
  <c r="B26" i="1"/>
  <c r="BB25" i="1"/>
  <c r="BA25" i="1"/>
  <c r="AW25" i="1"/>
  <c r="AV25" i="1"/>
  <c r="AU25" i="1"/>
  <c r="AT25" i="1"/>
  <c r="AS25" i="1"/>
  <c r="AR25" i="1"/>
  <c r="AM25" i="1"/>
  <c r="AG25" i="1"/>
  <c r="AE25" i="1"/>
  <c r="AD25" i="1"/>
  <c r="AC25" i="1"/>
  <c r="AB25" i="1"/>
  <c r="AA25" i="1"/>
  <c r="V25" i="1"/>
  <c r="B25" i="1"/>
  <c r="BB24" i="1"/>
  <c r="BA24" i="1"/>
  <c r="AW24" i="1"/>
  <c r="AV24" i="1"/>
  <c r="AU24" i="1"/>
  <c r="AT24" i="1"/>
  <c r="AS24" i="1"/>
  <c r="AR24" i="1"/>
  <c r="AM24" i="1"/>
  <c r="AG24" i="1"/>
  <c r="AE24" i="1"/>
  <c r="AD24" i="1"/>
  <c r="AC24" i="1"/>
  <c r="AB24" i="1"/>
  <c r="AA24" i="1"/>
  <c r="V24" i="1"/>
  <c r="B24" i="1"/>
  <c r="BB23" i="1"/>
  <c r="BA23" i="1"/>
  <c r="AW23" i="1"/>
  <c r="AV23" i="1"/>
  <c r="AU23" i="1"/>
  <c r="AT23" i="1"/>
  <c r="AS23" i="1"/>
  <c r="AR23" i="1"/>
  <c r="AM23" i="1"/>
  <c r="AG23" i="1"/>
  <c r="AE23" i="1"/>
  <c r="AD23" i="1"/>
  <c r="AC23" i="1"/>
  <c r="AB23" i="1"/>
  <c r="AA23" i="1"/>
  <c r="V23" i="1"/>
  <c r="J23" i="1"/>
  <c r="B23" i="1"/>
  <c r="BB22" i="1"/>
  <c r="BA22" i="1"/>
  <c r="AW22" i="1"/>
  <c r="AV22" i="1"/>
  <c r="AU22" i="1"/>
  <c r="AT22" i="1"/>
  <c r="AS22" i="1"/>
  <c r="AR22" i="1"/>
  <c r="AM22" i="1"/>
  <c r="AG22" i="1"/>
  <c r="AE22" i="1"/>
  <c r="AD22" i="1"/>
  <c r="AC22" i="1"/>
  <c r="AB22" i="1"/>
  <c r="AA22" i="1"/>
  <c r="V22" i="1"/>
  <c r="B22" i="1"/>
  <c r="BB21" i="1"/>
  <c r="BA21" i="1"/>
  <c r="AW21" i="1"/>
  <c r="AV21" i="1"/>
  <c r="AU21" i="1"/>
  <c r="AT21" i="1"/>
  <c r="AS21" i="1"/>
  <c r="AR21" i="1"/>
  <c r="AM21" i="1"/>
  <c r="AG21" i="1"/>
  <c r="AE21" i="1"/>
  <c r="AD21" i="1"/>
  <c r="AC21" i="1"/>
  <c r="AB21" i="1"/>
  <c r="AA21" i="1"/>
  <c r="V21" i="1"/>
  <c r="B21" i="1"/>
  <c r="BB20" i="1"/>
  <c r="BA20" i="1"/>
  <c r="AW20" i="1"/>
  <c r="AV20" i="1"/>
  <c r="AU20" i="1"/>
  <c r="AT20" i="1"/>
  <c r="AS20" i="1"/>
  <c r="AR20" i="1"/>
  <c r="AM20" i="1"/>
  <c r="AG20" i="1"/>
  <c r="AE20" i="1"/>
  <c r="AD20" i="1"/>
  <c r="AC20" i="1"/>
  <c r="AB20" i="1"/>
  <c r="AA20" i="1"/>
  <c r="V20" i="1"/>
  <c r="B20" i="1"/>
  <c r="BB19" i="1"/>
  <c r="BA19" i="1"/>
  <c r="AW19" i="1"/>
  <c r="AV19" i="1"/>
  <c r="AU19" i="1"/>
  <c r="AT19" i="1"/>
  <c r="AS19" i="1"/>
  <c r="AR19" i="1"/>
  <c r="AM19" i="1"/>
  <c r="AG19" i="1"/>
  <c r="AE19" i="1"/>
  <c r="AD19" i="1"/>
  <c r="AC19" i="1"/>
  <c r="AB19" i="1"/>
  <c r="AA19" i="1"/>
  <c r="V19" i="1"/>
  <c r="J19" i="1"/>
  <c r="B19" i="1"/>
  <c r="BB18" i="1"/>
  <c r="BA18" i="1"/>
  <c r="AW18" i="1"/>
  <c r="AV18" i="1"/>
  <c r="AU18" i="1"/>
  <c r="AT18" i="1"/>
  <c r="AS18" i="1"/>
  <c r="AR18" i="1"/>
  <c r="AM18" i="1"/>
  <c r="AG18" i="1"/>
  <c r="AE18" i="1"/>
  <c r="AD18" i="1"/>
  <c r="AC18" i="1"/>
  <c r="AB18" i="1"/>
  <c r="AA18" i="1"/>
  <c r="V18" i="1"/>
  <c r="B18" i="1"/>
  <c r="BB17" i="1"/>
  <c r="BA17" i="1"/>
  <c r="AW17" i="1"/>
  <c r="AV17" i="1"/>
  <c r="AU17" i="1"/>
  <c r="AT17" i="1"/>
  <c r="AS17" i="1"/>
  <c r="AR17" i="1"/>
  <c r="AM17" i="1"/>
  <c r="AG17" i="1"/>
  <c r="AE17" i="1"/>
  <c r="AD17" i="1"/>
  <c r="AC17" i="1"/>
  <c r="AB17" i="1"/>
  <c r="AA17" i="1"/>
  <c r="V17" i="1"/>
  <c r="B17" i="1"/>
  <c r="BB16" i="1"/>
  <c r="BA16" i="1"/>
  <c r="AW16" i="1"/>
  <c r="AV16" i="1"/>
  <c r="AU16" i="1"/>
  <c r="AT16" i="1"/>
  <c r="AS16" i="1"/>
  <c r="AR16" i="1"/>
  <c r="AM16" i="1"/>
  <c r="AG16" i="1"/>
  <c r="AE16" i="1"/>
  <c r="AD16" i="1"/>
  <c r="AC16" i="1"/>
  <c r="AB16" i="1"/>
  <c r="AA16" i="1"/>
  <c r="V16" i="1"/>
  <c r="B16" i="1"/>
  <c r="BB15" i="1"/>
  <c r="BA15" i="1"/>
  <c r="AW15" i="1"/>
  <c r="AV15" i="1"/>
  <c r="AU15" i="1"/>
  <c r="AT15" i="1"/>
  <c r="AS15" i="1"/>
  <c r="AR15" i="1"/>
  <c r="AM15" i="1"/>
  <c r="AG15" i="1"/>
  <c r="AE15" i="1"/>
  <c r="AD15" i="1"/>
  <c r="AC15" i="1"/>
  <c r="AB15" i="1"/>
  <c r="AA15" i="1"/>
  <c r="V15" i="1"/>
  <c r="B15" i="1"/>
  <c r="BB14" i="1"/>
  <c r="BA14" i="1"/>
  <c r="AW14" i="1"/>
  <c r="AV14" i="1"/>
  <c r="AU14" i="1"/>
  <c r="AT14" i="1"/>
  <c r="AS14" i="1"/>
  <c r="AR14" i="1"/>
  <c r="AM14" i="1"/>
  <c r="AG14" i="1"/>
  <c r="AE14" i="1"/>
  <c r="AD14" i="1"/>
  <c r="AC14" i="1"/>
  <c r="AB14" i="1"/>
  <c r="AA14" i="1"/>
  <c r="V14" i="1"/>
  <c r="B14" i="1"/>
  <c r="BB13" i="1"/>
  <c r="BA13" i="1"/>
  <c r="AW13" i="1"/>
  <c r="AV13" i="1"/>
  <c r="AU13" i="1"/>
  <c r="AT13" i="1"/>
  <c r="AS13" i="1"/>
  <c r="AR13" i="1"/>
  <c r="AM13" i="1"/>
  <c r="AG13" i="1"/>
  <c r="AE13" i="1"/>
  <c r="AD13" i="1"/>
  <c r="AC13" i="1"/>
  <c r="AB13" i="1"/>
  <c r="AA13" i="1"/>
  <c r="V13" i="1"/>
  <c r="J13" i="1"/>
  <c r="B13" i="1"/>
  <c r="BB12" i="1"/>
  <c r="BA12" i="1"/>
  <c r="AW12" i="1"/>
  <c r="AV12" i="1"/>
  <c r="AU12" i="1"/>
  <c r="AT12" i="1"/>
  <c r="AS12" i="1"/>
  <c r="AR12" i="1"/>
  <c r="AM12" i="1"/>
  <c r="AG12" i="1"/>
  <c r="AE12" i="1"/>
  <c r="AD12" i="1"/>
  <c r="AC12" i="1"/>
  <c r="AB12" i="1"/>
  <c r="AA12" i="1"/>
  <c r="V12" i="1"/>
  <c r="B12" i="1"/>
  <c r="BB11" i="1"/>
  <c r="BA11" i="1"/>
  <c r="AW11" i="1"/>
  <c r="AV11" i="1"/>
  <c r="AU11" i="1"/>
  <c r="AS11" i="1"/>
  <c r="AM11" i="1"/>
  <c r="AG11" i="1"/>
  <c r="AE11" i="1"/>
  <c r="AD11" i="1"/>
  <c r="AC11" i="1"/>
  <c r="AB11" i="1"/>
  <c r="AA11" i="1"/>
  <c r="V11" i="1"/>
  <c r="B11" i="1"/>
  <c r="BB10" i="1"/>
  <c r="BA10" i="1"/>
  <c r="AM10" i="1"/>
  <c r="AG10" i="1"/>
  <c r="AE10" i="1"/>
  <c r="AB10" i="1"/>
  <c r="AA10" i="1"/>
  <c r="V10" i="1"/>
  <c r="B10" i="1"/>
  <c r="BB9" i="1"/>
  <c r="BA9" i="1"/>
  <c r="AM9" i="1"/>
  <c r="AG9" i="1"/>
  <c r="AE9" i="1"/>
  <c r="AB9" i="1"/>
  <c r="AA9" i="1"/>
  <c r="V9" i="1"/>
  <c r="B9" i="1"/>
  <c r="BB8" i="1"/>
  <c r="BA8" i="1"/>
  <c r="AM8" i="1"/>
  <c r="AG8" i="1"/>
  <c r="AE8" i="1"/>
  <c r="AB8" i="1"/>
  <c r="AA8" i="1"/>
  <c r="V8" i="1"/>
  <c r="J8" i="1"/>
  <c r="B8" i="1"/>
  <c r="BB7" i="1"/>
  <c r="BA7" i="1"/>
  <c r="AM7" i="1"/>
  <c r="AG7" i="1"/>
  <c r="AE7" i="1"/>
  <c r="AB7" i="1"/>
  <c r="AA7" i="1"/>
  <c r="J7" i="1"/>
  <c r="B7" i="1"/>
  <c r="J2" i="1"/>
  <c r="J413" i="1" s="1"/>
  <c r="J439" i="1" l="1"/>
  <c r="J18" i="1"/>
  <c r="J22" i="1"/>
  <c r="J26" i="1"/>
  <c r="J30" i="1"/>
  <c r="J32" i="1"/>
  <c r="J42" i="1"/>
  <c r="J60" i="1"/>
  <c r="J85" i="1"/>
  <c r="J93" i="1"/>
  <c r="J97" i="1"/>
  <c r="J101" i="1"/>
  <c r="J104" i="1"/>
  <c r="J106" i="1"/>
  <c r="J118" i="1"/>
  <c r="J125" i="1"/>
  <c r="J134" i="1"/>
  <c r="J146" i="1"/>
  <c r="J148" i="1"/>
  <c r="J152" i="1"/>
  <c r="J162" i="1"/>
  <c r="J173" i="1"/>
  <c r="J184" i="1"/>
  <c r="J188" i="1"/>
  <c r="J192" i="1"/>
  <c r="J196" i="1"/>
  <c r="J200" i="1"/>
  <c r="J204" i="1"/>
  <c r="J208" i="1"/>
  <c r="J222" i="1"/>
  <c r="J232" i="1"/>
  <c r="J240" i="1"/>
  <c r="J242" i="1"/>
  <c r="J247" i="1"/>
  <c r="J249" i="1"/>
  <c r="J264" i="1"/>
  <c r="J267" i="1"/>
  <c r="J269" i="1"/>
  <c r="J270" i="1"/>
  <c r="J280" i="1"/>
  <c r="J287" i="1"/>
  <c r="J308" i="1"/>
  <c r="J325" i="1"/>
  <c r="J338" i="1"/>
  <c r="J367" i="1"/>
  <c r="J396" i="1"/>
  <c r="J407" i="1"/>
  <c r="J426" i="1"/>
  <c r="J427" i="1"/>
  <c r="J428" i="1"/>
  <c r="J337" i="1"/>
  <c r="J9" i="1"/>
  <c r="J14" i="1"/>
  <c r="J28" i="1"/>
  <c r="J29" i="1"/>
  <c r="J33" i="1"/>
  <c r="J38" i="1"/>
  <c r="J41" i="1"/>
  <c r="J50" i="1"/>
  <c r="J57" i="1"/>
  <c r="J62" i="1"/>
  <c r="J67" i="1"/>
  <c r="J69" i="1"/>
  <c r="J81" i="1"/>
  <c r="J87" i="1"/>
  <c r="J107" i="1"/>
  <c r="J108" i="1"/>
  <c r="J149" i="1"/>
  <c r="J150" i="1"/>
  <c r="J151" i="1"/>
  <c r="J153" i="1"/>
  <c r="J155" i="1"/>
  <c r="J158" i="1"/>
  <c r="J164" i="1"/>
  <c r="J168" i="1"/>
  <c r="J169" i="1"/>
  <c r="J178" i="1"/>
  <c r="J228" i="1"/>
  <c r="J243" i="1"/>
  <c r="J250" i="1"/>
  <c r="J255" i="1"/>
  <c r="J260" i="1"/>
  <c r="J276" i="1"/>
  <c r="J281" i="1"/>
  <c r="J311" i="1"/>
  <c r="J319" i="1"/>
  <c r="J462" i="1"/>
  <c r="J463" i="1"/>
  <c r="J333" i="1"/>
  <c r="J435" i="1"/>
  <c r="J291" i="1"/>
  <c r="J10" i="1"/>
  <c r="J15" i="1"/>
  <c r="J35" i="1"/>
  <c r="J39" i="1"/>
  <c r="J44" i="1"/>
  <c r="J51" i="1"/>
  <c r="J58" i="1"/>
  <c r="J64" i="1"/>
  <c r="J77" i="1"/>
  <c r="J88" i="1"/>
  <c r="J90" i="1"/>
  <c r="J111" i="1"/>
  <c r="J114" i="1"/>
  <c r="J121" i="1"/>
  <c r="J122" i="1"/>
  <c r="J141" i="1"/>
  <c r="J143" i="1"/>
  <c r="J157" i="1"/>
  <c r="J159" i="1"/>
  <c r="J165" i="1"/>
  <c r="J175" i="1"/>
  <c r="J179" i="1"/>
  <c r="J213" i="1"/>
  <c r="J215" i="1"/>
  <c r="J225" i="1"/>
  <c r="J234" i="1"/>
  <c r="J244" i="1"/>
  <c r="J277" i="1"/>
  <c r="J283" i="1"/>
  <c r="J302" i="1"/>
  <c r="J321" i="1"/>
  <c r="J340" i="1"/>
  <c r="J383" i="1"/>
  <c r="J403" i="1"/>
  <c r="J483" i="1"/>
  <c r="J482" i="1"/>
  <c r="J481" i="1"/>
  <c r="J480" i="1"/>
  <c r="J479" i="1"/>
  <c r="J477" i="1"/>
  <c r="J470" i="1"/>
  <c r="J459" i="1"/>
  <c r="J458" i="1"/>
  <c r="J457" i="1"/>
  <c r="J441" i="1"/>
  <c r="J409" i="1"/>
  <c r="J405" i="1"/>
  <c r="J398" i="1"/>
  <c r="J381" i="1"/>
  <c r="J376" i="1"/>
  <c r="J369" i="1"/>
  <c r="J365" i="1"/>
  <c r="J363" i="1"/>
  <c r="J335" i="1"/>
  <c r="J331" i="1"/>
  <c r="J327" i="1"/>
  <c r="J323" i="1"/>
  <c r="J301" i="1"/>
  <c r="J296" i="1"/>
  <c r="J289" i="1"/>
  <c r="J285" i="1"/>
  <c r="J484" i="1"/>
  <c r="J476" i="1"/>
  <c r="J475" i="1"/>
  <c r="J474" i="1"/>
  <c r="J472" i="1"/>
  <c r="J465" i="1"/>
  <c r="J437" i="1"/>
  <c r="J432" i="1"/>
  <c r="J431" i="1"/>
  <c r="J430" i="1"/>
  <c r="J424" i="1"/>
  <c r="J415" i="1"/>
  <c r="J410" i="1"/>
  <c r="J393" i="1"/>
  <c r="J388" i="1"/>
  <c r="J373" i="1"/>
  <c r="J364" i="1"/>
  <c r="J362" i="1"/>
  <c r="J358" i="1"/>
  <c r="J353" i="1"/>
  <c r="J352" i="1"/>
  <c r="J341" i="1"/>
  <c r="J318" i="1"/>
  <c r="J307" i="1"/>
  <c r="J306" i="1"/>
  <c r="J295" i="1"/>
  <c r="J271" i="1"/>
  <c r="J261" i="1"/>
  <c r="J241" i="1"/>
  <c r="J239" i="1"/>
  <c r="J233" i="1"/>
  <c r="J229" i="1"/>
  <c r="J469" i="1"/>
  <c r="J466" i="1"/>
  <c r="J464" i="1"/>
  <c r="J460" i="1"/>
  <c r="J442" i="1"/>
  <c r="J438" i="1"/>
  <c r="J434" i="1"/>
  <c r="J433" i="1"/>
  <c r="J425" i="1"/>
  <c r="J423" i="1"/>
  <c r="J422" i="1"/>
  <c r="J408" i="1"/>
  <c r="J404" i="1"/>
  <c r="J402" i="1"/>
  <c r="J397" i="1"/>
  <c r="J387" i="1"/>
  <c r="J385" i="1"/>
  <c r="J384" i="1"/>
  <c r="J380" i="1"/>
  <c r="J372" i="1"/>
  <c r="J368" i="1"/>
  <c r="J342" i="1"/>
  <c r="J334" i="1"/>
  <c r="J330" i="1"/>
  <c r="J326" i="1"/>
  <c r="J322" i="1"/>
  <c r="J317" i="1"/>
  <c r="J288" i="1"/>
  <c r="J284" i="1"/>
  <c r="J279" i="1"/>
  <c r="J275" i="1"/>
  <c r="J256" i="1"/>
  <c r="J252" i="1"/>
  <c r="J245" i="1"/>
  <c r="J238" i="1"/>
  <c r="J224" i="1"/>
  <c r="J473" i="1"/>
  <c r="J468" i="1"/>
  <c r="J467" i="1"/>
  <c r="J461" i="1"/>
  <c r="J444" i="1"/>
  <c r="J443" i="1"/>
  <c r="J414" i="1"/>
  <c r="J392" i="1"/>
  <c r="J386" i="1"/>
  <c r="J361" i="1"/>
  <c r="J357" i="1"/>
  <c r="J420" i="1"/>
  <c r="J419" i="1"/>
  <c r="J418" i="1"/>
  <c r="J417" i="1"/>
  <c r="J391" i="1"/>
  <c r="J390" i="1"/>
  <c r="J360" i="1"/>
  <c r="J356" i="1"/>
  <c r="J350" i="1"/>
  <c r="J349" i="1"/>
  <c r="J348" i="1"/>
  <c r="J347" i="1"/>
  <c r="J314" i="1"/>
  <c r="J312" i="1"/>
  <c r="J309" i="1"/>
  <c r="J299" i="1"/>
  <c r="J298" i="1"/>
  <c r="J293" i="1"/>
  <c r="J292" i="1"/>
  <c r="J478" i="1"/>
  <c r="J471" i="1"/>
  <c r="J451" i="1"/>
  <c r="J450" i="1"/>
  <c r="J449" i="1"/>
  <c r="J448" i="1"/>
  <c r="J447" i="1"/>
  <c r="J446" i="1"/>
  <c r="J445" i="1"/>
  <c r="J436" i="1"/>
  <c r="J412" i="1"/>
  <c r="J406" i="1"/>
  <c r="J400" i="1"/>
  <c r="J395" i="1"/>
  <c r="J382" i="1"/>
  <c r="J378" i="1"/>
  <c r="J375" i="1"/>
  <c r="J370" i="1"/>
  <c r="J366" i="1"/>
  <c r="J355" i="1"/>
  <c r="J351" i="1"/>
  <c r="J339" i="1"/>
  <c r="J336" i="1"/>
  <c r="J332" i="1"/>
  <c r="J328" i="1"/>
  <c r="J324" i="1"/>
  <c r="J320" i="1"/>
  <c r="J313" i="1"/>
  <c r="J310" i="1"/>
  <c r="J303" i="1"/>
  <c r="J290" i="1"/>
  <c r="J286" i="1"/>
  <c r="J282" i="1"/>
  <c r="J456" i="1"/>
  <c r="J455" i="1"/>
  <c r="J454" i="1"/>
  <c r="J453" i="1"/>
  <c r="J452" i="1"/>
  <c r="J440" i="1"/>
  <c r="J429" i="1"/>
  <c r="J416" i="1"/>
  <c r="J411" i="1"/>
  <c r="J399" i="1"/>
  <c r="J394" i="1"/>
  <c r="J377" i="1"/>
  <c r="J374" i="1"/>
  <c r="J359" i="1"/>
  <c r="J354" i="1"/>
  <c r="J20" i="1"/>
  <c r="J24" i="1"/>
  <c r="J40" i="1"/>
  <c r="J47" i="1"/>
  <c r="J53" i="1"/>
  <c r="J59" i="1"/>
  <c r="J71" i="1"/>
  <c r="J73" i="1"/>
  <c r="J76" i="1"/>
  <c r="J78" i="1"/>
  <c r="J83" i="1"/>
  <c r="J91" i="1"/>
  <c r="J95" i="1"/>
  <c r="J99" i="1"/>
  <c r="J110" i="1"/>
  <c r="J112" i="1"/>
  <c r="J115" i="1"/>
  <c r="J120" i="1"/>
  <c r="J127" i="1"/>
  <c r="J132" i="1"/>
  <c r="J136" i="1"/>
  <c r="J137" i="1"/>
  <c r="J138" i="1"/>
  <c r="J139" i="1"/>
  <c r="J160" i="1"/>
  <c r="J171" i="1"/>
  <c r="J186" i="1"/>
  <c r="J190" i="1"/>
  <c r="J194" i="1"/>
  <c r="J198" i="1"/>
  <c r="J202" i="1"/>
  <c r="J206" i="1"/>
  <c r="J210" i="1"/>
  <c r="J211" i="1"/>
  <c r="J216" i="1"/>
  <c r="J218" i="1"/>
  <c r="J230" i="1"/>
  <c r="J257" i="1"/>
  <c r="J262" i="1"/>
  <c r="J273" i="1"/>
  <c r="J294" i="1"/>
  <c r="J300" i="1"/>
  <c r="J344" i="1"/>
  <c r="J345" i="1"/>
  <c r="J346" i="1"/>
  <c r="J401" i="1"/>
  <c r="J421" i="1"/>
  <c r="J11" i="1"/>
  <c r="J12" i="1"/>
  <c r="J16" i="1"/>
  <c r="J36" i="1"/>
  <c r="J45" i="1"/>
  <c r="J54" i="1"/>
  <c r="J65" i="1"/>
  <c r="J72" i="1"/>
  <c r="J75" i="1"/>
  <c r="J79" i="1"/>
  <c r="J116" i="1"/>
  <c r="J123" i="1"/>
  <c r="J128" i="1"/>
  <c r="J129" i="1"/>
  <c r="J144" i="1"/>
  <c r="J166" i="1"/>
  <c r="J176" i="1"/>
  <c r="J180" i="1"/>
  <c r="J182" i="1"/>
  <c r="J212" i="1"/>
  <c r="J217" i="1"/>
  <c r="J219" i="1"/>
  <c r="J220" i="1"/>
  <c r="J226" i="1"/>
  <c r="J235" i="1"/>
  <c r="J236" i="1"/>
  <c r="J253" i="1"/>
  <c r="J278" i="1"/>
  <c r="J304" i="1"/>
  <c r="J329" i="1"/>
  <c r="J343" i="1"/>
  <c r="J371" i="1"/>
  <c r="J21" i="1"/>
  <c r="J25" i="1"/>
  <c r="J48" i="1"/>
  <c r="J55" i="1"/>
  <c r="J74" i="1"/>
  <c r="J84" i="1"/>
  <c r="J92" i="1"/>
  <c r="J96" i="1"/>
  <c r="J100" i="1"/>
  <c r="J103" i="1"/>
  <c r="J124" i="1"/>
  <c r="J130" i="1"/>
  <c r="J133" i="1"/>
  <c r="J145" i="1"/>
  <c r="J161" i="1"/>
  <c r="J187" i="1"/>
  <c r="J191" i="1"/>
  <c r="J195" i="1"/>
  <c r="J199" i="1"/>
  <c r="J203" i="1"/>
  <c r="J207" i="1"/>
  <c r="J221" i="1"/>
  <c r="J231" i="1"/>
  <c r="J246" i="1"/>
  <c r="J258" i="1"/>
  <c r="J263" i="1"/>
  <c r="J266" i="1"/>
  <c r="J268" i="1"/>
  <c r="J274" i="1"/>
  <c r="J297" i="1"/>
  <c r="J305" i="1"/>
  <c r="J315" i="1"/>
  <c r="J316" i="1"/>
  <c r="J379" i="1"/>
  <c r="J389" i="1"/>
  <c r="J850" i="1" l="1"/>
  <c r="J842" i="1"/>
  <c r="J834" i="1"/>
  <c r="J826" i="1"/>
  <c r="J818" i="1"/>
  <c r="J810" i="1"/>
  <c r="J802" i="1"/>
  <c r="J797" i="1"/>
  <c r="J793" i="1"/>
  <c r="J789" i="1"/>
  <c r="J785" i="1"/>
  <c r="J781" i="1"/>
  <c r="J777" i="1"/>
  <c r="J773" i="1"/>
  <c r="J769" i="1"/>
  <c r="J765" i="1"/>
  <c r="J761" i="1"/>
  <c r="J757" i="1"/>
  <c r="J750" i="1"/>
  <c r="J742" i="1"/>
  <c r="J734" i="1"/>
  <c r="J726" i="1"/>
  <c r="J718" i="1"/>
  <c r="J714" i="1"/>
  <c r="J706" i="1"/>
  <c r="J698" i="1"/>
  <c r="J690" i="1"/>
  <c r="J679" i="1"/>
  <c r="J669" i="1"/>
  <c r="J661" i="1"/>
  <c r="J653" i="1"/>
  <c r="J637" i="1"/>
  <c r="J631" i="1"/>
  <c r="J625" i="1"/>
  <c r="J617" i="1"/>
  <c r="J605" i="1"/>
  <c r="J599" i="1"/>
  <c r="J593" i="1"/>
  <c r="J587" i="1"/>
  <c r="J575" i="1"/>
  <c r="J571" i="1"/>
  <c r="J567" i="1"/>
  <c r="J561" i="1"/>
  <c r="J554" i="1"/>
  <c r="J545" i="1"/>
  <c r="J536" i="1"/>
  <c r="J528" i="1"/>
  <c r="J520" i="1"/>
  <c r="J516" i="1"/>
  <c r="J512" i="1"/>
  <c r="J487" i="1"/>
  <c r="J855" i="1"/>
  <c r="J847" i="1"/>
  <c r="J839" i="1"/>
  <c r="J831" i="1"/>
  <c r="J823" i="1"/>
  <c r="J815" i="1"/>
  <c r="J807" i="1"/>
  <c r="J799" i="1"/>
  <c r="J751" i="1"/>
  <c r="J743" i="1"/>
  <c r="J735" i="1"/>
  <c r="J727" i="1"/>
  <c r="J719" i="1"/>
  <c r="J713" i="1"/>
  <c r="J705" i="1"/>
  <c r="J697" i="1"/>
  <c r="J689" i="1"/>
  <c r="J668" i="1"/>
  <c r="J660" i="1"/>
  <c r="J652" i="1"/>
  <c r="J644" i="1"/>
  <c r="J628" i="1"/>
  <c r="J624" i="1"/>
  <c r="J616" i="1"/>
  <c r="J610" i="1"/>
  <c r="J604" i="1"/>
  <c r="J598" i="1"/>
  <c r="J586" i="1"/>
  <c r="J574" i="1"/>
  <c r="J566" i="1"/>
  <c r="J560" i="1"/>
  <c r="J553" i="1"/>
  <c r="J544" i="1"/>
  <c r="J543" i="1"/>
  <c r="J535" i="1"/>
  <c r="J527" i="1"/>
  <c r="J507" i="1"/>
  <c r="J503" i="1"/>
  <c r="J500" i="1"/>
  <c r="J496" i="1"/>
  <c r="J486" i="1"/>
  <c r="J852" i="1"/>
  <c r="J844" i="1"/>
  <c r="J836" i="1"/>
  <c r="J828" i="1"/>
  <c r="J820" i="1"/>
  <c r="J812" i="1"/>
  <c r="J804" i="1"/>
  <c r="J794" i="1"/>
  <c r="J790" i="1"/>
  <c r="J786" i="1"/>
  <c r="J782" i="1"/>
  <c r="J778" i="1"/>
  <c r="J774" i="1"/>
  <c r="J770" i="1"/>
  <c r="J766" i="1"/>
  <c r="J762" i="1"/>
  <c r="J758" i="1"/>
  <c r="J752" i="1"/>
  <c r="J744" i="1"/>
  <c r="J736" i="1"/>
  <c r="J728" i="1"/>
  <c r="J720" i="1"/>
  <c r="J712" i="1"/>
  <c r="J704" i="1"/>
  <c r="J696" i="1"/>
  <c r="J688" i="1"/>
  <c r="J687" i="1"/>
  <c r="J675" i="1"/>
  <c r="J667" i="1"/>
  <c r="J659" i="1"/>
  <c r="J651" i="1"/>
  <c r="J647" i="1"/>
  <c r="J643" i="1"/>
  <c r="J623" i="1"/>
  <c r="J615" i="1"/>
  <c r="J603" i="1"/>
  <c r="J597" i="1"/>
  <c r="J585" i="1"/>
  <c r="J579" i="1"/>
  <c r="J565" i="1"/>
  <c r="J552" i="1"/>
  <c r="J542" i="1"/>
  <c r="J534" i="1"/>
  <c r="J526" i="1"/>
  <c r="J519" i="1"/>
  <c r="J515" i="1"/>
  <c r="J511" i="1"/>
  <c r="J485" i="1"/>
  <c r="J849" i="1"/>
  <c r="J841" i="1"/>
  <c r="J833" i="1"/>
  <c r="J825" i="1"/>
  <c r="J817" i="1"/>
  <c r="J809" i="1"/>
  <c r="J801" i="1"/>
  <c r="J753" i="1"/>
  <c r="J745" i="1"/>
  <c r="J737" i="1"/>
  <c r="J729" i="1"/>
  <c r="J721" i="1"/>
  <c r="J711" i="1"/>
  <c r="J703" i="1"/>
  <c r="J695" i="1"/>
  <c r="J686" i="1"/>
  <c r="J678" i="1"/>
  <c r="J674" i="1"/>
  <c r="J666" i="1"/>
  <c r="J658" i="1"/>
  <c r="J650" i="1"/>
  <c r="J642" i="1"/>
  <c r="J636" i="1"/>
  <c r="J630" i="1"/>
  <c r="J622" i="1"/>
  <c r="J614" i="1"/>
  <c r="J602" i="1"/>
  <c r="J596" i="1"/>
  <c r="J592" i="1"/>
  <c r="J584" i="1"/>
  <c r="J570" i="1"/>
  <c r="J564" i="1"/>
  <c r="J551" i="1"/>
  <c r="J541" i="1"/>
  <c r="J533" i="1"/>
  <c r="J525" i="1"/>
  <c r="J510" i="1"/>
  <c r="J506" i="1"/>
  <c r="J502" i="1"/>
  <c r="J499" i="1"/>
  <c r="J495" i="1"/>
  <c r="J493" i="1"/>
  <c r="J854" i="1"/>
  <c r="J846" i="1"/>
  <c r="J838" i="1"/>
  <c r="J830" i="1"/>
  <c r="J822" i="1"/>
  <c r="J814" i="1"/>
  <c r="J806" i="1"/>
  <c r="J798" i="1"/>
  <c r="J795" i="1"/>
  <c r="J791" i="1"/>
  <c r="J787" i="1"/>
  <c r="J783" i="1"/>
  <c r="J779" i="1"/>
  <c r="J775" i="1"/>
  <c r="J771" i="1"/>
  <c r="J767" i="1"/>
  <c r="J763" i="1"/>
  <c r="J759" i="1"/>
  <c r="J754" i="1"/>
  <c r="J746" i="1"/>
  <c r="J738" i="1"/>
  <c r="J730" i="1"/>
  <c r="J722" i="1"/>
  <c r="J710" i="1"/>
  <c r="J702" i="1"/>
  <c r="J694" i="1"/>
  <c r="J685" i="1"/>
  <c r="J677" i="1"/>
  <c r="J673" i="1"/>
  <c r="J665" i="1"/>
  <c r="J657" i="1"/>
  <c r="J649" i="1"/>
  <c r="J641" i="1"/>
  <c r="J635" i="1"/>
  <c r="J627" i="1"/>
  <c r="J621" i="1"/>
  <c r="J613" i="1"/>
  <c r="J609" i="1"/>
  <c r="J601" i="1"/>
  <c r="J595" i="1"/>
  <c r="J591" i="1"/>
  <c r="J583" i="1"/>
  <c r="J573" i="1"/>
  <c r="J563" i="1"/>
  <c r="J559" i="1"/>
  <c r="J550" i="1"/>
  <c r="J540" i="1"/>
  <c r="J532" i="1"/>
  <c r="J524" i="1"/>
  <c r="J518" i="1"/>
  <c r="J514" i="1"/>
  <c r="J851" i="1"/>
  <c r="J843" i="1"/>
  <c r="J835" i="1"/>
  <c r="J827" i="1"/>
  <c r="J819" i="1"/>
  <c r="J811" i="1"/>
  <c r="J803" i="1"/>
  <c r="J755" i="1"/>
  <c r="J747" i="1"/>
  <c r="J739" i="1"/>
  <c r="J731" i="1"/>
  <c r="J723" i="1"/>
  <c r="J709" i="1"/>
  <c r="J701" i="1"/>
  <c r="J693" i="1"/>
  <c r="J684" i="1"/>
  <c r="J672" i="1"/>
  <c r="J664" i="1"/>
  <c r="J656" i="1"/>
  <c r="J646" i="1"/>
  <c r="J640" i="1"/>
  <c r="J634" i="1"/>
  <c r="J626" i="1"/>
  <c r="J620" i="1"/>
  <c r="J612" i="1"/>
  <c r="J608" i="1"/>
  <c r="J590" i="1"/>
  <c r="J582" i="1"/>
  <c r="J578" i="1"/>
  <c r="J572" i="1"/>
  <c r="J558" i="1"/>
  <c r="J549" i="1"/>
  <c r="J548" i="1"/>
  <c r="J539" i="1"/>
  <c r="J531" i="1"/>
  <c r="J523" i="1"/>
  <c r="J509" i="1"/>
  <c r="J505" i="1"/>
  <c r="J498" i="1"/>
  <c r="J494" i="1"/>
  <c r="J848" i="1"/>
  <c r="J840" i="1"/>
  <c r="J832" i="1"/>
  <c r="J824" i="1"/>
  <c r="J816" i="1"/>
  <c r="J808" i="1"/>
  <c r="J800" i="1"/>
  <c r="J796" i="1"/>
  <c r="J792" i="1"/>
  <c r="J788" i="1"/>
  <c r="J784" i="1"/>
  <c r="J780" i="1"/>
  <c r="J776" i="1"/>
  <c r="J772" i="1"/>
  <c r="J768" i="1"/>
  <c r="J764" i="1"/>
  <c r="J760" i="1"/>
  <c r="J756" i="1"/>
  <c r="J748" i="1"/>
  <c r="J740" i="1"/>
  <c r="J732" i="1"/>
  <c r="J724" i="1"/>
  <c r="J716" i="1"/>
  <c r="J708" i="1"/>
  <c r="J700" i="1"/>
  <c r="J692" i="1"/>
  <c r="J683" i="1"/>
  <c r="J682" i="1"/>
  <c r="J671" i="1"/>
  <c r="J663" i="1"/>
  <c r="J655" i="1"/>
  <c r="J645" i="1"/>
  <c r="J639" i="1"/>
  <c r="J633" i="1"/>
  <c r="J629" i="1"/>
  <c r="J619" i="1"/>
  <c r="J611" i="1"/>
  <c r="J607" i="1"/>
  <c r="J589" i="1"/>
  <c r="J581" i="1"/>
  <c r="J577" i="1"/>
  <c r="J569" i="1"/>
  <c r="J557" i="1"/>
  <c r="J547" i="1"/>
  <c r="J538" i="1"/>
  <c r="J530" i="1"/>
  <c r="J522" i="1"/>
  <c r="J517" i="1"/>
  <c r="J513" i="1"/>
  <c r="J491" i="1"/>
  <c r="J490" i="1"/>
  <c r="J489" i="1"/>
  <c r="J853" i="1"/>
  <c r="J845" i="1"/>
  <c r="J837" i="1"/>
  <c r="J829" i="1"/>
  <c r="J821" i="1"/>
  <c r="J813" i="1"/>
  <c r="J805" i="1"/>
  <c r="J749" i="1"/>
  <c r="J741" i="1"/>
  <c r="J733" i="1"/>
  <c r="J725" i="1"/>
  <c r="J717" i="1"/>
  <c r="J715" i="1"/>
  <c r="J707" i="1"/>
  <c r="J699" i="1"/>
  <c r="J691" i="1"/>
  <c r="J681" i="1"/>
  <c r="J680" i="1"/>
  <c r="J676" i="1"/>
  <c r="J670" i="1"/>
  <c r="J662" i="1"/>
  <c r="J654" i="1"/>
  <c r="J648" i="1"/>
  <c r="J638" i="1"/>
  <c r="J632" i="1"/>
  <c r="J618" i="1"/>
  <c r="J606" i="1"/>
  <c r="J600" i="1"/>
  <c r="J594" i="1"/>
  <c r="J588" i="1"/>
  <c r="J580" i="1"/>
  <c r="J576" i="1"/>
  <c r="J568" i="1"/>
  <c r="J562" i="1"/>
  <c r="J556" i="1"/>
  <c r="J555" i="1"/>
  <c r="J546" i="1"/>
  <c r="J537" i="1"/>
  <c r="J529" i="1"/>
  <c r="J521" i="1"/>
  <c r="J508" i="1"/>
  <c r="J504" i="1"/>
  <c r="J501" i="1"/>
  <c r="J497" i="1"/>
  <c r="J4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25" authorId="0" shapeId="0" xr:uid="{289E8C60-F8B6-4874-A526-09D24383B256}">
      <text>
        <r>
          <rPr>
            <sz val="10"/>
            <color rgb="FF000000"/>
            <rFont val="Calibri"/>
            <family val="2"/>
            <scheme val="minor"/>
          </rPr>
          <t>======
ID#AAABsgy9i58
Phòng Tổ chức Cán bộ     (2025-10-16 01:13:45)
BC 16/2/2005</t>
        </r>
      </text>
    </comment>
    <comment ref="W29" authorId="0" shapeId="0" xr:uid="{F1689EAF-A573-4277-9AB6-F7AA2E298252}">
      <text>
        <r>
          <rPr>
            <sz val="10"/>
            <color rgb="FF000000"/>
            <rFont val="Calibri"/>
            <family val="2"/>
            <scheme val="minor"/>
          </rPr>
          <t>======
ID#AAABsgy9i0g
Phòng Tổ chức Cán bộ     (2025-10-16 01:13:45)
BC 01/02/2017</t>
        </r>
      </text>
    </comment>
    <comment ref="W181" authorId="0" shapeId="0" xr:uid="{8713599E-D1C9-4572-82E7-7601BB252086}">
      <text>
        <r>
          <rPr>
            <sz val="10"/>
            <color rgb="FF000000"/>
            <rFont val="Calibri"/>
            <family val="2"/>
            <scheme val="minor"/>
          </rPr>
          <t>======
ID#AAABsgy9i4I
Phòng Tổ chức Cán bộ     (2025-10-16 01:13:45)
Chuyển đến 02/01/2020</t>
        </r>
      </text>
    </comment>
    <comment ref="W212" authorId="0" shapeId="0" xr:uid="{4AD1E535-32C5-48D1-8A77-4D28BE1A0098}">
      <text>
        <r>
          <rPr>
            <sz val="10"/>
            <color rgb="FF000000"/>
            <rFont val="Calibri"/>
            <family val="2"/>
            <scheme val="minor"/>
          </rPr>
          <t>======
ID#AAABsgy9i30
Phòng Tổ chức Cán bộ     (2025-10-16 01:13:45)
Chuyển đến 23/3/2020</t>
        </r>
      </text>
    </comment>
    <comment ref="W280" authorId="0" shapeId="0" xr:uid="{683A5D8F-3FAE-4BAE-902C-DD09DA6D09CA}">
      <text>
        <r>
          <rPr>
            <sz val="10"/>
            <color rgb="FF000000"/>
            <rFont val="Calibri"/>
            <family val="2"/>
            <scheme val="minor"/>
          </rPr>
          <t>======
ID#AAABsgy9i7A
Windows User    (2025-10-16 01:13:45)
biên chế 19/01/2005
chuyển đến 01/11/2008</t>
        </r>
      </text>
    </comment>
    <comment ref="W333" authorId="0" shapeId="0" xr:uid="{A0B27334-C812-4974-A899-6EEA5A96738B}">
      <text>
        <r>
          <rPr>
            <sz val="10"/>
            <color rgb="FF000000"/>
            <rFont val="Calibri"/>
            <family val="2"/>
            <scheme val="minor"/>
          </rPr>
          <t>======
ID#AAABsgaUy5A
Phòng Tổ chức Cán bộ     (2025-10-16 01:13:45)
16/2/2005</t>
        </r>
      </text>
    </comment>
    <comment ref="W336" authorId="0" shapeId="0" xr:uid="{27FC7FA8-F84E-42C5-B840-C93D3523AC2D}">
      <text>
        <r>
          <rPr>
            <sz val="10"/>
            <color rgb="FF000000"/>
            <rFont val="Calibri"/>
            <family val="2"/>
            <scheme val="minor"/>
          </rPr>
          <t>======
ID#AAABsgy9i2k
Phòng Tổ chức Cán bộ     (2025-10-16 01:13:45)
Chuyển đến 3/2017</t>
        </r>
      </text>
    </comment>
    <comment ref="W350" authorId="0" shapeId="0" xr:uid="{700E08BC-3E33-4982-AB94-5E7E911E6590}">
      <text>
        <r>
          <rPr>
            <sz val="10"/>
            <color rgb="FF000000"/>
            <rFont val="Calibri"/>
            <family val="2"/>
            <scheme val="minor"/>
          </rPr>
          <t>======
ID#AAABsgy9iyQ
Phòng Tổ chức Cán bộ     (2025-10-16 01:13:45)
Chuyển đến 04/2018</t>
        </r>
      </text>
    </comment>
    <comment ref="W362" authorId="0" shapeId="0" xr:uid="{92B868AD-97CB-4458-9488-036A5A4F44C4}">
      <text>
        <r>
          <rPr>
            <sz val="10"/>
            <color rgb="FF000000"/>
            <rFont val="Calibri"/>
            <family val="2"/>
            <scheme val="minor"/>
          </rPr>
          <t>======
ID#AAABsgy9i5A
Phòng Tổ chức Cán bộ     (2025-10-16 01:13:45)
Chuyển đến 04/2018</t>
        </r>
      </text>
    </comment>
    <comment ref="W372" authorId="0" shapeId="0" xr:uid="{F35238FF-7118-4D15-8682-5F4B14FAFBF7}">
      <text>
        <r>
          <rPr>
            <sz val="10"/>
            <color rgb="FF000000"/>
            <rFont val="Calibri"/>
            <family val="2"/>
            <scheme val="minor"/>
          </rPr>
          <t>======
ID#AAABsgy9i2U
Phòng Tổ chức Cán bộ     (2025-10-16 01:13:45)
Chuyển đến 4/2018</t>
        </r>
      </text>
    </comment>
    <comment ref="W413" authorId="0" shapeId="0" xr:uid="{9D3FB88A-DD99-421F-9F32-A4F064FF8740}">
      <text>
        <r>
          <rPr>
            <sz val="10"/>
            <color rgb="FF000000"/>
            <rFont val="Calibri"/>
            <family val="2"/>
            <scheme val="minor"/>
          </rPr>
          <t>======
ID#AAABsgy9i1w
Phòng Tổ chức Cán bộ     (2025-10-16 01:13:45)
Chuyển đến 04/2018</t>
        </r>
      </text>
    </comment>
    <comment ref="W454" authorId="0" shapeId="0" xr:uid="{3D6F5B68-815A-4CBF-9271-F168B3B7F041}">
      <text>
        <r>
          <rPr>
            <sz val="10"/>
            <color rgb="FF000000"/>
            <rFont val="Calibri"/>
            <family val="2"/>
            <scheme val="minor"/>
          </rPr>
          <t>======
ID#AAABsgy9i54
Phòng Tổ chức Cán bộ     (2025-10-16 01:13:45)
Biên chế 10/6/2013</t>
        </r>
      </text>
    </comment>
    <comment ref="W456" authorId="0" shapeId="0" xr:uid="{828C5B5E-F2EE-4A04-98D5-233A1BD64567}">
      <text>
        <r>
          <rPr>
            <sz val="10"/>
            <color rgb="FF000000"/>
            <rFont val="Calibri"/>
            <family val="2"/>
            <scheme val="minor"/>
          </rPr>
          <t>======
ID#AAABsgy9ix8
Phòng Tổ chức Cán bộ     (2025-10-16 01:13:45)
Chuyển đến 03/4/2020</t>
        </r>
      </text>
    </comment>
    <comment ref="W483" authorId="0" shapeId="0" xr:uid="{4EF9CED3-CE36-4135-8D43-A02CEB17466B}">
      <text>
        <r>
          <rPr>
            <sz val="10"/>
            <color rgb="FF000000"/>
            <rFont val="Calibri"/>
            <family val="2"/>
            <scheme val="minor"/>
          </rPr>
          <t>======
ID#AAABsgy9iyI
Phòng Tổ chức Cán bộ     (2025-10-16 01:13:45)
BC 10/6/2013</t>
        </r>
      </text>
    </comment>
    <comment ref="W493" authorId="0" shapeId="0" xr:uid="{9969C0B5-0987-4B0C-83AA-3A77082122AA}">
      <text>
        <r>
          <rPr>
            <sz val="10"/>
            <color rgb="FF000000"/>
            <rFont val="Calibri"/>
            <family val="2"/>
            <scheme val="minor"/>
          </rPr>
          <t>======
ID#AAABsgy9i1k
DoanTrungTuan    (2025-10-16 01:13:45)
30/6/2020 biên chế</t>
        </r>
      </text>
    </comment>
    <comment ref="C554" authorId="0" shapeId="0" xr:uid="{27A0066D-9579-4222-AC21-508D1B786224}">
      <text>
        <r>
          <rPr>
            <sz val="10"/>
            <color rgb="FF000000"/>
            <rFont val="Calibri"/>
            <family val="2"/>
            <scheme val="minor"/>
          </rPr>
          <t>======
ID#AAABsgy9i3Y
Phòng Tổ chức Cán bộ     (2025-10-16 01:13:45)
Huyền YTCC</t>
        </r>
      </text>
    </comment>
    <comment ref="C557" authorId="0" shapeId="0" xr:uid="{6A1366A3-D227-4111-B7DB-C5744F62447C}">
      <text>
        <r>
          <rPr>
            <sz val="10"/>
            <color rgb="FF000000"/>
            <rFont val="Calibri"/>
            <family val="2"/>
            <scheme val="minor"/>
          </rPr>
          <t>======
ID#AAABsgaUy4Y
Phòng Tổ chức Cán bộ     (2025-10-16 01:13:45)
Thức</t>
        </r>
      </text>
    </comment>
    <comment ref="C558" authorId="0" shapeId="0" xr:uid="{616EBAB1-13F5-4DAF-B5DE-58A709B01431}">
      <text>
        <r>
          <rPr>
            <sz val="10"/>
            <color rgb="FF000000"/>
            <rFont val="Calibri"/>
            <family val="2"/>
            <scheme val="minor"/>
          </rPr>
          <t>======
ID#AAABsgaUy4g
Phòng Tổ chức Cán bộ     (2025-10-16 01:13:45)
Tuyên KSNK</t>
        </r>
      </text>
    </comment>
    <comment ref="E586" authorId="0" shapeId="0" xr:uid="{B5A7F559-704F-4ED5-B323-5E471664E0B5}">
      <text>
        <r>
          <rPr>
            <sz val="10"/>
            <color rgb="FF000000"/>
            <rFont val="Calibri"/>
            <family val="2"/>
            <scheme val="minor"/>
          </rPr>
          <t>======
ID#AAABsgy9i3w
Phòng Tổ chức Cán bộ     (2025-10-16 01:13:45)
2714085727</t>
        </r>
      </text>
    </comment>
    <comment ref="W707" authorId="0" shapeId="0" xr:uid="{87228583-F494-4CEA-9FE5-950058F46823}">
      <text>
        <r>
          <rPr>
            <sz val="10"/>
            <color rgb="FF000000"/>
            <rFont val="Calibri"/>
            <family val="2"/>
            <scheme val="minor"/>
          </rPr>
          <t>======
ID#AAABsgy9iyk
Phòng Tổ chức Cán bộ     (2025-10-16 01:13:45)
Chờ thanh lý HĐ tại pk</t>
        </r>
      </text>
    </comment>
    <comment ref="W774" authorId="0" shapeId="0" xr:uid="{C7016BE7-3D68-4225-B262-B544BFC164E0}">
      <text>
        <r>
          <rPr>
            <sz val="10"/>
            <color rgb="FF000000"/>
            <rFont val="Calibri"/>
            <family val="2"/>
            <scheme val="minor"/>
          </rPr>
          <t>======
ID#AAABsgy9iyo
DoanTrungTuan    (2025-10-16 01:13:45)
biên chế 04/2023</t>
        </r>
      </text>
    </comment>
    <comment ref="W797" authorId="0" shapeId="0" xr:uid="{731A2237-9914-4CF8-91F0-09DE840522C2}">
      <text>
        <r>
          <rPr>
            <sz val="10"/>
            <color rgb="FF000000"/>
            <rFont val="Calibri"/>
            <family val="2"/>
            <scheme val="minor"/>
          </rPr>
          <t>======
ID#AAABsgy9i4Q
DoanTrungTuan    (2025-10-16 01:13:45)
Thử việc 17/4/2019-31/5/2019; thanh lý HĐ 01/01/2024; VC chuyển đến 01/11/2024</t>
        </r>
      </text>
    </comment>
  </commentList>
</comments>
</file>

<file path=xl/sharedStrings.xml><?xml version="1.0" encoding="utf-8"?>
<sst xmlns="http://schemas.openxmlformats.org/spreadsheetml/2006/main" count="15304" uniqueCount="6015">
  <si>
    <t>LÝ LỊCH TRÍCH NGANG CÔNG CHỨC, VIÊN CHỨC, NGƯỜI LAO ĐỘNG BỆNH VIỆN ĐA KHOA TỈNH LẠNG SƠN</t>
  </si>
  <si>
    <t>Mã hồ sơ</t>
  </si>
  <si>
    <t>STT</t>
  </si>
  <si>
    <t>Họ và tên</t>
  </si>
  <si>
    <t>Số sổ BHXH</t>
  </si>
  <si>
    <t>Số Căn cước công dân</t>
  </si>
  <si>
    <t>Ngày, tháng, năm sinh</t>
  </si>
  <si>
    <t xml:space="preserve"> CMTND</t>
  </si>
  <si>
    <t>Quê quán</t>
  </si>
  <si>
    <t>Nơi ở hiện nay</t>
  </si>
  <si>
    <t>Tháng, năm tuyển dụng</t>
  </si>
  <si>
    <t>Chức vụ</t>
  </si>
  <si>
    <t>Khoa, phòng, bộ phận...</t>
  </si>
  <si>
    <t>Ngạch, bậc lương</t>
  </si>
  <si>
    <t>Trình độ</t>
  </si>
  <si>
    <t>Dân tộc</t>
  </si>
  <si>
    <t>Ngày, tháng năm vào đảng</t>
  </si>
  <si>
    <t>Cán bộ đang và đã được cử đi đào tạo, bồi dưỡng năm 2017 (Tên trường, khoá học)</t>
  </si>
  <si>
    <t>Mã hộ gia đinh</t>
  </si>
  <si>
    <t xml:space="preserve">Nam </t>
  </si>
  <si>
    <t>Nữ</t>
  </si>
  <si>
    <t>Tuổi</t>
  </si>
  <si>
    <t>Số CMTND</t>
  </si>
  <si>
    <t>Ngày cấp</t>
  </si>
  <si>
    <t>Nơi cấp</t>
  </si>
  <si>
    <t>Nơi đăng ký khai sinh</t>
  </si>
  <si>
    <t>Xã phường</t>
  </si>
  <si>
    <t>Quận huyện</t>
  </si>
  <si>
    <t>Tỉnh thành</t>
  </si>
  <si>
    <t>Thôn phố</t>
  </si>
  <si>
    <t>Cập nhật 2026</t>
  </si>
  <si>
    <t>Số QĐ tuyển dụng</t>
  </si>
  <si>
    <t>Ngày ký</t>
  </si>
  <si>
    <t>Mã khoa phòng</t>
  </si>
  <si>
    <t>Loại hợp đồng</t>
  </si>
  <si>
    <t>Mã ngạch</t>
  </si>
  <si>
    <t>Tên ngạch</t>
  </si>
  <si>
    <t>Hệ số lương</t>
  </si>
  <si>
    <t>Bậc lương</t>
  </si>
  <si>
    <t>phụ cấp TNVK</t>
  </si>
  <si>
    <t>Thời điểm nâng lương</t>
  </si>
  <si>
    <t>Chuyên môn</t>
  </si>
  <si>
    <t>Chuyên ngành</t>
  </si>
  <si>
    <t>Cơ sở đào tạo</t>
  </si>
  <si>
    <t>Năm tốt nghiệp</t>
  </si>
  <si>
    <t>Trình độ văn hóa</t>
  </si>
  <si>
    <t>QLNN</t>
  </si>
  <si>
    <t>Quản lý BV</t>
  </si>
  <si>
    <t>LLCT</t>
  </si>
  <si>
    <t>Ng. ngữ</t>
  </si>
  <si>
    <t>Tiếng dân tộc</t>
  </si>
  <si>
    <t>Tin học</t>
  </si>
  <si>
    <t>Chứng chỉ chuyên môn khác</t>
  </si>
  <si>
    <t>Số Chứng chỉ hành nghề</t>
  </si>
  <si>
    <t>Phạm vi hoạt động</t>
  </si>
  <si>
    <t>3</t>
  </si>
  <si>
    <t>7</t>
  </si>
  <si>
    <t>A</t>
  </si>
  <si>
    <t>TRONG BIÊN CHẾ</t>
  </si>
  <si>
    <t>I</t>
  </si>
  <si>
    <t xml:space="preserve">Ban lãnh đạo </t>
  </si>
  <si>
    <t>18/07/2016</t>
  </si>
  <si>
    <t>BV0657</t>
  </si>
  <si>
    <t>Trương Quý Trường</t>
  </si>
  <si>
    <t>1596007534</t>
  </si>
  <si>
    <t>080910009</t>
  </si>
  <si>
    <t>03/02/2015</t>
  </si>
  <si>
    <t>CA tỉnh Lạng Sơn</t>
  </si>
  <si>
    <t>Tràng Định Lạng Sơn</t>
  </si>
  <si>
    <t>Hùng Sơn</t>
  </si>
  <si>
    <t>Tràng Định</t>
  </si>
  <si>
    <t>Lạng Sơn</t>
  </si>
  <si>
    <t>Số 48 tổ 2 khối 7</t>
  </si>
  <si>
    <t>Phường Vĩnh Trại</t>
  </si>
  <si>
    <t>TP Lạng Sơn</t>
  </si>
  <si>
    <t>Phường Vĩnh Trại, thành phố Lạng Sơn, tỉnh Lạng Sơn</t>
  </si>
  <si>
    <t>11/11/1994</t>
  </si>
  <si>
    <t>BLĐ</t>
  </si>
  <si>
    <t>KP000</t>
  </si>
  <si>
    <t>V.08.01.02</t>
  </si>
  <si>
    <t>Đại học</t>
  </si>
  <si>
    <t>YTCC</t>
  </si>
  <si>
    <t>Chuyên viên</t>
  </si>
  <si>
    <t>Cao cấp</t>
  </si>
  <si>
    <t>Anh C</t>
  </si>
  <si>
    <t>Tày</t>
  </si>
  <si>
    <t>B</t>
  </si>
  <si>
    <t>Kinh</t>
  </si>
  <si>
    <t>BV0096</t>
  </si>
  <si>
    <t>Hoàng Mạnh Cương</t>
  </si>
  <si>
    <t>080971371</t>
  </si>
  <si>
    <t>17/01/2000</t>
  </si>
  <si>
    <t>Xã Chiến Thắng</t>
  </si>
  <si>
    <t>Huyện Bắc Sơn</t>
  </si>
  <si>
    <t>Tỉnh Lạng Sơn</t>
  </si>
  <si>
    <t xml:space="preserve"> Số 47 Tông Đản, tổ 4, khối 11</t>
  </si>
  <si>
    <t>Phường Hoàng Văn Thụ</t>
  </si>
  <si>
    <t>Thành phố Lạng Sơn</t>
  </si>
  <si>
    <t>1/12/2008</t>
  </si>
  <si>
    <t>Hồi sức CC</t>
  </si>
  <si>
    <t>x</t>
  </si>
  <si>
    <t>Trung cấp</t>
  </si>
  <si>
    <t>BV0090</t>
  </si>
  <si>
    <t>Đặng Huy Du</t>
  </si>
  <si>
    <t>080900643</t>
  </si>
  <si>
    <t>10/09/2013</t>
  </si>
  <si>
    <t>Phường Vĩnh Trại, thành phố Lạng Sơn</t>
  </si>
  <si>
    <t>Xã Tân Liên</t>
  </si>
  <si>
    <t>Huyện Cao Lộc</t>
  </si>
  <si>
    <t>Tổ 3 khối 8</t>
  </si>
  <si>
    <t>20/4/1997</t>
  </si>
  <si>
    <t>Thần kinh</t>
  </si>
  <si>
    <t>Đại học Y Hà Nội</t>
  </si>
  <si>
    <t>12/12</t>
  </si>
  <si>
    <t>24/6/2013</t>
  </si>
  <si>
    <t>BV0174</t>
  </si>
  <si>
    <t>Trần Mậu Việt</t>
  </si>
  <si>
    <t>080964252</t>
  </si>
  <si>
    <t>08/02/2006</t>
  </si>
  <si>
    <t>Thành phố Lạng Sơn, tỉnh Lạng Sơn</t>
  </si>
  <si>
    <t>Xã Nam Trung</t>
  </si>
  <si>
    <t>Huyện Nam Đàn</t>
  </si>
  <si>
    <t>Tỉnh Nghệ An</t>
  </si>
  <si>
    <t>Số 17 đường Thác Mạ</t>
  </si>
  <si>
    <t>Phường Đông Kinh</t>
  </si>
  <si>
    <t>1/1/2003</t>
  </si>
  <si>
    <t>Ngoại khoa</t>
  </si>
  <si>
    <t>Nùng</t>
  </si>
  <si>
    <t>24/06/2013</t>
  </si>
  <si>
    <t>BV0004</t>
  </si>
  <si>
    <t>Nguyễn Văn Thắng</t>
  </si>
  <si>
    <t>024078001825
ngày cấp 29/04/2021, nơi cấp: Cục cảnh sát quản lý hành chính và trật tự xã hội</t>
  </si>
  <si>
    <t>121351186</t>
  </si>
  <si>
    <t>Tam Dị</t>
  </si>
  <si>
    <t>Huyện Lục Ngạn</t>
  </si>
  <si>
    <t>Tỉnh Bắc Giang</t>
  </si>
  <si>
    <t>Phường Chi Lăng</t>
  </si>
  <si>
    <t>15/2/2005</t>
  </si>
  <si>
    <t>Nội khoa</t>
  </si>
  <si>
    <t>Sơ cấp</t>
  </si>
  <si>
    <t>BV0167</t>
  </si>
  <si>
    <t>Hoàng Thị Nga</t>
  </si>
  <si>
    <t>020170000676
ngày cấp 31/03/2021, nơi cấp: Cục cảnh sát quản lý hành chính và trật tự xã hội</t>
  </si>
  <si>
    <t>080902650</t>
  </si>
  <si>
    <t>10/03/2011</t>
  </si>
  <si>
    <t>Huyện Văn Lãng</t>
  </si>
  <si>
    <t>7/11/2006</t>
  </si>
  <si>
    <t>V.08.05.12</t>
  </si>
  <si>
    <t>Trung học Y tế Bạch Mai</t>
  </si>
  <si>
    <t>BV0009</t>
  </si>
  <si>
    <t>Hoàng Hải Yến</t>
  </si>
  <si>
    <t>020189006031
ngày cấp 20/08/2021, nơi cấp: Cục cảnh sát quản lý hành chính và trật tự xã hội</t>
  </si>
  <si>
    <t>082098387</t>
  </si>
  <si>
    <t>07/12/2006</t>
  </si>
  <si>
    <t>Xã Chu Túc</t>
  </si>
  <si>
    <t>Huyện Văn Quan</t>
  </si>
  <si>
    <t>05/6/2013</t>
  </si>
  <si>
    <t>V.08.05.13</t>
  </si>
  <si>
    <t>Cao đẳng</t>
  </si>
  <si>
    <t>Cao đẳng Y tế Lạng Sơn</t>
  </si>
  <si>
    <t>BV0222</t>
  </si>
  <si>
    <t>Hoàng Thị Thùy</t>
  </si>
  <si>
    <t>020185002499
ngày cấp 25/04/2021, nơi cấp: Cục cảnh sát quản lý hành chính và trật tự xã hội</t>
  </si>
  <si>
    <t>081017881</t>
  </si>
  <si>
    <t>18/02/2003</t>
  </si>
  <si>
    <t>Xã Văn An, huyện Văn Quan, tỉnh Lạng Sơn</t>
  </si>
  <si>
    <t>Phường Tam Thanh</t>
  </si>
  <si>
    <t>01/12/2008</t>
  </si>
  <si>
    <t>BV0384</t>
  </si>
  <si>
    <t>Trần Ngọc Tú</t>
  </si>
  <si>
    <t>020181004805
ngày cấp 09/05/2021, nơi cấp: Cục cảnh sát quản lý hành chính và trật tự xã hội</t>
  </si>
  <si>
    <t>080992308</t>
  </si>
  <si>
    <t>07/07/1998</t>
  </si>
  <si>
    <t>UBND xã Mai Pha, TP. Lạng Sơn</t>
  </si>
  <si>
    <t>Xã Mai Pha</t>
  </si>
  <si>
    <t>Trung học Y tế Lạng Sơn</t>
  </si>
  <si>
    <t>BV0170</t>
  </si>
  <si>
    <t>Trần Thị Hải Yến</t>
  </si>
  <si>
    <t>20186009334
ngày cấp 27/06/2021, nơi cấp: Cục cảnh sát quản lý hành chính và trật tự xã hội</t>
  </si>
  <si>
    <t>082006037</t>
  </si>
  <si>
    <t>09/09/2003</t>
  </si>
  <si>
    <t>Xã Đồng Bục</t>
  </si>
  <si>
    <t>Huyện Lộc Bình</t>
  </si>
  <si>
    <t>58 Khu Lao Động</t>
  </si>
  <si>
    <t>Thị trấn Lộc Bình</t>
  </si>
  <si>
    <t>25/12/2008</t>
  </si>
  <si>
    <t>12/14</t>
  </si>
  <si>
    <t>BV0037</t>
  </si>
  <si>
    <t>Triệu Thị Thảo</t>
  </si>
  <si>
    <t>020186002926
ngày cấp 24/04/2021, nơi cấp: Cục cảnh sát quản lý hành chính và trật tự xã hội</t>
  </si>
  <si>
    <t>Đang công tác tại Nội Thận</t>
  </si>
  <si>
    <t>081008349</t>
  </si>
  <si>
    <t>23/07/2012</t>
  </si>
  <si>
    <t>Xã Chi Lăng, huyện Tràng Định, tỉnh Lạng Sơn</t>
  </si>
  <si>
    <t>Xã Chi Lăng</t>
  </si>
  <si>
    <t>Huyện Tràng Định</t>
  </si>
  <si>
    <t>BV0012</t>
  </si>
  <si>
    <t>Trần Bích Phương</t>
  </si>
  <si>
    <t>020188003360
ngày cấp 24/04/2021, nơi cấp: Cục cảnh sát quản lý hành chính và trật tự xã hội</t>
  </si>
  <si>
    <t>082077511</t>
  </si>
  <si>
    <t>14/06/2006</t>
  </si>
  <si>
    <t>UBND phường Vĩnh Trại, TP. Lạng Sơn</t>
  </si>
  <si>
    <t>BV0013</t>
  </si>
  <si>
    <t>Trương Mai Phương</t>
  </si>
  <si>
    <t>020190002769
ngày cấp 20/04/2021, nơi cấp: Cục cảnh sát quản lý hành chính và trật tự xã hội</t>
  </si>
  <si>
    <t>082091647</t>
  </si>
  <si>
    <t>27/09/2006</t>
  </si>
  <si>
    <t>5/6/2013</t>
  </si>
  <si>
    <t>BV0016</t>
  </si>
  <si>
    <t>Hoàng Thị Cả</t>
  </si>
  <si>
    <t>020170001210
ngày cấp 11/04/2021, nơi cấp: Cục cảnh sát quản lý hành chính và trật tự xã hội</t>
  </si>
  <si>
    <t>080923338</t>
  </si>
  <si>
    <t>11/07/1970</t>
  </si>
  <si>
    <t>Xã Hoàng Đồng, TP. Lạng Sơn</t>
  </si>
  <si>
    <t>Xã Hoàng Đồng</t>
  </si>
  <si>
    <t>19/1/2005</t>
  </si>
  <si>
    <t>BV0028</t>
  </si>
  <si>
    <t>Hoàng Văn Thiện</t>
  </si>
  <si>
    <t>020083002540
ngày cấp 29/04/2021, nơi cấp: Cục cảnh sát quản lý hành chính và trật tự xã hội</t>
  </si>
  <si>
    <t>081016798</t>
  </si>
  <si>
    <t>12/03/2003</t>
  </si>
  <si>
    <t>Chi Lăng</t>
  </si>
  <si>
    <t>Huyện Chi Lăng</t>
  </si>
  <si>
    <t>Làng Ngữa</t>
  </si>
  <si>
    <t>1/12/2010</t>
  </si>
  <si>
    <t>BV0031</t>
  </si>
  <si>
    <t>Trần Thị Liễu Thúy</t>
  </si>
  <si>
    <t>020186000205
ngày cấp 13/11/2021, nơi cấp: Cục cảnh sát quản lý hành chính và trật tự xã hội</t>
  </si>
  <si>
    <t>080827319</t>
  </si>
  <si>
    <t>11/06/2003</t>
  </si>
  <si>
    <t>Thị trấn Đình Lập</t>
  </si>
  <si>
    <t>Huyện Đình Lập</t>
  </si>
  <si>
    <t>Khu 7</t>
  </si>
  <si>
    <t>Tam Quang</t>
  </si>
  <si>
    <t>Huyện Vũ Thư</t>
  </si>
  <si>
    <t>Tỉnh Thái Bình</t>
  </si>
  <si>
    <t>15/1/2010</t>
  </si>
  <si>
    <t>BV0038</t>
  </si>
  <si>
    <t>Đàm Thúy Ngân</t>
  </si>
  <si>
    <t>020190008097
ngày cấp 24/06/2021, nơi cấp: Cục cảnh sát quản lý hành chính và trật tự xã hội</t>
  </si>
  <si>
    <t>082062470</t>
  </si>
  <si>
    <t>15/12/2005</t>
  </si>
  <si>
    <t>UBND Thị trấn Thất Khê, huyện Thất Khê, tỉnh Lạng Sơn</t>
  </si>
  <si>
    <t>Thị trấn Thất Khê</t>
  </si>
  <si>
    <t>BV0201</t>
  </si>
  <si>
    <t>Trần Thị Hoàng Anh</t>
  </si>
  <si>
    <t>020193002204
ngày cấp 29/04/2021, nơi cấp: Cục cảnh sát quản lý hành chính và trật tự xã hội</t>
  </si>
  <si>
    <t>082250001</t>
  </si>
  <si>
    <t>02/11/2010</t>
  </si>
  <si>
    <t>01/11/2014</t>
  </si>
  <si>
    <t>12/13</t>
  </si>
  <si>
    <t>BV0431</t>
  </si>
  <si>
    <t>Liễu Kim Hoa</t>
  </si>
  <si>
    <t>081062116
ngày cấp 09/05/2021, nơi cấp: Cục cảnh sát quản lý hành chính và trật tự xã hội</t>
  </si>
  <si>
    <t>081062116</t>
  </si>
  <si>
    <t>18/01/2013</t>
  </si>
  <si>
    <t>23/7/2003</t>
  </si>
  <si>
    <t>V.08.07.19</t>
  </si>
  <si>
    <t>25/06/2013</t>
  </si>
  <si>
    <t>BV0049</t>
  </si>
  <si>
    <t>Đinh Vĩnh Thái</t>
  </si>
  <si>
    <t>CCCD: 012079000876, 
Ngày cấp 25/04/2021, 
Tại Cục cảnh sát quản lý hành chính về trật tự xã hội</t>
  </si>
  <si>
    <t>040254539</t>
  </si>
  <si>
    <t>18/03/2011</t>
  </si>
  <si>
    <t>Xã An lễ</t>
  </si>
  <si>
    <t>Huyện Quỳnh Phụ</t>
  </si>
  <si>
    <t>19/01/2005</t>
  </si>
  <si>
    <t>HSCC</t>
  </si>
  <si>
    <t>BV0178</t>
  </si>
  <si>
    <t>Triệu Đức Anh</t>
  </si>
  <si>
    <t>CMT: 082005982, 
Ngày cấp 21/09/2013, 
CA tỉnh Lạng Sơn</t>
  </si>
  <si>
    <t>082005982</t>
  </si>
  <si>
    <t>21/09/2013</t>
  </si>
  <si>
    <t>Thị trấn Hữu Lũng, tỉnh Lạng Sơn</t>
  </si>
  <si>
    <t>V.08.01.03</t>
  </si>
  <si>
    <t>BV0676</t>
  </si>
  <si>
    <t>Lương Văn Lực</t>
  </si>
  <si>
    <t>CMT: 082077014, 
Ngày cấp 27/05/2017, 
CA tỉnh Lạng Sơn</t>
  </si>
  <si>
    <t>12/02/1990</t>
  </si>
  <si>
    <t>082077014</t>
  </si>
  <si>
    <t>24/3/2008</t>
  </si>
  <si>
    <t>Xã Quyết Thắng</t>
  </si>
  <si>
    <t>Huyện Hữu Lũng</t>
  </si>
  <si>
    <t>21/10/2016</t>
  </si>
  <si>
    <t>Cao lan</t>
  </si>
  <si>
    <t>BV0848</t>
  </si>
  <si>
    <t>Lành Thị Quỳnh Nga</t>
  </si>
  <si>
    <t>2016001046</t>
  </si>
  <si>
    <t>CCCD: 020191000623, 
Ngày cấp 02/04/2021, 
Tại Cục cảnh sát quản lý hành chính về trật tự xã hội</t>
  </si>
  <si>
    <t>02/9/1991</t>
  </si>
  <si>
    <t>082085927</t>
  </si>
  <si>
    <t>21/07/2011</t>
  </si>
  <si>
    <t>Xã Hợp Thành, huyện Cao Lộc, tỉnh Lạng Sơn</t>
  </si>
  <si>
    <t>Thị trấn Cao Lộc, Huyện Cao Lộc, Tỉnh Lạng Sơn</t>
  </si>
  <si>
    <t>04/05/2016</t>
  </si>
  <si>
    <t>20/8/2018</t>
  </si>
  <si>
    <t>Bác sĩ (hạng III)</t>
  </si>
  <si>
    <t>Đại học Y dược Thái Nguyên</t>
  </si>
  <si>
    <t>tày</t>
  </si>
  <si>
    <t>BV0890</t>
  </si>
  <si>
    <t>Nông Quốc Thiên</t>
  </si>
  <si>
    <t>2020863575</t>
  </si>
  <si>
    <t>CCCD: 020094010940, 
Ngày cấp 24/06/2021, 
Tại Cục cảnh sát quản lý hành chính về trật tự xã hội</t>
  </si>
  <si>
    <t>10/09/1994</t>
  </si>
  <si>
    <t>082236491</t>
  </si>
  <si>
    <t>02/06/2010</t>
  </si>
  <si>
    <t>05/04/2019</t>
  </si>
  <si>
    <t>Y đa khoa</t>
  </si>
  <si>
    <t>BV0125</t>
  </si>
  <si>
    <t>Nông Văn Tôn</t>
  </si>
  <si>
    <t>CCCD: 020091005623, 
Ngày cấp 25/06/2021, 
Tại Cục cảnh sát quản lý hành chính về trật tự xã hội</t>
  </si>
  <si>
    <t>082099356</t>
  </si>
  <si>
    <t>14/12/2006</t>
  </si>
  <si>
    <t>Xã Trung Thành, huyện Tràng Định, tỉnh Lạng Sơn</t>
  </si>
  <si>
    <t>Xã Trung Thành</t>
  </si>
  <si>
    <t>10/6/2013</t>
  </si>
  <si>
    <t>Cao đẳng Y tế Lạng  Sơn</t>
  </si>
  <si>
    <t>BV0136</t>
  </si>
  <si>
    <t>Lâm Thị Thiện</t>
  </si>
  <si>
    <t>CCCD: 020185002429, 
Ngày cấp 17/04/2021, 
Tại Cục cảnh sát quản lý hành chính về trật tự xã hội</t>
  </si>
  <si>
    <t>082009660</t>
  </si>
  <si>
    <t>05/09/2003</t>
  </si>
  <si>
    <t>Xã Tân Thành</t>
  </si>
  <si>
    <t>Đường Trần Quang Khải</t>
  </si>
  <si>
    <t>BV0331</t>
  </si>
  <si>
    <t>Hoàng Thị Thúy</t>
  </si>
  <si>
    <t>CCCD: 020190009345, 
Ngày cấp 11/08/2021, 
Tại Cục cảnh sát quản lý hành chính về trật tự xã hội</t>
  </si>
  <si>
    <t>082041748</t>
  </si>
  <si>
    <t>05/01/2005</t>
  </si>
  <si>
    <t>Xã Hoàng Văn Thụ</t>
  </si>
  <si>
    <t>BV0070</t>
  </si>
  <si>
    <t>Mai Thị Thúy</t>
  </si>
  <si>
    <t>CCCD: 020187003170, 
Ngày cấp 29/04/2021, 
Tại Cục cảnh sát quản lý hành chính về trật tự xã hội</t>
  </si>
  <si>
    <t>082060163</t>
  </si>
  <si>
    <t>19/01/2010</t>
  </si>
  <si>
    <t>Xã Cường Lợi</t>
  </si>
  <si>
    <t>17 đường Ngô Quyền. Phường Vĩnh Trại, TP. Lạng Sơn</t>
  </si>
  <si>
    <t>BV0059</t>
  </si>
  <si>
    <t>Dương Thị Niên</t>
  </si>
  <si>
    <t>CCCD: 020185006032, 
Ngày cấp 09/05/2021, 
Tại Cục cảnh sát quản lý hành chính về trật tự xã hội</t>
  </si>
  <si>
    <t>092030713</t>
  </si>
  <si>
    <t>14/03/1985</t>
  </si>
  <si>
    <t>Xã Tân Văn</t>
  </si>
  <si>
    <t>Huyện Bình Gia</t>
  </si>
  <si>
    <t>BV0060</t>
  </si>
  <si>
    <t>Bế Thị Thắm</t>
  </si>
  <si>
    <t>CCCD: 020180001946, 
Ngày cấp 20/04/2021, 
Tại Cục cảnh sát quản lý hành chính về trật tự xã hội</t>
  </si>
  <si>
    <t>080926990</t>
  </si>
  <si>
    <t>21/01/2013</t>
  </si>
  <si>
    <t>Xã Kháng Chiến, huyện Tràng Định, tỉnh Lạng Sơn</t>
  </si>
  <si>
    <t>Xã Kháng Chiến</t>
  </si>
  <si>
    <t>01/12/2017</t>
  </si>
  <si>
    <t>BV0061</t>
  </si>
  <si>
    <t>Thi Văn Thắng</t>
  </si>
  <si>
    <t xml:space="preserve">CMT: 081065269, 
Ngày cấp 09/04/2010,
CA tỉnh Lạng Sơn </t>
  </si>
  <si>
    <t>081065269</t>
  </si>
  <si>
    <t>09/04/2010</t>
  </si>
  <si>
    <t>Xã Gia Cát</t>
  </si>
  <si>
    <t>2/1/2009</t>
  </si>
  <si>
    <t>01/06/2016</t>
  </si>
  <si>
    <t>BV0218</t>
  </si>
  <si>
    <t>Thi Thị Thiện</t>
  </si>
  <si>
    <t>CCCD: 020182007690, 
Ngày cấp 25/06/2021, 
Tại Cục cảnh sát quản lý hành chính về trật tự xã hội</t>
  </si>
  <si>
    <t>080998097</t>
  </si>
  <si>
    <t>25/6/1999</t>
  </si>
  <si>
    <t>TH Y tế Lạng Sơn</t>
  </si>
  <si>
    <t>BV0051</t>
  </si>
  <si>
    <t>Đỗ Quang Hiếu</t>
  </si>
  <si>
    <t xml:space="preserve">CCCD: 020090004711; Ngày cấp: 25/06/2021; Nơi cấp: Cục trưởng cục cảnh sát quản lý hành chính về trật tự xã hội </t>
  </si>
  <si>
    <t>082113902</t>
  </si>
  <si>
    <t>23/11/2007</t>
  </si>
  <si>
    <t>Phường Đông Kinh, TP. Lạng Sơn</t>
  </si>
  <si>
    <t>Đa khoa</t>
  </si>
  <si>
    <t>BV0774</t>
  </si>
  <si>
    <t>Nguyễn Thành Đô</t>
  </si>
  <si>
    <t>2020008295</t>
  </si>
  <si>
    <t xml:space="preserve">CCCD: 020091007749; ngày cấp 06/09/2021; Nơi cấp: Cục trưởng cục cảnh sát quản lý hành chính về trật tự xã hội </t>
  </si>
  <si>
    <t>082160667</t>
  </si>
  <si>
    <t>18/3/2009</t>
  </si>
  <si>
    <t>TP. Lạng Sơn</t>
  </si>
  <si>
    <t>Gia Trung</t>
  </si>
  <si>
    <t>Gia Viễn</t>
  </si>
  <si>
    <t>Ninh Bình</t>
  </si>
  <si>
    <t>Số 152 Lê Lai, khối 9, Phường Hoàng Văn Thụ, TP. Lạng Sơn</t>
  </si>
  <si>
    <t>20/3/2018</t>
  </si>
  <si>
    <t xml:space="preserve"> 01/9/2017</t>
  </si>
  <si>
    <t>18/3/2018</t>
  </si>
  <si>
    <t>Đại học Y dược Hải Phòng</t>
  </si>
  <si>
    <t>BV0940</t>
  </si>
  <si>
    <t>Vũ Hoàng Đức</t>
  </si>
  <si>
    <t>2020863586</t>
  </si>
  <si>
    <t xml:space="preserve">CCCD: 020095006351; Ngày cấp 04/05/2021; Nơi cấp: Cục trưởng cục cảnh sát quản lý hành chính về trật tự xã hội </t>
  </si>
  <si>
    <t>082291541</t>
  </si>
  <si>
    <t>142 Tông Đản</t>
  </si>
  <si>
    <t>Hoàng Văn Thụ</t>
  </si>
  <si>
    <t>01/4/2020</t>
  </si>
  <si>
    <t>05/3/2021</t>
  </si>
  <si>
    <t>BV0068</t>
  </si>
  <si>
    <t xml:space="preserve">CCCD: 020188006649; Ngày cấp 25/06/2021; Nơi cấp: Cục trưởng cục cảnh sát quản lý hành chính về trật tự xã hội </t>
  </si>
  <si>
    <t>082074325</t>
  </si>
  <si>
    <t>22/12/2005</t>
  </si>
  <si>
    <t>BV0053</t>
  </si>
  <si>
    <t>Lê Thị Hà</t>
  </si>
  <si>
    <t>CMND: 001182010943; Ngày cấp: 21/09/2015; Nơi cấp: Cục trưởng cục cảnh sát ĐKQL cư trú và DLQG về dân cư</t>
  </si>
  <si>
    <t>111668730</t>
  </si>
  <si>
    <t>01/03/2000</t>
  </si>
  <si>
    <t>Công an tỉnh Hà tây</t>
  </si>
  <si>
    <t>Xã Phú Túc, xã Phú Xuyên, tỉnh Hà Tây</t>
  </si>
  <si>
    <t>Xã Phú Túc</t>
  </si>
  <si>
    <t>Huyện Phú Xuyên</t>
  </si>
  <si>
    <t>Tỉnh Hà Tây</t>
  </si>
  <si>
    <t>30/10/2006</t>
  </si>
  <si>
    <t>Cao đẳng Y tế Nam Định</t>
  </si>
  <si>
    <t>28/06/2012</t>
  </si>
  <si>
    <t>BV0072</t>
  </si>
  <si>
    <t>Nông Văn Lập</t>
  </si>
  <si>
    <t xml:space="preserve">CCCD: 020085008813; Ngày cấp 25/06/2021; Nơi cấp: Cục trưởng cục cảnh sát quản lý hành chính về trật tự xã hội </t>
  </si>
  <si>
    <t>082026334</t>
  </si>
  <si>
    <t>07/10/2004</t>
  </si>
  <si>
    <t>Xã Cao Lâu, huyện Cao Lộc, tỉnh Lạng Sơn</t>
  </si>
  <si>
    <t>Xã Cao Lâu</t>
  </si>
  <si>
    <t>BV0833</t>
  </si>
  <si>
    <t>Nông Thị Khánh Linh</t>
  </si>
  <si>
    <t>2020139338</t>
  </si>
  <si>
    <t xml:space="preserve">CCCD: 020193009199; Ngày cấp 25/06/2021; Nơi cấp: Cục trưởng cục cảnh sát quản lý hành chính về trật tự xã hội </t>
  </si>
  <si>
    <t>082196214</t>
  </si>
  <si>
    <t>14/4/2009</t>
  </si>
  <si>
    <t>Xã Đại Đồng, huyện Tràng Định, tỉnh Lạng Sơn</t>
  </si>
  <si>
    <t>Đại Đồng</t>
  </si>
  <si>
    <t>Thôn Khòn Cà, Xã Đại Đồng, huyện Tràng Định, tỉnh Lạng Sơn</t>
  </si>
  <si>
    <t>Điều dưỡng (hạng IV)</t>
  </si>
  <si>
    <t>Cao đẳng Y tế Thái Nguyên</t>
  </si>
  <si>
    <t>10/03/2017</t>
  </si>
  <si>
    <t>BV0057</t>
  </si>
  <si>
    <t>Bế Thị Quyên</t>
  </si>
  <si>
    <t xml:space="preserve">CCCD: 020182001088; ngày cấp 31/03/2021; Nơi cấp: Cục trưởng cục cảnh sát quản lý hành chính về trật tự xã hội </t>
  </si>
  <si>
    <t>080937465</t>
  </si>
  <si>
    <t>10/03/2000</t>
  </si>
  <si>
    <t>Xã Tri Phương, huyện Tràng Định, tỉnh Lạng Sơn</t>
  </si>
  <si>
    <t>Xã Tri Phương</t>
  </si>
  <si>
    <t>BV0054</t>
  </si>
  <si>
    <t>Lương Thị Thuyên</t>
  </si>
  <si>
    <t>1500002073</t>
  </si>
  <si>
    <t xml:space="preserve">CCCD: 020173008501; Ngày cấp 28/06/2021; Nơi cấp: Cục trưởng cục cảnh sát quản lý hành chính về trật tự xã hội </t>
  </si>
  <si>
    <t>081064016</t>
  </si>
  <si>
    <t>31/10/2002</t>
  </si>
  <si>
    <t>huyện Bình Gia, tỉnh Lạng Sơn</t>
  </si>
  <si>
    <t>Xã Tô Hiệu</t>
  </si>
  <si>
    <t>1/5/1999</t>
  </si>
  <si>
    <t>24/08/2016</t>
  </si>
  <si>
    <t>BV0065</t>
  </si>
  <si>
    <t>Lý Văn Mạnh</t>
  </si>
  <si>
    <t xml:space="preserve">CCCD: 020085011286; Ngày cấp 05/ 07/2021; Nơi cấp: Cục trưởng cục cảnh sát quản lý hành chính về trật tự xã hội </t>
  </si>
  <si>
    <t>081068789</t>
  </si>
  <si>
    <t>27/05/2009</t>
  </si>
  <si>
    <t>BV0082</t>
  </si>
  <si>
    <t>Hà Thị Kiều Oanh</t>
  </si>
  <si>
    <t xml:space="preserve">CCCD: 020188002923; Ngày cấp 29/04/2021; Nơi cấp: Cục trưởng cục cảnh sát quản lý hành chính về trật tự xã hội </t>
  </si>
  <si>
    <t>082081299</t>
  </si>
  <si>
    <t>20/03/2006</t>
  </si>
  <si>
    <t>Thị trấn Cao Lộc</t>
  </si>
  <si>
    <t>14/1/2011</t>
  </si>
  <si>
    <t>BV0069</t>
  </si>
  <si>
    <t>Hoàng Thị SLao</t>
  </si>
  <si>
    <t xml:space="preserve">CCCD: 020186002927; Ngày cấp 29/04/2021; Nơi cấp: Cục trưởng cục cảnh sát quản lý hành chính về trật tự xã hội </t>
  </si>
  <si>
    <t>082041427</t>
  </si>
  <si>
    <t>07/01/2005</t>
  </si>
  <si>
    <t>Xã Tân Mỹ</t>
  </si>
  <si>
    <t>Thôn Thâm Kéo</t>
  </si>
  <si>
    <t>BV0075</t>
  </si>
  <si>
    <t>Hồ Thị Chiến</t>
  </si>
  <si>
    <t>CCCD: 020169009396, ngày cấp: 09/5/2021, nơi cấp: Cục cảnh sát quản lý hành chính về trật tự xã hội</t>
  </si>
  <si>
    <t>080889133</t>
  </si>
  <si>
    <t>06/05/2003</t>
  </si>
  <si>
    <t>1/7/1996</t>
  </si>
  <si>
    <t>BV0077</t>
  </si>
  <si>
    <t>Hoàng Thị Minh Hồng</t>
  </si>
  <si>
    <t>CCCD: 020170006326, ngày cấp: 25/6/2021
Tại Cục cảnh sát quản lý hành chính về trật tự xã hội</t>
  </si>
  <si>
    <t>090711448</t>
  </si>
  <si>
    <t>25/08/2009</t>
  </si>
  <si>
    <t>Phường Tam Thanh, TP. Lạng Sơn</t>
  </si>
  <si>
    <t>Xã Hùng Sơn</t>
  </si>
  <si>
    <t>10/1/1996</t>
  </si>
  <si>
    <t>BV0685</t>
  </si>
  <si>
    <t>Hoàng Sĩ Hoa</t>
  </si>
  <si>
    <t>CCCD: 020190006385, ngày cấp: 25/6/2021
Tại Cục cảnh sát quản lý hành chính về trật tự xã hội</t>
  </si>
  <si>
    <t>10/6/1990</t>
  </si>
  <si>
    <t>082025815</t>
  </si>
  <si>
    <t>06/02/2013</t>
  </si>
  <si>
    <t>Xã Hòa Cư, huyện Cao Lộc, tỉnh Lạng Sơn</t>
  </si>
  <si>
    <t>Xã Hòa Cư</t>
  </si>
  <si>
    <t>10/01/2016</t>
  </si>
  <si>
    <t>BV0210</t>
  </si>
  <si>
    <t>Hoàng Thị Thu Huyền</t>
  </si>
  <si>
    <t>CCCD: 020182002689, ngày cấp: 29/4/2021
Tại Cục cảnh sát quản lý hành chính về trật tự xã hội</t>
  </si>
  <si>
    <t>080968837</t>
  </si>
  <si>
    <t>06/07/2006</t>
  </si>
  <si>
    <t>Xã Đồng Mỏ, huyện Chi Lăng, tỉnh Lạng Sơn</t>
  </si>
  <si>
    <t>Xã Gia Lộc</t>
  </si>
  <si>
    <t>Số 60 khối Đại Thắng</t>
  </si>
  <si>
    <t>17/3/2006</t>
  </si>
  <si>
    <t>BV0410</t>
  </si>
  <si>
    <t>Vy Lan Anh</t>
  </si>
  <si>
    <t>CCCD: 020174004647, ngày cấp: 25/6/2021
Tại Cục cảnh sát quản lý hành chính về trật tự xã hội</t>
  </si>
  <si>
    <t>082020238</t>
  </si>
  <si>
    <t>17/01/2005</t>
  </si>
  <si>
    <t>Thị xã Lạng Sơn</t>
  </si>
  <si>
    <t>26/4/1999</t>
  </si>
  <si>
    <t>BV0055</t>
  </si>
  <si>
    <t>Hoàng Mạnh Châu</t>
  </si>
  <si>
    <t>CCCD: 020085006668, cấp ngày 25/6/2021
Tại Cục cảnh sát quản lý hành chính về trật tự xã hội</t>
  </si>
  <si>
    <t>080953848</t>
  </si>
  <si>
    <t>23/03/2004</t>
  </si>
  <si>
    <t>22/08/2013</t>
  </si>
  <si>
    <t>BV0071</t>
  </si>
  <si>
    <t>Lành Thị Hồng Vân</t>
  </si>
  <si>
    <t>CCCD: 020186002923, ngày cấp: 29/4/2021
Tại Cục cảnh sát quản lý hành chính về trật tự xã hội</t>
  </si>
  <si>
    <t>082026370</t>
  </si>
  <si>
    <t>20/10/2004</t>
  </si>
  <si>
    <t>Xã lộc Yên</t>
  </si>
  <si>
    <t>BV0160</t>
  </si>
  <si>
    <t>Dương Thị Tám</t>
  </si>
  <si>
    <t>1596007597</t>
  </si>
  <si>
    <t>CCCD: 020173006948, ngày cấp: 26/11/2021
Tại Cục cảnh sát quản lý hành chính về trật tự xã hội</t>
  </si>
  <si>
    <t>080889172</t>
  </si>
  <si>
    <t>08/05/2003</t>
  </si>
  <si>
    <t>1/11/1994</t>
  </si>
  <si>
    <t>V.08.06.16</t>
  </si>
  <si>
    <t>BV0956</t>
  </si>
  <si>
    <t>Trịnh Thị Việt Hà</t>
  </si>
  <si>
    <t>1501001214</t>
  </si>
  <si>
    <t>020175004619, ngày cấp 09/5/2021, nơi cấp cục cảnh sát quản lý hành chính về trật tự xã hội</t>
  </si>
  <si>
    <t>Cục Cảnh sát quản lý hành chính về trật tự xã hội</t>
  </si>
  <si>
    <t>Đèo Giang, Phường Chi Lăng, TP Lạng Sơn</t>
  </si>
  <si>
    <t>19/07/2000</t>
  </si>
  <si>
    <t>Bác sĩ hạng III</t>
  </si>
  <si>
    <t>Tâm thần</t>
  </si>
  <si>
    <t>BV0190</t>
  </si>
  <si>
    <t>Trịnh Xuân Trường</t>
  </si>
  <si>
    <t xml:space="preserve">020082002995, ngày cấp 29/4/2021,  nơi cấp cục cảnh sát quản lý hành chính về trật tự xã hội </t>
  </si>
  <si>
    <t>080997227</t>
  </si>
  <si>
    <t>23/03/2000</t>
  </si>
  <si>
    <t>Thị trấn Hữu Lũng, huyện Hữu Lũng, tỉnh Lạng Sơn</t>
  </si>
  <si>
    <t>Thị xã Hưng Yên</t>
  </si>
  <si>
    <t>Tỉnh Hưng Yên</t>
  </si>
  <si>
    <t>BV0103</t>
  </si>
  <si>
    <t>Nông Văn Đào</t>
  </si>
  <si>
    <t>020091005235,  nơi cấp cục cảnh sát quản lý hành chính về trật tự xã hội</t>
  </si>
  <si>
    <t>082134956</t>
  </si>
  <si>
    <t>23/10/2007</t>
  </si>
  <si>
    <t>Xã Hòa Bình, huyện Chi Lăng, tỉnh Lạng Sơn</t>
  </si>
  <si>
    <t>Xã Hòa Bình</t>
  </si>
  <si>
    <t xml:space="preserve">12/12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</si>
  <si>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003320/LS-CCHN</t>
  </si>
  <si>
    <t>Thực hiện phạm vi hoạt động chuyên môn theo qui định tại Thông tư số 26/2015/TTLT-BYT-BNV ngày 07/10/2015 qui định mã số, tiêu chuẩn chức danh nghề nghiệp điều dưỡng, hộ sinh, kỹ thuật y</t>
  </si>
  <si>
    <t>31/12/2014</t>
  </si>
  <si>
    <t>BV0112</t>
  </si>
  <si>
    <t>Hoàng Thị Mai Vân</t>
  </si>
  <si>
    <t>020183010171,  ngày cấp 09/5/2021,  nơi cấpcục cảnh sát quản lý hành chính về trật tự xã hội</t>
  </si>
  <si>
    <t>081029222</t>
  </si>
  <si>
    <t>Xã Sao Mai, huyện Chi Lăng, tỉnh Lạng Sơn</t>
  </si>
  <si>
    <t>BV0109</t>
  </si>
  <si>
    <t>Đặng Thị Kiều</t>
  </si>
  <si>
    <t>033174005246, ngày cấp 08/4/2021,  nơi cấp cục cảnh sát quản lý hành chính về trật tự xã hội</t>
  </si>
  <si>
    <t>080959269</t>
  </si>
  <si>
    <t>17/09/2004</t>
  </si>
  <si>
    <t>Xã Vân Du, huyện Kim Thi, tỉnh Lạng Sơn</t>
  </si>
  <si>
    <t>Kim Thi</t>
  </si>
  <si>
    <t>BV0114</t>
  </si>
  <si>
    <t>Lăng Thị Huệ</t>
  </si>
  <si>
    <t>020189011934, ngày cấp 25/6/2021, nơi cấp cục cảnh sát quản lý hành chính về trật tự xã hội</t>
  </si>
  <si>
    <t>082028856</t>
  </si>
  <si>
    <t>21/09/2004</t>
  </si>
  <si>
    <t>Xã Văn An</t>
  </si>
  <si>
    <t>BV0130</t>
  </si>
  <si>
    <t>Nông Bích Hiền</t>
  </si>
  <si>
    <t>024176003080, ngày cấp 29/4/2021,  nơi cấp cục cảnh sát quản lý hành chính về trật tự xã hội</t>
  </si>
  <si>
    <t>081025853</t>
  </si>
  <si>
    <t>29/01/2013</t>
  </si>
  <si>
    <t>6/11/2006</t>
  </si>
  <si>
    <t>BV0098</t>
  </si>
  <si>
    <t>Nguyễn Kim Chung</t>
  </si>
  <si>
    <t>CCCD: 020169007770 
cấp ngày 25/6/2021 
Tại Cục cảnh sát quản lý hành chính về trật tự xã hội</t>
  </si>
  <si>
    <t>080812869</t>
  </si>
  <si>
    <t>24/01/2013</t>
  </si>
  <si>
    <t>Xã Vũ Lễ</t>
  </si>
  <si>
    <t>2/3/1992</t>
  </si>
  <si>
    <t>BV0023</t>
  </si>
  <si>
    <t>Nguyễn Thị Bích Ngọc</t>
  </si>
  <si>
    <t>CCCD: 025186004751 
cấp ngày 11/4/2021 
Tại Cục cảnh sát quản lý hành chính về trật tự xã hội</t>
  </si>
  <si>
    <t>131408394</t>
  </si>
  <si>
    <t>26/10/2011</t>
  </si>
  <si>
    <t>Xã Tây Cốc</t>
  </si>
  <si>
    <t>Huyện Đoan Hùng</t>
  </si>
  <si>
    <t>Tỉnh Phú Thọ</t>
  </si>
  <si>
    <t>01/01/2009</t>
  </si>
  <si>
    <t>Đại học Điều dưỡng Nam Định</t>
  </si>
  <si>
    <t>19/07/2013</t>
  </si>
  <si>
    <t>BV0920</t>
  </si>
  <si>
    <t>Phùng Thị Thùy Linh</t>
  </si>
  <si>
    <t>1914820002</t>
  </si>
  <si>
    <t>CCCD: 020193006464 
cấp ngày 25/6/2021 
Tại Cục cảnh sát quản lý hành chính về trật tự xã hội</t>
  </si>
  <si>
    <t>082210977</t>
  </si>
  <si>
    <t>Thôn Thủy Sản</t>
  </si>
  <si>
    <t>Hòa Lạc</t>
  </si>
  <si>
    <t>Hữu Lũng</t>
  </si>
  <si>
    <t>Thị trấn Chi Lăng, huyện Chi Lăng, tỉnh Lạng Sơn</t>
  </si>
  <si>
    <t>01/2/2017</t>
  </si>
  <si>
    <t>BV0101</t>
  </si>
  <si>
    <t>Đàm Thùy Mai</t>
  </si>
  <si>
    <t>CCCD: 020191012426
 cấp ngày 28/6/2021 
Tại Cục cảnh sát quản lý hành chính về trật tự xã hội</t>
  </si>
  <si>
    <t>082097715</t>
  </si>
  <si>
    <t>04/12/2006</t>
  </si>
  <si>
    <t xml:space="preserve">Xã Chu Túc, huyện Văn Quan, tỉnh Lạng Sơn </t>
  </si>
  <si>
    <t>BV0117</t>
  </si>
  <si>
    <t>Ba Thị Quyên</t>
  </si>
  <si>
    <t>CCCD: 020186009139 
cấp ngày 25/6/2021 
Tại Cục cảnh sát quản lý hành chính về trật tự xã hội</t>
  </si>
  <si>
    <t>082018718</t>
  </si>
  <si>
    <t>09/06/2004</t>
  </si>
  <si>
    <t>Xã Hợp Thành</t>
  </si>
  <si>
    <t>BV0347</t>
  </si>
  <si>
    <t>Nguyễn Thị Tiền</t>
  </si>
  <si>
    <t>CCCD: 020186002921 
cấp ngày 29/4/2021 
Tại Cục cảnh sát quản lý hành chính về trật tự xã hội</t>
  </si>
  <si>
    <t>081016981</t>
  </si>
  <si>
    <t>18/04/2009</t>
  </si>
  <si>
    <t>Xã Quan Sơn, huyện Chi Lăng, tỉnh Lạng Sơn</t>
  </si>
  <si>
    <t>Xã Quan Sơn</t>
  </si>
  <si>
    <t>1/1/2009</t>
  </si>
  <si>
    <t>BV0162</t>
  </si>
  <si>
    <t>Bế Thái Hưng</t>
  </si>
  <si>
    <t>CCCD: 020068001743,
Ngày cấp 29/4/2021, 
Tại Cục cảnh sát quản lý hành chính về trật tự xã hội</t>
  </si>
  <si>
    <t>080873444</t>
  </si>
  <si>
    <t>27/08/2010</t>
  </si>
  <si>
    <t>26/4/1994</t>
  </si>
  <si>
    <t>BV0005</t>
  </si>
  <si>
    <t>Hoàng Văn Hiệp</t>
  </si>
  <si>
    <t>CCCD: 020068001744, 
Ngày cấp 29/4/2021, 
Tại Cục cảnh sát quản lý hành chính về trật tự xã hội</t>
  </si>
  <si>
    <t>080959689</t>
  </si>
  <si>
    <t>14/11/2006</t>
  </si>
  <si>
    <t>Xã Mông Ân</t>
  </si>
  <si>
    <t>29/7/1991</t>
  </si>
  <si>
    <t>Học viện Quân y</t>
  </si>
  <si>
    <t>BV0851</t>
  </si>
  <si>
    <t>Hoàng Thị Anh Tú</t>
  </si>
  <si>
    <t>2020625142</t>
  </si>
  <si>
    <t>CCCD: 020193007054, 
Ngày cấp 25/06/2021, 
Tại Cục cảnh sát quản lý hành chính về trật tự xã hội</t>
  </si>
  <si>
    <t>082238965</t>
  </si>
  <si>
    <t>03/08/2010</t>
  </si>
  <si>
    <t>Bằng Mạc, Chi Lăng, Lạng Sơn</t>
  </si>
  <si>
    <t>Bằng Mạc</t>
  </si>
  <si>
    <t>Đồng Chùa</t>
  </si>
  <si>
    <t>Xã Bằng Mạc, huyện Chi Lăng, tỉnh Lạng Sơn</t>
  </si>
  <si>
    <t>01/11/2018</t>
  </si>
  <si>
    <t>BV0777</t>
  </si>
  <si>
    <t>Bế Thị Ly La</t>
  </si>
  <si>
    <t>2020228700</t>
  </si>
  <si>
    <t>CCCD: 020192000497, 
Ngày cấp 26/3/2021,
Tại Cục cảnh sát quản lý hành chính về trật tự xã hội</t>
  </si>
  <si>
    <t>082119209</t>
  </si>
  <si>
    <t>11/4/2007</t>
  </si>
  <si>
    <t>Xã Hoàng Việt, huyện Văn Lãng, tỉnh Lạng Sơn</t>
  </si>
  <si>
    <t>Hoàng Việt</t>
  </si>
  <si>
    <t>Văn Lãng</t>
  </si>
  <si>
    <t>Đại học Y Dược Thái Nguyên</t>
  </si>
  <si>
    <t>BV0343</t>
  </si>
  <si>
    <t>Đoàn Thị Thanh Thúy</t>
  </si>
  <si>
    <t>CCCD: 037179008631, Ngày cấp 25/06/2021, cục cảnh sát QLHCVTTXH</t>
  </si>
  <si>
    <t>164065352</t>
  </si>
  <si>
    <t>02/04/2013</t>
  </si>
  <si>
    <t>Huyện Hoa Lư</t>
  </si>
  <si>
    <t>Tỉnh Ninh Bình</t>
  </si>
  <si>
    <t>X</t>
  </si>
  <si>
    <t>BV0086</t>
  </si>
  <si>
    <t>Triệu Thị Thanh Hòa</t>
  </si>
  <si>
    <t>CCCD: 020186009648
ngày cấp 25/6/2021
Tại Cục cảnh sát quản lý hành chính về trật tự xã hội</t>
  </si>
  <si>
    <t>082002616</t>
  </si>
  <si>
    <t>11/11/2003</t>
  </si>
  <si>
    <t>Xã Thượng Cường, huyện Chi Lăng, tỉnh Lạng Sơn</t>
  </si>
  <si>
    <t>Xã Thượng Cường</t>
  </si>
  <si>
    <t>8/12/2008</t>
  </si>
  <si>
    <t>01/12/2007</t>
  </si>
  <si>
    <t>BV0139</t>
  </si>
  <si>
    <t>Trần Thị Nhình</t>
  </si>
  <si>
    <t>CCCD: 020186005566
ngày cấp 26/08/2021
Tại Cục cảnh sát quản lý hành chính về trật tự xã hội</t>
  </si>
  <si>
    <t>082032047</t>
  </si>
  <si>
    <t>10/06/2004</t>
  </si>
  <si>
    <t>Xã Tú Đoạn</t>
  </si>
  <si>
    <t>BV0133</t>
  </si>
  <si>
    <t>Hoàng Văn Học</t>
  </si>
  <si>
    <t>20086001802 ngày cấp 11/4/2021, Cục cảnh sát quản lý hành chính về trật tự xã hội</t>
  </si>
  <si>
    <t>081008438</t>
  </si>
  <si>
    <t>05/04/2003</t>
  </si>
  <si>
    <t>Xã Đề Thám, huyện Tràng Định, tỉnh Lạng Sơn</t>
  </si>
  <si>
    <t>Trung cấp Y tế Ninh Bình</t>
  </si>
  <si>
    <t>BV0019</t>
  </si>
  <si>
    <t>Bế Thị Liễu</t>
  </si>
  <si>
    <t>CCCD: 020184010044
ngày cấp 06/12/2021
Tại Cục cảnh sát quản lý hành chính về trật tự xã hội</t>
  </si>
  <si>
    <t>081002193</t>
  </si>
  <si>
    <t>20/03/2002</t>
  </si>
  <si>
    <t>Thị trấn Đình Lập, huyện Đình Lập, tỉnh Lạng Sơn</t>
  </si>
  <si>
    <t>Xã Bính Xá</t>
  </si>
  <si>
    <t>BV0020</t>
  </si>
  <si>
    <t>Nguyễn Thị Hiền</t>
  </si>
  <si>
    <t>CCCD: 020184009125
ngày cấp 25/6/2021
Tại Cục cảnh sát quản lý hành chính về trật tự xã hội</t>
  </si>
  <si>
    <t>082011645</t>
  </si>
  <si>
    <t>09/02/2004</t>
  </si>
  <si>
    <t>Xã Đại An, huyện Văn Quan, tỉnh Lạng Sơn</t>
  </si>
  <si>
    <t>Xã Đại An</t>
  </si>
  <si>
    <t>BV0131</t>
  </si>
  <si>
    <t>Hoàng Thị Thu</t>
  </si>
  <si>
    <t>CCCD: 020181004827
ngày cấp 25/6/2021
Tại Cục cảnh sát quản lý hành chính về trật tự xã hội</t>
  </si>
  <si>
    <t>080926988</t>
  </si>
  <si>
    <t>25/01/2013</t>
  </si>
  <si>
    <t>Xã Tô Hiệu, huyện Bình Gia, tỉnh Lạng Sơn</t>
  </si>
  <si>
    <t>BV0138</t>
  </si>
  <si>
    <t>Nguyễn Thị Liên</t>
  </si>
  <si>
    <t>CCCD: 020186011783
ngày cấp 12/8/2021
Tại Cục cảnh sát quản lý hành chính về trật tự xã hội</t>
  </si>
  <si>
    <t>081008957</t>
  </si>
  <si>
    <t>05/07/2012</t>
  </si>
  <si>
    <t>Xã Hùng Sơn, huyện Tràng Định, tỉnh Lạng Sơn</t>
  </si>
  <si>
    <t>BV0345</t>
  </si>
  <si>
    <t>Lâm Lệ Thu</t>
  </si>
  <si>
    <t>CCCD: 020177004799
ngày cấp 09/05/2021
Tại Cục cảnh sát quản lý hành chính về trật tự xã hội</t>
  </si>
  <si>
    <t>081047613</t>
  </si>
  <si>
    <t>Xã Vạn Linh</t>
  </si>
  <si>
    <t>16/2/2005</t>
  </si>
  <si>
    <t>BV0145</t>
  </si>
  <si>
    <t>Tạ Văn Hùng</t>
  </si>
  <si>
    <t>27082004220 cấp ngày 25/4/2021, nơi cấp: Cục cảnh sát quản lý hành chính và trật tự xã hội</t>
  </si>
  <si>
    <t>121434792</t>
  </si>
  <si>
    <t>05/03/1982</t>
  </si>
  <si>
    <t>Xã Song Mai, TP. Bắc Giang</t>
  </si>
  <si>
    <t>Tương Giang</t>
  </si>
  <si>
    <t>Từ Sơn</t>
  </si>
  <si>
    <t>Tỉnh Bắc Ninh</t>
  </si>
  <si>
    <t>Xã Tương Giang</t>
  </si>
  <si>
    <t>Thị xã  Từ Sơn</t>
  </si>
  <si>
    <t>BV0146</t>
  </si>
  <si>
    <t>Hà Long Sơn</t>
  </si>
  <si>
    <t>020083002550 cấp ngày 29/4/2021, nơi cấp: Cục cảnh sát quản lý hành chính và trật tự xã hội</t>
  </si>
  <si>
    <t>080991917</t>
  </si>
  <si>
    <t>24/05/2000</t>
  </si>
  <si>
    <t>Xã Xuân Mai</t>
  </si>
  <si>
    <t>BV0681</t>
  </si>
  <si>
    <t>Hoàng Thị Thoa</t>
  </si>
  <si>
    <t>020189003593 ngày cấp 10/5/2021, nơi cấp: Cục cảnh sát quản lý hành chính và trật tự xã hội</t>
  </si>
  <si>
    <t>10/5/1989</t>
  </si>
  <si>
    <t>082094972</t>
  </si>
  <si>
    <t>14/05/2014</t>
  </si>
  <si>
    <t>Xã Yên Bình, huyện Hữu Lũng, tỉnh Lạng Sơn</t>
  </si>
  <si>
    <t>Xã Yên Bình</t>
  </si>
  <si>
    <t>BV0845</t>
  </si>
  <si>
    <t>Dương Thị Huyền Trang</t>
  </si>
  <si>
    <t xml:space="preserve">20191011819, ngày cấp: 07/3/2021, nơi cấp: Cục quản lý hành chính về trật tự xã hội </t>
  </si>
  <si>
    <t>09/6/1991</t>
  </si>
  <si>
    <t>082160669</t>
  </si>
  <si>
    <t>08/7/2016</t>
  </si>
  <si>
    <t>Xã Yên Trạch, huyện Cao Lộc, tỉnh Lạng Sơn</t>
  </si>
  <si>
    <t>Vũ Sơn</t>
  </si>
  <si>
    <t>Bắc Sơn</t>
  </si>
  <si>
    <t>Khòn Phổ</t>
  </si>
  <si>
    <t>Mai Pha</t>
  </si>
  <si>
    <t>01/02/2017</t>
  </si>
  <si>
    <t>Trung tâm phòng chống bệnh xã hội</t>
  </si>
  <si>
    <t>489/QĐ-SYT</t>
  </si>
  <si>
    <t>19/01/2017</t>
  </si>
  <si>
    <t>Đại học Y dược Thái Bình</t>
  </si>
  <si>
    <t>BV0147</t>
  </si>
  <si>
    <t>Đinh Thị Nghĩa</t>
  </si>
  <si>
    <t>037190012646 cấp ngày 24/6/2021, nơi cấp: Cục cảnh sát quản lý hành chính và trật tự xã hội</t>
  </si>
  <si>
    <t>164381518</t>
  </si>
  <si>
    <t>29/03/2006</t>
  </si>
  <si>
    <t>Xã Yên Thắng, huyện Yên Mô, tỉnh Ninh Bình</t>
  </si>
  <si>
    <t>Yên Mô</t>
  </si>
  <si>
    <t>BV0058</t>
  </si>
  <si>
    <t>Vy Thị Thu Hằng</t>
  </si>
  <si>
    <t>CCCD: 008183001214
Ngày cấp: 08/4/2021
Tại Cục cảnh sát quản lý hành chính về trật tự xã hội</t>
  </si>
  <si>
    <t>081005551</t>
  </si>
  <si>
    <t>11/02/2000</t>
  </si>
  <si>
    <t>Xã Kim Phú, huyện Yên Sơn, Hà Tuyên</t>
  </si>
  <si>
    <t>Xã Khuất Xá</t>
  </si>
  <si>
    <t>huyện Lộc Bình</t>
  </si>
  <si>
    <t>3.99</t>
  </si>
  <si>
    <t>BV0151</t>
  </si>
  <si>
    <t>Thi Văn Hiển</t>
  </si>
  <si>
    <t>020079001584 cấp ngày 11/4/2021, nơi cấp: Cục cảnh sát quản lý hành chính và trật tự xã hội</t>
  </si>
  <si>
    <t>080949292</t>
  </si>
  <si>
    <t>29/11/2012</t>
  </si>
  <si>
    <t>Xã Gia Cát, huyện Cao Lộc, tỉnh Lạng Sơn</t>
  </si>
  <si>
    <t>26/12/2013</t>
  </si>
  <si>
    <t>BV0150</t>
  </si>
  <si>
    <t>Nông Thị Ngọc</t>
  </si>
  <si>
    <t>020182002807 cấp ngày 23/4/2021, nơi cấp: Cục cảnh sát quản lý hành chính và trật tự xã hội</t>
  </si>
  <si>
    <t>082003685</t>
  </si>
  <si>
    <t>28/01/2013</t>
  </si>
  <si>
    <t>29/12/2008</t>
  </si>
  <si>
    <t>BV0157</t>
  </si>
  <si>
    <t>Hoàng Thị Lý</t>
  </si>
  <si>
    <t>020185005333 cấp ngày 25/6/2021, nơi cấp: Cục cảnh sát quản lý hành chính và trật tự xã hội</t>
  </si>
  <si>
    <t>081024680</t>
  </si>
  <si>
    <t>16/05/2011</t>
  </si>
  <si>
    <t>Xã Đồng Tiến, huyện Hữu Lũng, tỉnh Lạng Sơn</t>
  </si>
  <si>
    <t>Thị trấn Lộc Binh</t>
  </si>
  <si>
    <t>BV0085</t>
  </si>
  <si>
    <t>Lương Thị Thu Hương</t>
  </si>
  <si>
    <t>020185009234 cấp ngày 25/6/2021, nơi cấp: Cục cảnh sát quản lý hành chính và trật tự xã hội</t>
  </si>
  <si>
    <t>081000907</t>
  </si>
  <si>
    <t>27/10/2000</t>
  </si>
  <si>
    <t>Thị trấn Thất Khê, huyện Tràng Định, tỉnh Lạng Sơn</t>
  </si>
  <si>
    <t>Số 6B đường Ngô Thì Nhậm</t>
  </si>
  <si>
    <t>15/01/2010</t>
  </si>
  <si>
    <t>Trung học Y tế Thái Nguyên</t>
  </si>
  <si>
    <t>BV0111</t>
  </si>
  <si>
    <t>Vương Quỳnh Chi</t>
  </si>
  <si>
    <t>020185002828 cấp ngày 29/4/2021, nơi cấp: Cục cảnh sát quản lý hành chính và trật tự xã hội</t>
  </si>
  <si>
    <t>082015070</t>
  </si>
  <si>
    <t>12/03/2004</t>
  </si>
  <si>
    <t>BV0152</t>
  </si>
  <si>
    <t>Hoàng Thị Thắm</t>
  </si>
  <si>
    <t>020186007434 cấp ngày 25/6/2021, nơi cấp: Cục cảnh sát quản lý hành chính và trật tự xã hội</t>
  </si>
  <si>
    <t>081006035</t>
  </si>
  <si>
    <t>04/05/2009</t>
  </si>
  <si>
    <t>Xã Đại Đồng</t>
  </si>
  <si>
    <t>Ngõ 1 Tông Đản</t>
  </si>
  <si>
    <t>BV0156</t>
  </si>
  <si>
    <t>Nông Công Trọng</t>
  </si>
  <si>
    <t>020084001194 cấp ngày 8/4/2021, nơi cấp: Cục cảnh sát quản lý hành chính và trật tự xã hội</t>
  </si>
  <si>
    <t>081001210</t>
  </si>
  <si>
    <t>14/01/2003</t>
  </si>
  <si>
    <t>Xã Trùng Quán</t>
  </si>
  <si>
    <t>BV0158</t>
  </si>
  <si>
    <t>Ma Thị Nhung</t>
  </si>
  <si>
    <t>082003386 cấp ngày 4/3/2019, nơi cấp: Công an tỉnh Lạng Sơn</t>
  </si>
  <si>
    <t>082003386</t>
  </si>
  <si>
    <t>24/02/2003</t>
  </si>
  <si>
    <t>BV0192</t>
  </si>
  <si>
    <t>Phạm Thị Bình</t>
  </si>
  <si>
    <t>020183009298 cấp ngày 9/5/2021, nơi cấp: Cục cảnh sát quản lý hành chính và trật tự xã hội</t>
  </si>
  <si>
    <t>081039492</t>
  </si>
  <si>
    <t>25/03/2002</t>
  </si>
  <si>
    <t>Na Dương, huyện Lộc Bình, tỉnh Lạng Sơn</t>
  </si>
  <si>
    <t>Huyện Hưng Hà</t>
  </si>
  <si>
    <t>BV0094</t>
  </si>
  <si>
    <t>Nguyễn Ngọc Bình</t>
  </si>
  <si>
    <t xml:space="preserve">012088000188, cấp ngày 08/4/2021, tại cục CSQLHC về TTXH </t>
  </si>
  <si>
    <t>082017044</t>
  </si>
  <si>
    <t>18/04/2004</t>
  </si>
  <si>
    <t>Thị trấn Mường Tè, huyện Mường Tè, tỉnh Lai Châu</t>
  </si>
  <si>
    <t>Xã Thủy Xuân</t>
  </si>
  <si>
    <t>Huyện Hương Thủy</t>
  </si>
  <si>
    <t>Thừa Thiên Huế</t>
  </si>
  <si>
    <t>Thị trấn Thái Bình</t>
  </si>
  <si>
    <t>BV0092</t>
  </si>
  <si>
    <t>Hà Đình Nghị</t>
  </si>
  <si>
    <t xml:space="preserve">020074001330, cấp ngày 11/4/2021, tại cục CSQLHC về TTXH </t>
  </si>
  <si>
    <t>080928530</t>
  </si>
  <si>
    <t>09/08/2013</t>
  </si>
  <si>
    <t>BV0837</t>
  </si>
  <si>
    <t>Hoàng Thị Bèn</t>
  </si>
  <si>
    <t>2020165700</t>
  </si>
  <si>
    <t xml:space="preserve">082155674, cấp ngày 13/04/2008, tại Công an Tỉnh Lạng Sơn </t>
  </si>
  <si>
    <t>082155674</t>
  </si>
  <si>
    <t>13/4/2008</t>
  </si>
  <si>
    <t>Xã Thiện Hòa, huyện Bình Gia, tỉnh Lạng Sơn</t>
  </si>
  <si>
    <t>Xã Thiện Hòa</t>
  </si>
  <si>
    <t>Nà Đảng</t>
  </si>
  <si>
    <t>Nà Đảng, Xã Thiện Hòa, huyện Bình Gia, tỉnh Lạng Sơn.</t>
  </si>
  <si>
    <t>BV0122</t>
  </si>
  <si>
    <t>Trần Thị Quy</t>
  </si>
  <si>
    <t xml:space="preserve">020188001354, cấp ngày 31/3/2021, tại cục CSQLHC về TTXH </t>
  </si>
  <si>
    <t>082055129</t>
  </si>
  <si>
    <t>20/09/2006</t>
  </si>
  <si>
    <t>Phường Chi Lăng, TP. Lạng Sơn</t>
  </si>
  <si>
    <t>Huyện Nam Trực</t>
  </si>
  <si>
    <t>Tỉnh Nam Định</t>
  </si>
  <si>
    <t>BV1029</t>
  </si>
  <si>
    <t>Đào Thị Ngọc Huyền</t>
  </si>
  <si>
    <t>2020895618</t>
  </si>
  <si>
    <t xml:space="preserve">082037145, cấp ngày 14/12/2020, tại Công an tỉnh Lạng Sơn </t>
  </si>
  <si>
    <t>082037145</t>
  </si>
  <si>
    <t>Xã Đồng Tân, huyện Hữu Lũng, tỉnh Lạng Sơn</t>
  </si>
  <si>
    <t>ĐH Y - Dược Thái Nguyên</t>
  </si>
  <si>
    <t>003569/LS-CCHN</t>
  </si>
  <si>
    <t>Khám bệnh, chưa bệnh đa khoa</t>
  </si>
  <si>
    <t>BV0079</t>
  </si>
  <si>
    <t>Nguyễn Văn Hưng</t>
  </si>
  <si>
    <t xml:space="preserve">020083003106, cấp ngày 04/5/2021, tại cục CSQLHC về TTXH </t>
  </si>
  <si>
    <t>081007244</t>
  </si>
  <si>
    <t>17/05/2012</t>
  </si>
  <si>
    <t>Xã Điềm He</t>
  </si>
  <si>
    <t>/LS-CCHN</t>
  </si>
  <si>
    <t>29/12/2017</t>
  </si>
  <si>
    <t>BV0306</t>
  </si>
  <si>
    <t>Lý Thị Thủy</t>
  </si>
  <si>
    <t xml:space="preserve">020183007867 cấp ngày 09/5/2021, tại cục CSQLHC về TTXH </t>
  </si>
  <si>
    <t>081040746</t>
  </si>
  <si>
    <t>14/11/2000</t>
  </si>
  <si>
    <t>Xã Yên Trạch</t>
  </si>
  <si>
    <t>Đại học Y Dược ĐH Thái Nguyên</t>
  </si>
  <si>
    <t>BV0032</t>
  </si>
  <si>
    <t>Nguyễn Huyền Trang</t>
  </si>
  <si>
    <t xml:space="preserve">030191013549, cấp ngày 09/5/2021, tại cục CSQLHC về TTXH </t>
  </si>
  <si>
    <t>082280885</t>
  </si>
  <si>
    <t>UBND xã Cẩm Điền, huyện Cẩm Giàng, tỉnh Hải Dương</t>
  </si>
  <si>
    <t>Trung cấp Y tế Hải Dương</t>
  </si>
  <si>
    <t>000391/LS-CCHN</t>
  </si>
  <si>
    <t>Thực hiện phạm vi hoạt động chuyên môn theo quy định tại Thông tư số 26/2015/TTLT-BYT-BNV ngày 07/10/2015 quy định mã số, tiêu chuẩn chức danh nghề nghiệp điều dưỡng, hộ sinh, kỹ thuật y</t>
  </si>
  <si>
    <t>BV0030</t>
  </si>
  <si>
    <t>Trương Thị Theo</t>
  </si>
  <si>
    <t xml:space="preserve">020189005052, cấp ngày 09/5/2021, tại cục CSQLHC về TTXH </t>
  </si>
  <si>
    <t>082123424</t>
  </si>
  <si>
    <t>13/04/2007</t>
  </si>
  <si>
    <t>Xã Gia Lộc, huyện Chi Lăng, tỉnh Lạng Sơn</t>
  </si>
  <si>
    <t>Gia Lộc</t>
  </si>
  <si>
    <t>BV0116</t>
  </si>
  <si>
    <t>Lương Thị Lê</t>
  </si>
  <si>
    <t xml:space="preserve">020186010789, cấp ngày 15/11/2021, tại cục CSQLHC về TTXH </t>
  </si>
  <si>
    <t>082039558</t>
  </si>
  <si>
    <t>Xã Tràng Phái, huyện Văn Quan, tỉnh Lạng Sơn</t>
  </si>
  <si>
    <t>Xã Tràng Phái</t>
  </si>
  <si>
    <t>BV0163</t>
  </si>
  <si>
    <t>Lăng Văn Lâm</t>
  </si>
  <si>
    <t>cccd 20067005025 
Ngày cấp 9/5/2021, Cục cảnh sát quản lý hành chính về trật tự xã hội</t>
  </si>
  <si>
    <t>081040883</t>
  </si>
  <si>
    <t>30/05/2012</t>
  </si>
  <si>
    <t>Xã Tân Hương, huyện Bắc Sơn, tỉnh Lạng Sơn</t>
  </si>
  <si>
    <t>Xã Xuân Long</t>
  </si>
  <si>
    <t>1/2/1996</t>
  </si>
  <si>
    <t>Ung thư</t>
  </si>
  <si>
    <t>BV0683</t>
  </si>
  <si>
    <t>Lý Thị Hoàng Hạnh</t>
  </si>
  <si>
    <t xml:space="preserve">20190003135 
Ngày cấp 29/4/2021, cục cảnh sát quản lý hành chính về trật tự xã hội
</t>
  </si>
  <si>
    <t>06/01/1990</t>
  </si>
  <si>
    <t>082077075</t>
  </si>
  <si>
    <t>Xã Thiện Thuật, huyện Bình Gia, tỉnh Lạng Sơn</t>
  </si>
  <si>
    <t>Xã Thiện Thuật</t>
  </si>
  <si>
    <t>BV1032</t>
  </si>
  <si>
    <t>Triệu Thị Khách</t>
  </si>
  <si>
    <t>2014000989</t>
  </si>
  <si>
    <t>CCCD 20189009265 
Ngày cấp 18/11/2021,  cục cảnh sát quản lý hành chính về trật tự xã hội</t>
  </si>
  <si>
    <t>03/08/1989</t>
  </si>
  <si>
    <t>082010577</t>
  </si>
  <si>
    <t>Công Sơn, Cao Lộc, Lạng Sơn</t>
  </si>
  <si>
    <t>Dao</t>
  </si>
  <si>
    <t>BV0123</t>
  </si>
  <si>
    <t>Lộc Thị Nhớ</t>
  </si>
  <si>
    <t>20175001865 
Ngày cấp 25/4/2021.  cục cảnh sát quản lý hành chính về trật tự xã hội</t>
  </si>
  <si>
    <t>081003623</t>
  </si>
  <si>
    <t>04/09/2002</t>
  </si>
  <si>
    <t>Khối 6</t>
  </si>
  <si>
    <t>BV0168</t>
  </si>
  <si>
    <t>Vi Thị Hường</t>
  </si>
  <si>
    <t>20184037241 
Ngày cấp 9/1/2022,  cục cảnh sát quản lý hành chính về trật tự xã hội</t>
  </si>
  <si>
    <t>082025599</t>
  </si>
  <si>
    <t>12/04/2004</t>
  </si>
  <si>
    <t>Xã Bình Trung</t>
  </si>
  <si>
    <t>Đại học Thành Tây</t>
  </si>
  <si>
    <t>BV0107</t>
  </si>
  <si>
    <t>Đoàn Thị Hường</t>
  </si>
  <si>
    <t>20173005603 
Ngày cấp 9/5/2021 cục cảnh sát quản lý hành chính về trật tự xã hội</t>
  </si>
  <si>
    <t>080812476</t>
  </si>
  <si>
    <t>22/05/2003</t>
  </si>
  <si>
    <t>21/4/1997</t>
  </si>
  <si>
    <t>BV0025</t>
  </si>
  <si>
    <t>Hoàng Thị Thược</t>
  </si>
  <si>
    <t>20188006550
 Ngày cấp 25/6/2021 cục cảnh sát quản lý hành chính về trật tự xã hội</t>
  </si>
  <si>
    <t>082031825</t>
  </si>
  <si>
    <t>Thôn Tân Thành</t>
  </si>
  <si>
    <t>BV0193</t>
  </si>
  <si>
    <t>Hoàng Thị Xuân</t>
  </si>
  <si>
    <t>20184037318 
Ngày cấp 28/9/2021 cục cảnh sát quản lý hành chính về trật tự xã hội</t>
  </si>
  <si>
    <t>081013981</t>
  </si>
  <si>
    <t>13/10/2002</t>
  </si>
  <si>
    <t>Xã Mai Sao</t>
  </si>
  <si>
    <t>BV0166</t>
  </si>
  <si>
    <t>Triệu Văn Khiêm</t>
  </si>
  <si>
    <t>20084005353 
Ngày cấp 9/5/2021 cục cảnh sát quản lý hành chính về trật tự xã hội</t>
  </si>
  <si>
    <t>080991770</t>
  </si>
  <si>
    <t>BV0230</t>
  </si>
  <si>
    <t>Lê Mạnh Toàn</t>
  </si>
  <si>
    <t>80900285 
Ngày cấp 16/4/2011, nơi cấp: Công an tỉnh Lạng Sơn</t>
  </si>
  <si>
    <t>'080900285</t>
  </si>
  <si>
    <t>16/4/2011</t>
  </si>
  <si>
    <t>Xã Thanh Long</t>
  </si>
  <si>
    <t>Khối 4</t>
  </si>
  <si>
    <t>BV0175</t>
  </si>
  <si>
    <t>Phan Chí Dũng</t>
  </si>
  <si>
    <t>020068004332, cấp ngày 25/6/2021, nơi cấp cục trưởng cục cảnh sát</t>
  </si>
  <si>
    <t>080776864</t>
  </si>
  <si>
    <t>BV0177</t>
  </si>
  <si>
    <t>Hà Thanh Bình</t>
  </si>
  <si>
    <t>081040330, ngày cấp 10/9/2015, nơi cấp công an tỉnh Lạng Sơn</t>
  </si>
  <si>
    <t>081040330</t>
  </si>
  <si>
    <t>31/08/2000</t>
  </si>
  <si>
    <t>1/1/2008</t>
  </si>
  <si>
    <t>BV0179</t>
  </si>
  <si>
    <t>Vũ Tuấn Minh</t>
  </si>
  <si>
    <t>020087000029, cấp ngày 1/10/2019, nơi cấp cục trưởng cục cảnh sát</t>
  </si>
  <si>
    <t>013218933</t>
  </si>
  <si>
    <t>21/03/2007</t>
  </si>
  <si>
    <t>Huyện Trực Ninh</t>
  </si>
  <si>
    <t>1/6/2012</t>
  </si>
  <si>
    <t>BV0148</t>
  </si>
  <si>
    <t>Nguyễn Thị Oanh</t>
  </si>
  <si>
    <t>015188000845, cấp ngày 2/4/2021, nơi cấpcục trưởng cục cảnh sát</t>
  </si>
  <si>
    <t>060838309</t>
  </si>
  <si>
    <t>29/12/2005</t>
  </si>
  <si>
    <t>Châu Hạ</t>
  </si>
  <si>
    <t>Huyện Văn Yên</t>
  </si>
  <si>
    <t>Tỉnh Yên Bái</t>
  </si>
  <si>
    <t>Đường Đèo Giang</t>
  </si>
  <si>
    <t>BV0336</t>
  </si>
  <si>
    <t>Hứa Văn Quỳnh</t>
  </si>
  <si>
    <t>020082002601, cấp ngày 29/4/2021, nơi cấp: Cục cảnh sát quản lý hành chính và trật tự xã hội</t>
  </si>
  <si>
    <t>081067043</t>
  </si>
  <si>
    <t>29/02/2001</t>
  </si>
  <si>
    <t>Xã Đô Lương</t>
  </si>
  <si>
    <t>BV0187</t>
  </si>
  <si>
    <t>Hoàng Trung Sơn</t>
  </si>
  <si>
    <t>080972898, cấp ngày 20/1/2021, công an tỉnh Lạng Sơn</t>
  </si>
  <si>
    <t>080972898</t>
  </si>
  <si>
    <t>23/01/2000</t>
  </si>
  <si>
    <t>Xã Hưng Vũ, huyện Bắc Sơn, tỉnh Lạng Sơn</t>
  </si>
  <si>
    <t>Xã Hưng Vũ</t>
  </si>
  <si>
    <t>BV0404</t>
  </si>
  <si>
    <t>Dương Thị Hoa</t>
  </si>
  <si>
    <t>020174004821, cấp ngày 25/6/2021, cục trưởng cục cảnh sát</t>
  </si>
  <si>
    <t>080917552</t>
  </si>
  <si>
    <t>25/03/2003</t>
  </si>
  <si>
    <t>Xã Chiến Thắng, huyện Bắc Sơn, tỉnh Lạng Sơn</t>
  </si>
  <si>
    <t>BV0063</t>
  </si>
  <si>
    <t>Đường Thị Lan Anh</t>
  </si>
  <si>
    <t>CCCD: 020187007430
Ngày cấp: 25/6/2021, nơi cấp: Cục cảnh sát quản lý hành chính và trật tự xã hội</t>
  </si>
  <si>
    <t>082018652</t>
  </si>
  <si>
    <t>02/06/2004</t>
  </si>
  <si>
    <t>Tin A</t>
  </si>
  <si>
    <t>BV0002</t>
  </si>
  <si>
    <t>Chu Đức Quang</t>
  </si>
  <si>
    <t>CCCD: 020081007693
Ngày cấp: 28/6/2021, nơi cấp: Cục cảnh sát quản lý hành chính và trật tự xã hội</t>
  </si>
  <si>
    <t>080993710</t>
  </si>
  <si>
    <t>10/10/2013</t>
  </si>
  <si>
    <t>UBND phường Đông Kinh, TP. Lạng Sơn</t>
  </si>
  <si>
    <t>Thị trấn Văn Quan</t>
  </si>
  <si>
    <t>BV0176</t>
  </si>
  <si>
    <t>Dương Văn Ái</t>
  </si>
  <si>
    <t>CCCD: 024077017144
Ngày cấp: 20/8/2021, nơi cấp: Cục cảnh sát quản lý hành chính và trật tự xã hội</t>
  </si>
  <si>
    <t>121234579</t>
  </si>
  <si>
    <t>10/08/2012</t>
  </si>
  <si>
    <t>Xã Xương Lâm, huyện Lạng Giang, tỉnh Lạng Sơn</t>
  </si>
  <si>
    <t>Huyện Lạng Giang</t>
  </si>
  <si>
    <t>5/12/2006</t>
  </si>
  <si>
    <t>BV0737</t>
  </si>
  <si>
    <t>Nguyễn Trọng Đức</t>
  </si>
  <si>
    <t>1505000534</t>
  </si>
  <si>
    <t>CCCD: 020079002285
Ngày cấp: 29/4/2021, nơi cấp: Cục cảnh sát quản lý hành chính và trật tự xã hội</t>
  </si>
  <si>
    <t>16/7/1979</t>
  </si>
  <si>
    <t>080897155</t>
  </si>
  <si>
    <t>15/11/1999</t>
  </si>
  <si>
    <t>Thanh Trì</t>
  </si>
  <si>
    <t>Hà Nội</t>
  </si>
  <si>
    <t>Phường Vĩnh Trại, Thành phố Lạng Sơn, Tỉnh Lạng Sơn</t>
  </si>
  <si>
    <t>01/02/2005</t>
  </si>
  <si>
    <t>BV0835</t>
  </si>
  <si>
    <t>Nguyễn Đình Trọng Nghĩa</t>
  </si>
  <si>
    <t>2020896344</t>
  </si>
  <si>
    <t>CCCD: 020093000007
Ngày cấp: 24/02/2022, nơi cấp: Cục cảnh sát quản lý hành chính và trật tự xã hội</t>
  </si>
  <si>
    <t>08/01/1993</t>
  </si>
  <si>
    <t>082222914</t>
  </si>
  <si>
    <t>15/03/2010</t>
  </si>
  <si>
    <t>Vũ Thư</t>
  </si>
  <si>
    <t>Thái Bình</t>
  </si>
  <si>
    <t>Đại học Y Haf Nội</t>
  </si>
  <si>
    <t>BV0199</t>
  </si>
  <si>
    <t>Dương Thị Toan</t>
  </si>
  <si>
    <t>CCCD: 020184002850
Ngày cấp: 29/4/2021, nơi cấp: Cục cảnh sát quản lý hành chính và trật tự xã hội</t>
  </si>
  <si>
    <t>081034175</t>
  </si>
  <si>
    <t>Thôn Mai Thành</t>
  </si>
  <si>
    <t>BV0339</t>
  </si>
  <si>
    <t>Hoàng Trung Thực</t>
  </si>
  <si>
    <t xml:space="preserve">       020083002549, ngày cấp: 29/4/2021, nơi cấp: Cục cảnh sát quản lý hành chính và trật tự xã hội</t>
  </si>
  <si>
    <t>081029009</t>
  </si>
  <si>
    <t>06/07/2015</t>
  </si>
  <si>
    <t>Thị trấn Đồng Mỏ</t>
  </si>
  <si>
    <t>BV0189</t>
  </si>
  <si>
    <t>Vy Hoàng Vương</t>
  </si>
  <si>
    <t>CCCD: 020083000744
Ngày cấp: 04/4/2021, nơi cấp: Cục cảnh sát quản lý hành chính và trật tự xã hội</t>
  </si>
  <si>
    <t>080968794</t>
  </si>
  <si>
    <t>04/03/2008</t>
  </si>
  <si>
    <t>Thị trấn Đồng Mỏ, huyện Chi Lăng, tỉnh Lạng Sơn</t>
  </si>
  <si>
    <t>BV0402</t>
  </si>
  <si>
    <t>Hoàng Thị Loan</t>
  </si>
  <si>
    <t>020186006224 cấp ngày 08/7/2021 tại CTCCSQLHCVTTXH</t>
  </si>
  <si>
    <t>081001685</t>
  </si>
  <si>
    <t>23/12/2014</t>
  </si>
  <si>
    <t>CĐ Y tế Lạng Sơn</t>
  </si>
  <si>
    <t>BV0207</t>
  </si>
  <si>
    <t>Nhữ Văn Vinh</t>
  </si>
  <si>
    <t>CCCD: 022068004114 
ngày cấp:29/04/2021
Tại Cục cảnh sát quản lý hành chính về trật tự xã hội</t>
  </si>
  <si>
    <t>080779402</t>
  </si>
  <si>
    <t>23/01/2013</t>
  </si>
  <si>
    <t>Tỉnh Quảng Ninh</t>
  </si>
  <si>
    <t>Xã Trung Kênh</t>
  </si>
  <si>
    <t>Huyện Lương Tài</t>
  </si>
  <si>
    <t>Đường Phai vệ</t>
  </si>
  <si>
    <t>22/4/1995</t>
  </si>
  <si>
    <t>BV0206</t>
  </si>
  <si>
    <t>Trần Tuấn Việt</t>
  </si>
  <si>
    <t>CCCD: 080080007236
ngày cấp: 09/01/2021
Tại Cục cảnh sát quản lý hành chính về trật tự xã hội</t>
  </si>
  <si>
    <t>080929907</t>
  </si>
  <si>
    <t>Xã Quang Lang</t>
  </si>
  <si>
    <t>Học viện Quân Y</t>
  </si>
  <si>
    <t>BV0760</t>
  </si>
  <si>
    <t>Hồ Hoàn Tuấn</t>
  </si>
  <si>
    <t>1597022507</t>
  </si>
  <si>
    <t>CCCD: 020071006188
ngày cấp:25/06/2021
Tại Cục cảnh sát quản lý hành chính về trật tự xã hội</t>
  </si>
  <si>
    <t>081064251</t>
  </si>
  <si>
    <t>14/02/2008</t>
  </si>
  <si>
    <t>Bình Gia</t>
  </si>
  <si>
    <t>Đông Kinh</t>
  </si>
  <si>
    <t>23/12/1996</t>
  </si>
  <si>
    <t>BV0810</t>
  </si>
  <si>
    <t>Trịnh Bá Hưởng</t>
  </si>
  <si>
    <t>2020428569</t>
  </si>
  <si>
    <t>CCCD: 020089001304
ngày cấp: 25/04/2021
Tại Cục cảnh sát quản lý hành chính về trật tự xã hội</t>
  </si>
  <si>
    <t>11/06/1989</t>
  </si>
  <si>
    <t>082084463</t>
  </si>
  <si>
    <t>11/9/2006</t>
  </si>
  <si>
    <t>Đồng Ý, Bắc Sơn, Lạng Sơn</t>
  </si>
  <si>
    <t>Đồng Ý</t>
  </si>
  <si>
    <t>Xã Đồng Ý, huyện Bắc Sơn, tỉnh Lạng Sơn</t>
  </si>
  <si>
    <t>15/11/2017</t>
  </si>
  <si>
    <t>ĐH Y Dược Thái Nguyên</t>
  </si>
  <si>
    <t>BV0677</t>
  </si>
  <si>
    <t>Hoàng Thị Hòa</t>
  </si>
  <si>
    <t>CMT: 0919990596
ngày cấp: 30/12/2019
CA. Lạng Sơn</t>
  </si>
  <si>
    <t>22/01/1989</t>
  </si>
  <si>
    <t>082107194</t>
  </si>
  <si>
    <t>12/01/2007</t>
  </si>
  <si>
    <t>Phẫu thuật tạo hình tái tạo và thẩm mỹ</t>
  </si>
  <si>
    <t>ĐH Y DƯỢC - ĐH THÁI NGUYÊN</t>
  </si>
  <si>
    <t>BV0212</t>
  </si>
  <si>
    <t>Nguyễn Thị Liễu</t>
  </si>
  <si>
    <t>CCCD: 027174003321. 
Ngày cấp 20/4/2021.
Tại Cục cảnh sát quản lý hành chính về trật tự xã hội</t>
  </si>
  <si>
    <t>081040999</t>
  </si>
  <si>
    <t>05/5/2010</t>
  </si>
  <si>
    <t>Xã Đại Lai</t>
  </si>
  <si>
    <t>Huyện Gia Lương</t>
  </si>
  <si>
    <t>19/4/1997</t>
  </si>
  <si>
    <t>Điều dưỡng</t>
  </si>
  <si>
    <t>ĐH điều dưỡng Nam Định</t>
  </si>
  <si>
    <t>2005</t>
  </si>
  <si>
    <t>BV0026</t>
  </si>
  <si>
    <t>Hoàng Huy Thắng</t>
  </si>
  <si>
    <t>CCCD: 020086007096
 ngày cấp: 25/6/2021
Tại Cục cảnh sát quản lý hành chính về trật tự xã hội</t>
  </si>
  <si>
    <t>081069768</t>
  </si>
  <si>
    <t>28/10/2001</t>
  </si>
  <si>
    <t>Xã Đồng Ý</t>
  </si>
  <si>
    <t>Ngõ 5 Đường Phai Vêẹ</t>
  </si>
  <si>
    <t>09/5/2012</t>
  </si>
  <si>
    <t>BV0223</t>
  </si>
  <si>
    <t>Nguyễn Thị Phương</t>
  </si>
  <si>
    <t>20186009733 cấp ngày 24/6/2021, nơi cấp: Cục cảnh sát quản lý hành chính và trật tự xã hội</t>
  </si>
  <si>
    <t>081031298</t>
  </si>
  <si>
    <t>25/6/2009</t>
  </si>
  <si>
    <t>28/6/2012</t>
  </si>
  <si>
    <t>BV0224</t>
  </si>
  <si>
    <t>Lê Trọng Huấn</t>
  </si>
  <si>
    <t>CCCD: 020087004744
ngày cấp: 25/6/2021
Tại Cục cảnh sát quản lý hành chính về trật tự xã hội</t>
  </si>
  <si>
    <t>081010534</t>
  </si>
  <si>
    <t>28/8/2009</t>
  </si>
  <si>
    <t>Đức Thắng</t>
  </si>
  <si>
    <t>Huyện Tiên Lữ</t>
  </si>
  <si>
    <t>Xã Minh Tiến</t>
  </si>
  <si>
    <t>ĐH Thái Nguyên</t>
  </si>
  <si>
    <t>BV0228</t>
  </si>
  <si>
    <t>Đàm Thị Na</t>
  </si>
  <si>
    <t>CCCD: 020186002959
ngày cấp: 29/4/2021
Tại Cục cảnh sát quản lý hành chính về trật tự xã hội</t>
  </si>
  <si>
    <t>081001453</t>
  </si>
  <si>
    <t>20/02/2003</t>
  </si>
  <si>
    <t>Xã Hoàng Việt</t>
  </si>
  <si>
    <t>14/4/2016</t>
  </si>
  <si>
    <t>BV0229</t>
  </si>
  <si>
    <t>Chu Thị Huệ</t>
  </si>
  <si>
    <t>CCCD: 020187012007
ngày cấp: 05/07/2021
Tại Cục cảnh sát quản lý hành chính về trật tự xã hội</t>
  </si>
  <si>
    <t>081030320</t>
  </si>
  <si>
    <t>27/6/2003</t>
  </si>
  <si>
    <t>Xã Quốc Việt</t>
  </si>
  <si>
    <t>BV0840</t>
  </si>
  <si>
    <t>Lộc Huy Hiệp</t>
  </si>
  <si>
    <t>2020723794</t>
  </si>
  <si>
    <t>CCCD: 020092012322
ngày cấp: 26/08/2021
Tại Cục cảnh sát quản lý hành chính về trật tự xã hội</t>
  </si>
  <si>
    <t>02/07/1992</t>
  </si>
  <si>
    <t>082214176</t>
  </si>
  <si>
    <t>27/7/2009</t>
  </si>
  <si>
    <t>Lộc Bình</t>
  </si>
  <si>
    <t>Khu Bản Kho</t>
  </si>
  <si>
    <t>Khu Bản Kho, Thị trấn Lộc Bình, huyện Lộc Bình, tỉnh Lạng Sơn</t>
  </si>
  <si>
    <t>Gây mê hồi sức</t>
  </si>
  <si>
    <t>Đại học Y Dược Thái Bình</t>
  </si>
  <si>
    <t>BV0757</t>
  </si>
  <si>
    <t>Phạm Minh Hoàng</t>
  </si>
  <si>
    <t>2020895439</t>
  </si>
  <si>
    <t>020090007183, ngày cấp 09/01/2022, CA tỉnh Lạng Sơn</t>
  </si>
  <si>
    <t>082153649</t>
  </si>
  <si>
    <t>03/03/2008</t>
  </si>
  <si>
    <t>Kim Chân</t>
  </si>
  <si>
    <t>Quế Võ</t>
  </si>
  <si>
    <t>Bắc Ninh</t>
  </si>
  <si>
    <t>Khối 10</t>
  </si>
  <si>
    <t>10/2/2017</t>
  </si>
  <si>
    <t>BV0658</t>
  </si>
  <si>
    <t>Vi Hồng Đức</t>
  </si>
  <si>
    <t>020071007997, ngày cấp 25/6/2021, cục cảnh sát QLHCVTTXH</t>
  </si>
  <si>
    <t>080888614</t>
  </si>
  <si>
    <t>24/7/2007</t>
  </si>
  <si>
    <t>17/5/1997</t>
  </si>
  <si>
    <t>Y tế công cộng</t>
  </si>
  <si>
    <t>BV0209</t>
  </si>
  <si>
    <t>Nguyễn Xuân Trường</t>
  </si>
  <si>
    <t>020086010419, ngày cấp 24/6/2021, cục cảnh sát QLHCVTTXH</t>
  </si>
  <si>
    <t>080836415</t>
  </si>
  <si>
    <t>30/6/2003</t>
  </si>
  <si>
    <t>Đường Tông Đản</t>
  </si>
  <si>
    <t>BV0164</t>
  </si>
  <si>
    <t>Lương Văn Sỹ</t>
  </si>
  <si>
    <t>CCCD: 020077009361, 
Ngày cấp 20/8/2021,  
Tại Cục cảnh sát quản lý hành chính về trật tự xã hội</t>
  </si>
  <si>
    <t>01/02/1977</t>
  </si>
  <si>
    <t>080923216</t>
  </si>
  <si>
    <t>22/3/1996</t>
  </si>
  <si>
    <t>Tân Hương</t>
  </si>
  <si>
    <t>25/5/2009</t>
  </si>
  <si>
    <t>Anh B</t>
  </si>
  <si>
    <t>Tin B/ Cơ bản</t>
  </si>
  <si>
    <t>BV0034</t>
  </si>
  <si>
    <t>Hoàng Thanh Tiếp</t>
  </si>
  <si>
    <t>020082010261, ngày cấp 24/06/2021, cục cảnh sát QLHCVTTXH</t>
  </si>
  <si>
    <t>081022862</t>
  </si>
  <si>
    <t>13/03/2001</t>
  </si>
  <si>
    <t>Xã Yên Vượng, huyện Hữu Lũng, tỉnh Lạng Sơn</t>
  </si>
  <si>
    <t>Xã Yên Vượng</t>
  </si>
  <si>
    <t>BV0555</t>
  </si>
  <si>
    <t>Phạm Hùng Tuấn</t>
  </si>
  <si>
    <t>020065001568, ngày cấp 29/4/2021, cục cảnh sát QLHCVTTXH</t>
  </si>
  <si>
    <t>080721314</t>
  </si>
  <si>
    <t>14/08/2009</t>
  </si>
  <si>
    <t>Huyện Kiến Xương</t>
  </si>
  <si>
    <t>5/9/1988</t>
  </si>
  <si>
    <t>BV0213</t>
  </si>
  <si>
    <t>Dương Thị Huyền</t>
  </si>
  <si>
    <t>082355177, ngày cấp 13/06/2016, Công an tỉnh Lạng Sơn</t>
  </si>
  <si>
    <t>121875796</t>
  </si>
  <si>
    <t>13/6/2016</t>
  </si>
  <si>
    <t>Xã Đồng Sơn</t>
  </si>
  <si>
    <t>Huyện Yên Thế</t>
  </si>
  <si>
    <t>Thôn Pò Đứa</t>
  </si>
  <si>
    <t>BV0215</t>
  </si>
  <si>
    <t>Tô Thị Lan</t>
  </si>
  <si>
    <t>020189001277, ngày cấp 31/03/2011, cục cảnh sát QLHCVTTXH</t>
  </si>
  <si>
    <t>082060840</t>
  </si>
  <si>
    <t>23/8/2006</t>
  </si>
  <si>
    <t>Thị trấn Nông Trường</t>
  </si>
  <si>
    <t>BV0216</t>
  </si>
  <si>
    <t>Vi Văn Trình</t>
  </si>
  <si>
    <t>020090012632, ngày cấp 12/07/2021, cục cảnh sát QLHCVTTXH</t>
  </si>
  <si>
    <t>082097976</t>
  </si>
  <si>
    <t>05/8/2009</t>
  </si>
  <si>
    <t>2012</t>
  </si>
  <si>
    <t>BV0834</t>
  </si>
  <si>
    <t>Nông Quốc Phòng</t>
  </si>
  <si>
    <t>7916581927</t>
  </si>
  <si>
    <t>020093001832, ngày cấp 20/4/2021, cục cảnh sát QLHCVTTXH</t>
  </si>
  <si>
    <t>22/02/1993</t>
  </si>
  <si>
    <t>082222424</t>
  </si>
  <si>
    <t>23/09/2009</t>
  </si>
  <si>
    <t>Tri Phương, Tràng Định, Lạng Sơn</t>
  </si>
  <si>
    <t>Tri phương</t>
  </si>
  <si>
    <t>269 Trần Đăng Ninh</t>
  </si>
  <si>
    <t>Tam Thanh</t>
  </si>
  <si>
    <t>BV0017</t>
  </si>
  <si>
    <t>Hoàng Thị Thanh</t>
  </si>
  <si>
    <t>020182007592, ngày cấp 25/06/2021, cục cảnh sát QLHCVTTXH</t>
  </si>
  <si>
    <t>081048269</t>
  </si>
  <si>
    <t>27/6/2007</t>
  </si>
  <si>
    <t>BV0237</t>
  </si>
  <si>
    <t>Lâm Bích Hợp</t>
  </si>
  <si>
    <t>020185002014, ngày cấp 24/4/2021, cục cảnh sát QLHCVTTXH</t>
  </si>
  <si>
    <t>081065363</t>
  </si>
  <si>
    <t>27/06/2007</t>
  </si>
  <si>
    <t>BV0234</t>
  </si>
  <si>
    <t>Chu Văn Huân</t>
  </si>
  <si>
    <t>02008500537, ngày cấp 02/04/2021, cục cảnh sát QLHCVTTXH</t>
  </si>
  <si>
    <t>082010717</t>
  </si>
  <si>
    <t>24/3/2004</t>
  </si>
  <si>
    <t>Khối 3</t>
  </si>
  <si>
    <t>BV0551</t>
  </si>
  <si>
    <t>Vũ Tiến Dũng</t>
  </si>
  <si>
    <t>082403140, ngày cấp 10/7/2019, Công an tỉnh Lạng Sơn</t>
  </si>
  <si>
    <t>151686156</t>
  </si>
  <si>
    <t>06/7/2000</t>
  </si>
  <si>
    <t>CA Thái Bình</t>
  </si>
  <si>
    <t>Xã Quỳnh Ngọc</t>
  </si>
  <si>
    <t>Khối 7</t>
  </si>
  <si>
    <t>1/10/2002</t>
  </si>
  <si>
    <t>CĐ Y tế Nam Định</t>
  </si>
  <si>
    <t>BV0241</t>
  </si>
  <si>
    <t>Phạm Thanh Huyền</t>
  </si>
  <si>
    <t>020169001413
Cấp ngày: 16/04/2021
Cục cảnh sát QLHC
về TTXH</t>
  </si>
  <si>
    <t>080790369</t>
  </si>
  <si>
    <t>10/01/2007</t>
  </si>
  <si>
    <t>Sản phụ khoa</t>
  </si>
  <si>
    <t>10/10</t>
  </si>
  <si>
    <t>BV0242</t>
  </si>
  <si>
    <t>Vi Thị Việt Hà</t>
  </si>
  <si>
    <t>019170001512
Cấp ngày: 29/04/2021
Cục Cảnh Sát QLHC
về TTXH</t>
  </si>
  <si>
    <t>082001740</t>
  </si>
  <si>
    <t>23/3/2009</t>
  </si>
  <si>
    <t>Tỉnh Thái Nguyên</t>
  </si>
  <si>
    <t>Xã Xuất Lễ</t>
  </si>
  <si>
    <t>1/10/1994</t>
  </si>
  <si>
    <t>BV0003</t>
  </si>
  <si>
    <t>Nguyễn Thúy Vân</t>
  </si>
  <si>
    <t>020171000754
Cấp ngày: 21/06/2021
Cục cảnh sát QLHC
về TTXH</t>
  </si>
  <si>
    <t>082265362</t>
  </si>
  <si>
    <t>31/8/2011</t>
  </si>
  <si>
    <t>Huyện Ý Yên</t>
  </si>
  <si>
    <t>Thị trấn Đồng Đăng</t>
  </si>
  <si>
    <t>15/11/1993</t>
  </si>
  <si>
    <t>BV0246</t>
  </si>
  <si>
    <t>Hoàng Thị Hồng Chiêm</t>
  </si>
  <si>
    <t>020186011848
Cấp ngày: 14/08/2021
Cục cảnh sát QLHC
về TTXH</t>
  </si>
  <si>
    <t>082008757</t>
  </si>
  <si>
    <t>02/7/2010</t>
  </si>
  <si>
    <t>Xã Quốc Khánh, huyện Tràng Định, tỉnh Lạng Sơn</t>
  </si>
  <si>
    <t>Xã Quốc Khánh</t>
  </si>
  <si>
    <t>BV0684</t>
  </si>
  <si>
    <t>Tạ Tuấn Vũ</t>
  </si>
  <si>
    <t>082113216
Cấp:28/05/2007
Công An Tỉnh Lạng Sơn</t>
  </si>
  <si>
    <t>02/01/1990</t>
  </si>
  <si>
    <t>082113216</t>
  </si>
  <si>
    <t>28/5/2007</t>
  </si>
  <si>
    <t>Huyện Tiên Du</t>
  </si>
  <si>
    <t>21/10/2022</t>
  </si>
  <si>
    <t>Đại học Y Dược  - ĐH Thái Nguyên</t>
  </si>
  <si>
    <t>BV0243</t>
  </si>
  <si>
    <t>Đoàn Anh Đức</t>
  </si>
  <si>
    <t>020082001917
Cấp ngày: 16/04/2021
Cục cảnh sát QLHC
về TTXH</t>
  </si>
  <si>
    <t>080986441</t>
  </si>
  <si>
    <t>12/12/2011</t>
  </si>
  <si>
    <t xml:space="preserve">ĐH Y Hà Nội </t>
  </si>
  <si>
    <t>BV0245</t>
  </si>
  <si>
    <t>Như Thùy Vân</t>
  </si>
  <si>
    <t>020184006989
Cấp ngày: 21/06/2021
Cục cảnh sát QLHC
về TTXH</t>
  </si>
  <si>
    <t>081037940</t>
  </si>
  <si>
    <t>17/8/2011</t>
  </si>
  <si>
    <t>BV0809</t>
  </si>
  <si>
    <t>Bạch Khánh Vân</t>
  </si>
  <si>
    <t xml:space="preserve">082106008
Cấp ngày: 21/12/2006
Công An Tỉnh Lạng Sơn
</t>
  </si>
  <si>
    <t>18/5/1990</t>
  </si>
  <si>
    <t>082106008</t>
  </si>
  <si>
    <t>21/12/2006</t>
  </si>
  <si>
    <t>TT Bình Gia</t>
  </si>
  <si>
    <t>Thị Trấn Bình Gia</t>
  </si>
  <si>
    <t>Thị trấn Bình Gia, Huyện Bình Gia, Tỉnh Lạng Sơn</t>
  </si>
  <si>
    <t>BV0248</t>
  </si>
  <si>
    <t>Đặng Thúy Loan</t>
  </si>
  <si>
    <t>002188005485
Cấp ngày: 14/09/2021
Cục cảnh sát QLHC
về TTXH</t>
  </si>
  <si>
    <t>082331415</t>
  </si>
  <si>
    <t>18/3/2015</t>
  </si>
  <si>
    <t xml:space="preserve">Hà Giang </t>
  </si>
  <si>
    <t>Số 60 Phố Muối</t>
  </si>
  <si>
    <t>1/1/2015</t>
  </si>
  <si>
    <t>20/12/2012</t>
  </si>
  <si>
    <t>BV0841</t>
  </si>
  <si>
    <t>Vi Việt Chinh</t>
  </si>
  <si>
    <t>2020671989</t>
  </si>
  <si>
    <t>020092002124
Cấp ngày: 24/04/2021
Cục cảnh sát QLHC
về TTXH</t>
  </si>
  <si>
    <t>15/9/1992</t>
  </si>
  <si>
    <t>082166535</t>
  </si>
  <si>
    <t>08/04/2008</t>
  </si>
  <si>
    <t xml:space="preserve">Khu Hòa Bình </t>
  </si>
  <si>
    <t>TT Lộc Bình</t>
  </si>
  <si>
    <t>Khu Hòa Bình Thị trấn Lộc Bình, huyện Lộc Bình, tỉnh Lạng Sơn</t>
  </si>
  <si>
    <t>Đại học Y Dược Hải Phòng</t>
  </si>
  <si>
    <t>25/10/2012</t>
  </si>
  <si>
    <t>BV0790</t>
  </si>
  <si>
    <t>Dương Tuyết Nhung</t>
  </si>
  <si>
    <t>2020410452</t>
  </si>
  <si>
    <t>082230040
Cấp ngày:10/12/2009
Công An Tỉnh Lạng Sơn</t>
  </si>
  <si>
    <t>20/12/1992</t>
  </si>
  <si>
    <t>082230040</t>
  </si>
  <si>
    <t>10/12/2009</t>
  </si>
  <si>
    <t>Long Đống Bắc Sơn</t>
  </si>
  <si>
    <t>Long Đống</t>
  </si>
  <si>
    <t>Xã Long Đống, huyện Bắc Sơn, tỉnh Lạng Sơn</t>
  </si>
  <si>
    <t>ĐH Y Dược Thái Bình</t>
  </si>
  <si>
    <t>BV0264</t>
  </si>
  <si>
    <t>Trần Thị Hương</t>
  </si>
  <si>
    <t>034180011929
Cấp ngày: 29 /04/2021
Cục cảnh sát QLHC
về TTXH</t>
  </si>
  <si>
    <t>082219683</t>
  </si>
  <si>
    <t>23/12/2009</t>
  </si>
  <si>
    <t>Xã Nam Bình</t>
  </si>
  <si>
    <t>BV0265</t>
  </si>
  <si>
    <t>Quách Thị Hà</t>
  </si>
  <si>
    <t>020183010280
Cấp ngày: 16/08/2021
Cục cảnh sát QLHC
về TTXH</t>
  </si>
  <si>
    <t>081044307</t>
  </si>
  <si>
    <t>13/12/2006</t>
  </si>
  <si>
    <t>Huyện Thanh Oai</t>
  </si>
  <si>
    <t>BV0266</t>
  </si>
  <si>
    <t>Âu Thị Thủy</t>
  </si>
  <si>
    <t>020179002519
Cấp ngày: 29/04/2021
Cục cảnh sát QLHC
về TTXH</t>
  </si>
  <si>
    <t>081057168</t>
  </si>
  <si>
    <t>21/3/2000</t>
  </si>
  <si>
    <t xml:space="preserve">01/11/2005 </t>
  </si>
  <si>
    <t>01/6/2016</t>
  </si>
  <si>
    <t>BV0250</t>
  </si>
  <si>
    <t>Lương Thị Thoa</t>
  </si>
  <si>
    <t>020179000572
Cấp ngày: 28/03/2021
Cục cảnh sát QLHC
về TTXH</t>
  </si>
  <si>
    <t>087628786</t>
  </si>
  <si>
    <t>26/3/2001</t>
  </si>
  <si>
    <t>25/11/2005</t>
  </si>
  <si>
    <t>25/7/2017</t>
  </si>
  <si>
    <t>BV0251</t>
  </si>
  <si>
    <t>Hoàng Thị Nụ</t>
  </si>
  <si>
    <t>020173001765
Cấp ngày: 20/04/2021
Cục cảnh sát QLHC
về TTXH</t>
  </si>
  <si>
    <t>080957482</t>
  </si>
  <si>
    <t>19/5/2000</t>
  </si>
  <si>
    <t>Thị trấn Na dương</t>
  </si>
  <si>
    <t>1/8/1995</t>
  </si>
  <si>
    <t>17/9/2018</t>
  </si>
  <si>
    <t>BV0252</t>
  </si>
  <si>
    <t>Triệu Hoàng Anh</t>
  </si>
  <si>
    <t>004178000120
Cấp ngày: 25/03/2021
Cục cảnh sát QLHC
về TTXH</t>
  </si>
  <si>
    <t>080952027</t>
  </si>
  <si>
    <t>09/6/2005</t>
  </si>
  <si>
    <t>1/2/2005</t>
  </si>
  <si>
    <t>ĐH Điều dưỡng Nam Định</t>
  </si>
  <si>
    <t>07/6/2018</t>
  </si>
  <si>
    <t>BV0253</t>
  </si>
  <si>
    <t>Bùi Thị Oanh</t>
  </si>
  <si>
    <t>001187037308
Cấp ngày: 16/04/2021
Cục cảnh sát QLHC
về TTXH</t>
  </si>
  <si>
    <t>112189688</t>
  </si>
  <si>
    <t>07/02/2006</t>
  </si>
  <si>
    <t>Hà Tây</t>
  </si>
  <si>
    <t>Xã Lam Điền, huyện Chương Mỹ, tỉnh Hà Tây</t>
  </si>
  <si>
    <t>Xã Lam Điền</t>
  </si>
  <si>
    <t>Huyện Chương Mỹ</t>
  </si>
  <si>
    <t>6/11 Nguyễn Du</t>
  </si>
  <si>
    <t>30/01/2018</t>
  </si>
  <si>
    <t>BV0268</t>
  </si>
  <si>
    <t>Hoàng Thị Hưởng</t>
  </si>
  <si>
    <t>020185002855
Cấp ngày: 29/04/2021
Cục cảnh sát QLHC
về TTXH</t>
  </si>
  <si>
    <t>082007344</t>
  </si>
  <si>
    <t>12/11/2003</t>
  </si>
  <si>
    <t>2006</t>
  </si>
  <si>
    <t>BV0996</t>
  </si>
  <si>
    <t>Hoàng Thị Thuần</t>
  </si>
  <si>
    <t>1597021947</t>
  </si>
  <si>
    <t>Hộ sinh (hạng III)</t>
  </si>
  <si>
    <t>004175000163
Cấp ngày: 30/03/2021
Cục cảnh sát QLHC
về TTXH</t>
  </si>
  <si>
    <t>09/04/1975</t>
  </si>
  <si>
    <t>080984034</t>
  </si>
  <si>
    <t>01/2/1997</t>
  </si>
  <si>
    <t>V. 08.06.15</t>
  </si>
  <si>
    <t>BV0008</t>
  </si>
  <si>
    <t>Nguyễn Thị Thắm</t>
  </si>
  <si>
    <t>020174001367
Cấp ngày: 24/04/2021
Cục cảnh sát QLHC
về TTXH</t>
  </si>
  <si>
    <t>080977258</t>
  </si>
  <si>
    <t>ĐH KT Y tế Hải Dương</t>
  </si>
  <si>
    <t>BV0254</t>
  </si>
  <si>
    <t>Nông Thị Thu Trang</t>
  </si>
  <si>
    <t>020176001522
Cấp ngày: 11/04/2021
Cục cảnh sát QLHC
về TTXH</t>
  </si>
  <si>
    <t>080955037</t>
  </si>
  <si>
    <t>02/10/2006</t>
  </si>
  <si>
    <t>15/3/1996</t>
  </si>
  <si>
    <t>BV0255</t>
  </si>
  <si>
    <t>Hoàng Quế Anh</t>
  </si>
  <si>
    <t>022174005122
Cấp ngày: 20/04/2021
Cục cảnh sát QLHC
về TTXH</t>
  </si>
  <si>
    <t>080986319</t>
  </si>
  <si>
    <t>23/5/2005</t>
  </si>
  <si>
    <t>15/10/1994</t>
  </si>
  <si>
    <t>BV0274</t>
  </si>
  <si>
    <t>Lưu Thị Thu Hằng</t>
  </si>
  <si>
    <t>020186011745
Cấp ngày: 05/07/2021
Cục cảnh sát QLHC
về TTXH</t>
  </si>
  <si>
    <t>081037907</t>
  </si>
  <si>
    <t>03/01/2007</t>
  </si>
  <si>
    <t>1/4/2007</t>
  </si>
  <si>
    <t>BV0278</t>
  </si>
  <si>
    <t>Vi Thị Thuần</t>
  </si>
  <si>
    <t>020183004378
Cấp ngày: 25/06/2021
Cục cảnh sát QLHC
về TTXH</t>
  </si>
  <si>
    <t>081028787</t>
  </si>
  <si>
    <t>07/3/2012</t>
  </si>
  <si>
    <t>Xã Tân Đoàn</t>
  </si>
  <si>
    <t>BV0257</t>
  </si>
  <si>
    <t>Lý Thị Hường</t>
  </si>
  <si>
    <t>080937108
Cấp ngày:28/03/2017
Công An Tỉnh Lạng Sơn</t>
  </si>
  <si>
    <t>080937108</t>
  </si>
  <si>
    <t>09/3/2013</t>
  </si>
  <si>
    <t>BV0258</t>
  </si>
  <si>
    <t>Chu Thị Hồng Trang</t>
  </si>
  <si>
    <t>020180000519
Cấp ngày: 02/04/2021
Cục cảnh sát QLHC
về TTXH</t>
  </si>
  <si>
    <t>080926098</t>
  </si>
  <si>
    <t>04/8/2008</t>
  </si>
  <si>
    <t>1/9/2005</t>
  </si>
  <si>
    <t>BV0267</t>
  </si>
  <si>
    <t>Hoàng Thị Mai quỳnh</t>
  </si>
  <si>
    <t>020187002868
Cấp ngày: 20/04/2021
Cục cảnh sát QLHC
về TTXH</t>
  </si>
  <si>
    <t>082020296</t>
  </si>
  <si>
    <t>31/01/2005</t>
  </si>
  <si>
    <t>BV0269</t>
  </si>
  <si>
    <t>Hoàng Thị Hương</t>
  </si>
  <si>
    <t>080935559</t>
  </si>
  <si>
    <t>10/6/2003</t>
  </si>
  <si>
    <t>1/5/1996</t>
  </si>
  <si>
    <t>BV0041</t>
  </si>
  <si>
    <t>Vi Thị Hương Giang</t>
  </si>
  <si>
    <t>020187008087
Cấp ngày: 24/06/2021
Cục cảnh sát QLHC
về TTXH</t>
  </si>
  <si>
    <t>082075209</t>
  </si>
  <si>
    <t>21/3/2006</t>
  </si>
  <si>
    <t>Xã Lâm Sơn</t>
  </si>
  <si>
    <t>BV0271</t>
  </si>
  <si>
    <t>Chu Thị Mười</t>
  </si>
  <si>
    <t>020183003149
Cấp ngày: 01/05/2021
Cục cảnh sát QLHC
về TTXH</t>
  </si>
  <si>
    <t>080990753</t>
  </si>
  <si>
    <t>22/12/1999</t>
  </si>
  <si>
    <t>BV0272</t>
  </si>
  <si>
    <t>Hứa Thanh Ngà</t>
  </si>
  <si>
    <t>020176001521
Cấp ngày: 11/04/2021
Cục cảnh sát QLHC
về TTXH</t>
  </si>
  <si>
    <t>080939654</t>
  </si>
  <si>
    <t>BV0273</t>
  </si>
  <si>
    <t>Phan Thị Thi</t>
  </si>
  <si>
    <t>020185002564
Cấp ngày: 20/04/2021
Cục cảnh sát QLHC
về TTXH</t>
  </si>
  <si>
    <t>082000362</t>
  </si>
  <si>
    <t>06/4/2012</t>
  </si>
  <si>
    <t>Kiên Mộc</t>
  </si>
  <si>
    <t>Bản Có</t>
  </si>
  <si>
    <t>Xã Kiên Mộc</t>
  </si>
  <si>
    <t>BV0275</t>
  </si>
  <si>
    <t>Dương Thị Huế</t>
  </si>
  <si>
    <t>020185011311
Cấp ngày: 12/08/2021
Cục cảnh sát QLHC
về TTXH</t>
  </si>
  <si>
    <t>082007471</t>
  </si>
  <si>
    <t>14/11/2003</t>
  </si>
  <si>
    <t>BV0276</t>
  </si>
  <si>
    <t>Hoàng Thị Nhung</t>
  </si>
  <si>
    <t>020185005897
Cấp ngày: 27/06/2021
Cục cảnh sát QLHC
về TTXH</t>
  </si>
  <si>
    <t>081064503</t>
  </si>
  <si>
    <t>18/02/2013</t>
  </si>
  <si>
    <t>BV0279</t>
  </si>
  <si>
    <t>Phạm Thu Hương</t>
  </si>
  <si>
    <t>020185006315
Cấp ngày: 25/06/2021
Cục cảnh sát QLHC
về TTXH</t>
  </si>
  <si>
    <t>081064713</t>
  </si>
  <si>
    <t>27/02/2003</t>
  </si>
  <si>
    <t>Huyện Bình Giang</t>
  </si>
  <si>
    <t>Tỉnh Hải Dương</t>
  </si>
  <si>
    <t>CĐ Kỹ thuật y tế Hải Dương</t>
  </si>
  <si>
    <t>BV0280</t>
  </si>
  <si>
    <t>Nguyễn Thị Định</t>
  </si>
  <si>
    <t>020186011754
Cấp ngày: 28/06/2021
Cục cảnh sát QLHC
về TTXH</t>
  </si>
  <si>
    <t>082044597</t>
  </si>
  <si>
    <t>06/5/2009</t>
  </si>
  <si>
    <t>Cẩm Văn</t>
  </si>
  <si>
    <t>Huyện Cẩm Bình</t>
  </si>
  <si>
    <t>Xã Vân Nham</t>
  </si>
  <si>
    <t>9/2/1986</t>
  </si>
  <si>
    <t>BV0281</t>
  </si>
  <si>
    <t>Phạm Thúy Hường</t>
  </si>
  <si>
    <t>020184000822
Cấp ngày: 29/03/2021
Cục cảnh sát QLHC
về TTXH</t>
  </si>
  <si>
    <t>081000979</t>
  </si>
  <si>
    <t>18/5/2011</t>
  </si>
  <si>
    <t>BV0282</t>
  </si>
  <si>
    <t>Hoàng Thị Hiển</t>
  </si>
  <si>
    <t>020188003362
Cấp ngày: 24/04/2021
Cục cảnh sát QLHC
về TTXH</t>
  </si>
  <si>
    <t>082059073</t>
  </si>
  <si>
    <t>01/9/2005</t>
  </si>
  <si>
    <t>BV0283</t>
  </si>
  <si>
    <t>Nguyễn Thị Huế</t>
  </si>
  <si>
    <t>038191019929
Cấp ngày: 09/05/2021
Cục cảnh sát QLHC
về TTXH</t>
  </si>
  <si>
    <t>173071329</t>
  </si>
  <si>
    <t>04/9/2006</t>
  </si>
  <si>
    <t>CA Thanh Hóa</t>
  </si>
  <si>
    <t>Tỉnh Thanh Hóa</t>
  </si>
  <si>
    <t>BV0284</t>
  </si>
  <si>
    <t>Lăng Thị Điệp</t>
  </si>
  <si>
    <t>006189000681
Cấp ngày: 29/04/2021
Cục cảnh sát QLHC 
 về TTXH</t>
  </si>
  <si>
    <t>095143804</t>
  </si>
  <si>
    <t>30/3/2007</t>
  </si>
  <si>
    <t>CA Bắc Kạn</t>
  </si>
  <si>
    <t>Tỉnh Bắc Kạn</t>
  </si>
  <si>
    <t>BV0285</t>
  </si>
  <si>
    <t>Trần Thị Hoàng Mai</t>
  </si>
  <si>
    <t>020189012593
Cấp ngày: 25/06/2021
Cục cảnh sát QLHC về TTXH</t>
  </si>
  <si>
    <t>082105431</t>
  </si>
  <si>
    <t>14/12/2015</t>
  </si>
  <si>
    <t>3.03</t>
  </si>
  <si>
    <t>19/7/2013</t>
  </si>
  <si>
    <t>BV0286</t>
  </si>
  <si>
    <t>Nông Thị Thời</t>
  </si>
  <si>
    <t>020186012449
Cấp ngày: 16 /08/2021
Cục cảnh sát QLHC
về TTXH</t>
  </si>
  <si>
    <t>081022134</t>
  </si>
  <si>
    <t>13/12/2000</t>
  </si>
  <si>
    <t>1/11/2014</t>
  </si>
  <si>
    <t>BV0287</t>
  </si>
  <si>
    <t>Hoàng Thị Thiệp</t>
  </si>
  <si>
    <t>020180007282
Cấp ngày: 09/05/2021
Cục cảnh sát QLHC
về TTXH</t>
  </si>
  <si>
    <t>080926813</t>
  </si>
  <si>
    <t>BV0290</t>
  </si>
  <si>
    <t>Ngọ Thị Ngoan</t>
  </si>
  <si>
    <t>024183004315
Cấp ngày: 20/04/2021
Cục cảnh sát QLHC
về TTXH</t>
  </si>
  <si>
    <t>121539857</t>
  </si>
  <si>
    <t>12/3/2002</t>
  </si>
  <si>
    <t>CA Bắc Giang</t>
  </si>
  <si>
    <t>Xã Đại Thành</t>
  </si>
  <si>
    <t>Huyện Hiệp Hòa</t>
  </si>
  <si>
    <t>BV0040</t>
  </si>
  <si>
    <t>Hoàng Hồ Điệp</t>
  </si>
  <si>
    <t>020183001348
Cấp ngày: 25/04/2021
Cục cảnh sát QLHC
về TTXH</t>
  </si>
  <si>
    <t>080540608</t>
  </si>
  <si>
    <t>16/7/2010</t>
  </si>
  <si>
    <t>Thị trấn  Đồng Đăng</t>
  </si>
  <si>
    <t>BV0291</t>
  </si>
  <si>
    <t>Nguyễn Thị Tuyết</t>
  </si>
  <si>
    <t>020183001842
Cấp ngày: 24/04/2021
Cục cảnh sát QLHC
về TTXH</t>
  </si>
  <si>
    <t>081039547</t>
  </si>
  <si>
    <t>26/3/2002</t>
  </si>
  <si>
    <t>Huyện Lục Nam</t>
  </si>
  <si>
    <t>BV0288</t>
  </si>
  <si>
    <t>Hứa Thu Hồng</t>
  </si>
  <si>
    <t>020181005361
Cấp ngày: 09/05/2021
Cục cảnh sát QLHC
về TTXH</t>
  </si>
  <si>
    <t>080969063</t>
  </si>
  <si>
    <t>23/3/2000</t>
  </si>
  <si>
    <t>Xã Hồng Thái</t>
  </si>
  <si>
    <t>BV0843</t>
  </si>
  <si>
    <t>Lý Thị Diệu Linh</t>
  </si>
  <si>
    <t>020194004227
Cấp ngày: 09/05/2021
Cục cảnh sát QLHC
về TTXH</t>
  </si>
  <si>
    <t>17/8/1994</t>
  </si>
  <si>
    <t>082190794</t>
  </si>
  <si>
    <t>01/07/2016</t>
  </si>
  <si>
    <t>Xã Gia Miễn, huyện Văn Lãng</t>
  </si>
  <si>
    <t>Gia Miễn</t>
  </si>
  <si>
    <t>Số 4 ngõ 9, đường Trần Đăng Ninh</t>
  </si>
  <si>
    <t>25/01/2016</t>
  </si>
  <si>
    <t>87</t>
  </si>
  <si>
    <t>08/01/2016</t>
  </si>
  <si>
    <t>BV0846</t>
  </si>
  <si>
    <t>Hoàng Thị Khuynh</t>
  </si>
  <si>
    <t>020175005140
Cấp ngày: 18/11/2021
Cục cảnh sát QLHC
về TTXH</t>
  </si>
  <si>
    <t>19/9/1975</t>
  </si>
  <si>
    <t>082056447</t>
  </si>
  <si>
    <t>05/7/2005</t>
  </si>
  <si>
    <t>Xã Xuân Lễ, huyện Lộc Bình, tỉnh Lạng Sơn</t>
  </si>
  <si>
    <t>Xã Xuân Lễ</t>
  </si>
  <si>
    <t>Thôn Bản Lầy</t>
  </si>
  <si>
    <t>01/6/2017</t>
  </si>
  <si>
    <t>02/07/2018</t>
  </si>
  <si>
    <t>18/4/2017</t>
  </si>
  <si>
    <t>BV1003</t>
  </si>
  <si>
    <t>Tô Thị Hành</t>
  </si>
  <si>
    <t>2014001958</t>
  </si>
  <si>
    <t>Hộ sinh (hạng IV)</t>
  </si>
  <si>
    <t>04/05/1986</t>
  </si>
  <si>
    <t>082103467</t>
  </si>
  <si>
    <t>Số 26 ngõ 1 Chùa Tiên, phường Chi Lăng, TP. Lạng Sơn</t>
  </si>
  <si>
    <t>V. 08.06.16</t>
  </si>
  <si>
    <t>BV0296</t>
  </si>
  <si>
    <t>Lê Quang Phương</t>
  </si>
  <si>
    <t>020071007657,
Ngày cấp 25/6/2021, nơi cấp: Cục cảnh sát quản lý hành chính và trật tự xã hội</t>
  </si>
  <si>
    <t>081039810</t>
  </si>
  <si>
    <t>16/4/2002</t>
  </si>
  <si>
    <t>29/4/1997</t>
  </si>
  <si>
    <t>Nhi khoa</t>
  </si>
  <si>
    <t>01/08/2012</t>
  </si>
  <si>
    <t>BV0300</t>
  </si>
  <si>
    <t>Nguyễn Thành Long</t>
  </si>
  <si>
    <t>020089007110,
Ngày cấp 25/06/2021, nơi cấp: Cục cảnh sát quản lý hành chính và trật tự xã hội</t>
  </si>
  <si>
    <t>27/02/1989</t>
  </si>
  <si>
    <t>082106655</t>
  </si>
  <si>
    <t>08/3/2007</t>
  </si>
  <si>
    <t>Thị trấn Bình Gia</t>
  </si>
  <si>
    <t>BV0298</t>
  </si>
  <si>
    <t>Trần Thị Diệp</t>
  </si>
  <si>
    <t>020180002195,
Ngày cấp 29/04/2021, nơi cấp: Cục cảnh sát quản lý hành chính và trật tự xã hội</t>
  </si>
  <si>
    <t>080987798</t>
  </si>
  <si>
    <t>14/8/1996</t>
  </si>
  <si>
    <t>Xã Sơn Hà</t>
  </si>
  <si>
    <t>07/11/2006</t>
  </si>
  <si>
    <t>16/9/2013</t>
  </si>
  <si>
    <t>BV0682</t>
  </si>
  <si>
    <t>Lăng Thùy Ngân</t>
  </si>
  <si>
    <t>020190012859,
Ngày cấp 26/8/2021, nơi cấp: Cục cảnh sát quản lý hành chính và trật tự xã hội</t>
  </si>
  <si>
    <t>21/12/1990</t>
  </si>
  <si>
    <t>082082214</t>
  </si>
  <si>
    <t>18/5/2006</t>
  </si>
  <si>
    <t>Thôn Pò Cại</t>
  </si>
  <si>
    <t>BV0886</t>
  </si>
  <si>
    <t>Hoàng Thu Hiền</t>
  </si>
  <si>
    <t>2009000923</t>
  </si>
  <si>
    <t>020194011668,
Ngày cấp 28/6/2021, nơi cấp: Cục cảnh sát quản lý hành chính và trật tự xã hội</t>
  </si>
  <si>
    <t>07/11/1994</t>
  </si>
  <si>
    <t>082235838</t>
  </si>
  <si>
    <t>25/07/2017</t>
  </si>
  <si>
    <t>25/02/2014</t>
  </si>
  <si>
    <t>BV0308</t>
  </si>
  <si>
    <t>Nguyễn Thị Minh Hiệp</t>
  </si>
  <si>
    <t>020181000732,
Ngày cấp 31/3/2021, nơi cấp: Cục cảnh sát quản lý hành chính và trật tự xã hội</t>
  </si>
  <si>
    <t>080986125</t>
  </si>
  <si>
    <t>25/9/2006</t>
  </si>
  <si>
    <t>BV0301</t>
  </si>
  <si>
    <t>Nguyễn Thị Chanh</t>
  </si>
  <si>
    <t>020183000661,
Ngày cấp 02/04/2021, nơi cấp: Cục cảnh sát quản lý hành chính và trật tự xã hội</t>
  </si>
  <si>
    <t>081034212</t>
  </si>
  <si>
    <t>12/06/2006</t>
  </si>
  <si>
    <t>BV0303</t>
  </si>
  <si>
    <t>Lữ Thị Đại</t>
  </si>
  <si>
    <t>082159341,
Ngày cấp 20/3/2008, nơi cấp: Công an tỉnh Lạng Sơn</t>
  </si>
  <si>
    <t>082159341</t>
  </si>
  <si>
    <t>20/3/2008</t>
  </si>
  <si>
    <t>Xã Hòa Thắng</t>
  </si>
  <si>
    <t>3.66</t>
  </si>
  <si>
    <t>BV0313</t>
  </si>
  <si>
    <t>Đàm Thị Liên</t>
  </si>
  <si>
    <t>020186002925,
Ngày cấp 29/4/2021, nơi cấp: Cục cảnh sát quản lý hành chính và trật tự xã hội</t>
  </si>
  <si>
    <t>082011634</t>
  </si>
  <si>
    <t>BV0315</t>
  </si>
  <si>
    <t>Hoàng Thị Vượng</t>
  </si>
  <si>
    <t>020187010650,
Ngày cấp 25/6/2021, nơi cấp: Cục cảnh sát quản lý hành chính và trật tự xã hội</t>
  </si>
  <si>
    <t>081038938</t>
  </si>
  <si>
    <t>23/4/2003</t>
  </si>
  <si>
    <t>Xã Thạch Đạn</t>
  </si>
  <si>
    <t>BV0127</t>
  </si>
  <si>
    <t>Luân Thị Hiếu</t>
  </si>
  <si>
    <t>082025965,
Ngày cấp 09/03/2020, nơi cấp: Công an tỉnh Lạng Sơn</t>
  </si>
  <si>
    <t>082025965</t>
  </si>
  <si>
    <t>08/6/2004</t>
  </si>
  <si>
    <t>1/06/2016</t>
  </si>
  <si>
    <t>BV0309</t>
  </si>
  <si>
    <t>Vi Thị Thùy</t>
  </si>
  <si>
    <t>020188008446,
Ngày cấp 09/05/2021, nơi cấp: Cục cảnh sát quản lý hành chính và trật tự xã hội</t>
  </si>
  <si>
    <t>081038755</t>
  </si>
  <si>
    <t>15/4/2003</t>
  </si>
  <si>
    <t>02/01/2009</t>
  </si>
  <si>
    <t>BV0310</t>
  </si>
  <si>
    <t>Nông Văn Bộ</t>
  </si>
  <si>
    <t>020084006815,
Ngày cấp 25/08/2021, nơi cấp: Cục cảnh sát quản lý hành chính và trật tự xã hội</t>
  </si>
  <si>
    <t>081008523</t>
  </si>
  <si>
    <t>07/4/2003</t>
  </si>
  <si>
    <t>Xã Đề Thám</t>
  </si>
  <si>
    <t>24/01/2017</t>
  </si>
  <si>
    <t>BV0311</t>
  </si>
  <si>
    <t>Lương Thu Thảo</t>
  </si>
  <si>
    <t>020185007064,
Ngày cấp 09/05/2021, nơi cấp: Cục cảnh sát quản lý hành chính và trật tự xã hội</t>
  </si>
  <si>
    <t>081000913</t>
  </si>
  <si>
    <t>30/10/2017</t>
  </si>
  <si>
    <t>BV0312</t>
  </si>
  <si>
    <t>Lăng Thị Yến</t>
  </si>
  <si>
    <t>020187003171,
Ngày cấp 29/4/2021, nơi cấp: Cục cảnh sát quản lý hành chính và trật tự xã hội</t>
  </si>
  <si>
    <t>082010951</t>
  </si>
  <si>
    <t>06/8/2004</t>
  </si>
  <si>
    <t>Xã Thụy Hùng</t>
  </si>
  <si>
    <t>BV0314</t>
  </si>
  <si>
    <t>Hoàng Thị Oanh</t>
  </si>
  <si>
    <t>020186007388,
Ngày cấp 24/6/2021, nơi cấp: Cục cảnh sát quản lý hành chính và trật tự xã hội</t>
  </si>
  <si>
    <t>082007389</t>
  </si>
  <si>
    <t>13/11/2003</t>
  </si>
  <si>
    <t>Xã Long Đống</t>
  </si>
  <si>
    <t>BV0316</t>
  </si>
  <si>
    <t>Vy Thị Nhuận</t>
  </si>
  <si>
    <t>020184004767,
Ngày cấp 28/9/2021, nơi cấp: Cục cảnh sát quản lý hành chính và trật tự xã hội</t>
  </si>
  <si>
    <t>082035751</t>
  </si>
  <si>
    <t>03/8/2009</t>
  </si>
  <si>
    <t>BV0320</t>
  </si>
  <si>
    <t>Nông Thị Hợp</t>
  </si>
  <si>
    <t>020186002493,
Ngày cấp 17/4/2021, nơi cấp: Cục cảnh sát quản lý hành chính và trật tự xã hội</t>
  </si>
  <si>
    <t>082006157</t>
  </si>
  <si>
    <t>02/10/2003</t>
  </si>
  <si>
    <t>Xã Lục Thôn</t>
  </si>
  <si>
    <t>Xã Tú Mịch</t>
  </si>
  <si>
    <t>BV0321</t>
  </si>
  <si>
    <t>Mạc Minh Thùy</t>
  </si>
  <si>
    <t>020187001460,
Ngày cấp 31/3/2021, nơi cấp: Cục cảnh sát quản lý hành chính và trật tự xã hội</t>
  </si>
  <si>
    <t>082035043</t>
  </si>
  <si>
    <t>24/8/2004</t>
  </si>
  <si>
    <t>BV0200</t>
  </si>
  <si>
    <t>Phan Văn Hiếu</t>
  </si>
  <si>
    <t>020088007058,
Ngày cấp 25/06/2021, nơi cấp: Cục cảnh sát quản lý hành chính và trật tự xã hội</t>
  </si>
  <si>
    <t>082025946</t>
  </si>
  <si>
    <t>Khối 8</t>
  </si>
  <si>
    <t>BV0417</t>
  </si>
  <si>
    <t>Nguyễn Diệu Thúy</t>
  </si>
  <si>
    <t>081001794,
Ngày cấp 05/8/2016, nơi cấp: Công an tỉnh Lạng Sơn</t>
  </si>
  <si>
    <t>081001794</t>
  </si>
  <si>
    <t>28/02/2003</t>
  </si>
  <si>
    <t>Thị trấn Na Sầm</t>
  </si>
  <si>
    <t>BV0132</t>
  </si>
  <si>
    <t>Hoàng Thị Khảo</t>
  </si>
  <si>
    <t>020183001920, ngày cấp 25/4/2021, nơi cấp cục cảnh sát quản lý hành chính về trật tự xã hội</t>
  </si>
  <si>
    <t>081029842</t>
  </si>
  <si>
    <t>15/01/2002</t>
  </si>
  <si>
    <t>Xã Vân An, huyện Chi Lăng, tỉnh Lạng Sơn</t>
  </si>
  <si>
    <t>V.08.03.07</t>
  </si>
  <si>
    <t>BV0327</t>
  </si>
  <si>
    <t>Nguyễn Quang Lương</t>
  </si>
  <si>
    <t>020067000304 ngày cấp 29/3/2021 , Cục cảnh sát quản lý hành chính về trật tự xã hội</t>
  </si>
  <si>
    <t>082153207</t>
  </si>
  <si>
    <t>10/12/2007</t>
  </si>
  <si>
    <t>1/3/1994</t>
  </si>
  <si>
    <t>Truyền nhiễm</t>
  </si>
  <si>
    <t>ĐH Y Hà Nội</t>
  </si>
  <si>
    <t>BV0052</t>
  </si>
  <si>
    <t>La Thị Thu Hiền</t>
  </si>
  <si>
    <t>020190009365 ngày cấp 14/8/2021 , Cục cảnh sát quản lý hành chính về trật tự xã hội</t>
  </si>
  <si>
    <t>082145441</t>
  </si>
  <si>
    <t>17/8/2015</t>
  </si>
  <si>
    <t>BV0018</t>
  </si>
  <si>
    <t>Lê Thị Ngọc Hoàng</t>
  </si>
  <si>
    <t>020184000486 ngày cấp 25/3/2021, Cục cảnh sát quản lý hành chính về trật tự xã hội</t>
  </si>
  <si>
    <t>081037417</t>
  </si>
  <si>
    <t>27/4/2007</t>
  </si>
  <si>
    <t>BV0014</t>
  </si>
  <si>
    <t>Mông Thị Luận</t>
  </si>
  <si>
    <t>20178009041 Ngày cấp 20/8/2021, Cục cảnh sát quản lý hành chính về trật tự xã hội</t>
  </si>
  <si>
    <t>080941631</t>
  </si>
  <si>
    <t>27/02/2009</t>
  </si>
  <si>
    <t>Xã Hội Hoan</t>
  </si>
  <si>
    <t>BV0126</t>
  </si>
  <si>
    <t>Lưu Hải Châu</t>
  </si>
  <si>
    <t>031180009182 Ngày cấp 29/4/2021, Cục cảnh sát quản lý hành chính về trật tự xã hội</t>
  </si>
  <si>
    <t>031043856</t>
  </si>
  <si>
    <t>22/04/1999</t>
  </si>
  <si>
    <t>Xã Hòa Bình, huyện Thủy Nguyên, tỉnh Hải Phòng</t>
  </si>
  <si>
    <t>Huyện Thủy Nguyên</t>
  </si>
  <si>
    <t>Thành phố Hải Phòng</t>
  </si>
  <si>
    <t>Thị trấn Na Dương</t>
  </si>
  <si>
    <t>BV0743</t>
  </si>
  <si>
    <t>Hứa Văn Quốc</t>
  </si>
  <si>
    <t>2016001050</t>
  </si>
  <si>
    <t>020092002119 Ngày cấp 29/4/2021, Cục cảnh sát quản lý hành chính về trật tự xã hội</t>
  </si>
  <si>
    <t>03/01/1992</t>
  </si>
  <si>
    <t>082226333</t>
  </si>
  <si>
    <t>09/11/2009</t>
  </si>
  <si>
    <t>Minh khai, Bình Gia</t>
  </si>
  <si>
    <t>Minh Khai</t>
  </si>
  <si>
    <t>Nà Mạ</t>
  </si>
  <si>
    <t>01/11/2016</t>
  </si>
  <si>
    <t>2.72</t>
  </si>
  <si>
    <t>16/2/2023</t>
  </si>
  <si>
    <t>CĐ Y tế Thái Nguyên</t>
  </si>
  <si>
    <t>BV0332</t>
  </si>
  <si>
    <t>Nông Thị Mai</t>
  </si>
  <si>
    <t>020186010922 ngày cấp 12/8/2021, Cục cảnh sát quản lý hành chính về trật tự xã hội</t>
  </si>
  <si>
    <t>082025971</t>
  </si>
  <si>
    <t>08/04/2004</t>
  </si>
  <si>
    <t>CĐ Y tế Lang sơn</t>
  </si>
  <si>
    <t>BV0334</t>
  </si>
  <si>
    <t>Nguyễn Khắc Đảng</t>
  </si>
  <si>
    <t>020072001945 ngày cấp 29/4/2021, Cục cảnh sát quản lý hành chính về trật tự xã hội</t>
  </si>
  <si>
    <t>080814693</t>
  </si>
  <si>
    <t>30/01/2013</t>
  </si>
  <si>
    <t>%</t>
  </si>
  <si>
    <t>BV0335</t>
  </si>
  <si>
    <t>Lăng Thị Thúy</t>
  </si>
  <si>
    <t>020186002906 Ngày cấp 29/4/2021, Cục cảnh sát quản lý hành chính về trật tự xã hội</t>
  </si>
  <si>
    <t>082002431</t>
  </si>
  <si>
    <t>21/10/2003</t>
  </si>
  <si>
    <t>BV0337</t>
  </si>
  <si>
    <t>Lương Thị Minh</t>
  </si>
  <si>
    <t>020190001398 ngày cấp 31/3/2021, Cục cảnh sát quản lý hành chính về trật tự xã hội</t>
  </si>
  <si>
    <t>082106820</t>
  </si>
  <si>
    <t>10/04/2007</t>
  </si>
  <si>
    <t>BV0338</t>
  </si>
  <si>
    <t>Lương Thúy Nga</t>
  </si>
  <si>
    <t>20189011553 ngày cấp 09/5/2021, Cục cảnh sát quản lý hành chính về trật tự xã hội</t>
  </si>
  <si>
    <t>082061644</t>
  </si>
  <si>
    <t>16/11/2005</t>
  </si>
  <si>
    <t>16/09/2013</t>
  </si>
  <si>
    <t>BV0197</t>
  </si>
  <si>
    <t>Nguyễn Thị Hợi</t>
  </si>
  <si>
    <t>038184050846, Ngày cấp 24/3/2022, nơi cấp: Cục Quản lý hành chính về trật tự xã hội</t>
  </si>
  <si>
    <t>172261977</t>
  </si>
  <si>
    <t>21/10/2000</t>
  </si>
  <si>
    <t>Thiệu Thành</t>
  </si>
  <si>
    <t>Huyện Thiệu Hóa</t>
  </si>
  <si>
    <t>BV0341</t>
  </si>
  <si>
    <t>Mông Tuấn Hùng</t>
  </si>
  <si>
    <t>CCCD: 020071000379 
Ngày cấp 8/4/2021, 
Tại Cục cảnh sát quản lý hành chính về trật tự xã hội</t>
  </si>
  <si>
    <t>080906225</t>
  </si>
  <si>
    <t>30/05/2005</t>
  </si>
  <si>
    <t>Xã Trùng Khánh</t>
  </si>
  <si>
    <t>4/1/1996</t>
  </si>
  <si>
    <t>Da liễu</t>
  </si>
  <si>
    <t>BV0342</t>
  </si>
  <si>
    <t>Nguyễn Mạnh Cường</t>
  </si>
  <si>
    <t>CCCD: 020069007177 
Ngày cấp 20/8/2021,
Tại Cục cảnh sát quản lý hành chính về trật tự xã hội</t>
  </si>
  <si>
    <t>080776847</t>
  </si>
  <si>
    <t>03/07/2008</t>
  </si>
  <si>
    <t>11/10/1994</t>
  </si>
  <si>
    <t>BV0823</t>
  </si>
  <si>
    <t>Lương Thị Hằng</t>
  </si>
  <si>
    <t>1597019431</t>
  </si>
  <si>
    <t>CCCD: 020174002035 
Ngày cấp 29/4/2021, 
Tại Cục cảnh sát quản lý hành chính về trật tự xã hội</t>
  </si>
  <si>
    <t>21/4/1974</t>
  </si>
  <si>
    <t>080948017</t>
  </si>
  <si>
    <t>08/12/12014</t>
  </si>
  <si>
    <t>Thị trấn Na Dương, huyện Cao Lộc</t>
  </si>
  <si>
    <t>Trấn Ninh</t>
  </si>
  <si>
    <t>Văn Quan</t>
  </si>
  <si>
    <t>Số 20B, ngõ 1, Tô Thị</t>
  </si>
  <si>
    <t>20/10/1995</t>
  </si>
  <si>
    <t>Mỏ than Na Dương</t>
  </si>
  <si>
    <t>759 TNĐ-ND-TCLĐ</t>
  </si>
  <si>
    <t>BV0329</t>
  </si>
  <si>
    <t>Đào Thị Ngọc</t>
  </si>
  <si>
    <t>CCCD: 036182023580 
Ngày cấp 25/6/2021,
Tại Cục cảnh sát quản lý hành chính về trật tự xã hội</t>
  </si>
  <si>
    <t>162450559</t>
  </si>
  <si>
    <t>13/03/2000</t>
  </si>
  <si>
    <t>Xã Nghĩa An</t>
  </si>
  <si>
    <t>Thôn Tân Lập</t>
  </si>
  <si>
    <t>BV0113</t>
  </si>
  <si>
    <t>Lăng Hồng Chiêm</t>
  </si>
  <si>
    <t>CCCD: 020183002322 
Ngày cấp 20/4/2021, 
Tại Cục cảnh sát quản lý hành chính về trật tự xã hội</t>
  </si>
  <si>
    <t>082009988</t>
  </si>
  <si>
    <t>30/09/2003</t>
  </si>
  <si>
    <t>BV0134</t>
  </si>
  <si>
    <t>Lý Thị Dần</t>
  </si>
  <si>
    <t>CCCD: 020179006580 
Ngày cấp 9/5/2021,
Tại Cục cảnh sát quản lý hành chính về trật tự xã hội</t>
  </si>
  <si>
    <t>081036867</t>
  </si>
  <si>
    <t>04/03/2002</t>
  </si>
  <si>
    <t>6/01/2016</t>
  </si>
  <si>
    <t>BV0141</t>
  </si>
  <si>
    <t>Vũ Thị Thu Trang</t>
  </si>
  <si>
    <t>CMT: 082160465 
Ngày cấp 4/6/2008, 
nơi cấp CA Lạng Sơn</t>
  </si>
  <si>
    <t>082160465</t>
  </si>
  <si>
    <t>04/06/2008</t>
  </si>
  <si>
    <t>Yêu Kiêu</t>
  </si>
  <si>
    <t>Khối 9</t>
  </si>
  <si>
    <t>ĐH Kỹ thuật Y tế Hải Dương</t>
  </si>
  <si>
    <t>BV0349</t>
  </si>
  <si>
    <t>Dương Thị Tiếp</t>
  </si>
  <si>
    <t>CCCD: 020187001506 
Ngày cấp 8/4/2021,
Tại Cục cảnh sát quản lý hành chính về trật tự xã hội</t>
  </si>
  <si>
    <t>082007603</t>
  </si>
  <si>
    <t>18/11/2003</t>
  </si>
  <si>
    <t>CĐ Y tế LS</t>
  </si>
  <si>
    <t>BV0226</t>
  </si>
  <si>
    <t>Mã Thị Linh</t>
  </si>
  <si>
    <t>CCCD: 020186001044 
Ngày cấp 2/4/2021, 
Tại Cục cảnh sát quản lý hành chính về trật tự xã hội</t>
  </si>
  <si>
    <t>082010324</t>
  </si>
  <si>
    <t>15/12/2003</t>
  </si>
  <si>
    <t>BV0351</t>
  </si>
  <si>
    <t>Ngô Thu Lê</t>
  </si>
  <si>
    <t>020176005885 cấp ngày 09/5/2021 Cục cảnh sát quản lý hành chính về trật tự xã hội</t>
  </si>
  <si>
    <t>082078111</t>
  </si>
  <si>
    <t>03/3/2006</t>
  </si>
  <si>
    <t>Đình Bảng</t>
  </si>
  <si>
    <t>Huyện Từ Sơn</t>
  </si>
  <si>
    <t>YHCT</t>
  </si>
  <si>
    <t>Học viện Y dược học cổ truyền VN</t>
  </si>
  <si>
    <t>BV0169</t>
  </si>
  <si>
    <t>Hoàng Thị Bích Hà</t>
  </si>
  <si>
    <t>020180006217 cấp ngày 25/6/2021 Cục cảnh sát quản lý hành chính về trật tự xã hội</t>
  </si>
  <si>
    <t>080983865</t>
  </si>
  <si>
    <t>23/3/1999</t>
  </si>
  <si>
    <t>ĐH Y Dược - ĐH Thái Nguyên</t>
  </si>
  <si>
    <t>BV0357</t>
  </si>
  <si>
    <t>Vi Văn Tiến</t>
  </si>
  <si>
    <t>020076002080 cấp ngày 29/4/2021 Cục cảnh sát quản lý hành chính về trật tự xã hội</t>
  </si>
  <si>
    <t>080944134</t>
  </si>
  <si>
    <t>04/03/2003</t>
  </si>
  <si>
    <t>BV0358</t>
  </si>
  <si>
    <t>Nông Thị Thu Hường</t>
  </si>
  <si>
    <t>020187012098 cấp ngày 12/8/2021 Cục cảnh sát quản lý hành chính về trật tự xã hội</t>
  </si>
  <si>
    <t>082013217</t>
  </si>
  <si>
    <t>BV0029</t>
  </si>
  <si>
    <t>Triệu Thị Mai Hương</t>
  </si>
  <si>
    <t>020187001163 cấp ngày 02/4/2021 Cục cảnh sát quản lý hành chính về trật tự xã hội</t>
  </si>
  <si>
    <t>082026878</t>
  </si>
  <si>
    <t>15/03/2005</t>
  </si>
  <si>
    <t>13/102016</t>
  </si>
  <si>
    <t>BV0227</t>
  </si>
  <si>
    <t>Mông Thị Thu</t>
  </si>
  <si>
    <t>020184007760 cấp ngày 25/6/2021 Cục cảnh sát quản lý hành chính về trật tự xã hội</t>
  </si>
  <si>
    <t>081001444</t>
  </si>
  <si>
    <t>Xã Quảng Lạc</t>
  </si>
  <si>
    <t>BV0354</t>
  </si>
  <si>
    <t>Chu Hương Thảo</t>
  </si>
  <si>
    <t>020174000793 cấp ngày 31/3/2021 Cục cảnh sát quản lý hành chính về trật tự xã hội</t>
  </si>
  <si>
    <t>080961673</t>
  </si>
  <si>
    <t>20/12/2010</t>
  </si>
  <si>
    <t>Xã Hồng Phong</t>
  </si>
  <si>
    <t>Y học dân tộc Tuệ Tĩnh</t>
  </si>
  <si>
    <t>BV0355</t>
  </si>
  <si>
    <t>Trần Thị Huyền</t>
  </si>
  <si>
    <t>004177000164 cấp ngày 26/3/2021 Cục cảnh sát quản lý hành chính về trật tự xã hội</t>
  </si>
  <si>
    <t>082130659</t>
  </si>
  <si>
    <t>11/12/2007</t>
  </si>
  <si>
    <t>Tỉnh Cao Bằng</t>
  </si>
  <si>
    <t>Huyện Trùng Khánh</t>
  </si>
  <si>
    <t>TỈnh Cao Bằng</t>
  </si>
  <si>
    <t xml:space="preserve">TH Y học cổ truyền Tuệ Tĩnh </t>
  </si>
  <si>
    <t>BV0356</t>
  </si>
  <si>
    <t>Lê Thị Phượng</t>
  </si>
  <si>
    <t>020188001066 cấp ngày 02/4/2021 Cục cảnh sát quản lý hành chính về trật tự xã hội</t>
  </si>
  <si>
    <t>080255970</t>
  </si>
  <si>
    <t>03/8/2005</t>
  </si>
  <si>
    <t>BV1122</t>
  </si>
  <si>
    <t>Nguyễn Ngọc Thiện</t>
  </si>
  <si>
    <t>1506002998</t>
  </si>
  <si>
    <t>024081003063 cấp ngày 29/4/2021 Cục cảnh sát quản lý hành chính về trật tự xã hội</t>
  </si>
  <si>
    <t>30/12/2005</t>
  </si>
  <si>
    <t>6/4/2021</t>
  </si>
  <si>
    <t>Y sỹ ( hạng IV)</t>
  </si>
  <si>
    <t>BV0761</t>
  </si>
  <si>
    <t>Lục Thị Lan</t>
  </si>
  <si>
    <t>2020347473</t>
  </si>
  <si>
    <t>CCCD: 020192007786 ngày cấp 16/01/2022
Cục trưởng cục CSQLHC về TTXH</t>
  </si>
  <si>
    <t>082163857</t>
  </si>
  <si>
    <t>26/7/2008</t>
  </si>
  <si>
    <t>Hồng Phong,  Cao Lộc</t>
  </si>
  <si>
    <t>Hồng Phong</t>
  </si>
  <si>
    <t>Cao Lộc</t>
  </si>
  <si>
    <t>Số nhà 25 Đức Tâm 2</t>
  </si>
  <si>
    <t>Thị Trấn Văn Quan</t>
  </si>
  <si>
    <t>2016</t>
  </si>
  <si>
    <t>BV0838</t>
  </si>
  <si>
    <t>Hứa Mạnh Tuấn</t>
  </si>
  <si>
    <t>2020070072</t>
  </si>
  <si>
    <t>CCCD: 020087006624 ngày cấp 20/08/2021
Cục trưởng cục CSQLHC về TTXH</t>
  </si>
  <si>
    <t>25/3/1987</t>
  </si>
  <si>
    <t>082020611</t>
  </si>
  <si>
    <t>20/5/2015</t>
  </si>
  <si>
    <t>Thạch Đạn, Cao Lộc</t>
  </si>
  <si>
    <t xml:space="preserve"> Huyện Cao Lộc</t>
  </si>
  <si>
    <t>Khối Cửa Nam</t>
  </si>
  <si>
    <t>Khối Cửa Nam, Phường Chi Lăng, TP. Lạng Sơn</t>
  </si>
  <si>
    <t>PHCN</t>
  </si>
  <si>
    <t>Đại học Y Dược - ĐH Thái Nguyên</t>
  </si>
  <si>
    <t>BV0361</t>
  </si>
  <si>
    <t>Lê Chí Hướng</t>
  </si>
  <si>
    <t>CCCD: 020083000665 ngày cấp 28/03/2021
Cục trưởng cục CSQLHC về TTXH</t>
  </si>
  <si>
    <t>081037975</t>
  </si>
  <si>
    <t>21/11/2007</t>
  </si>
  <si>
    <t>Học viên Trung y Quảng Tây, Trung Quốc</t>
  </si>
  <si>
    <t>BV0679</t>
  </si>
  <si>
    <t>Nguyễn Tuấn An</t>
  </si>
  <si>
    <t>CCCD: 020090000558 ngày cấp 29/03/2021
Cục trưởng cục CSQLHC về TTXH</t>
  </si>
  <si>
    <t>02/9/1990</t>
  </si>
  <si>
    <t>082077390</t>
  </si>
  <si>
    <t>02/4/2008</t>
  </si>
  <si>
    <t>BV0686</t>
  </si>
  <si>
    <t>Nông Thị Thanh</t>
  </si>
  <si>
    <t>2016000978</t>
  </si>
  <si>
    <t>CCCD: 020190003095 ngày cấp 29/04/2021
Cục trưởng cục CSQLHC về TTXH</t>
  </si>
  <si>
    <t>082062324</t>
  </si>
  <si>
    <t>24/02/2016</t>
  </si>
  <si>
    <t>BV0056</t>
  </si>
  <si>
    <t>Hoàng Diệu Linh</t>
  </si>
  <si>
    <t>CCCD: 020178009074 ngày cấp 20/08/2021
Cục trưởng cục CSQLHC về TTXH</t>
  </si>
  <si>
    <t>082001442</t>
  </si>
  <si>
    <t>01/12/2003</t>
  </si>
  <si>
    <t>14/04/2016</t>
  </si>
  <si>
    <t>BV0171</t>
  </si>
  <si>
    <t>Chu Thị Vinh</t>
  </si>
  <si>
    <t>CCCD: 020183000877 ngày cấp 07/04/2021
Cục trưởng cục CSQLHC về TTXH</t>
  </si>
  <si>
    <t>080998444</t>
  </si>
  <si>
    <t>13/02/2004</t>
  </si>
  <si>
    <t>Xã Hải Yến</t>
  </si>
  <si>
    <t>CĐY tế Lạng Sơn</t>
  </si>
  <si>
    <t>BV0221</t>
  </si>
  <si>
    <t>Nông Quốc Công</t>
  </si>
  <si>
    <t>CMTND: 082242720 ngày cấp 29/09/2010
Công an Lạng sơn</t>
  </si>
  <si>
    <t>082242720</t>
  </si>
  <si>
    <t>29/9/2010</t>
  </si>
  <si>
    <t>Quốc Khánh</t>
  </si>
  <si>
    <t>CĐ Y tế Phú Thọ</t>
  </si>
  <si>
    <t>BV0371</t>
  </si>
  <si>
    <t>Tô Thị Nghị</t>
  </si>
  <si>
    <t>CCCD: 020181002307 ngày cấp 29/04/2021
Cục trưởng cục CSQLHC về TTXH</t>
  </si>
  <si>
    <t>080994965</t>
  </si>
  <si>
    <t>17/02/2003</t>
  </si>
  <si>
    <t>TH y tế Lạng Sơn</t>
  </si>
  <si>
    <t>BV0363</t>
  </si>
  <si>
    <t>Chu Thị Trang Nhung</t>
  </si>
  <si>
    <t>CCCD: 020183006354 ngày cấp 09/05/2021 Cục trưởng cục CSQLHC về TTXH</t>
  </si>
  <si>
    <t>080937306</t>
  </si>
  <si>
    <t>10/3/2000</t>
  </si>
  <si>
    <t>1/11/2006</t>
  </si>
  <si>
    <t>CĐ KT Y tế I</t>
  </si>
  <si>
    <t>BV0362</t>
  </si>
  <si>
    <t>Nguyễn Thị Hà</t>
  </si>
  <si>
    <t>CCCD: 020169009801 ngày cấp 09/05/2021
Cục trưởng cục CSQLHC về TTXH</t>
  </si>
  <si>
    <t>082291118</t>
  </si>
  <si>
    <t>18/7/2012</t>
  </si>
  <si>
    <t>12/4/1994</t>
  </si>
  <si>
    <t>Trung học Kỹ thuật y tế TW 1</t>
  </si>
  <si>
    <t>BV0367</t>
  </si>
  <si>
    <t>Nguyễn Hữu Tài</t>
  </si>
  <si>
    <t>CCCD: 020088000499 ngày cấp 29/03/2021
Cục trưởng cục CSQLHC về TTXH</t>
  </si>
  <si>
    <t>082079150</t>
  </si>
  <si>
    <t>12/3/2011</t>
  </si>
  <si>
    <t>Thụy Phúc</t>
  </si>
  <si>
    <t>Huyện Thái Thụy</t>
  </si>
  <si>
    <t>Khu Tân Mỹ</t>
  </si>
  <si>
    <t>Thị trấn Hữu Lũng</t>
  </si>
  <si>
    <t>ĐH Kỹ thuật y tế Hải Dương</t>
  </si>
  <si>
    <t>BV0366</t>
  </si>
  <si>
    <t>Hoàng Quốc Hưởng</t>
  </si>
  <si>
    <t>CCCD: 020082001010 ngày cấp 08/04/2021
Cục trưởng cục CSQLHC về TTXH</t>
  </si>
  <si>
    <t>080991151</t>
  </si>
  <si>
    <t>26/6/2011</t>
  </si>
  <si>
    <t>Xã Tú Xuyên</t>
  </si>
  <si>
    <t>TC Công nghệ và y tế Pasreur</t>
  </si>
  <si>
    <t>BV0370</t>
  </si>
  <si>
    <t>Hoàng Mạnh Linh</t>
  </si>
  <si>
    <t>CCCD: 020085009133 ngày cấp 09/05/2021
Cục trưởng cục CSQLHC về TTXH</t>
  </si>
  <si>
    <t>13/12/1985</t>
  </si>
  <si>
    <t>081048564</t>
  </si>
  <si>
    <t>07/5/2014</t>
  </si>
  <si>
    <t>143 Nhị Thanh</t>
  </si>
  <si>
    <t>06/01/2014</t>
  </si>
  <si>
    <t>BV0375</t>
  </si>
  <si>
    <t>Lý Thị Anh</t>
  </si>
  <si>
    <t>20177001574, ngày cấp 25/4/2021, Cục cảnh sát quản lý hành chính về trật tự xã hội</t>
  </si>
  <si>
    <t>082137628</t>
  </si>
  <si>
    <t>22/08/2007</t>
  </si>
  <si>
    <t>01/01/2003</t>
  </si>
  <si>
    <t>TMH</t>
  </si>
  <si>
    <t>BV0006</t>
  </si>
  <si>
    <t>20087009992, ngày cấp 23/2/2021, Cục cảnh sát quản lý hành chính về trật tự xã hội</t>
  </si>
  <si>
    <t>082018986</t>
  </si>
  <si>
    <t>07/10/2013</t>
  </si>
  <si>
    <t>10/8/2012</t>
  </si>
  <si>
    <t>BV0249</t>
  </si>
  <si>
    <t>Trần Hồng Nhung</t>
  </si>
  <si>
    <t>20188002922, ngày cấp 29/4/2021, Cục cảnh sát quản lý hành chính về trật tự xã hội</t>
  </si>
  <si>
    <t>082061948</t>
  </si>
  <si>
    <t>12/03/2012</t>
  </si>
  <si>
    <t xml:space="preserve">Hoàn Kiếm </t>
  </si>
  <si>
    <t>BV0376</t>
  </si>
  <si>
    <t>Hoàng Thu Hường</t>
  </si>
  <si>
    <t>20169001674, ngày cấp 20/4/2021, Cục cảnh sát quản lý hành chính về trật tự xã hội</t>
  </si>
  <si>
    <t>081057099</t>
  </si>
  <si>
    <t>29/09/2006</t>
  </si>
  <si>
    <t>BV0380</t>
  </si>
  <si>
    <t>Nông Thị Tươi</t>
  </si>
  <si>
    <t>20181000736, ngày cấp 8/4/2021, Cục cảnh sát quản lý hành chính về trật tự xã hội</t>
  </si>
  <si>
    <t>081052906</t>
  </si>
  <si>
    <t>09/06/2003</t>
  </si>
  <si>
    <t>TH Y Tế Lạng Sơn</t>
  </si>
  <si>
    <t>BV0021</t>
  </si>
  <si>
    <t>Lý Thị Lệ</t>
  </si>
  <si>
    <t>20185002475, ngày cấp 20/4/2021, Cục cảnh sát quản lý hành chính về trật tự xã hội</t>
  </si>
  <si>
    <t>082026192</t>
  </si>
  <si>
    <t>06/04/2004</t>
  </si>
  <si>
    <t>BV0386</t>
  </si>
  <si>
    <t>Ngô Thị Huyền</t>
  </si>
  <si>
    <t>20187002835 , ngày cấp 20/4/2021, Cục cảnh sát quản lý hành chính về trật tự xã hội</t>
  </si>
  <si>
    <t>082020398</t>
  </si>
  <si>
    <t>25/02/2005</t>
  </si>
  <si>
    <t>BV0194</t>
  </si>
  <si>
    <t>Hoàng Thị Nhài</t>
  </si>
  <si>
    <t>20186000814, ngày cấp 29/3/2021, Cục cảnh sát quản lý hành chính về trật tự xã hội</t>
  </si>
  <si>
    <t>082007561</t>
  </si>
  <si>
    <t>Xã Tân Lập</t>
  </si>
  <si>
    <t>69 Đèo Giang</t>
  </si>
  <si>
    <t>BV0383</t>
  </si>
  <si>
    <t>Vũ Thúy Ngân</t>
  </si>
  <si>
    <t>20169001840, ngày cấp 29/4/2021, Cục cảnh sát quản lý hành chính về trật tự xã hội</t>
  </si>
  <si>
    <t>080898457</t>
  </si>
  <si>
    <t>28/10/2004</t>
  </si>
  <si>
    <t>1/7/2005</t>
  </si>
  <si>
    <t>BV0381</t>
  </si>
  <si>
    <t>Nông Minh Hiếu</t>
  </si>
  <si>
    <t>20182002688, ngày cấp 29/4/2021, Cục cảnh sát quản lý hành chính về trật tự xã hội</t>
  </si>
  <si>
    <t>080937412</t>
  </si>
  <si>
    <t>BV0391</t>
  </si>
  <si>
    <t>Bạch Ngọc Sỹ</t>
  </si>
  <si>
    <t xml:space="preserve">CCCD: 020070005953 
cấp ngày 25/6/2021 
Tại Cục cảnh sát quản lý hành chính về trật tự xã hội  </t>
  </si>
  <si>
    <t xml:space="preserve">   </t>
  </si>
  <si>
    <t>080852085</t>
  </si>
  <si>
    <t>26/11/2012</t>
  </si>
  <si>
    <t>Huyện Tiên Sơn</t>
  </si>
  <si>
    <t>Nhãn khoa</t>
  </si>
  <si>
    <t>BV0393</t>
  </si>
  <si>
    <t>Trần Quốc Hải</t>
  </si>
  <si>
    <t>CCCD: 020066001738 
cấp ngày 29/4/2021 
Tại Cục cảnh sát quản lý hành chính về trật tự xã hội</t>
  </si>
  <si>
    <t>081064932</t>
  </si>
  <si>
    <t>09/09/2013</t>
  </si>
  <si>
    <t>2/1/1992</t>
  </si>
  <si>
    <t>Bồi dưỡng BS chính</t>
  </si>
  <si>
    <t>BV0392</t>
  </si>
  <si>
    <t>Hoàng Sơn</t>
  </si>
  <si>
    <t xml:space="preserve">CCCD: 020077008233 
cấp ngày 25/6/2021
Tại Cục cảnh sát quản lý hành chính về trật tự xã hội </t>
  </si>
  <si>
    <t>080961396</t>
  </si>
  <si>
    <t>16/10/2013</t>
  </si>
  <si>
    <t>BV0395</t>
  </si>
  <si>
    <t>Lý Ngọc Thủy</t>
  </si>
  <si>
    <t>CCCD: 020187003173 
cấp ngày 20/4/2021
Tại Cục cảnh sát quản lý hành chính về trật tự xã hội</t>
  </si>
  <si>
    <t>082010939</t>
  </si>
  <si>
    <t>30/7/2004</t>
  </si>
  <si>
    <t>BV0398</t>
  </si>
  <si>
    <t>Phạm Thị Ngần</t>
  </si>
  <si>
    <t xml:space="preserve">036190019794 cấp ngày 25/6/2021 tại CTCCSQLHCVTTXH  </t>
  </si>
  <si>
    <t>142909242</t>
  </si>
  <si>
    <t>14/04/2005</t>
  </si>
  <si>
    <t>ĐH Điều dưỡng nam Định</t>
  </si>
  <si>
    <t>BV0400</t>
  </si>
  <si>
    <t>Hoàng Minh Hiếu</t>
  </si>
  <si>
    <t>020082001431 cấp ngày 16/4/2021 tại CTCCSQLHCVTTXH</t>
  </si>
  <si>
    <t>081049805</t>
  </si>
  <si>
    <t>27/03/2002</t>
  </si>
  <si>
    <t>6/10/2006</t>
  </si>
  <si>
    <t>BV0302</t>
  </si>
  <si>
    <t>Nguyễn Thanh Thúy</t>
  </si>
  <si>
    <t>020189010948 cấp ngày 25/6/2021 tại CTCCSQLHCVTTXH</t>
  </si>
  <si>
    <t>082091825</t>
  </si>
  <si>
    <t>20/10/2006</t>
  </si>
  <si>
    <t>Khắc Niệm</t>
  </si>
  <si>
    <t>15/1 khối 4</t>
  </si>
  <si>
    <t>BV0403</t>
  </si>
  <si>
    <t>Hà Thị Thanh Lý</t>
  </si>
  <si>
    <t xml:space="preserve">020186009778 cấp ngày 25/6/2021 tại CTCCSQLHCVTTXH  </t>
  </si>
  <si>
    <t>081014016</t>
  </si>
  <si>
    <t>19/01/2012</t>
  </si>
  <si>
    <t>BV0406</t>
  </si>
  <si>
    <t>Nguyễn Khắc Trường</t>
  </si>
  <si>
    <t>20066001548
Cấp 20/4/2021. Cục trưởng cục cảnh sát quản lý HC về TTXH</t>
  </si>
  <si>
    <t>080812875</t>
  </si>
  <si>
    <t>24/09/2012</t>
  </si>
  <si>
    <t>28/4/1990</t>
  </si>
  <si>
    <t>RHM</t>
  </si>
  <si>
    <t>BV1031</t>
  </si>
  <si>
    <t>Nông Thị Bích Phương</t>
  </si>
  <si>
    <t>2015001539</t>
  </si>
  <si>
    <t>082077475
Cấp ngày 07/10/2019 tại CA tỉnh Lạng Sơn</t>
  </si>
  <si>
    <t>082077475</t>
  </si>
  <si>
    <t>Tổ 10 khối 6 phường Vĩnh Trại, TP Lạng Sơn</t>
  </si>
  <si>
    <t>Y Hà Nội</t>
  </si>
  <si>
    <t>BV0887</t>
  </si>
  <si>
    <t>Hoàng Mai Loan</t>
  </si>
  <si>
    <t>2020533989</t>
  </si>
  <si>
    <t>CCCD: 020193002205
Ngày cấp: 29/4/2021, nơi cấp: Cục cảnh sát quản lý hành chính và trật tự xã hội</t>
  </si>
  <si>
    <t>14/09/1993</t>
  </si>
  <si>
    <t>082171276</t>
  </si>
  <si>
    <t>12/06/2008</t>
  </si>
  <si>
    <t>BV0919</t>
  </si>
  <si>
    <t>Hoàng Doãn Toán</t>
  </si>
  <si>
    <t>2013000002</t>
  </si>
  <si>
    <t>020087002779
29/4/2021. Cục trưởng cục cảnh sát quản lý HC về TTXH</t>
  </si>
  <si>
    <t>20/09/1987</t>
  </si>
  <si>
    <t>081034829</t>
  </si>
  <si>
    <t>28/03/2003</t>
  </si>
  <si>
    <t>Tân Lập, Bắc Sơn, Lạng Sơn</t>
  </si>
  <si>
    <t>Tân Lập</t>
  </si>
  <si>
    <t>Pác Giáo</t>
  </si>
  <si>
    <t>05/06/2013</t>
  </si>
  <si>
    <t>BV0217</t>
  </si>
  <si>
    <t>Vi Thị Nhị</t>
  </si>
  <si>
    <t>020186002924, cấp ngày: 29/4/2021, nơi cấp: Cục trưởng cục cảnh sát quản lý HC về TTXH</t>
  </si>
  <si>
    <t>081008211</t>
  </si>
  <si>
    <t>02/04/2003</t>
  </si>
  <si>
    <t>BV0064</t>
  </si>
  <si>
    <t>Dương Thị Cương</t>
  </si>
  <si>
    <t>082007137, ngày cấp 02/07/2018, nơi cấp: CA Lạng Sơn</t>
  </si>
  <si>
    <t>082007137</t>
  </si>
  <si>
    <t>03/11/2003</t>
  </si>
  <si>
    <t>Xã Vũ Lăng</t>
  </si>
  <si>
    <t>09/05/2012</t>
  </si>
  <si>
    <t>BV0232</t>
  </si>
  <si>
    <t>Hoàng Thị Thùy Dung</t>
  </si>
  <si>
    <t>020189012646
25/6/2021. Cục trưởng cục cảnh sát quản lý HC về TTXH</t>
  </si>
  <si>
    <t>082084408</t>
  </si>
  <si>
    <t>18/09/2006</t>
  </si>
  <si>
    <t>Xã Tân Tri</t>
  </si>
  <si>
    <t>CĐ Y Thái  Nguyên</t>
  </si>
  <si>
    <t>BV0413</t>
  </si>
  <si>
    <t>Lâm Diệu Hằng</t>
  </si>
  <si>
    <t>020176002268, ngày cấp 29/4/2021. Cục trưởng cục cảnh sát quản lý HC về TTXH</t>
  </si>
  <si>
    <t>080961352</t>
  </si>
  <si>
    <t>26/04/2010</t>
  </si>
  <si>
    <t>BV0415</t>
  </si>
  <si>
    <t>Hoàng Thị Hoa</t>
  </si>
  <si>
    <t>082020490</t>
  </si>
  <si>
    <t>07/03/2005</t>
  </si>
  <si>
    <t>Xã Vân Mộng</t>
  </si>
  <si>
    <t>001017/LS-CCHN</t>
  </si>
  <si>
    <t>Theo quy định tại Quyết định số 41/2005/QĐ-BNV ngày 22/4/2005 của Bộ trưởng Bộ Nội vụ về việc ban hành tiêu chuẩn nghiệp vụ các ngạch viên chức y tế điều dưỡng</t>
  </si>
  <si>
    <t>09/05/2018</t>
  </si>
  <si>
    <t>BV0419</t>
  </si>
  <si>
    <t>Đoàn Thị Thúy Liễu</t>
  </si>
  <si>
    <t>CCCD: 020184005176, ngày cấp: 25/6/2021, nơi cấp: Cục Quản lý hành chính về trật tự xã hội</t>
  </si>
  <si>
    <t>081000736</t>
  </si>
  <si>
    <t>02/07/2012</t>
  </si>
  <si>
    <t>Xã Hùng Việt</t>
  </si>
  <si>
    <t>ĐH Y tế Hải Dương</t>
  </si>
  <si>
    <t>BV0184</t>
  </si>
  <si>
    <t>Hoàng Thị Hải Yến</t>
  </si>
  <si>
    <t>CCCD: 20190010789
Ngày cấp: 16/8/2021, nơi cấp: Cục cảnh sát quản lý hành chính và trật tự xã hội</t>
  </si>
  <si>
    <t>082091482</t>
  </si>
  <si>
    <t>01/09/2006</t>
  </si>
  <si>
    <t>BV0423</t>
  </si>
  <si>
    <t>Hoàng Văn Yêu</t>
  </si>
  <si>
    <t>CCCD: 020069006689
Ngày cấp: 25/6/2021, nơi cấp: Cục cảnh sát quản lý hành chính và trật tự xã hội</t>
  </si>
  <si>
    <t>082153220</t>
  </si>
  <si>
    <t>12/12/2007</t>
  </si>
  <si>
    <t>1/6/1997</t>
  </si>
  <si>
    <t>GMHS</t>
  </si>
  <si>
    <t>BV0425</t>
  </si>
  <si>
    <t>Nguyễn Thị Hồng Duyên</t>
  </si>
  <si>
    <t>CCCD: 020186002105
Ngày cấp: 11/4/2021, nơi cấp: Cục cảnh sát quản lý hành chính và trật tự xã hội</t>
  </si>
  <si>
    <t>080837711</t>
  </si>
  <si>
    <t>08/07/2003</t>
  </si>
  <si>
    <t>Đoan Hùng</t>
  </si>
  <si>
    <t>Huyện Thanh Miện</t>
  </si>
  <si>
    <t>BV0424</t>
  </si>
  <si>
    <t>Hoàng Thị Hiên</t>
  </si>
  <si>
    <t>CCCD: 020179001994
Ngày cấp: 16/4/2021, nơi cấp: Cục cảnh sát quản lý hành chính và trật tự xã hội</t>
  </si>
  <si>
    <t>080926613</t>
  </si>
  <si>
    <t>1/10/2006</t>
  </si>
  <si>
    <t>BV0889</t>
  </si>
  <si>
    <t>Tô Thị Kim Anh</t>
  </si>
  <si>
    <t>2020306031</t>
  </si>
  <si>
    <t>CCCD: 020194000530
Ngày cấp: 02/4/2021, nơi cấp: Cục cảnh sát quản lý hành chính và trật tự xã hội</t>
  </si>
  <si>
    <t>19/02/1994</t>
  </si>
  <si>
    <t>082233187</t>
  </si>
  <si>
    <t>27/01/2010</t>
  </si>
  <si>
    <t>BV0426</t>
  </si>
  <si>
    <t>2014002794</t>
  </si>
  <si>
    <t>CCCD: 020188007568
Ngày cấp: 25/6/2021, nơi cấp: Cục cảnh sát quản lý hành chính và trật tự xã hội</t>
  </si>
  <si>
    <t>082055610</t>
  </si>
  <si>
    <t>27/06/2005</t>
  </si>
  <si>
    <t>Quan Sơn, Chi Lăng, Lạng Sơn</t>
  </si>
  <si>
    <t>Y dược TN</t>
  </si>
  <si>
    <t>BV0220</t>
  </si>
  <si>
    <t>Nông Bích Đào</t>
  </si>
  <si>
    <t>CCCD: 020186000938
Ngày cấp:08/4/2021, nơi cấp: Cục cảnh sát quản lý hành chính và trật tự xã hội</t>
  </si>
  <si>
    <t>081001431</t>
  </si>
  <si>
    <t>BV0427</t>
  </si>
  <si>
    <t>Đinh Thị Thu Hà</t>
  </si>
  <si>
    <t>CCCD: 026169003538
Ngày cấp: 25/4/2021, nơi cấp: Cục cảnh sát quản lý hành chính và trật tự xã hội</t>
  </si>
  <si>
    <t>080802325</t>
  </si>
  <si>
    <t>11/11/2005</t>
  </si>
  <si>
    <t>Xã Phú Đa, Thanh Miện Hải  Dương</t>
  </si>
  <si>
    <t>Thanh Giang</t>
  </si>
  <si>
    <t>số 1 khối 5</t>
  </si>
  <si>
    <t>11/5/1990</t>
  </si>
  <si>
    <t>BV0738</t>
  </si>
  <si>
    <t>Nguyễn Văn Huy</t>
  </si>
  <si>
    <t>CCCD: 020091004528
Ngày cấp: 25/6/2021, nơi cấp: Cục cảnh sát quản lý hành chính và trật tự xã hội</t>
  </si>
  <si>
    <t>26/10/1991</t>
  </si>
  <si>
    <t>082113539</t>
  </si>
  <si>
    <t>20/6/2007</t>
  </si>
  <si>
    <t>Trần Phú</t>
  </si>
  <si>
    <t>TP Hải Dương</t>
  </si>
  <si>
    <t>Nặm Thoổng</t>
  </si>
  <si>
    <t>Hoàng Đồng</t>
  </si>
  <si>
    <t>BV0428</t>
  </si>
  <si>
    <t>Lành Văn Lượng</t>
  </si>
  <si>
    <t>CCCD: 020167000375
Ngày cấp: 08/4/2021, nơi cấp: Cục cảnh sát quản lý hành chính và trật tự xã hội</t>
  </si>
  <si>
    <t>080812856</t>
  </si>
  <si>
    <t>05/12/2007</t>
  </si>
  <si>
    <t>Chi Mạc, Hoàng Đồng, lạng Sơn</t>
  </si>
  <si>
    <t>Chi Mạc</t>
  </si>
  <si>
    <t>29/5/1990</t>
  </si>
  <si>
    <t>ĐH KYYT Hải dương</t>
  </si>
  <si>
    <t>BV0429</t>
  </si>
  <si>
    <t>Hoàng Thị Mơ</t>
  </si>
  <si>
    <t>CCCD: 020170006496
Ngày cấp: 28/6/2021, nơi cấp: Cục cảnh sát quản lý hành chính và trật tự xã hội</t>
  </si>
  <si>
    <t>080932063</t>
  </si>
  <si>
    <t>04/02/2010</t>
  </si>
  <si>
    <t>Xã Bình La</t>
  </si>
  <si>
    <t>1/9/1993</t>
  </si>
  <si>
    <t>BV0066</t>
  </si>
  <si>
    <t>Lương Thị Quyến</t>
  </si>
  <si>
    <t>CCCD: 020188008927
Ngày cấp: 26/8/2021, nơi cấp: Cục cảnh sát quản lý hành chính và trật tự xã hội</t>
  </si>
  <si>
    <t>082007120</t>
  </si>
  <si>
    <t>Quản lý điều dưỡng</t>
  </si>
  <si>
    <t>BV0067</t>
  </si>
  <si>
    <t>Hoàng Xuân Cường</t>
  </si>
  <si>
    <t>082030860</t>
  </si>
  <si>
    <t>07/07/2008</t>
  </si>
  <si>
    <t>BV0196</t>
  </si>
  <si>
    <t>Vi Thị Niệm</t>
  </si>
  <si>
    <t>CCCD: 020188005944
Ngày cấp: 25/6/2021, nơi cấp: Cục cảnh sát quản lý hành chính và trật tự xã hội</t>
  </si>
  <si>
    <t>082069637</t>
  </si>
  <si>
    <t>20/12/2005</t>
  </si>
  <si>
    <t>Xã Nhân Lý</t>
  </si>
  <si>
    <t>BV0438</t>
  </si>
  <si>
    <t>Lương Tuyết Nhung</t>
  </si>
  <si>
    <t>CCCD: 020180001484
Ngày cấp: 16/4/2021, nơi cấp: Cục cảnh sát quản lý hành chính và trật tự xã hội</t>
  </si>
  <si>
    <t>080968187</t>
  </si>
  <si>
    <t>21/03/2000</t>
  </si>
  <si>
    <t>BV0436</t>
  </si>
  <si>
    <t>Triệu Thị Minh</t>
  </si>
  <si>
    <t>CCCD: 020175002086
Ngày cấp: 29/4/2021, nơi cấp: Cục cảnh sát quản lý hành chính và trật tự xã hội</t>
  </si>
  <si>
    <t>080993597</t>
  </si>
  <si>
    <t>19/03/2014</t>
  </si>
  <si>
    <t>BV0437</t>
  </si>
  <si>
    <t>Hoàng Thanh Lê</t>
  </si>
  <si>
    <t>CCCD: 020171001940
Ngày cấp: 29/4/2021, nơi cấp: Cục cảnh sát quản lý hành chính và trật tự xã hội</t>
  </si>
  <si>
    <t>080812475</t>
  </si>
  <si>
    <t>28/11/2005</t>
  </si>
  <si>
    <t>BV0439</t>
  </si>
  <si>
    <t>Trần Thị Nguyệt</t>
  </si>
  <si>
    <t>CCCD: 020178002577
Ngày cấp: 24/4/2021,nơi cấp: Cục cảnh sát quản lý hành chính và trật tự xã hội</t>
  </si>
  <si>
    <t>081000130</t>
  </si>
  <si>
    <t>24/08/2000</t>
  </si>
  <si>
    <t>Kéo quang, Chi Lăng, Tràng Định, Lạng SƠn</t>
  </si>
  <si>
    <t>Nhân Phúc</t>
  </si>
  <si>
    <t>Huyện Lý Nhân</t>
  </si>
  <si>
    <t>Tỉnh Hà Nam</t>
  </si>
  <si>
    <t>Kéo Quang</t>
  </si>
  <si>
    <t>BV0440</t>
  </si>
  <si>
    <t>Hoàng Thị Điệp</t>
  </si>
  <si>
    <t>CCCD: 020186007852
Ngày cấp: 29/4/2021, nơi cấp: Cục cảnh sát quản lý hành chính và trật tự xã hội</t>
  </si>
  <si>
    <t>081066866</t>
  </si>
  <si>
    <t>08/02/2012</t>
  </si>
  <si>
    <t>BV0441</t>
  </si>
  <si>
    <t>Vy Thị Thảo</t>
  </si>
  <si>
    <t>CCCD: 020186002100
Ngày cấp: 16/4/2021, nơi cấp: Cục cảnh sát quản lý hành chính và trật tự xã hội</t>
  </si>
  <si>
    <t>081045034</t>
  </si>
  <si>
    <t>23/06/2005</t>
  </si>
  <si>
    <t>Thôn Quán Hồ</t>
  </si>
  <si>
    <t>BV0442</t>
  </si>
  <si>
    <t>Nông Thị Bích Ngọc</t>
  </si>
  <si>
    <t>CCCD: 020186011850
Ngày cấp: 28/6/2021, nơi cấp: Cục cảnh sát quản lý hành chính và trật tự xã hội</t>
  </si>
  <si>
    <t>082035678</t>
  </si>
  <si>
    <t>09/11/2004</t>
  </si>
  <si>
    <t>Thôn Phai Ruốc</t>
  </si>
  <si>
    <t>07/09/2015</t>
  </si>
  <si>
    <t>BV0443</t>
  </si>
  <si>
    <t>Vy Huyền Trang</t>
  </si>
  <si>
    <t>CCCD: 020187002812
Ngày cấp: 20/4/2021, nơi cấp: Cục cảnh sát quản lý hành chính và trật tự xã hội</t>
  </si>
  <si>
    <t>081045538</t>
  </si>
  <si>
    <t>15/08/2003</t>
  </si>
  <si>
    <t>Số 45 đường Mĩ Sơn</t>
  </si>
  <si>
    <t>BV0444</t>
  </si>
  <si>
    <t>Vi Thị Hoài Vân</t>
  </si>
  <si>
    <t>CCCD: 020187011075
Ngày cấp: 25/6/2021, nơi cấp: Cục cảnh sát quản lý hành chính và trật tự xã hội</t>
  </si>
  <si>
    <t>082042371</t>
  </si>
  <si>
    <t>04/06/2009</t>
  </si>
  <si>
    <t>BV0445</t>
  </si>
  <si>
    <t>Nông Thị Len</t>
  </si>
  <si>
    <t>CCCD: 020419004184
Ngày cấp: 20/4/2021, nơi cấp: Cục cảnh sát quản lý hành chính và trật tự xã hội</t>
  </si>
  <si>
    <t>121957890</t>
  </si>
  <si>
    <t>14/08/2007</t>
  </si>
  <si>
    <t>Xã Cấm Sơn</t>
  </si>
  <si>
    <t>BV0434</t>
  </si>
  <si>
    <t>Lăng Thị Thương</t>
  </si>
  <si>
    <t>CCCD: 020184002851
Ngày cấp: 29/4/2021, nơi cấp: Cục cảnh sát quản lý hành chính và trật tự xã hội</t>
  </si>
  <si>
    <t>081017882</t>
  </si>
  <si>
    <t>Chu Túc, Văn Quan</t>
  </si>
  <si>
    <t>Nà Trù</t>
  </si>
  <si>
    <t>BV0430</t>
  </si>
  <si>
    <t>Ma Thị Hòe</t>
  </si>
  <si>
    <t>CCCD: 020174001873
Ngày cấp:20/4/2021, nơi cấp: Cục cảnh sát quản lý hành chính và trật tự xã hội</t>
  </si>
  <si>
    <t>080939291</t>
  </si>
  <si>
    <t>2003</t>
  </si>
  <si>
    <t>BV0432</t>
  </si>
  <si>
    <t>Lương Lệ Mỹ</t>
  </si>
  <si>
    <t>CCCD: 020179000458
Ngày cấp: 36/3/2021, nơi cấp: Cục cảnh sát quản lý hành chính và trật tự xã hội</t>
  </si>
  <si>
    <t>080952407</t>
  </si>
  <si>
    <t>11/12/2003</t>
  </si>
  <si>
    <t>Xã Bình Phúc</t>
  </si>
  <si>
    <t>BV0433</t>
  </si>
  <si>
    <t>Nông Ngọc Tân</t>
  </si>
  <si>
    <t>CCCD: 020083004670
Ngày cấp: 24/6/2021, nơi cấp: Cục cảnh sát quản lý hành chính và trật tự xã hội</t>
  </si>
  <si>
    <t>081036864</t>
  </si>
  <si>
    <t>26/08/2013</t>
  </si>
  <si>
    <t>BV0762</t>
  </si>
  <si>
    <t>Hoàng Thị Thuận</t>
  </si>
  <si>
    <t>2016000723</t>
  </si>
  <si>
    <t xml:space="preserve">CMT: 082235744
Ngày cấp: 09/11/2016, nơi cấp: Công an tỉnh Lạng Sơn </t>
  </si>
  <si>
    <t>23/10/1994</t>
  </si>
  <si>
    <t>082235744</t>
  </si>
  <si>
    <t>01/10/2016</t>
  </si>
  <si>
    <t>Na Dương</t>
  </si>
  <si>
    <t>01/2016</t>
  </si>
  <si>
    <t>`</t>
  </si>
  <si>
    <t>BV0450</t>
  </si>
  <si>
    <t>Vi Thị Dung</t>
  </si>
  <si>
    <t>CCCD: 020181002057
Ngày cấp: 20/4/2021
Tại Cục cảnh sát quản lý hành chính về trật tự xã hội</t>
  </si>
  <si>
    <t>080986976</t>
  </si>
  <si>
    <t>14/03/2000</t>
  </si>
  <si>
    <t>Xã Quaảng Lạc</t>
  </si>
  <si>
    <t>1/3/2005</t>
  </si>
  <si>
    <t>BV0459</t>
  </si>
  <si>
    <t>Lý Thanh Tâm</t>
  </si>
  <si>
    <t>7909422376</t>
  </si>
  <si>
    <t>CCCD: 020185009764
Ngày 25/6/2021, nơi cấp: Cục cảnh sát quản lý hành chính và trật tự xã hội</t>
  </si>
  <si>
    <t>081028853</t>
  </si>
  <si>
    <t>13/06/2001</t>
  </si>
  <si>
    <t>V.08.08.22</t>
  </si>
  <si>
    <t>Dược lâm sàng</t>
  </si>
  <si>
    <t>BV0765</t>
  </si>
  <si>
    <t>Bùi Thị Sao Mi</t>
  </si>
  <si>
    <t>0420450158</t>
  </si>
  <si>
    <t>CMT: 085017320
Ngày cấp: 15/10/2009, nơi cấp: Công an tỉnh Cao Bằng</t>
  </si>
  <si>
    <t>085017320</t>
  </si>
  <si>
    <t>15/10/2009</t>
  </si>
  <si>
    <t>CA Cao Bằng</t>
  </si>
  <si>
    <t>Hoàng Trung, Hòa An, Cao Bằng</t>
  </si>
  <si>
    <t>Hoàng Trung</t>
  </si>
  <si>
    <t>Hòa An</t>
  </si>
  <si>
    <t>Cao Bằng</t>
  </si>
  <si>
    <t>Đường Mỹ Sơn</t>
  </si>
  <si>
    <t>BV0462</t>
  </si>
  <si>
    <t>Linh Lan Hương</t>
  </si>
  <si>
    <t>CCCD: 020185003340
Ngày cấp: 01/05/2022, nơi cấp: Cục cảnh sát quản lý hành chính và trật tự xã hội</t>
  </si>
  <si>
    <t>081003860</t>
  </si>
  <si>
    <t>17/10/2002</t>
  </si>
  <si>
    <t>BV0465</t>
  </si>
  <si>
    <t>Hứa Thị Thu Hà</t>
  </si>
  <si>
    <t>CCCD: 020187002312
Ngày cấp: 24/4/2021,nơi cấp: Cục cảnh sát quản lý hành chính và trật tự xã hội</t>
  </si>
  <si>
    <t>082019666</t>
  </si>
  <si>
    <t>06/10/2004</t>
  </si>
  <si>
    <t>1/5/2008</t>
  </si>
  <si>
    <t>V.08.08.23</t>
  </si>
  <si>
    <t>BV0466</t>
  </si>
  <si>
    <t>Nguyễn Thị Thùy Dương</t>
  </si>
  <si>
    <t xml:space="preserve">CMT: '080889139
Ngày cấp: 8/5/2018, nơi cấp: Công an tỉnh Lạng Sơn </t>
  </si>
  <si>
    <t>080889139</t>
  </si>
  <si>
    <t>BV0468</t>
  </si>
  <si>
    <t>Hà Thị Thu Hương</t>
  </si>
  <si>
    <t>CMT: 080969376
ngày cấp 19/10/2011, nơi cấp: Công an tỉnh Lạng Sơn</t>
  </si>
  <si>
    <t>080969376</t>
  </si>
  <si>
    <t>19/11/2010</t>
  </si>
  <si>
    <t>17/11/2003</t>
  </si>
  <si>
    <t>BV0471</t>
  </si>
  <si>
    <t>Thạch Quỳnh Hoa</t>
  </si>
  <si>
    <t>CCCD: 020188002616
Ngày cấp: 25/4/2021, nơi cấp: Cục cảnh sát quản lý hành chính và trật tự xã hội</t>
  </si>
  <si>
    <t>082061944</t>
  </si>
  <si>
    <t>20/04/2006</t>
  </si>
  <si>
    <t>Ninh Hiệp</t>
  </si>
  <si>
    <t>Huyện Gia Lâm</t>
  </si>
  <si>
    <t>Thành phố Hà Nội</t>
  </si>
  <si>
    <t>BV0476</t>
  </si>
  <si>
    <t>Đào Thị Quang</t>
  </si>
  <si>
    <t>CMT: 082029493
Ngày cấp: 22/0/2009, nơi cấp: Công an tỉnh Lạng Sơn</t>
  </si>
  <si>
    <t>082029493</t>
  </si>
  <si>
    <t>22/09/2009</t>
  </si>
  <si>
    <t>Xã An Thanh</t>
  </si>
  <si>
    <t>BV0469</t>
  </si>
  <si>
    <t>Vũ Minh Phượng</t>
  </si>
  <si>
    <t>CCCD: 020186008034
Ngày cấp: 6/12/2021, nơi cấp: Cục cảnh sát quản lý hành chính và trật tự xã hội</t>
  </si>
  <si>
    <t>082010776</t>
  </si>
  <si>
    <t>05/03/2008</t>
  </si>
  <si>
    <t>Huyện Vụ Bản</t>
  </si>
  <si>
    <t>2/5/2008</t>
  </si>
  <si>
    <t>BV0474</t>
  </si>
  <si>
    <t>Nghiêm Lan Hương</t>
  </si>
  <si>
    <t>CCCD: 020189002644
Ngày cấp: 20/04/2021,nơi cấp: Cục cảnh sát quản lý hành chính và trật tự xã hội</t>
  </si>
  <si>
    <t>082105647</t>
  </si>
  <si>
    <t>28/05/2010</t>
  </si>
  <si>
    <t>Hàm Sơn</t>
  </si>
  <si>
    <t>Huyện Yên Phong</t>
  </si>
  <si>
    <t>145 Trần Đăng Ninh</t>
  </si>
  <si>
    <t>BV0475</t>
  </si>
  <si>
    <t>Lương Bích Thùy</t>
  </si>
  <si>
    <t>CMT: 082061912
Ngày cấp: 19/3/2010, nơi cấp: Công an tỉnh Lạng Sơn</t>
  </si>
  <si>
    <t>082061912</t>
  </si>
  <si>
    <t>19/03/2010</t>
  </si>
  <si>
    <t>BV0479</t>
  </si>
  <si>
    <t>Đỗ Diệu Thúy</t>
  </si>
  <si>
    <t>CCCD: 020188001358
Ngày cấp: 31/03/2021, nơi cấp: Cục cảnh sát quản lý hành chính và trật tự xã hội</t>
  </si>
  <si>
    <t>082078032</t>
  </si>
  <si>
    <t>20/02/2006</t>
  </si>
  <si>
    <t>Huyện Ứng Hòa</t>
  </si>
  <si>
    <t>BV0825</t>
  </si>
  <si>
    <t>Chu Hoàng Dưỡng</t>
  </si>
  <si>
    <t>2010000087</t>
  </si>
  <si>
    <t>CCCD: 020086002707
Ngày cấp: 29/4/2021, nơi cấp: Cục cảnh sát quản lý hành chính và trật tự xã hội</t>
  </si>
  <si>
    <t>19/12/1986</t>
  </si>
  <si>
    <t>081005867</t>
  </si>
  <si>
    <t>05/12/2006</t>
  </si>
  <si>
    <t>Hồng Phong, Cao Lộc</t>
  </si>
  <si>
    <t>Pá Phiêng</t>
  </si>
  <si>
    <t>08/01/2010</t>
  </si>
  <si>
    <t>Dược (hạng IV)</t>
  </si>
  <si>
    <t>BV1118</t>
  </si>
  <si>
    <t>Hoàng Thị Hiền</t>
  </si>
  <si>
    <t>2011001985</t>
  </si>
  <si>
    <t>CCCD: 020189001756
Ngày cấp: 16/4/2021,nơi cấp: Cục cảnh sát quản lý hành chính và trật tự xã hội</t>
  </si>
  <si>
    <t>082086830</t>
  </si>
  <si>
    <t>Yên Trạch</t>
  </si>
  <si>
    <t>11/4/2011</t>
  </si>
  <si>
    <t>Dược (hạng (IV)</t>
  </si>
  <si>
    <t>BV0485</t>
  </si>
  <si>
    <t>Nông Thị Nòm</t>
  </si>
  <si>
    <t>020188011260 cấp ngày 09/01/2022, nơi cấp: Cục cảnh sát quản lý hành chính và trật tự xã hội</t>
  </si>
  <si>
    <t>082042835</t>
  </si>
  <si>
    <t>19/04/2005</t>
  </si>
  <si>
    <t>Huyết học - TM</t>
  </si>
  <si>
    <t>BV0484</t>
  </si>
  <si>
    <t>Lâm Thị Kiểm</t>
  </si>
  <si>
    <t>020174001803 cấp ngày 20/04/2021, nơi cấp: Cục cảnh sát quản lý hành chính và trật tự xã hội</t>
  </si>
  <si>
    <t>080829343</t>
  </si>
  <si>
    <t>05/06/2003</t>
  </si>
  <si>
    <t>1/1/1995</t>
  </si>
  <si>
    <t>BV0486</t>
  </si>
  <si>
    <t>Hoàng Thị Bích Liên</t>
  </si>
  <si>
    <t>020182003084  cấp ngày 23/04/2021 , nơi cấp: Cục cảnh sát quản lý hành chính và trật tự xã hội</t>
  </si>
  <si>
    <t>080999296</t>
  </si>
  <si>
    <t>23/06/2000</t>
  </si>
  <si>
    <t>BV0487</t>
  </si>
  <si>
    <t>020186011507 cấp ngày 25/06/2021, nơi cấp: Cục cảnh sát quản lý hành chính và trật tự xã hội</t>
  </si>
  <si>
    <t>081008362</t>
  </si>
  <si>
    <t>04/07/2014</t>
  </si>
  <si>
    <t>Đường Nguyễn Du</t>
  </si>
  <si>
    <t>BV0492</t>
  </si>
  <si>
    <t>Bế Thị Thu Trang</t>
  </si>
  <si>
    <t>020188010653 cấp ngày 25/08/2021, nơi cấp: Cục cảnh sát quản lý hành chính và trật tự xã hội</t>
  </si>
  <si>
    <t>082019028</t>
  </si>
  <si>
    <t>06/07/2014</t>
  </si>
  <si>
    <t>Xã Sàn Viên</t>
  </si>
  <si>
    <t>146 - Lê Hồng Phong</t>
  </si>
  <si>
    <t>BV0493</t>
  </si>
  <si>
    <t>Trần Thị Thanh Tuyền</t>
  </si>
  <si>
    <t>020188007278 cấp ngày 05/07/2021, nơi cấp: Cục cảnh sát quản lý hành chính và trật tự xã hội</t>
  </si>
  <si>
    <t>082037212</t>
  </si>
  <si>
    <t>04/11/2004</t>
  </si>
  <si>
    <t>Xã Hữu Liên</t>
  </si>
  <si>
    <t>Xẫ Hữu Liên</t>
  </si>
  <si>
    <t>BV0806</t>
  </si>
  <si>
    <t>Nông Thị Dung</t>
  </si>
  <si>
    <t>020193001575 cấp ngày 25/04/2021, nơi cấp: Cục cảnh sát quản lý hành chính và trật tự xã hội</t>
  </si>
  <si>
    <t>07/08/1993</t>
  </si>
  <si>
    <t>082225784</t>
  </si>
  <si>
    <t>06/09/2010</t>
  </si>
  <si>
    <t>Đình Lập</t>
  </si>
  <si>
    <t>Bản Hang</t>
  </si>
  <si>
    <t>10/1/2016</t>
  </si>
  <si>
    <t>BV0488</t>
  </si>
  <si>
    <t>Doãn Hồng Oanh</t>
  </si>
  <si>
    <t>038181038230 cấp ngày 26/01/2022, nơi cấp: Cục cảnh sát quản lý hành chính và trật tự xã hội</t>
  </si>
  <si>
    <t>080982340</t>
  </si>
  <si>
    <t>29/01/2014</t>
  </si>
  <si>
    <t>Huyện Đông Sơn</t>
  </si>
  <si>
    <t>BV0491</t>
  </si>
  <si>
    <t>Triệu Thị Đào</t>
  </si>
  <si>
    <t>020083010672 cấp ngày 20/08/2021, nơi cấp: Cục cảnh sát quản lý hành chính và trật tự xã hội</t>
  </si>
  <si>
    <t>080136721</t>
  </si>
  <si>
    <t>11/01/2002</t>
  </si>
  <si>
    <t>Xã Thiện Hoà</t>
  </si>
  <si>
    <t>BV0494</t>
  </si>
  <si>
    <t>Hoàng Huy Thưởng</t>
  </si>
  <si>
    <t>020086010366 cấp ngày 09/05/2021, nơi cấp: Cục cảnh sát quản lý hành chính và trật tự xã hội</t>
  </si>
  <si>
    <t>081033991</t>
  </si>
  <si>
    <t>13/07/2010</t>
  </si>
  <si>
    <t>Nà Pua</t>
  </si>
  <si>
    <t>BV0828</t>
  </si>
  <si>
    <t>Triệu Thị Lên</t>
  </si>
  <si>
    <t>2012000240</t>
  </si>
  <si>
    <t>006187003732 cấp ngày 25/06/2021, nơi cấp: Cục cảnh sát quản lý hành chính và trật tự xã hội</t>
  </si>
  <si>
    <t>03/01/1987</t>
  </si>
  <si>
    <t>082323059</t>
  </si>
  <si>
    <t>Bằng Phúc, Chợ Đồn</t>
  </si>
  <si>
    <t>Bằng Phúc</t>
  </si>
  <si>
    <t>Chợ Đồn</t>
  </si>
  <si>
    <t>4A/8, khối 7, đường Phai Vệ</t>
  </si>
  <si>
    <t>Trung tâm phòng chống Sốt rét - KST- CT</t>
  </si>
  <si>
    <t>1317/QĐ-SYT</t>
  </si>
  <si>
    <t>Kỹ thuật y (hạng IV)</t>
  </si>
  <si>
    <t>BV0496</t>
  </si>
  <si>
    <t>Vũ Thị Vy</t>
  </si>
  <si>
    <t>CCCD: 019178002341
Ngày cấp: 29/4/2021</t>
  </si>
  <si>
    <t>082178153</t>
  </si>
  <si>
    <t>28/07/2008</t>
  </si>
  <si>
    <t>Huyện Mỹ Văn</t>
  </si>
  <si>
    <t>17/2/2003</t>
  </si>
  <si>
    <t>Vi sinh y học</t>
  </si>
  <si>
    <t>BV0701</t>
  </si>
  <si>
    <t>CCCD: 020188009059
Ngày cấp: 27/6/2021,nơi cấp: Cục cảnh sát quản lý hành chính và trật tự xã hội</t>
  </si>
  <si>
    <t>24/6/1988</t>
  </si>
  <si>
    <t>082062591</t>
  </si>
  <si>
    <t>19/12/2005</t>
  </si>
  <si>
    <t>TT Thất Khê</t>
  </si>
  <si>
    <t>Hóa sinh y học</t>
  </si>
  <si>
    <t>BV0503</t>
  </si>
  <si>
    <t>Vũ Bích Thủy</t>
  </si>
  <si>
    <t>CCCD: 020184002853
Ngày cấp: 29/4/2021, nơi cấp: Cục cảnh sát quản lý hành chính và trật tự xã hội</t>
  </si>
  <si>
    <t>081039252</t>
  </si>
  <si>
    <t>13/12/2005</t>
  </si>
  <si>
    <t xml:space="preserve">Huyện Duyên Hà </t>
  </si>
  <si>
    <t>BV0498</t>
  </si>
  <si>
    <t>Nông Thị Hằng</t>
  </si>
  <si>
    <t>CCCD: 020172001990
Ngày cấp: 29/4/2021, nơi cấp: Cục cảnh sát quản lý hành chính và trật tự xã hội</t>
  </si>
  <si>
    <t>081002580</t>
  </si>
  <si>
    <t>03/03/2003</t>
  </si>
  <si>
    <t>Khu 4</t>
  </si>
  <si>
    <t>1/6/1996</t>
  </si>
  <si>
    <t>BV0501</t>
  </si>
  <si>
    <t>Đặng Thị Thảo</t>
  </si>
  <si>
    <t>CCCD: 020192000910
Ngày cấp: 31/3/2021, nơi cấp: Cục cảnh sát quản lý hành chính và trật tự xã hội</t>
  </si>
  <si>
    <t>082160450</t>
  </si>
  <si>
    <t>BV0502</t>
  </si>
  <si>
    <t>Đỗ Thanh Thủy</t>
  </si>
  <si>
    <t>CCCD: 024187021077
Ngày cấp: 01/9/2021, nơi cấp: Cục cảnh sát quản lý hành chính và trật tự xã hội</t>
  </si>
  <si>
    <t>121683695</t>
  </si>
  <si>
    <t>19/06/2010</t>
  </si>
  <si>
    <t>BV0505</t>
  </si>
  <si>
    <t>Thi Thị Thuận</t>
  </si>
  <si>
    <t>CCCD: 020169001841
Ngày cấp: 29/4/2021, nơi cấp: Cục cảnh sát quản lý hành chính và trật tự xã hội</t>
  </si>
  <si>
    <t>080812894</t>
  </si>
  <si>
    <t>25/05/2012</t>
  </si>
  <si>
    <t>7/5/1990</t>
  </si>
  <si>
    <t>BV0507</t>
  </si>
  <si>
    <t>Hoàng Thị Hường</t>
  </si>
  <si>
    <t>2010000168</t>
  </si>
  <si>
    <t>CCCD: 020184007464
Ngày cấp: 25/6/2021,nơi cấp: Cục cảnh sát quản lý hành chính và trật tự xã hội</t>
  </si>
  <si>
    <t>081048121</t>
  </si>
  <si>
    <t>02/03/2001</t>
  </si>
  <si>
    <t>Minh Đán</t>
  </si>
  <si>
    <t>BV0509</t>
  </si>
  <si>
    <t>Hoàng Thị Mai Thành</t>
  </si>
  <si>
    <t>CCCD: 020184000826
Ngày cấp: 04/7/2021, nơi cấp: Cục cảnh sát quản lý hành chính và trật tự xã hội</t>
  </si>
  <si>
    <t>081037312</t>
  </si>
  <si>
    <t>01/08/2001</t>
  </si>
  <si>
    <t>BV0827</t>
  </si>
  <si>
    <t>Hoàng Văn Lượng</t>
  </si>
  <si>
    <t>2014002635</t>
  </si>
  <si>
    <t>CCCD: 020092007266
Ngày cấp: 18/11/2021, nơi cấp: Cục cảnh sát quản lý hành chính và trật tự xã hội</t>
  </si>
  <si>
    <t>28/5/1992</t>
  </si>
  <si>
    <t>082180790</t>
  </si>
  <si>
    <t>07/05/2012</t>
  </si>
  <si>
    <t>huyện Bình Gia</t>
  </si>
  <si>
    <t>Tân Văn</t>
  </si>
  <si>
    <t>Ngọc Trí</t>
  </si>
  <si>
    <t>Tô Hiệu</t>
  </si>
  <si>
    <t>Trung tâm phòng chống HIV/AIDS</t>
  </si>
  <si>
    <t>2744/QĐ-SYT</t>
  </si>
  <si>
    <t>16/10/2014</t>
  </si>
  <si>
    <t>BV0538</t>
  </si>
  <si>
    <t>Nguyễn Thu Trang</t>
  </si>
  <si>
    <t>020187000669, ngày cấp 25/3/2021, cục cảnh sát QLHCVTTXH</t>
  </si>
  <si>
    <t>082001689</t>
  </si>
  <si>
    <t>30/12/2003</t>
  </si>
  <si>
    <t>BV0537</t>
  </si>
  <si>
    <t>Đoàn Văn Sang</t>
  </si>
  <si>
    <t>036079030081, ngày cấp 25/06/2021 , cục cảnh sát QLHCVTTXH</t>
  </si>
  <si>
    <t>082298530</t>
  </si>
  <si>
    <t>15/04/2013</t>
  </si>
  <si>
    <t>BV0836</t>
  </si>
  <si>
    <t>Nguyễn Ngọc Linh</t>
  </si>
  <si>
    <t>020089009421, ngày cấp 13/1/2022, cục cảnh sát QLHCVTTXH</t>
  </si>
  <si>
    <t>04/11/1989</t>
  </si>
  <si>
    <t>082078630</t>
  </si>
  <si>
    <t>01/03/2017</t>
  </si>
  <si>
    <t>Chính Lý</t>
  </si>
  <si>
    <t>Lý Nhân</t>
  </si>
  <si>
    <t>Hà Nam</t>
  </si>
  <si>
    <t>Thôn Trung Cấp</t>
  </si>
  <si>
    <t>Thôn Trung Cấp, xã Mai Pha, TP. Lạng Sơn</t>
  </si>
  <si>
    <t>BV0540</t>
  </si>
  <si>
    <t>020173006195, ngày cấp 25/06/2021, cục cảnh sát QLHCVTTXH</t>
  </si>
  <si>
    <t>081045563</t>
  </si>
  <si>
    <t>20/08/2003</t>
  </si>
  <si>
    <t>19/10/1994</t>
  </si>
  <si>
    <t>13/02/2015</t>
  </si>
  <si>
    <t>BV0024</t>
  </si>
  <si>
    <t>Mã Thị Thủy</t>
  </si>
  <si>
    <t>020188006197, ngày cấp 09/5/2021, cục cảnh sát QLHCVTTXH</t>
  </si>
  <si>
    <t>082079160</t>
  </si>
  <si>
    <t>16/03/2006</t>
  </si>
  <si>
    <t>Xã Còn Quan</t>
  </si>
  <si>
    <t>BV0541</t>
  </si>
  <si>
    <t>Nông Thị Kim Hoa</t>
  </si>
  <si>
    <t>081040004, ngày cấp 05/12/2016, nơi cấp: CA Lạng Sơn</t>
  </si>
  <si>
    <t>081040004</t>
  </si>
  <si>
    <t>06/07/2000</t>
  </si>
  <si>
    <t>BV0542</t>
  </si>
  <si>
    <t>Hoàng Thanh Hương</t>
  </si>
  <si>
    <t xml:space="preserve">201074004487, ngày cấp 24/06/2021, cục cảnh sát QLHCVTTXH </t>
  </si>
  <si>
    <t>081045624</t>
  </si>
  <si>
    <t>25/08/2003</t>
  </si>
  <si>
    <t>29/8/2017</t>
  </si>
  <si>
    <t>BV0543</t>
  </si>
  <si>
    <t>Lăng Kim Liên</t>
  </si>
  <si>
    <t>020172000383, ngày cấp 28/03/2021, cục cảnh sát QLHCVTTXH</t>
  </si>
  <si>
    <t>080992552</t>
  </si>
  <si>
    <t>09/09/1998</t>
  </si>
  <si>
    <t>11/10/1995</t>
  </si>
  <si>
    <t>BV0545</t>
  </si>
  <si>
    <t>Lã Bích Hiệp</t>
  </si>
  <si>
    <t>020183001555, ngày cấp 25/04/2021, cục cảnh sát QLHCVTTXH</t>
  </si>
  <si>
    <t>080957446</t>
  </si>
  <si>
    <t>14/04/2000</t>
  </si>
  <si>
    <t>BV0548</t>
  </si>
  <si>
    <t>Triệu Văn Tuân</t>
  </si>
  <si>
    <t>020081000254, ngày cấp 25/03/2021, cục cảnh sát QLHCVTTXH</t>
  </si>
  <si>
    <t>080991544</t>
  </si>
  <si>
    <t>28/03/2013</t>
  </si>
  <si>
    <t>CĐ Y Lạng Sơn</t>
  </si>
  <si>
    <t>BV0011</t>
  </si>
  <si>
    <t>Vi Văn Hải</t>
  </si>
  <si>
    <t>025081000976
ngày cấp 25/03/2021, nơi cấp: Cục cảnh sát quản lý hành chính và trật tự xã hội</t>
  </si>
  <si>
    <t>082105792</t>
  </si>
  <si>
    <t>28/03/2007</t>
  </si>
  <si>
    <t>Tỉnh Vĩnh Phú</t>
  </si>
  <si>
    <t>BV0514</t>
  </si>
  <si>
    <t>Lý Kiên Trung</t>
  </si>
  <si>
    <t>CMT: 080968807, 
Ngày cấp 24/08/2015, 
CA Lạng Sơn</t>
  </si>
  <si>
    <t>080968807</t>
  </si>
  <si>
    <t>23/02/2001</t>
  </si>
  <si>
    <t>Chẩn đoán hình ảnh</t>
  </si>
  <si>
    <t>ĐH Y hà Nội</t>
  </si>
  <si>
    <t>BV0497</t>
  </si>
  <si>
    <t>Hoàng Thế Xuân</t>
  </si>
  <si>
    <t>CMT: 082015389,
Ngày cấp 19/07/2019, 
CA Lạng Sơn</t>
  </si>
  <si>
    <t>082015389</t>
  </si>
  <si>
    <t>14/07/2004</t>
  </si>
  <si>
    <t>ĐH Y dược Thái Nguyên</t>
  </si>
  <si>
    <t>BV0517</t>
  </si>
  <si>
    <t>Nguyễn Thị Bách</t>
  </si>
  <si>
    <t>CMT: 082151969, 
Ngày cấp 12/03/2012, 
CA Lạng Sơn</t>
  </si>
  <si>
    <t>082151969</t>
  </si>
  <si>
    <t>BV0678</t>
  </si>
  <si>
    <t>Hoàng Trọng Hiếu</t>
  </si>
  <si>
    <t>CMT: 082098470,
Ngày cấp 07/02/2014, 
CA Lạng Sơn</t>
  </si>
  <si>
    <t>14/3/1990</t>
  </si>
  <si>
    <t>082098470</t>
  </si>
  <si>
    <t>BV0755</t>
  </si>
  <si>
    <t>Lương Khánh Tú</t>
  </si>
  <si>
    <t>2020024126</t>
  </si>
  <si>
    <t>CMT: 082077424, 
Ngày cấp 12/04/2006 
CA Lạng Sơn</t>
  </si>
  <si>
    <t>17/6/1990</t>
  </si>
  <si>
    <t>082077424</t>
  </si>
  <si>
    <t>12/4/2006</t>
  </si>
  <si>
    <t>Xã Liêm Chính</t>
  </si>
  <si>
    <t>Huyện Phủ Lý</t>
  </si>
  <si>
    <t xml:space="preserve"> Hà Nam</t>
  </si>
  <si>
    <t>Số 39 ngõ 9 khối 6, phường Hoàng Văn Thụ, TP. Lạng Sơn</t>
  </si>
  <si>
    <t>01/01/2017</t>
  </si>
  <si>
    <t>BV0826</t>
  </si>
  <si>
    <t>Triệu Văn Tú</t>
  </si>
  <si>
    <t>2014002636</t>
  </si>
  <si>
    <t>020089004618 cấp ngày 13/8/2021, nơi cấp: Cục cảnh sát quản lý hành chính và trật tự xã hội</t>
  </si>
  <si>
    <t>30/01/1989</t>
  </si>
  <si>
    <t>081052647</t>
  </si>
  <si>
    <t>13/04/2013</t>
  </si>
  <si>
    <t>Cao Lâu, Cao Lộc</t>
  </si>
  <si>
    <t>Cao lâu</t>
  </si>
  <si>
    <t>Thôn Phai Trần</t>
  </si>
  <si>
    <t>2807/QĐ-SYT</t>
  </si>
  <si>
    <t>17/10/2014</t>
  </si>
  <si>
    <t>13/10/2016</t>
  </si>
  <si>
    <t>BV0449</t>
  </si>
  <si>
    <t>Nguyễn Văn Quỳnh</t>
  </si>
  <si>
    <t>CMT: 080664885, 
Ngày cấp 05/02/2013, 
CA Lạng Sơn</t>
  </si>
  <si>
    <t>080664885</t>
  </si>
  <si>
    <t>05/02/2013</t>
  </si>
  <si>
    <t>17/3/1987</t>
  </si>
  <si>
    <t>BV0527</t>
  </si>
  <si>
    <t>Ngô Thị Thúy</t>
  </si>
  <si>
    <t>CMT: 080990073,
Ngày cấp 06/05/2015, 
CA Lạng Sơn</t>
  </si>
  <si>
    <t>080990073</t>
  </si>
  <si>
    <t>21/03/1999</t>
  </si>
  <si>
    <t>BV0530</t>
  </si>
  <si>
    <t>Hoàng Trung Diện</t>
  </si>
  <si>
    <t>CMT: 082035528,
Ngày cấp 12/10/2019, 
CA Lạng Sơn</t>
  </si>
  <si>
    <t>082035528</t>
  </si>
  <si>
    <t>26/10/2004</t>
  </si>
  <si>
    <t>CĐ Y tế Lạng sơn</t>
  </si>
  <si>
    <t>BV0105</t>
  </si>
  <si>
    <t>Hứa Quang Phong</t>
  </si>
  <si>
    <t>CMT: 081038526, 
Ngày cấp25/05/2018, 
CA Lạng Sơn</t>
  </si>
  <si>
    <t>081038526</t>
  </si>
  <si>
    <t>26/03/2003</t>
  </si>
  <si>
    <t>01/12/2010</t>
  </si>
  <si>
    <t>BV0824</t>
  </si>
  <si>
    <t>Lô Hoàng Cương</t>
  </si>
  <si>
    <t>2010000088</t>
  </si>
  <si>
    <t>CMT: 082026128, 
Ngày cấp 25/09/2020, 
CA Lạng Sơn</t>
  </si>
  <si>
    <t>19/10/1985</t>
  </si>
  <si>
    <t>082026128</t>
  </si>
  <si>
    <t>08/06/2004</t>
  </si>
  <si>
    <t>UBND phường Hoàng Văn Thụ, TP. Lạng Sơn</t>
  </si>
  <si>
    <t>Thụy Hùng</t>
  </si>
  <si>
    <t>Khối 5</t>
  </si>
  <si>
    <t>Hợp Thành</t>
  </si>
  <si>
    <t>163/QĐ-SYT</t>
  </si>
  <si>
    <t>BV0528</t>
  </si>
  <si>
    <t>Lưu Viết Hoàn</t>
  </si>
  <si>
    <t>CMT: 082002742
 Ngày cấp 12/10/2018, 
CA Lạng Sơn</t>
  </si>
  <si>
    <t>082002742</t>
  </si>
  <si>
    <t>25/11/2003</t>
  </si>
  <si>
    <t>BV0529</t>
  </si>
  <si>
    <t>Hoàng Ngọc Quảng</t>
  </si>
  <si>
    <t>CMT: 081037750, 
Ngày cấp 05/08/2016, 
CA Lạng Sơn</t>
  </si>
  <si>
    <t>081037750</t>
  </si>
  <si>
    <t>05/11/2001</t>
  </si>
  <si>
    <t>15/3A - Lê Đại Hành</t>
  </si>
  <si>
    <t>BV0531</t>
  </si>
  <si>
    <t>Lâm Minh Mạnh</t>
  </si>
  <si>
    <t>CMT: 082045274
Ngày cấp 23/07/2011, 
CA Lạng Sơn</t>
  </si>
  <si>
    <t>082045274</t>
  </si>
  <si>
    <t>23/07/2011</t>
  </si>
  <si>
    <t>Đường Lê Hồng Phong</t>
  </si>
  <si>
    <t>BV0532</t>
  </si>
  <si>
    <t>Nguyễn Xuân Mai</t>
  </si>
  <si>
    <t>CMT: 081036679, 
Ngày cấp 20/05/2015, 
CA Lạng Sơn</t>
  </si>
  <si>
    <t>081036679</t>
  </si>
  <si>
    <t>10/01/2002</t>
  </si>
  <si>
    <t>Điều dưỡng hạng IV</t>
  </si>
  <si>
    <t>BV0518</t>
  </si>
  <si>
    <t>Nguyễn Anh Tuấn</t>
  </si>
  <si>
    <t>CMT: 080982963,
Ngày cấp 28/04/2014,
 CA Lạng Sơn</t>
  </si>
  <si>
    <t>080982963</t>
  </si>
  <si>
    <t>28/04/2014</t>
  </si>
  <si>
    <t>Huyện Nam Sách</t>
  </si>
  <si>
    <t>3/12/1993</t>
  </si>
  <si>
    <t>DH Kỹ thuật Hải Dương</t>
  </si>
  <si>
    <t>BV0519</t>
  </si>
  <si>
    <t>Trương Hùng Khoan</t>
  </si>
  <si>
    <t>CMT: 080973084, 
Ngày cấp 15/08/2019, 
CA Lạng Sơn</t>
  </si>
  <si>
    <t>080973084</t>
  </si>
  <si>
    <t>24/10/2007</t>
  </si>
  <si>
    <t>10/10/1996</t>
  </si>
  <si>
    <t>V.08.07.18</t>
  </si>
  <si>
    <t>BV0520</t>
  </si>
  <si>
    <t>Nguyễn Trung Hiếu</t>
  </si>
  <si>
    <t>CMT: 080986436, 
Ngày cấp 30/01/2013, 
CA Lạng Sơn</t>
  </si>
  <si>
    <t>080986436</t>
  </si>
  <si>
    <t>DĐH Y tế Hải Dương</t>
  </si>
  <si>
    <t>BV0997</t>
  </si>
  <si>
    <t>Bạch Tiến Cường</t>
  </si>
  <si>
    <t>2014002802</t>
  </si>
  <si>
    <t>Kỹ thuật y (hạng III)</t>
  </si>
  <si>
    <t>CMT: 082176490, 
Ngày cấp 27/02/2014, 
CA Lạng Sơn</t>
  </si>
  <si>
    <t>082176490</t>
  </si>
  <si>
    <t>11/01/2016</t>
  </si>
  <si>
    <t>KTY (hạng III)</t>
  </si>
  <si>
    <t>Kỹ thuật hình ảnh y học</t>
  </si>
  <si>
    <t>BV0521</t>
  </si>
  <si>
    <t>Hoàng Văn Bé</t>
  </si>
  <si>
    <t>CMT: 080925358,
Ngày cấp 18/01/2018, 
CA Lạng Sơn</t>
  </si>
  <si>
    <t>080925358</t>
  </si>
  <si>
    <t>16/01/2003</t>
  </si>
  <si>
    <t>1/1/1998</t>
  </si>
  <si>
    <t>CĐ kỹ thuật y tế Hải Dương</t>
  </si>
  <si>
    <t>BV0526</t>
  </si>
  <si>
    <t>Hoàng Văn Sỹ</t>
  </si>
  <si>
    <t>CMT : 081063869, 
Ngày cấp 27/04/2010, 
CA Lạng Sơn</t>
  </si>
  <si>
    <t>081063869</t>
  </si>
  <si>
    <t>27/04/2010</t>
  </si>
  <si>
    <t>BV0523</t>
  </si>
  <si>
    <t>Hoàng Văn Hòa</t>
  </si>
  <si>
    <t>CMT: 080964152, 
Ngày cấp 13/06/2011, 
CA Lạng Sơn</t>
  </si>
  <si>
    <t>080964152</t>
  </si>
  <si>
    <t>13/06/2011</t>
  </si>
  <si>
    <t>TH Kỹ thuật Y tế I-Bộ Y tế</t>
  </si>
  <si>
    <t>BV0524</t>
  </si>
  <si>
    <t>Trần Trung Dũng</t>
  </si>
  <si>
    <t>CMT: 080971624,
 Ngày cấp 16/12/2015, 
CA Lạng Sơn</t>
  </si>
  <si>
    <t>080971624</t>
  </si>
  <si>
    <t>CĐ Kỹ thuật Y tế I- Bộ Y tế</t>
  </si>
  <si>
    <t>BV0525</t>
  </si>
  <si>
    <t>Hoàng Tư Vấn</t>
  </si>
  <si>
    <t>CMT: 081049732, 
Ngày cấp 06/09/2017, 
CA Lạng Sơn</t>
  </si>
  <si>
    <t>081049732</t>
  </si>
  <si>
    <t>BV0422</t>
  </si>
  <si>
    <t>Vũ Thủy Tiên</t>
  </si>
  <si>
    <t>CMT: 081040083, 
Ngày cấp 17/03/2010, 
CA Lạng Sơn</t>
  </si>
  <si>
    <t>081040083</t>
  </si>
  <si>
    <t>17/03/2010</t>
  </si>
  <si>
    <t>BV0550</t>
  </si>
  <si>
    <t>Chu Văn Hải</t>
  </si>
  <si>
    <t>20068005074
Ngày cấp: 09/05/2021
cục cảnh sát  quản lý hành chính về trật tự xã hội</t>
  </si>
  <si>
    <t>080799595</t>
  </si>
  <si>
    <t>22/03/2013</t>
  </si>
  <si>
    <t>1/7/1992</t>
  </si>
  <si>
    <t>giải phẫu bệnh</t>
  </si>
  <si>
    <t>BV0546</t>
  </si>
  <si>
    <t>Nguyễn An Hải</t>
  </si>
  <si>
    <t>CCCD: 004185009967, ngày cấp: 27/9/2021, nơi cấp: Cục Cảnh sát Quản lý hành chính về trật tự xã hội</t>
  </si>
  <si>
    <t>081039644</t>
  </si>
  <si>
    <t>18/02/2007</t>
  </si>
  <si>
    <t>Huyện Nguyên Bình</t>
  </si>
  <si>
    <t>BV0739</t>
  </si>
  <si>
    <t>Nguyễn Thị Thường</t>
  </si>
  <si>
    <t>2011001571</t>
  </si>
  <si>
    <t>20186006250
Ngày cấp: 09/05/2021
cục cảnh sát  quản lý hành chính về trật tự xã hội</t>
  </si>
  <si>
    <t>08/02/1986</t>
  </si>
  <si>
    <t>081068784</t>
  </si>
  <si>
    <t>19/3/2003</t>
  </si>
  <si>
    <t xml:space="preserve">Vân Nham </t>
  </si>
  <si>
    <t>Thôn Phổng</t>
  </si>
  <si>
    <t>Vân Nham</t>
  </si>
  <si>
    <t>BV0108</t>
  </si>
  <si>
    <t>Nông Thị Hồng Điệp</t>
  </si>
  <si>
    <t>020179005644
Ngày cấp: 09/5/2021
cục cảnh sát  quản lý hành chính về trật tự xã hội</t>
  </si>
  <si>
    <t>080953386</t>
  </si>
  <si>
    <t>22/04/2003</t>
  </si>
  <si>
    <t>BV0822</t>
  </si>
  <si>
    <t>Hoàng Đức Thịnh</t>
  </si>
  <si>
    <t>2013002154</t>
  </si>
  <si>
    <t>020085009682
Ngày cấp: 13/8/2021
cục cảnh sát  quản lý hành chính về trật tự xã hội</t>
  </si>
  <si>
    <t>19/11/1985</t>
  </si>
  <si>
    <t>080953310</t>
  </si>
  <si>
    <t>30/03/2012</t>
  </si>
  <si>
    <t>Quan Sơn, Chi Lăng</t>
  </si>
  <si>
    <t>Quan Sơn</t>
  </si>
  <si>
    <t>Khu Hòa Bình I</t>
  </si>
  <si>
    <t>TT Đồng Mỏ</t>
  </si>
  <si>
    <t>huyện Chi Lăng</t>
  </si>
  <si>
    <t>1313/QĐ-SYT</t>
  </si>
  <si>
    <t>BV0544</t>
  </si>
  <si>
    <t>Nguyễn Thị Nga</t>
  </si>
  <si>
    <t>024182001620
Ngày cấp: 25/03/2021
cục cảnh sát  quản lý hành chính về trật tự xã hội</t>
  </si>
  <si>
    <t>080986898</t>
  </si>
  <si>
    <t>17/10/2010</t>
  </si>
  <si>
    <t>Phường Thị Cầu</t>
  </si>
  <si>
    <t>Thành phố Bắc Ninh</t>
  </si>
  <si>
    <t>BV0304</t>
  </si>
  <si>
    <t>Võ Thị Hương</t>
  </si>
  <si>
    <t>020177008975 
Ngày cấp: 9-05-2021
cục cảnh sát  quản lý hành chính về trật tự xã hội</t>
  </si>
  <si>
    <t>080961526</t>
  </si>
  <si>
    <t>20/07/2018</t>
  </si>
  <si>
    <t>BV0553</t>
  </si>
  <si>
    <t>Nguyễn Tiến Lâm</t>
  </si>
  <si>
    <t>020086002685
Ngày cấp: 29/04/2021
cục cảnh sát  quản lý hành chính về trật tự xã hội</t>
  </si>
  <si>
    <t>081008513</t>
  </si>
  <si>
    <t>07/04/2003</t>
  </si>
  <si>
    <t>BV0472</t>
  </si>
  <si>
    <t>Lộc Thị Nga</t>
  </si>
  <si>
    <t xml:space="preserve">      020184006243, ngày cấp: 24/6/2021, nơi cấp: Cục cảnh sát quản lý hành chính và trật tự xã hội</t>
  </si>
  <si>
    <t>081039562</t>
  </si>
  <si>
    <t>Khối 14</t>
  </si>
  <si>
    <t>BV0097</t>
  </si>
  <si>
    <t>30181010513, cấp ngày: 9/4/2021, nơi cấp: Cục cảnh sát quản lý hành chính và trật tự xã hội</t>
  </si>
  <si>
    <t>081064227</t>
  </si>
  <si>
    <t>19/12/2002</t>
  </si>
  <si>
    <t>Xã Lương Điền</t>
  </si>
  <si>
    <t>Huyện Cẩm Giàng</t>
  </si>
  <si>
    <t>ĐH Y tế công cộng - Thạc sĩ Quản lý BV</t>
  </si>
  <si>
    <t>BV0409</t>
  </si>
  <si>
    <t>Chu Thị Bích Thoan</t>
  </si>
  <si>
    <t xml:space="preserve">    020176006409, ngày cấp: 25/6/2021, nơi cấp: Cục cảnh sát quản lý hành chính và trật tự xã hội</t>
  </si>
  <si>
    <t>080940693</t>
  </si>
  <si>
    <t>11/05/2000</t>
  </si>
  <si>
    <t>ĐH  Y Dược Thái Nguyên</t>
  </si>
  <si>
    <t>BV0557</t>
  </si>
  <si>
    <t>Lương Thị Cúc</t>
  </si>
  <si>
    <t xml:space="preserve">       020174077587, ngày cấp: 09/5/2021, nơi cấp: Cục cảnh sát quản lý hành chính và trật tự xã hội</t>
  </si>
  <si>
    <t>081008373</t>
  </si>
  <si>
    <t>04/04/2003</t>
  </si>
  <si>
    <t>BV0558</t>
  </si>
  <si>
    <t>Nguyễn Lệ Hà</t>
  </si>
  <si>
    <t>020188011242, ngày cấp: 24/6/2021, nơi cấp: Cục cảnh sát quản lý hành chính và trật tự xã hội</t>
  </si>
  <si>
    <t>082062654</t>
  </si>
  <si>
    <t>06/10/2009</t>
  </si>
  <si>
    <t>BV0100</t>
  </si>
  <si>
    <t>Nguyễn Thị Thu Thương</t>
  </si>
  <si>
    <t>025187009369
ngày cấp 26/08/2021, nơi cấp: Cục cảnh sát quản lý hành chính và trật tự xã hội</t>
  </si>
  <si>
    <t>082242721</t>
  </si>
  <si>
    <t>29/09/2010</t>
  </si>
  <si>
    <t>Tân Phương</t>
  </si>
  <si>
    <t>Huyện Thanh Thủy</t>
  </si>
  <si>
    <t>Tỉnh Phú Thoj</t>
  </si>
  <si>
    <t>Số 52 đường Bông Lau</t>
  </si>
  <si>
    <t>BV0102</t>
  </si>
  <si>
    <t>Vi Thị Hiếu</t>
  </si>
  <si>
    <t>020189002910, ngày cấp 29/4/2021,  nơi cấp cục cảnh sát quản lý hành chính về trật tự xã hội</t>
  </si>
  <si>
    <t>082069892</t>
  </si>
  <si>
    <t>18/10/2012</t>
  </si>
  <si>
    <t>TT Đồng Mỏ, huyện Chi Lăng, tỉnh Lạng Sơn</t>
  </si>
  <si>
    <t>BV0480</t>
  </si>
  <si>
    <t>Đinh Thị Huyền Trang</t>
  </si>
  <si>
    <t>CCCD: 020183011151, 
Ngày cấp: 22/11/2021. 
Tại Cục cảnh sát quản lý hành chính về trật tự xã hội</t>
  </si>
  <si>
    <t>080999103</t>
  </si>
  <si>
    <t>15/01/2006</t>
  </si>
  <si>
    <t>12/1/2008</t>
  </si>
  <si>
    <t>BV0461</t>
  </si>
  <si>
    <t>Hoàng Bích Thủy</t>
  </si>
  <si>
    <t>CCCD: 020183002634, 
Ngày cấp: 29/04/2021.
Tại Cục cảnh sát quản lý hành chính về trật tự xã hội</t>
  </si>
  <si>
    <t>081040337</t>
  </si>
  <si>
    <t>BV0473</t>
  </si>
  <si>
    <t>Đào Minh An</t>
  </si>
  <si>
    <t>081045288</t>
  </si>
  <si>
    <t xml:space="preserve">Quảng Hưng </t>
  </si>
  <si>
    <t>Hưng Điền</t>
  </si>
  <si>
    <t>Quảng Trị</t>
  </si>
  <si>
    <t>116 Ngô Quyền</t>
  </si>
  <si>
    <t>BV0477</t>
  </si>
  <si>
    <t>Hoàng Lan Thịnh</t>
  </si>
  <si>
    <t>CCCD: 020188002921, 
Ngày cấp: 29/04/2021. 
Tại Cục cảnh sát quản lý hành chính về trật tự xã hội</t>
  </si>
  <si>
    <t>082048487</t>
  </si>
  <si>
    <t>10/03/2005</t>
  </si>
  <si>
    <t>BV0577</t>
  </si>
  <si>
    <t>Ma Duy Tường</t>
  </si>
  <si>
    <t>080793969</t>
  </si>
  <si>
    <t>Đai Đồng</t>
  </si>
  <si>
    <t>Số 16 Trần Hưng Đạo</t>
  </si>
  <si>
    <t>6/6/1989</t>
  </si>
  <si>
    <t>01.005</t>
  </si>
  <si>
    <t>ĐH Bách khoa HN</t>
  </si>
  <si>
    <t>BV0579</t>
  </si>
  <si>
    <t>Bùi Mạnh Ước</t>
  </si>
  <si>
    <t>CCCD: 036083016039, 
Ngày cấp: 29/04/2021. 
Tại Cục cảnh sát quản lý hành chính về trật tự xã hội</t>
  </si>
  <si>
    <t>162557870</t>
  </si>
  <si>
    <t>27/02/2001</t>
  </si>
  <si>
    <t>CA Nam Định</t>
  </si>
  <si>
    <t>Nam Trực, Nam Định</t>
  </si>
  <si>
    <t>Nam Thanh</t>
  </si>
  <si>
    <t>36 Tô Hiến Thành</t>
  </si>
  <si>
    <t>01.004</t>
  </si>
  <si>
    <t>BV0578</t>
  </si>
  <si>
    <t>Hứa Trọng Tôn</t>
  </si>
  <si>
    <t>080793971</t>
  </si>
  <si>
    <t>03/10/2006</t>
  </si>
  <si>
    <t>Đại An,Văn Quan</t>
  </si>
  <si>
    <t>Đại An</t>
  </si>
  <si>
    <t>83 đường Hùng Vương</t>
  </si>
  <si>
    <t>12/4/1995</t>
  </si>
  <si>
    <t>BV0580</t>
  </si>
  <si>
    <t>Ma Bá Tiếp</t>
  </si>
  <si>
    <t>082062577</t>
  </si>
  <si>
    <t>16/12/2005</t>
  </si>
  <si>
    <t>Số 115 đường Tam Thanh</t>
  </si>
  <si>
    <t>CĐ Nghề Kỹ thuật thiết bị y tế</t>
  </si>
  <si>
    <t>BV0821</t>
  </si>
  <si>
    <t>Trần Đức Vinh</t>
  </si>
  <si>
    <t>1597024529</t>
  </si>
  <si>
    <t>CMT: 080954361; 
Cấp ngày 05/10/2013
Nơi cấp: Công an tỉnh Lạng Sơn</t>
  </si>
  <si>
    <t>19/8/1971</t>
  </si>
  <si>
    <t>080954361</t>
  </si>
  <si>
    <t>05/10/2013</t>
  </si>
  <si>
    <t>Tân Thành, Hữu Lũng</t>
  </si>
  <si>
    <t>Tân Thành</t>
  </si>
  <si>
    <t>Số 10, ngõ 10a, đường Bắc Sơn, khối 9</t>
  </si>
  <si>
    <t>25/4/1997</t>
  </si>
  <si>
    <t>Trạm Mắt</t>
  </si>
  <si>
    <t>149/TC-QĐ</t>
  </si>
  <si>
    <t>BV0666</t>
  </si>
  <si>
    <t>Hoàng Tuấn Anh</t>
  </si>
  <si>
    <t>CCCD: 020074003896; 
Ngày cấp: 25/06/2021
Tại Cục cảnh sát quản lý hành chính về trật tự xã hội</t>
  </si>
  <si>
    <t>082001549</t>
  </si>
  <si>
    <t>21/09/2010</t>
  </si>
  <si>
    <t>Đức Tâm, Văn Quan</t>
  </si>
  <si>
    <t>Đức Tâm</t>
  </si>
  <si>
    <t>Nguyễn Du</t>
  </si>
  <si>
    <t>3/2/1993</t>
  </si>
  <si>
    <t>V.11.06.15</t>
  </si>
  <si>
    <t>CĐ Cơ khí Luyện Kim Thái Nguyên</t>
  </si>
  <si>
    <t>BV0592</t>
  </si>
  <si>
    <t>Đoàn Trung Tuấn</t>
  </si>
  <si>
    <t>2014002801</t>
  </si>
  <si>
    <t>CCCD: 020089006691; 
Cấp ngày 29/4/2021
Tại Cục cảnh sát quản lý hành chính về trật tự xã hội</t>
  </si>
  <si>
    <t>082114193</t>
  </si>
  <si>
    <t>26/03/2007</t>
  </si>
  <si>
    <t>Xã Xuân Tình</t>
  </si>
  <si>
    <t>ĐH LĐ-XH</t>
  </si>
  <si>
    <t>BV0593</t>
  </si>
  <si>
    <t>Hoàng Thị Ngọc Mai</t>
  </si>
  <si>
    <t>CCCD: 020192002278; 
Cấp ngày 29/4/2021
Tại Cục cảnh sát quản lý hành chính về trật tự xã hội</t>
  </si>
  <si>
    <t>11/4/1992</t>
  </si>
  <si>
    <t>082178157</t>
  </si>
  <si>
    <t>12/07/2011</t>
  </si>
  <si>
    <t>207 Bến Bắc</t>
  </si>
  <si>
    <t>QTNL</t>
  </si>
  <si>
    <t>ĐH Nội Vụ Hà Nội</t>
  </si>
  <si>
    <t>BV0852</t>
  </si>
  <si>
    <t>1507003390</t>
  </si>
  <si>
    <t>020184001479</t>
  </si>
  <si>
    <t>080996060</t>
  </si>
  <si>
    <t>29/07/2014</t>
  </si>
  <si>
    <t>Xã Yên Trạch, huyện Cao Lộc, Tỉnh LS</t>
  </si>
  <si>
    <t>Yên trạch</t>
  </si>
  <si>
    <t>01/11/2019</t>
  </si>
  <si>
    <t>01.003</t>
  </si>
  <si>
    <t>BV0596</t>
  </si>
  <si>
    <t>Phạm Văn Bình</t>
  </si>
  <si>
    <t>CCCD: 020071000384
Ngày cấp: 28/3/2021
Tại Cục cảnh sát quản lý hành chính về trật tự xã hội</t>
  </si>
  <si>
    <t>080993128</t>
  </si>
  <si>
    <t>18/08/2010</t>
  </si>
  <si>
    <t>Thị trấn Na Dương, Lộc Bình</t>
  </si>
  <si>
    <t>BV0598</t>
  </si>
  <si>
    <t>Lê Ngọc Ân</t>
  </si>
  <si>
    <t>CCCD: 020078002034
Ngày cấp: 29/4/2021
Tại Cục cảnh sát quản lý hành chính về trật tự xã hội</t>
  </si>
  <si>
    <t>080984088</t>
  </si>
  <si>
    <t>V.05.02.07</t>
  </si>
  <si>
    <t>ĐH kỹ thuật CN</t>
  </si>
  <si>
    <t>BV0600</t>
  </si>
  <si>
    <t>Triệu Thị Hằng</t>
  </si>
  <si>
    <t>CCCD: 020188012707
Ngày cấp: 18/11/2021
Tại Cục cảnh sát quản lý hành chính về trật tự xã hội</t>
  </si>
  <si>
    <t>082031496</t>
  </si>
  <si>
    <t>05/07/2005</t>
  </si>
  <si>
    <t>Xã Vĩnh Yên</t>
  </si>
  <si>
    <t>Học viên HCQG</t>
  </si>
  <si>
    <t>BV0620</t>
  </si>
  <si>
    <t>Lý Minh Hường</t>
  </si>
  <si>
    <t>CCCD: 020181009302
Ngày cấp: 25/6/2021
Tại Cục cảnh sát quản lý hành chính về trật tự xã hội</t>
  </si>
  <si>
    <t>080993980</t>
  </si>
  <si>
    <t>08/06/1998</t>
  </si>
  <si>
    <t>Huyện Châu Giang</t>
  </si>
  <si>
    <t>15/4/2008</t>
  </si>
  <si>
    <t>BV0819</t>
  </si>
  <si>
    <t>Lưu Mai Hương</t>
  </si>
  <si>
    <t>CCCD: 020195006010
Ngày cấp: 25/6/2021
Tại Cục cảnh sát quản lý hành chính về trật tự xã hội</t>
  </si>
  <si>
    <t>082164979</t>
  </si>
  <si>
    <t>11/10/2010</t>
  </si>
  <si>
    <t>Đồng Tâm</t>
  </si>
  <si>
    <t>Hiệp Hòa</t>
  </si>
  <si>
    <t>Bắc Giang</t>
  </si>
  <si>
    <t>Mỹ Sơn</t>
  </si>
  <si>
    <t>11/12/2018</t>
  </si>
  <si>
    <t>Quản trị kinh doanh</t>
  </si>
  <si>
    <t>BV0612</t>
  </si>
  <si>
    <t>020172001989
Ngày cấp 29/4/2021
Tại Cục cảnh sát quản lý hành chính về trật tự xã hội</t>
  </si>
  <si>
    <t>080992049</t>
  </si>
  <si>
    <t>19/06/1998</t>
  </si>
  <si>
    <t>02.008</t>
  </si>
  <si>
    <t>CĐ Nội vụ Hà Nội</t>
  </si>
  <si>
    <t>BV0601</t>
  </si>
  <si>
    <t>Lương Viết Bảo</t>
  </si>
  <si>
    <t>080631910</t>
  </si>
  <si>
    <t>27/06/2004</t>
  </si>
  <si>
    <t>1/7/1985</t>
  </si>
  <si>
    <t>BV0631</t>
  </si>
  <si>
    <t>Chu Thị Hằng</t>
  </si>
  <si>
    <t>080982522</t>
  </si>
  <si>
    <t>23/03/1999</t>
  </si>
  <si>
    <t>15/6/2005</t>
  </si>
  <si>
    <t>06.031</t>
  </si>
  <si>
    <t>01/01/2023</t>
  </si>
  <si>
    <t>Quản lý KT</t>
  </si>
  <si>
    <t>ĐH Kinh doanh công nghệ</t>
  </si>
  <si>
    <t>BV0632</t>
  </si>
  <si>
    <t>CCCD: 020177001969
Ngày cấp: 20/4/2021
Tại Cục cảnh sát quản lý hành chính về trật tự xã hội</t>
  </si>
  <si>
    <t>080961292</t>
  </si>
  <si>
    <t>05/03/2012</t>
  </si>
  <si>
    <t>Vinh Quý</t>
  </si>
  <si>
    <t>Hạ Lang</t>
  </si>
  <si>
    <t>Số 28 Lê Đại Hành</t>
  </si>
  <si>
    <t>01/6/2023</t>
  </si>
  <si>
    <t>ĐH Kinh tế quốc dân</t>
  </si>
  <si>
    <t>BV0633</t>
  </si>
  <si>
    <t>Tô Thị Yêu</t>
  </si>
  <si>
    <t>CCCD: 020182002422
Ngày cấp: 20/4/2021
Tại Cục cảnh sát quản lý hành chính về trật tự xã hội</t>
  </si>
  <si>
    <t>080990484</t>
  </si>
  <si>
    <t>25/11/2009</t>
  </si>
  <si>
    <t>Khun Gioong</t>
  </si>
  <si>
    <t>Trùng Quán</t>
  </si>
  <si>
    <t>HV Tài chính</t>
  </si>
  <si>
    <t>BV0641</t>
  </si>
  <si>
    <t>Vi Thu Huyền</t>
  </si>
  <si>
    <t>CCCD: 020187009643
Ngày cấp: 25/6/2021
Tại Cục cảnh sát quản lý hành chính về trật tự xã hội</t>
  </si>
  <si>
    <t>082020124</t>
  </si>
  <si>
    <t>07/11/2014</t>
  </si>
  <si>
    <t>Vĩnh Trại, TP Lạng Sơn</t>
  </si>
  <si>
    <t>Đông Quan</t>
  </si>
  <si>
    <t xml:space="preserve">Lộc Bình </t>
  </si>
  <si>
    <t>Số 14 ngõ 11 đường Nguyễn Du</t>
  </si>
  <si>
    <t>1/11/2015</t>
  </si>
  <si>
    <t>BV0656</t>
  </si>
  <si>
    <t>Trần Thị Vui</t>
  </si>
  <si>
    <t>CCCD: 036189017423
Ngày cấp: 25/6/2021
Tại Cục cảnh sát quản lý hành chính về trật tự xã hội</t>
  </si>
  <si>
    <t>163051360</t>
  </si>
  <si>
    <t>05/01/2015</t>
  </si>
  <si>
    <t>Huyện Nam Hồng</t>
  </si>
  <si>
    <t>01/10/2014</t>
  </si>
  <si>
    <t>HV Nông nghiệp</t>
  </si>
  <si>
    <t>BV0635</t>
  </si>
  <si>
    <t>Nông Thị Lan Anh</t>
  </si>
  <si>
    <t>CCCD: 020186002583
Ngày cấp: 20/4/2021
Tại Cục cảnh sát quản lý hành chính về trật tự xã hội</t>
  </si>
  <si>
    <t>081045969</t>
  </si>
  <si>
    <t>4/9/2012</t>
  </si>
  <si>
    <t>BV0651</t>
  </si>
  <si>
    <t>Nông Thị Mơ</t>
  </si>
  <si>
    <t>CCCD: 020179007084
Ngày cấp: 25/6/2021
Tại Cục cảnh sát quản lý hành chính về trật tự xã hội</t>
  </si>
  <si>
    <t>080952512</t>
  </si>
  <si>
    <t>06/04/2012</t>
  </si>
  <si>
    <t>Số 107 Lê Hồng Phong</t>
  </si>
  <si>
    <t>06.032</t>
  </si>
  <si>
    <t>BV1030</t>
  </si>
  <si>
    <t>Bùi Thị Thắm</t>
  </si>
  <si>
    <t>2020840119</t>
  </si>
  <si>
    <t>CCCD: 020188012621
Ngày cấp: 05/7/2021
Tại Cục cảnh sát quản lý hành chính về trật tự xã hội</t>
  </si>
  <si>
    <t>082020412</t>
  </si>
  <si>
    <t>45/1 Lê Đại Hành</t>
  </si>
  <si>
    <t>Vĩnh Trại</t>
  </si>
  <si>
    <t>18/5/2020</t>
  </si>
  <si>
    <t>BV0637</t>
  </si>
  <si>
    <t>Lê Thanh Tú</t>
  </si>
  <si>
    <t>CCCD: 020185000844
Ngày cấp: 08/4/2021
Tại Cục cảnh sát quản lý hành chính về trật tự xã hội</t>
  </si>
  <si>
    <t>081064420</t>
  </si>
  <si>
    <t>10/02/2003</t>
  </si>
  <si>
    <t>Nhị Thanh</t>
  </si>
  <si>
    <t>CĐ TMDL Thái Nguyên</t>
  </si>
  <si>
    <t>BV0638</t>
  </si>
  <si>
    <t>Đinh Thị Quỳnh Nga</t>
  </si>
  <si>
    <t>CCCD: 020176005081
Ngày cấp: 06/12/2021
Tại Cục cảnh sát quản lý hành chính về trật tự xã hội</t>
  </si>
  <si>
    <t>080964112</t>
  </si>
  <si>
    <t>Tân Lang</t>
  </si>
  <si>
    <t>Ngõ 4 khối 9 đường Bến Bắc</t>
  </si>
  <si>
    <t>1/6/1999</t>
  </si>
  <si>
    <t>BV0644</t>
  </si>
  <si>
    <t>Đinh Hữu Đạt</t>
  </si>
  <si>
    <t>CCCD: 020073001632
Ngày cấp: 20/4/2021
Tại Cục cảnh sát quản lý hành chính về trật tự xã hội</t>
  </si>
  <si>
    <t>080976768</t>
  </si>
  <si>
    <t>03/03/2012</t>
  </si>
  <si>
    <t>90 ngõ 2, Đường Lê Lợi</t>
  </si>
  <si>
    <t>15/8/2006</t>
  </si>
  <si>
    <t>CĐ thống kê Bắc Ninh</t>
  </si>
  <si>
    <t>BV0650</t>
  </si>
  <si>
    <t>Hoàng Thị Hảo</t>
  </si>
  <si>
    <t>CCCD: 020175004519
Ngày cấp: 25/6/2021
Tại Cục cảnh sát quản lý hành chính về trật tự xã hội</t>
  </si>
  <si>
    <t>082153103</t>
  </si>
  <si>
    <t>5/7/1996</t>
  </si>
  <si>
    <t>ĐH Sao đỏ</t>
  </si>
  <si>
    <t>BV1004</t>
  </si>
  <si>
    <t>Nguyễn Duy Khánh</t>
  </si>
  <si>
    <t>2013000097</t>
  </si>
  <si>
    <t>Kế toán viên CĐ</t>
  </si>
  <si>
    <t>CCCD: 020091002293
Ngày cấp: 29/4/2021
Tại Cục cảnh sát quản lý hành chính về trật tự xã hội</t>
  </si>
  <si>
    <t>082186308</t>
  </si>
  <si>
    <t>Số 13 khối 2, ngõ 2 đường Bắc Sơn, Phường Vĩnh Trại, TP Lạng Sơn</t>
  </si>
  <si>
    <t>03/2/2017</t>
  </si>
  <si>
    <t>BV0652</t>
  </si>
  <si>
    <t>Lương Thị Hồng</t>
  </si>
  <si>
    <t>CMT: 082015584
Ngày cấp: 04/9/2012
CAT Lạng Sơn</t>
  </si>
  <si>
    <t>082015584</t>
  </si>
  <si>
    <t>02/04/2015</t>
  </si>
  <si>
    <t>Xã Quyết thắng</t>
  </si>
  <si>
    <t>ĐH Thương Mại</t>
  </si>
  <si>
    <t>BV0655</t>
  </si>
  <si>
    <t>Tô Thị Đại</t>
  </si>
  <si>
    <t>CCCD: 020187009874
Ngày cấp: 25/6/2021
Tại Cục cảnh sát quản lý hành chính về trật tự xã hội</t>
  </si>
  <si>
    <t>082027714</t>
  </si>
  <si>
    <t>22/08/2004</t>
  </si>
  <si>
    <t>SN 20, ngõ 20 Bà Triệu</t>
  </si>
  <si>
    <t>Trung cấp xây dựng HN</t>
  </si>
  <si>
    <t>BV0830</t>
  </si>
  <si>
    <t>Lê Thị Na</t>
  </si>
  <si>
    <t>7913269996</t>
  </si>
  <si>
    <t>CCCD: 020189008309
Ngày cấp: 25/6/2021
Tại Cục cảnh sát quản lý hành chính về trật tự xã hội</t>
  </si>
  <si>
    <t>21/6/1989</t>
  </si>
  <si>
    <t>082103290</t>
  </si>
  <si>
    <t>04/08/2008</t>
  </si>
  <si>
    <t>Thị trấn Na Dương, huyện Lộc Bình</t>
  </si>
  <si>
    <t>Số 13 ngõ 2 đường Bà Triệu, Phường Vĩnh Trại, TP. Lạng Sơn</t>
  </si>
  <si>
    <t>BV0891</t>
  </si>
  <si>
    <t>Ma Thùy Ninh</t>
  </si>
  <si>
    <t>2013000772</t>
  </si>
  <si>
    <t>CCCD: 020189002911
Ngày cấp: 29/4/2021
Tại Cục cảnh sát quản lý hành chính về trật tự xã hội</t>
  </si>
  <si>
    <t>07/03/1989</t>
  </si>
  <si>
    <t>082112222</t>
  </si>
  <si>
    <t>12/03/2007</t>
  </si>
  <si>
    <t>QTKD</t>
  </si>
  <si>
    <t>BV0812</t>
  </si>
  <si>
    <t>Dương Huyền Nhi</t>
  </si>
  <si>
    <t>2016008138</t>
  </si>
  <si>
    <t>CCCD: 020193007471
Ngày cấp: 25/6/2021
Tại Cục cảnh sát quản lý hành chính về trật tự xã hội</t>
  </si>
  <si>
    <t>18/12/1993</t>
  </si>
  <si>
    <t>082254088</t>
  </si>
  <si>
    <t>23/10/2010</t>
  </si>
  <si>
    <t>Bãi Uyên</t>
  </si>
  <si>
    <t>Tiên Sơn</t>
  </si>
  <si>
    <t>Tổ 1 khối 7</t>
  </si>
  <si>
    <t>10/01/2018</t>
  </si>
  <si>
    <t>BV0299</t>
  </si>
  <si>
    <t>Hoàng Đức Thuận</t>
  </si>
  <si>
    <t>CCCD: 020087002770, 
Ngày cấp 29/4/2021,  
Tại Cục cảnh sát quản lý hành chính về trật tự xã hội</t>
  </si>
  <si>
    <t>082010818</t>
  </si>
  <si>
    <t>20/5/2004</t>
  </si>
  <si>
    <t>Xã Yên Phúc</t>
  </si>
  <si>
    <t>BV0231</t>
  </si>
  <si>
    <t>Nguyễn Thị Hương</t>
  </si>
  <si>
    <t>CCCD: 020188008038, 
Ngày cấp 18/11/2021,  
Tại Cục cảnh sát quản lý hành chính về trật tự xã hội</t>
  </si>
  <si>
    <t>082055606</t>
  </si>
  <si>
    <t>Tràng Sơn, Văn Quan</t>
  </si>
  <si>
    <t>Tràng Sơn</t>
  </si>
  <si>
    <t>62A Tô Thị</t>
  </si>
  <si>
    <t>CĐ Y tế Lang Sơn</t>
  </si>
  <si>
    <t>BV0669</t>
  </si>
  <si>
    <t>Lành Thị Điển</t>
  </si>
  <si>
    <t>CCCD: 020176002267, 
Ngày cấp 29/4/2021,  
Tại Cục cảnh sát quản lý hành chính về trật tự xã hội</t>
  </si>
  <si>
    <t>080964243</t>
  </si>
  <si>
    <t>08/04/1994</t>
  </si>
  <si>
    <t>Số 8 đường Phai Vệ</t>
  </si>
  <si>
    <t>Trung học Y tế LS</t>
  </si>
  <si>
    <t>BV0661</t>
  </si>
  <si>
    <t>Lưu Kim Phượng</t>
  </si>
  <si>
    <t>CCCD: 020186002922, 
Ngày cấp 29/4/2021, 
Tại Cục cảnh sát quản lý hành chính về trật tự xã hội</t>
  </si>
  <si>
    <t>081045345</t>
  </si>
  <si>
    <t>30/07/2003</t>
  </si>
  <si>
    <t>155 đường Nguyễn Du</t>
  </si>
  <si>
    <t>BV0664</t>
  </si>
  <si>
    <t>Nguyễn Thị Mai</t>
  </si>
  <si>
    <t>CCCD: 020184002852, 
Ngày cấp 29/4/2021, 
Tại Cục cảnh sát quản lý hành chính về trật tự xã hội</t>
  </si>
  <si>
    <t>081037022</t>
  </si>
  <si>
    <t>08/04/2003</t>
  </si>
  <si>
    <t>Số 155 đường Nguyễn Du</t>
  </si>
  <si>
    <t>BV0829</t>
  </si>
  <si>
    <t>Hoàng Bảo Vượng</t>
  </si>
  <si>
    <t>2016006994</t>
  </si>
  <si>
    <t>CCCD: 020093004930 
Ngày cấp 09/8/2021, 
Tại Cục cảnh sát quản lý hành chính về trật tự xã hội</t>
  </si>
  <si>
    <t>08/5/1993</t>
  </si>
  <si>
    <t>082243615</t>
  </si>
  <si>
    <t>21/08/2010</t>
  </si>
  <si>
    <t>Hải Yến, Cao Lộc</t>
  </si>
  <si>
    <t>Hải Yến</t>
  </si>
  <si>
    <t>Tồng Riền</t>
  </si>
  <si>
    <t>Trung tâm Truyền thông Giáo dục sức khỏe</t>
  </si>
  <si>
    <t>486/QĐ-SYT</t>
  </si>
  <si>
    <t>V.08.04.10</t>
  </si>
  <si>
    <t>ĐH Y tế Công cộng</t>
  </si>
  <si>
    <t>BV0078</t>
  </si>
  <si>
    <t>Phạm Lan Anh</t>
  </si>
  <si>
    <t>CCCD: 020189002247
Ngày cấp 25/4/2021
Tại Cục cảnh sát quản lý hành chính về trật tự xã hội</t>
  </si>
  <si>
    <t>082153533</t>
  </si>
  <si>
    <t>03/10/2014</t>
  </si>
  <si>
    <t>Phường Phan Đình Phùng, TP Nam Định, tỉnh Nam Định</t>
  </si>
  <si>
    <t>Phường Phan Đình Phùng</t>
  </si>
  <si>
    <t>Thành phố Nam Định</t>
  </si>
  <si>
    <t>Nam Định</t>
  </si>
  <si>
    <t>Số 211 Khối 6 đường Lê Lợi, phường Vĩnh Trại, TP Lạng Sơn, tỉnh Lạng Sơn</t>
  </si>
  <si>
    <t>1/7/2013</t>
  </si>
  <si>
    <t>BV0382</t>
  </si>
  <si>
    <t>Vy Thị Hồng Thơ</t>
  </si>
  <si>
    <t>CCCD: 020184000948, 
Ngày cấp 31/3/2021, 
Tại Cục cảnh sát quản lý hành chính về trật tự xã hội</t>
  </si>
  <si>
    <t>081025036</t>
  </si>
  <si>
    <t>04/01/2001</t>
  </si>
  <si>
    <t>Số 28 ngõ 2 đường Lê Hồng Phong</t>
  </si>
  <si>
    <t>BV0084</t>
  </si>
  <si>
    <t>Hoàng Thị Mai Anh</t>
  </si>
  <si>
    <t>CCCD: 020189006254
Ngày cấp 25/6/2021
Tại Cục cảnh sát quản lý hành chính về trật tự xã hội</t>
  </si>
  <si>
    <t>082092472</t>
  </si>
  <si>
    <t>16/08/2006</t>
  </si>
  <si>
    <t>Đại Đồng, Tràng Định</t>
  </si>
  <si>
    <t>Số 3A ngõ 7 đường Lê Lợi, Phường Vĩnh Trại, TP. Lạng Sơn</t>
  </si>
  <si>
    <t>BV0675</t>
  </si>
  <si>
    <t>Phạm Thùy Linh</t>
  </si>
  <si>
    <t>2015003289</t>
  </si>
  <si>
    <t>CCCD: 020193002192 
Ngày cấp 29/4/2021
Tại Cục cảnh sát quản lý hành chính về trật tự xã hội</t>
  </si>
  <si>
    <t>08/12/1993</t>
  </si>
  <si>
    <t>082219839</t>
  </si>
  <si>
    <t>Phường Tam Thanh, TP. Lạng Sơn, tỉnh Lạng Sơn</t>
  </si>
  <si>
    <t>5/8/2015</t>
  </si>
  <si>
    <t>Học viện Báo chí và truyên truyền</t>
  </si>
  <si>
    <t>BV0832</t>
  </si>
  <si>
    <t>Nguyễn Thị Hà Thu</t>
  </si>
  <si>
    <t>2020038534</t>
  </si>
  <si>
    <t>CCCD: 020193008525
Ngày cấp 25/6/2021, 
Tại Cục cảnh sát quản lý hành chính về trật tự xã hội</t>
  </si>
  <si>
    <t>082197646</t>
  </si>
  <si>
    <t>02/02/2013</t>
  </si>
  <si>
    <t>Thì trấn Na Dương, huyện Lộc Bình</t>
  </si>
  <si>
    <t>Phương Trung</t>
  </si>
  <si>
    <t>Thanh Oai</t>
  </si>
  <si>
    <t>ĐH Báo Chí</t>
  </si>
  <si>
    <t>BV0668</t>
  </si>
  <si>
    <t>Trần Thị Bích</t>
  </si>
  <si>
    <t>CCCD: 024173002543
Ngày cấp: 29/4/2021
Tại Cục cảnh sát quản lý hành chính về trật tự xã hội</t>
  </si>
  <si>
    <t>080982581</t>
  </si>
  <si>
    <t>25/102004</t>
  </si>
  <si>
    <t>Đại Thành, Hiệp Hòa</t>
  </si>
  <si>
    <t>Đại Thành</t>
  </si>
  <si>
    <t>Số 19, ngõ 4 đường Lê Lợi</t>
  </si>
  <si>
    <t>1/11/2003</t>
  </si>
  <si>
    <t>BV0673</t>
  </si>
  <si>
    <t>Dương Thần Trưởng</t>
  </si>
  <si>
    <t>CCCD: 020092002149
Ngày cấp: 29/4/2021
Tại Cục cảnh sát quản lý hành chính về trật tự xã hội</t>
  </si>
  <si>
    <t>12/9/1992</t>
  </si>
  <si>
    <t>082230019</t>
  </si>
  <si>
    <t>09/12/2009</t>
  </si>
  <si>
    <t>Nội Hòa, Bắc Sơn</t>
  </si>
  <si>
    <t>Nội Hòa</t>
  </si>
  <si>
    <t>Xã Bắc Sơn</t>
  </si>
  <si>
    <t>15/01/2016</t>
  </si>
  <si>
    <t>BV0672</t>
  </si>
  <si>
    <t>Lục Thị Ngọc Hoài</t>
  </si>
  <si>
    <t>CCCD: 020191005648
Ngày cấp: 25/06/2021
Tại Cục cảnh sát quản lý hành chính về trật tự xã hội</t>
  </si>
  <si>
    <t>20/8/1991</t>
  </si>
  <si>
    <t>082110090</t>
  </si>
  <si>
    <t>12/07/2012</t>
  </si>
  <si>
    <t>TT Chi Lăng</t>
  </si>
  <si>
    <t>Đường Lương Văn Can</t>
  </si>
  <si>
    <t>20/6/2023</t>
  </si>
  <si>
    <t>BV0247</t>
  </si>
  <si>
    <t>Đặng Thị Thơm</t>
  </si>
  <si>
    <t>CCCD: 020185002827
Ngày cấp: 29/4/2021
Tại Cục cảnh sát quản lý hành chính về trật tự xã hội</t>
  </si>
  <si>
    <t>081024224</t>
  </si>
  <si>
    <t>27/7/2011</t>
  </si>
  <si>
    <t>10/06/2013</t>
  </si>
  <si>
    <t>BV0225</t>
  </si>
  <si>
    <t>Hà Thị Thanh</t>
  </si>
  <si>
    <t>CCCD: 020188006726
Ngày cấp: 25/06/2021
Tại Cục cảnh sát quản lý hành chính về trật tự xã hội</t>
  </si>
  <si>
    <t>082030174</t>
  </si>
  <si>
    <t>14/10/2004</t>
  </si>
  <si>
    <t>Thôn Nà Pái</t>
  </si>
  <si>
    <t>BV0659</t>
  </si>
  <si>
    <t>Lâm An Biên</t>
  </si>
  <si>
    <t>CCCD: 020075008291 
 Ngày cấp 25/06/2021
Tại Cục cảnh sát quản lý hành chính về trật tự xã hội</t>
  </si>
  <si>
    <t>080962978</t>
  </si>
  <si>
    <t>27/12/2008</t>
  </si>
  <si>
    <t>Hòa Thắng, Hữu Lũng</t>
  </si>
  <si>
    <t>Hòa Thắng</t>
  </si>
  <si>
    <t xml:space="preserve"> Số 50,Mỹ Sơn</t>
  </si>
  <si>
    <t>Tin học quản lý</t>
  </si>
  <si>
    <t>ĐH Mở Hà Nội</t>
  </si>
  <si>
    <t>BV0660</t>
  </si>
  <si>
    <t>Hoàng Đình Dũng</t>
  </si>
  <si>
    <t>CCCD: 020082002600 
cấp ngày 29/04/2021  
Tại Cục cảnh sát quản lý hành chính về trật tự xã hội</t>
  </si>
  <si>
    <t>080972902</t>
  </si>
  <si>
    <t>21/09/2000</t>
  </si>
  <si>
    <t>Hưng Vũ, Bắc Sơn</t>
  </si>
  <si>
    <t>Xuân Giao</t>
  </si>
  <si>
    <t>Công nghệ thông tin</t>
  </si>
  <si>
    <t>ĐH Công nghệ thông tin Thái Nguyên</t>
  </si>
  <si>
    <t>BV0662</t>
  </si>
  <si>
    <t>Nông Hoàng Phương</t>
  </si>
  <si>
    <t>CCCD: 020085000852 
cấp ngày 27/03/2021  
Tại Cục cảnh sát quản lý hành chính về trật tự xã hội</t>
  </si>
  <si>
    <t>081016193</t>
  </si>
  <si>
    <t>10/12/2002</t>
  </si>
  <si>
    <t>TT Đồng Mỏ, Chi Lăng</t>
  </si>
  <si>
    <t>Huyện Văng Lãng</t>
  </si>
  <si>
    <t>Khu Thống Nhất</t>
  </si>
  <si>
    <t>ĐH Quốc gia TPHCM</t>
  </si>
  <si>
    <t>BV0663</t>
  </si>
  <si>
    <t>Nguyễn Thiện An</t>
  </si>
  <si>
    <t xml:space="preserve">CCCD: 040084003273
Ngày cấp 31/03/2021 
Tại Cục cảnh sát quản lý hành chính về trật tự xã hội
 </t>
  </si>
  <si>
    <t>086137560</t>
  </si>
  <si>
    <t>24/7/2013</t>
  </si>
  <si>
    <t>Nghệ An</t>
  </si>
  <si>
    <t>Kỳ Sơn, Tân Kỳ, Nghệ An</t>
  </si>
  <si>
    <t>Nam Cường</t>
  </si>
  <si>
    <t>27/1 Trần Quang Khải</t>
  </si>
  <si>
    <t>ĐH Bách Khoa Nà Nẵng</t>
  </si>
  <si>
    <t>BV1066</t>
  </si>
  <si>
    <t>Hoàng Thế Lâm</t>
  </si>
  <si>
    <t>2011001131</t>
  </si>
  <si>
    <t>CCCD: 025087001673
cấp ngày 29/04/2021  
Tại Cục cảnh sát quản lý hành chính về trật tự xã hội</t>
  </si>
  <si>
    <t>081048684</t>
  </si>
  <si>
    <t>Tổ 2 khối 6</t>
  </si>
  <si>
    <t>Lạng sơn</t>
  </si>
  <si>
    <t>BV0665</t>
  </si>
  <si>
    <t>Nguyễn Việt Hà</t>
  </si>
  <si>
    <t>CCCD: 020085002388
Ngày cấp 24/04/2021  
Tại Cục cảnh sát quản lý hành chính về trật tự xã hội</t>
  </si>
  <si>
    <t>081064235</t>
  </si>
  <si>
    <t>05/04/2005</t>
  </si>
  <si>
    <t>Yên Phúc, Văn Quan</t>
  </si>
  <si>
    <t>Số 2/2K2 đường Lê Lợi</t>
  </si>
  <si>
    <t>01/01/2011</t>
  </si>
  <si>
    <t>ĐH Công nghệ Thông tin và Truyền thông</t>
  </si>
  <si>
    <t>BV0853</t>
  </si>
  <si>
    <t>Đặng Huy Đức</t>
  </si>
  <si>
    <t>2009001770</t>
  </si>
  <si>
    <t>CCCD: 020082008345 
cấp ngày 13/08/2021  
Tại Cục cảnh sát quản lý hành chính về trật tự xã hội</t>
  </si>
  <si>
    <t>25/4/1982</t>
  </si>
  <si>
    <t>080986659</t>
  </si>
  <si>
    <t>14/07/2015</t>
  </si>
  <si>
    <t>Đường Lê lợi</t>
  </si>
  <si>
    <t>12/11/2018</t>
  </si>
  <si>
    <t>V11.06.14</t>
  </si>
  <si>
    <t>BV1160</t>
  </si>
  <si>
    <t>Hoàng Thị Mai Trinh</t>
  </si>
  <si>
    <t>082100995, ngày cấp 20/9/2013, công an tỉnh lạng sơn</t>
  </si>
  <si>
    <t>01/05/1990</t>
  </si>
  <si>
    <t>06/9/2021</t>
  </si>
  <si>
    <t>09/4/2026</t>
  </si>
  <si>
    <t>BV1167</t>
  </si>
  <si>
    <t>Nguyễn Thị Duyên</t>
  </si>
  <si>
    <t>082256136 cấp ngày 13/2/2010 công an tỉnh Lạng Sơn</t>
  </si>
  <si>
    <t>24/08/1993</t>
  </si>
  <si>
    <t>08/11/2021</t>
  </si>
  <si>
    <t>20/12/2024</t>
  </si>
  <si>
    <t>BV1161</t>
  </si>
  <si>
    <t>Hoàng Thị Thu Hằng</t>
  </si>
  <si>
    <t>CCCD: 020192004172
Ngày cấp: 14/08/2021, nơi cấp: Cục cảnh sát quản lý hành chính và trật tự xã hội</t>
  </si>
  <si>
    <t>10/11/1992</t>
  </si>
  <si>
    <t>10/9/2021</t>
  </si>
  <si>
    <t>BV1162</t>
  </si>
  <si>
    <t>Trần Tuấn Hùng</t>
  </si>
  <si>
    <t>CCCD: 020092007670
Ngày cấp: 09/5/2021
Tại Cục cảnh sát quản lý hành chính về trật tự xã hội</t>
  </si>
  <si>
    <t>25/12/1992</t>
  </si>
  <si>
    <t>20/10/2021</t>
  </si>
  <si>
    <t>TCNH</t>
  </si>
  <si>
    <t>BV1175</t>
  </si>
  <si>
    <t>Ngô Hồng Lan</t>
  </si>
  <si>
    <t xml:space="preserve">082176127, ngày cấp: 23/6/2008; nơi cấp: Công an tỉnh Lạng Sơn </t>
  </si>
  <si>
    <t>020193000489</t>
  </si>
  <si>
    <t>Bắc Thủy</t>
  </si>
  <si>
    <t>236 Lê Lợi</t>
  </si>
  <si>
    <t>Thị Trấn Chi Lăng</t>
  </si>
  <si>
    <t>04/5/2022</t>
  </si>
  <si>
    <t>Tin B</t>
  </si>
  <si>
    <t>BV1174</t>
  </si>
  <si>
    <t>Nông Thị Bích Hà</t>
  </si>
  <si>
    <t>CCCD: 020187006850
ngày cấp 24/6/2021
Tại Cục cảnh sát quản lý hành chính về trật tự xã hội</t>
  </si>
  <si>
    <t>082016680</t>
  </si>
  <si>
    <t>89 Minh Khai, TT Lộc Bình, huyện Lộc Bình, tỉnh Lạng Sơn</t>
  </si>
  <si>
    <t>V.08.06.15</t>
  </si>
  <si>
    <t>15/7/2023</t>
  </si>
  <si>
    <t>Anh A2</t>
  </si>
  <si>
    <t>Cơ bản</t>
  </si>
  <si>
    <t>BV1280</t>
  </si>
  <si>
    <t>Linh Thị Diệu Hiền</t>
  </si>
  <si>
    <t>23/4/1995</t>
  </si>
  <si>
    <t>020195001612</t>
  </si>
  <si>
    <t>24/8/2022</t>
  </si>
  <si>
    <t>Bác sĩ</t>
  </si>
  <si>
    <t>BV1246</t>
  </si>
  <si>
    <t>Nông Thị Phượng</t>
  </si>
  <si>
    <t>BV0725</t>
  </si>
  <si>
    <t>Tô Thị Mơ</t>
  </si>
  <si>
    <t>29/8/2016</t>
  </si>
  <si>
    <t>18/8/2023</t>
  </si>
  <si>
    <t>BV0610</t>
  </si>
  <si>
    <t>Nông Chí Kiên</t>
  </si>
  <si>
    <t>082061353</t>
  </si>
  <si>
    <t>03/10/2005</t>
  </si>
  <si>
    <t>7/10</t>
  </si>
  <si>
    <t>BV0609</t>
  </si>
  <si>
    <t>Hoàng Văn Hưng</t>
  </si>
  <si>
    <t>080981269</t>
  </si>
  <si>
    <t>21/02/1998</t>
  </si>
  <si>
    <t>Bình phúc văn Quan</t>
  </si>
  <si>
    <t>Bình Phúc</t>
  </si>
  <si>
    <t>170 đường Trần Quang Khải</t>
  </si>
  <si>
    <t>1/12/2005</t>
  </si>
  <si>
    <t>1.90</t>
  </si>
  <si>
    <t>9/12</t>
  </si>
  <si>
    <t>BV0204</t>
  </si>
  <si>
    <t>Ngô Thị Lý</t>
  </si>
  <si>
    <t>080953397</t>
  </si>
  <si>
    <t>10/04/2003</t>
  </si>
  <si>
    <t>8/11/1993</t>
  </si>
  <si>
    <t>Chứng chỉ</t>
  </si>
  <si>
    <t>Nghiệp vụ hộ lý</t>
  </si>
  <si>
    <t>BV0118</t>
  </si>
  <si>
    <t>Vi Thị May</t>
  </si>
  <si>
    <t>081016768</t>
  </si>
  <si>
    <t>11/03/2003</t>
  </si>
  <si>
    <t>Xã Mai Sao, huyện Chi Lăng, tỉnh Lạng Sơn</t>
  </si>
  <si>
    <t>15/6/2006</t>
  </si>
  <si>
    <t>BV0203</t>
  </si>
  <si>
    <t>Vi Thị Hà</t>
  </si>
  <si>
    <t>081025803</t>
  </si>
  <si>
    <t>13/04/2001</t>
  </si>
  <si>
    <t>Xã Đông Quan, huyện Lộc Bình, tỉnh Lạng Sơn</t>
  </si>
  <si>
    <t>1/9/2006</t>
  </si>
  <si>
    <t>BV0420</t>
  </si>
  <si>
    <t>Hoàng Thị Phương</t>
  </si>
  <si>
    <t>080944742</t>
  </si>
  <si>
    <t>07/02/2003</t>
  </si>
  <si>
    <t>BV0239</t>
  </si>
  <si>
    <t>Nông Thị Đường</t>
  </si>
  <si>
    <t>082001354</t>
  </si>
  <si>
    <t>21/11/2003</t>
  </si>
  <si>
    <t>10/5/1999</t>
  </si>
  <si>
    <t>BV0043</t>
  </si>
  <si>
    <t>020187006390, ngày cấp 25/6/2021. Cục trưởng cục cảnh sát quản lý HC về TTXH</t>
  </si>
  <si>
    <t>080916940</t>
  </si>
  <si>
    <t>25/12/1987</t>
  </si>
  <si>
    <t>Xã Xuân Mai, huyện Văn Quan, tỉnh Lạng Sơn</t>
  </si>
  <si>
    <t>1/4/1996</t>
  </si>
  <si>
    <t>BV0562</t>
  </si>
  <si>
    <t>Hoàng Thị Hồng Nhung</t>
  </si>
  <si>
    <t>080992048</t>
  </si>
  <si>
    <t>19/6/1998</t>
  </si>
  <si>
    <t>BV0294</t>
  </si>
  <si>
    <t>Lê Thị Biển</t>
  </si>
  <si>
    <t>081025728</t>
  </si>
  <si>
    <t>30/3/2001</t>
  </si>
  <si>
    <t>15/8/1998</t>
  </si>
  <si>
    <t>9/10</t>
  </si>
  <si>
    <t>Dược tá; Chứng chỉ Hộ lý</t>
  </si>
  <si>
    <t>10/4/2018</t>
  </si>
  <si>
    <t>BV0452</t>
  </si>
  <si>
    <t>Vi Thị Đông</t>
  </si>
  <si>
    <t>080829649</t>
  </si>
  <si>
    <t>BV0602</t>
  </si>
  <si>
    <t>Trần Nam Trung</t>
  </si>
  <si>
    <t>080979678</t>
  </si>
  <si>
    <t>04/03/2011</t>
  </si>
  <si>
    <t>15/4/2005</t>
  </si>
  <si>
    <t>BV0603</t>
  </si>
  <si>
    <t>Dương Công Đức</t>
  </si>
  <si>
    <t>082048876</t>
  </si>
  <si>
    <t>21/04/2005</t>
  </si>
  <si>
    <t>Hưng Vuc, Bắc Sơn</t>
  </si>
  <si>
    <t>Số 96 đường Bến Bắc</t>
  </si>
  <si>
    <t>5/5/2009</t>
  </si>
  <si>
    <t>BV0604</t>
  </si>
  <si>
    <t>Lê Trọng Lựu</t>
  </si>
  <si>
    <t>082021125</t>
  </si>
  <si>
    <t>Quốc Việt, Tràng Định</t>
  </si>
  <si>
    <t>Nặm Thoỏng</t>
  </si>
  <si>
    <t>3/6/2008</t>
  </si>
  <si>
    <t>11/12</t>
  </si>
  <si>
    <t>BV0605</t>
  </si>
  <si>
    <t>Đinh Phúc Thịnh</t>
  </si>
  <si>
    <t>080982391</t>
  </si>
  <si>
    <t>20/03/1999</t>
  </si>
  <si>
    <t>BV0606</t>
  </si>
  <si>
    <t>Hà Văn Hàm</t>
  </si>
  <si>
    <t>081030324</t>
  </si>
  <si>
    <t>27/06/2003</t>
  </si>
  <si>
    <t>136 đường Nhị Thanh</t>
  </si>
  <si>
    <t>07/11/2013</t>
  </si>
  <si>
    <t>Giấy phép lái xe</t>
  </si>
  <si>
    <t>BV0629</t>
  </si>
  <si>
    <t>Vy Mạnh Hùng</t>
  </si>
  <si>
    <t>14/02/1990</t>
  </si>
  <si>
    <t>082181351</t>
  </si>
  <si>
    <t>24/11/2008</t>
  </si>
  <si>
    <t>Thị trấn Lộc Bình, huyện Lộc Bình, tỉnh Lạng Sơn</t>
  </si>
  <si>
    <t>03/01/2017</t>
  </si>
  <si>
    <t>BV0615</t>
  </si>
  <si>
    <t>Nguyễn Đức Long</t>
  </si>
  <si>
    <t>CCCD: 020081007165
Ngày cấp: 14/8/2021
Tại Cục cảnh sát quản lý hành chính về trật tự xã hội</t>
  </si>
  <si>
    <t>080982269</t>
  </si>
  <si>
    <t>14/07/2009</t>
  </si>
  <si>
    <t>Hà Kỳ, Tứ Kỳ</t>
  </si>
  <si>
    <t>Hà Kỳ</t>
  </si>
  <si>
    <t>Huyện Tứ Kỳ</t>
  </si>
  <si>
    <t>41 Ngõ 2 Đèo Giang</t>
  </si>
  <si>
    <t>1/8/2004</t>
  </si>
  <si>
    <t>Bằng nghề</t>
  </si>
  <si>
    <t>Trung học CN cơ Điện</t>
  </si>
  <si>
    <t>BV0616</t>
  </si>
  <si>
    <t>Nguyễn Minh Tùng</t>
  </si>
  <si>
    <t>CCCD: 020084002682
Ngày cấp: 29/4/2021
Tại Cục cảnh sát quản lý hành chính về trật tự xã hội</t>
  </si>
  <si>
    <t>081042250</t>
  </si>
  <si>
    <t>11/11/2014</t>
  </si>
  <si>
    <t>Đề Thám, Tràng Định</t>
  </si>
  <si>
    <t>Đề Thám</t>
  </si>
  <si>
    <t>1/7/2009</t>
  </si>
  <si>
    <t>CĐ Công nghiệp Sao đỏ</t>
  </si>
  <si>
    <t>BV0582</t>
  </si>
  <si>
    <t>Trịnh Tuấn Hùng</t>
  </si>
  <si>
    <t>080812860</t>
  </si>
  <si>
    <t>22/07/1992</t>
  </si>
  <si>
    <t xml:space="preserve">Phúc Yên </t>
  </si>
  <si>
    <t>Mê Linh</t>
  </si>
  <si>
    <t>13 Đường Hùng Vương</t>
  </si>
  <si>
    <t>Bằng Nghề Kỹ thuật thiết bị y tế</t>
  </si>
  <si>
    <t>Quản lý, giám sát chất lượng nước RO dùng cho kỹ thuật chạy thận nhân tạo theo quy định mới của BYT</t>
  </si>
  <si>
    <t>BV0585</t>
  </si>
  <si>
    <t>Lưu Đức Anh</t>
  </si>
  <si>
    <t>082061729</t>
  </si>
  <si>
    <t>02/12/2005</t>
  </si>
  <si>
    <t>Kim Động</t>
  </si>
  <si>
    <t>Hưng Yên</t>
  </si>
  <si>
    <t>Huyện Kim Động</t>
  </si>
  <si>
    <t>số 14 ngõ I Nguyễn Du</t>
  </si>
  <si>
    <t xml:space="preserve">CĐ Nghề Thiế bị y tế </t>
  </si>
  <si>
    <t>BV0533</t>
  </si>
  <si>
    <t>Hoàng Thị Lan</t>
  </si>
  <si>
    <t>081057648</t>
  </si>
  <si>
    <t>20/04/2000</t>
  </si>
  <si>
    <t>1/12/2006</t>
  </si>
  <si>
    <t>BV0144</t>
  </si>
  <si>
    <t>Hà Thị Kim</t>
  </si>
  <si>
    <t>080963182</t>
  </si>
  <si>
    <t>17/06/2011</t>
  </si>
  <si>
    <t>5/3/2012</t>
  </si>
  <si>
    <t>BV0454</t>
  </si>
  <si>
    <t>La Thị Hiền</t>
  </si>
  <si>
    <t>081057189</t>
  </si>
  <si>
    <t>1/11/2004</t>
  </si>
  <si>
    <t>BV0566</t>
  </si>
  <si>
    <t>Linh Chí Thiệu</t>
  </si>
  <si>
    <t>080952863</t>
  </si>
  <si>
    <t>25/04/2014</t>
  </si>
  <si>
    <t>Bản Pè</t>
  </si>
  <si>
    <t>1/4/2010</t>
  </si>
  <si>
    <t>BV0567</t>
  </si>
  <si>
    <t>Triệu Văn Hải</t>
  </si>
  <si>
    <t>080814786</t>
  </si>
  <si>
    <t>14/07/2003</t>
  </si>
  <si>
    <t>BV0390</t>
  </si>
  <si>
    <t>Lương Thị Yêu</t>
  </si>
  <si>
    <t>081056673</t>
  </si>
  <si>
    <t>29/03/2013</t>
  </si>
  <si>
    <t>CN Nghiệp vụ hộ lý BV</t>
  </si>
  <si>
    <t>BV0929</t>
  </si>
  <si>
    <t>Triệu Thị Hạ</t>
  </si>
  <si>
    <t>2020574214</t>
  </si>
  <si>
    <t>CCCD: 020193002215, 
Ngày cấp 29/04/2021, 
Tại Cục cảnh sát quản lý hành chính về trật tự xã hội</t>
  </si>
  <si>
    <t>10/3/1993</t>
  </si>
  <si>
    <t>082256915</t>
  </si>
  <si>
    <t>22/3/2011</t>
  </si>
  <si>
    <t>Công an tỉnh Lạng Sơn</t>
  </si>
  <si>
    <t>xã Gia Lộc, huyện Chi Lăng, tỉnh Lạng Sơn</t>
  </si>
  <si>
    <t>19/8/2019</t>
  </si>
  <si>
    <t>2.67</t>
  </si>
  <si>
    <t>ĐH Y Dược TN</t>
  </si>
  <si>
    <t>Kỹ thuật siêu âm ổ bụng tổng quát; Kỹ thuật ghi và đọc điện tâm đồ cơ bản</t>
  </si>
  <si>
    <t>BV0959</t>
  </si>
  <si>
    <t>Liễu Thị Ngân</t>
  </si>
  <si>
    <t>2020238822</t>
  </si>
  <si>
    <t>CCCD: 020194010077, 
Ngày cấp 25/06/2021, 
Tại Cục cảnh sát quản lý hành chính về trật tự xã hội</t>
  </si>
  <si>
    <t>12/3/1994</t>
  </si>
  <si>
    <t>082190533</t>
  </si>
  <si>
    <t>09/3/2012</t>
  </si>
  <si>
    <t>Xã Tân Mỹ, huyện Văn Lãng, tỉnh Lạng Sơn</t>
  </si>
  <si>
    <t>10/12/2019</t>
  </si>
  <si>
    <t>2012 - 2018</t>
  </si>
  <si>
    <t>BV0773</t>
  </si>
  <si>
    <t>Dương Tuấn Minh</t>
  </si>
  <si>
    <t xml:space="preserve">CCCD: 020092002148; ngày cấp 29/04/2021; Nơi cấp: Cục trưởng cục cảnh sát quản lý hành chính về trật tự xã hội </t>
  </si>
  <si>
    <t>20/10/1992</t>
  </si>
  <si>
    <t>082230041</t>
  </si>
  <si>
    <t>08/09/2013</t>
  </si>
  <si>
    <t>Chiêu Vũ</t>
  </si>
  <si>
    <t>Bắc Sơn, Bắc Sơn, Lạng Sơn</t>
  </si>
  <si>
    <t>3.00</t>
  </si>
  <si>
    <t>IC3</t>
  </si>
  <si>
    <t>BV0931</t>
  </si>
  <si>
    <t>Đinh Thu Hoài</t>
  </si>
  <si>
    <t>2020872819</t>
  </si>
  <si>
    <t xml:space="preserve">CCCD: 020195001623; Ngày cấp 20/04/2021; Nơi cấp: Cục trưởng cục cảnh sát quản lý hành chính về trật tự xã hội </t>
  </si>
  <si>
    <t>26/3/1995</t>
  </si>
  <si>
    <t>082190971</t>
  </si>
  <si>
    <t>08/4/2014</t>
  </si>
  <si>
    <t>Khối I, phường Tam Thanh, TP Lạng Sơn, tỉnh Lạng Sơn</t>
  </si>
  <si>
    <t>Khối I, phường Tam Thanh, thành phố Lạng Sơn, tỉnh Lạng Sơn</t>
  </si>
  <si>
    <t>Bác sĩ đa khoa</t>
  </si>
  <si>
    <t>BV0960</t>
  </si>
  <si>
    <t>Đào Thị Hồng Nhung</t>
  </si>
  <si>
    <t>2020025483</t>
  </si>
  <si>
    <t xml:space="preserve">CCCD: 020194000469; ngày cấp 08/04/2021; Nơi cấp: Cục trưởng cục cảnh sát quản lý hành chính về trật tự xã hội </t>
  </si>
  <si>
    <t>15/4/1994</t>
  </si>
  <si>
    <t>082207692</t>
  </si>
  <si>
    <t>28/7/2009</t>
  </si>
  <si>
    <t>Huyện Ninh Giang, tỉnh Hải Dương</t>
  </si>
  <si>
    <t>Xã Hoàng Đồng, thành phố Lạng Sơn, tỉnh Lạng Sơn</t>
  </si>
  <si>
    <t>02/12/2019</t>
  </si>
  <si>
    <t>BV0936</t>
  </si>
  <si>
    <t>Lăng Thị Thảo</t>
  </si>
  <si>
    <t>2020606068</t>
  </si>
  <si>
    <t>CMT: 082296455, 
Ngày cấp 02/02/2013, 
CA tỉnh Lạng Sơn</t>
  </si>
  <si>
    <t>12/5/1995</t>
  </si>
  <si>
    <t>082296455</t>
  </si>
  <si>
    <t>Tồng Cút, xã Bắc Thủy, huyện Chi Lăng, tỉnh Lạng Sơn</t>
  </si>
  <si>
    <t>15/8/2019</t>
  </si>
  <si>
    <t>BV1039</t>
  </si>
  <si>
    <t>Hoàng Thị Thêm</t>
  </si>
  <si>
    <t>2020681048</t>
  </si>
  <si>
    <t>CCCD: 020195001872, 
ngày cấp 29/4/2021, 
Tại Cục cảnh sát quản lý hành chính về trật tự xã hội</t>
  </si>
  <si>
    <t>08/9/1995</t>
  </si>
  <si>
    <t>082258043</t>
  </si>
  <si>
    <t>27/10/2010</t>
  </si>
  <si>
    <t>0372033987</t>
  </si>
  <si>
    <t>thôn Tồng Nộc, xã Thiện Long, huyện Bình Gia, tỉnh Lạng Sơn</t>
  </si>
  <si>
    <t>13/7/2020</t>
  </si>
  <si>
    <t>BV1025</t>
  </si>
  <si>
    <t>Trương Trung Nghĩa</t>
  </si>
  <si>
    <t>2020863594</t>
  </si>
  <si>
    <t xml:space="preserve">020093001249, cấp ngày 25/4/2021, tại cục CSQLHC về TTXH </t>
  </si>
  <si>
    <t>04/8/1993</t>
  </si>
  <si>
    <t>082238348</t>
  </si>
  <si>
    <t>04/5/2020</t>
  </si>
  <si>
    <t>BV0932</t>
  </si>
  <si>
    <t>Hứa Minh Huyền</t>
  </si>
  <si>
    <t>2020017106</t>
  </si>
  <si>
    <t xml:space="preserve">020195005088, cấp ngày 25/6/2021, tại cục CSQLHC về TTXH </t>
  </si>
  <si>
    <t>02/8/1995</t>
  </si>
  <si>
    <t>082242515</t>
  </si>
  <si>
    <t>16/8/2010</t>
  </si>
  <si>
    <t>472B Bà Triệu, phường Đông Kinh, TP Lạng Sơn, tỉnh Lạng Sơn</t>
  </si>
  <si>
    <t>664 Bà Triệu, phường Đông Kinh, thành phố Lạng Sơn, tỉnh Lạng Sơn</t>
  </si>
  <si>
    <t>BV0957</t>
  </si>
  <si>
    <t>Phương Thanh Tâm</t>
  </si>
  <si>
    <t>2020234682</t>
  </si>
  <si>
    <t>CCCD: 02019302197 
cấp ngày 29/4/2021.
Tại Cục cảnh sát quản lý hành chính về trật tự xã hội</t>
  </si>
  <si>
    <t>29/9/1993</t>
  </si>
  <si>
    <t>082200203</t>
  </si>
  <si>
    <t>26/2/2009</t>
  </si>
  <si>
    <t>Xã Hồng Thái, huyện Văn Lãng, tỉnh Lạng Sơn</t>
  </si>
  <si>
    <t>Xã Tân Thanh, huyện Văn Lãng, tỉnh Lạng Sơn</t>
  </si>
  <si>
    <t>BV1063</t>
  </si>
  <si>
    <t>Phạm Thị Trang</t>
  </si>
  <si>
    <t>2020256389</t>
  </si>
  <si>
    <t>CCCD: 020195008464
cấp ngày 09/05/2021 
Tại Cục cảnh sát quản lý hành chính về trật tự xã hội</t>
  </si>
  <si>
    <t>082233522</t>
  </si>
  <si>
    <t>Xã Gia Cát, Huyện Cao Lộc, Tỉnh Lạng Sơn</t>
  </si>
  <si>
    <t xml:space="preserve">11/8/2020 </t>
  </si>
  <si>
    <t>BV0938</t>
  </si>
  <si>
    <t>Hoàng Thị Phương Linh</t>
  </si>
  <si>
    <t>2020863588</t>
  </si>
  <si>
    <t>020194000253 cấp ngày 25/3/2021, nơi cấp: Cục cảnh sát quản lý hành chính và trật tự xã hội</t>
  </si>
  <si>
    <t>26/11/1994</t>
  </si>
  <si>
    <t>082207888</t>
  </si>
  <si>
    <t>02/8/2017</t>
  </si>
  <si>
    <t>Huyện Cao Lộc, tỉnh Lạng Sơn</t>
  </si>
  <si>
    <t>Ngõ 242 Ngô Quyền, TP Lạng Sơn, tỉnh Lạng Sơn</t>
  </si>
  <si>
    <t>Ngõ 242 Ngô Quyền, thành phố Lạng Sơn, tỉnh Lạng Sơn</t>
  </si>
  <si>
    <t>BV1036</t>
  </si>
  <si>
    <t>Chu Việt Dũng</t>
  </si>
  <si>
    <t>2020010220</t>
  </si>
  <si>
    <t>CCCD: 020094004565
ngày cấp 25/06/2021
Tại Cục cảnh sát quản lý hành chính về trật tự xã hội</t>
  </si>
  <si>
    <t>08/8/1994</t>
  </si>
  <si>
    <t>082222151</t>
  </si>
  <si>
    <t>0343656628</t>
  </si>
  <si>
    <t>BV0944</t>
  </si>
  <si>
    <t>Hoàng Minh Trang</t>
  </si>
  <si>
    <t>2020083242</t>
  </si>
  <si>
    <t>020195010519, cấp ngày 4/3/2022, nơi cấp cục trưởng cục cảnh sát</t>
  </si>
  <si>
    <t>27/8/1995</t>
  </si>
  <si>
    <t>082283032</t>
  </si>
  <si>
    <t>11/5/2012</t>
  </si>
  <si>
    <t>Thôn Lũng Phầy, Xã Chí Minh, huyện Tràng Định, tỉnh Lạng Sơn</t>
  </si>
  <si>
    <t>BV0943</t>
  </si>
  <si>
    <t>Hoàng Thị Mỹ Linh</t>
  </si>
  <si>
    <t>2020948301</t>
  </si>
  <si>
    <t>CMND 070951415 Ngày cấp 24/9/2014. Nơi cấp CA tỉnh Tuyên Quang</t>
  </si>
  <si>
    <t>01/9/1993</t>
  </si>
  <si>
    <t>070951415</t>
  </si>
  <si>
    <t>24/9/2014</t>
  </si>
  <si>
    <t>Số 98 tổ dân phố Bắc Mục, thị trấn Tân Yên, huyện Hàm Yên, tỉnh Tuyên Quang</t>
  </si>
  <si>
    <t>Thôn Bầm, xã Quyết Thắng, huyện Hữu Lũng, tỉnh Lạng Sơn</t>
  </si>
  <si>
    <t>26/8/2019</t>
  </si>
  <si>
    <t>BV1035</t>
  </si>
  <si>
    <t>Hoàng Phan Hùng</t>
  </si>
  <si>
    <t>2020863585</t>
  </si>
  <si>
    <t>CCCD: 020094008069
Ngày cấp: 25/6/2021, nơi cấp: Cục cảnh sát quản lý hành chính và trật tự xã hội</t>
  </si>
  <si>
    <t>09/7/1994</t>
  </si>
  <si>
    <t>082222042</t>
  </si>
  <si>
    <t>16/12/2019</t>
  </si>
  <si>
    <t>0398916994</t>
  </si>
  <si>
    <t>Xã Mai Pha, Thành phố Lạng Sơn, Tỉnh Lạng Sơn</t>
  </si>
  <si>
    <t>01/7/2020</t>
  </si>
  <si>
    <t>BV1068</t>
  </si>
  <si>
    <t>Nguyễn Độ Vỹ</t>
  </si>
  <si>
    <t>2020380908</t>
  </si>
  <si>
    <t>CCCD: 020095001785
Ngày cấp: 29/4/2021, nơi cấp: Cục cảnh sát quản lý hành chính và trật tự xã hội</t>
  </si>
  <si>
    <t>082284358</t>
  </si>
  <si>
    <t>Hưng Vũ</t>
  </si>
  <si>
    <t>Xã Hưng Vũ, huyên Bắc Sơn, tỉnh Lạng Sơn</t>
  </si>
  <si>
    <t>BV1061</t>
  </si>
  <si>
    <t>Chu Hà Thành</t>
  </si>
  <si>
    <t>2020030850</t>
  </si>
  <si>
    <t>020094000666, ngày cấp 31/3/2021, cục cảnh sát QLHCVTTXH</t>
  </si>
  <si>
    <t>082219818</t>
  </si>
  <si>
    <t>Số 9 ngõ Phan Huy Chú, phường Chi Lăng, thành phố Lạng Sơn, tỉnh Lạng Sơn</t>
  </si>
  <si>
    <t>28/7/2020</t>
  </si>
  <si>
    <t>BV0946</t>
  </si>
  <si>
    <t>Vy Thị Như Quỳnh</t>
  </si>
  <si>
    <t>2020444974</t>
  </si>
  <si>
    <t>020194008613,
Ngày cấp 25/06/2021, nơi cấp: Cục cảnh sát quản lý hành chính và trật tự xã hội</t>
  </si>
  <si>
    <t>07/9/1994</t>
  </si>
  <si>
    <t>082230413</t>
  </si>
  <si>
    <t>09/3/2010</t>
  </si>
  <si>
    <t>Thôn Pác Yếng, xã Đồng Ý, huyện Bắc Sơn, tỉnh Lạng Sơn</t>
  </si>
  <si>
    <t>Thôn Hợp Thành, xã Đồng Ý, huyện Bắc Sơn, tỉnh Lạng Sơn</t>
  </si>
  <si>
    <t>BV0796</t>
  </si>
  <si>
    <t>Hoàng Hồng Nguyên</t>
  </si>
  <si>
    <t>020093001129, ngày cấp 29/4/2021, nơi cấp: Cục trưởng cục cảnh sát quản lý HC về TTXH</t>
  </si>
  <si>
    <t>082190427</t>
  </si>
  <si>
    <t>27/12/2009</t>
  </si>
  <si>
    <t>Lục Thôn</t>
  </si>
  <si>
    <t>TT Lộc Bình, Lộc Bình, Lạng Sơn</t>
  </si>
  <si>
    <t xml:space="preserve"> 02/10/2017</t>
  </si>
  <si>
    <t>UDCNTTCB</t>
  </si>
  <si>
    <t>BV0963</t>
  </si>
  <si>
    <t>Trương Thanh Trì</t>
  </si>
  <si>
    <t>2020529695</t>
  </si>
  <si>
    <t>020095001786 cấp ngày 29/4/2021, nơi cấp: Cục trưởng cục cảnh sát quản lý HC về TTXH</t>
  </si>
  <si>
    <t>07/01/1995</t>
  </si>
  <si>
    <t>082288813</t>
  </si>
  <si>
    <t>26/10/2012</t>
  </si>
  <si>
    <t>Xã Trung Hóa, huyện Minh Hóa, tỉnh Quảng Bình</t>
  </si>
  <si>
    <t>Xã Hòa Lạc, huyện Hữu Lũng, tỉnh Lạng Sơn</t>
  </si>
  <si>
    <t>2013 - 2019</t>
  </si>
  <si>
    <t>BV0949</t>
  </si>
  <si>
    <t>Đinh Quang Hưng</t>
  </si>
  <si>
    <t>2020075131</t>
  </si>
  <si>
    <t>20093002101, ngày cấp 29/4/2021, Cục cảnh sát quản lý hành chính về trật tự xã hội</t>
  </si>
  <si>
    <t>23/2/1993</t>
  </si>
  <si>
    <t>082190450</t>
  </si>
  <si>
    <t>Đường Nhị Thanh, phường Tam Thanh, TP Lạng Sơn, tỉnh Lạng Sơn</t>
  </si>
  <si>
    <t>Đường Nhị Thanh, phường Tam Thanh, thành phố Lạng Sơn, tỉnh Lạng Sơn</t>
  </si>
  <si>
    <t>BV1111</t>
  </si>
  <si>
    <t>Triệu Đoàn Thùy Linh</t>
  </si>
  <si>
    <t>2020861660</t>
  </si>
  <si>
    <t>020196005109, ngày cấp 24/6/2021,  nơi cấp cục cảnh sát quản lý hành chính về trật tự xã hội</t>
  </si>
  <si>
    <t>082265371</t>
  </si>
  <si>
    <t>16/5/2015</t>
  </si>
  <si>
    <t>Số 10/143 đường Chu Văn An, phường Vĩnh Trại, thành phố Lạng Sơn</t>
  </si>
  <si>
    <t>25/1/2021</t>
  </si>
  <si>
    <t>BV1097</t>
  </si>
  <si>
    <t>Nguyễn Tuấn Anh</t>
  </si>
  <si>
    <t>2020263616</t>
  </si>
  <si>
    <t>21/12/1995</t>
  </si>
  <si>
    <t>Số 149 tổ 4, khối 5, xã Hợp Thành, huyện Cao Lộc, tỉnh Lạng Sơn</t>
  </si>
  <si>
    <t>02/12/2020</t>
  </si>
  <si>
    <t>BV1101</t>
  </si>
  <si>
    <t>Lăng Văn Được</t>
  </si>
  <si>
    <t>2020250815</t>
  </si>
  <si>
    <t>09/09/1973</t>
  </si>
  <si>
    <t>BV1103</t>
  </si>
  <si>
    <t>Nguyễn Văn Kiện</t>
  </si>
  <si>
    <t>1506002209</t>
  </si>
  <si>
    <t>20/12/1966</t>
  </si>
  <si>
    <t>Tổ 5 khối 8, phường Vĩnh Trại, thành phố Lạng Sơn, tỉnh Lạng Sơn</t>
  </si>
  <si>
    <t>BV1107</t>
  </si>
  <si>
    <t>Hoàng Văn Thái</t>
  </si>
  <si>
    <t>2015003661</t>
  </si>
  <si>
    <t>CCCD: 020099003648
Ngày cấp: 25/6/2021
Tại Cục cảnh sát quản lý hành chính về trật tự xã hội</t>
  </si>
  <si>
    <t>07/09/1988</t>
  </si>
  <si>
    <t>Số 15/66 Đèo Giang, phường Chi Lăng, thành phố Lạng Sơn, tỉnh Lạng Sơn</t>
  </si>
  <si>
    <t>BV1116</t>
  </si>
  <si>
    <t>Nguyễn Ngọc Anh</t>
  </si>
  <si>
    <t>2020949077</t>
  </si>
  <si>
    <t>CCCD: 020195005716; 
Ngày cấp 25/6/2021
Tại Cục cảnh sát quản lý hành chính về trật tự xã hội</t>
  </si>
  <si>
    <t>082242858</t>
  </si>
  <si>
    <t>30b/2 Chu Văn An, phường Vĩnh Trại, thành phố Lạng Sơn, tỉnh Lạng Sơn</t>
  </si>
  <si>
    <t>04/3/2021</t>
  </si>
  <si>
    <t>BV0995</t>
  </si>
  <si>
    <t>Phạm Bạch Trúc Linh</t>
  </si>
  <si>
    <t>0126405651</t>
  </si>
  <si>
    <t>CCCD: 02019600295; 
Cấp ngày 07/4/2021
Tại Cục cảnh sát quản lý hành chính về trật tự xã hội</t>
  </si>
  <si>
    <t>082308886</t>
  </si>
  <si>
    <t>Phường Hoàng Văn Thụ, thành phố Lạng Sơn, tỉnh Lạng Sơn</t>
  </si>
  <si>
    <t>18/12/2019</t>
  </si>
  <si>
    <t>20/12/2023</t>
  </si>
  <si>
    <t>BV0798</t>
  </si>
  <si>
    <t>Trần Thị Lan</t>
  </si>
  <si>
    <t>CCCD: 020192010818; 
Cấp ngày 25/6/2021
Tại Cục cảnh sát quản lý hành chính về trật tự xã hội</t>
  </si>
  <si>
    <t>082122609</t>
  </si>
  <si>
    <t>06/12/2007</t>
  </si>
  <si>
    <t>Lương Năng</t>
  </si>
  <si>
    <t>Khối 8, phường Đông Kinh, thành phố Lạng Sơn</t>
  </si>
  <si>
    <t>22/5/2017</t>
  </si>
  <si>
    <t>Luật Kinh tế</t>
  </si>
  <si>
    <t>ĐH Luật Hà Nội</t>
  </si>
  <si>
    <t>BV0693</t>
  </si>
  <si>
    <t>Phương Nhật Anh</t>
  </si>
  <si>
    <t>CCCD: 020193004449
Ngày cấp: 12/4/2021
Tại Cục cảnh sát quản lý hành chính về trật tự xã hội</t>
  </si>
  <si>
    <t>082190436</t>
  </si>
  <si>
    <t xml:space="preserve">Vĩnh Trại </t>
  </si>
  <si>
    <t>Vĩnh Trại , thành phố Lạng Sơn, Lạng Sơn</t>
  </si>
  <si>
    <t xml:space="preserve"> 01/4/2016</t>
  </si>
  <si>
    <t>ĐH Kinh tế QD</t>
  </si>
  <si>
    <t>CC Kế Toán tổng hợp</t>
  </si>
  <si>
    <t>BV0881</t>
  </si>
  <si>
    <t>Nguyễn Hương Giang</t>
  </si>
  <si>
    <t>2020929732</t>
  </si>
  <si>
    <t>CCCD: 020196000289
Ngày cấp: 08/4/2021
Tại Cục cảnh sát quản lý hành chính về trật tự xã hội</t>
  </si>
  <si>
    <t>11/05/1996</t>
  </si>
  <si>
    <t>082316081</t>
  </si>
  <si>
    <t>11/03/2014</t>
  </si>
  <si>
    <t>Số 27 Đường Phan Huy Chú, Khối Cửa Nam, Phường Chi Lăng, thành phố Lạng Sơn, Tỉnh Lạng Sơn</t>
  </si>
  <si>
    <t>02/01/2019</t>
  </si>
  <si>
    <t>BV0482</t>
  </si>
  <si>
    <t>Hoàng Thị Vân</t>
  </si>
  <si>
    <t>CCCD: 020186010366
Ngày cấp: 8/5/2021,nơi cấp: Cục cảnh sát quản lý hành chính và trật tự xã hội</t>
  </si>
  <si>
    <t>082013537</t>
  </si>
  <si>
    <t>27 ngõ máy kéo, khu thống nhất 2, thị trấn Đồng Mỏ, huyện Chi Lăng, Lạng Sơn</t>
  </si>
  <si>
    <t>01/10/2013</t>
  </si>
  <si>
    <t>01/2/2026</t>
  </si>
  <si>
    <t>BV1000</t>
  </si>
  <si>
    <t>Nguyễn Diệu Quỳnh</t>
  </si>
  <si>
    <t>2020559936</t>
  </si>
  <si>
    <t>CCCD: 020197000358
Ngày cấp: 3/4/2021, nơi cấp: Cục cảnh sát quản lý hành chính và trật tự xã hội</t>
  </si>
  <si>
    <t>02/10/1997</t>
  </si>
  <si>
    <t>09/3/2020</t>
  </si>
  <si>
    <t>2.41</t>
  </si>
  <si>
    <t>CĐ Y tế TN</t>
  </si>
  <si>
    <t>BV1110</t>
  </si>
  <si>
    <t>Nguyễn Thị Huệ</t>
  </si>
  <si>
    <t>2020118574</t>
  </si>
  <si>
    <t>CCCD: 020197001190
Ngày cấp: 29/4/2021, nơi cấp: Cục cảnh sát quản lý hành chính và trật tự xã hội</t>
  </si>
  <si>
    <t>082260199</t>
  </si>
  <si>
    <t>Xã Tân Tiến, huyện Tràng Định, tỉnh Lạng Sơn</t>
  </si>
  <si>
    <t>Tân Tiến</t>
  </si>
  <si>
    <t xml:space="preserve">01/02/2021 </t>
  </si>
  <si>
    <t>BV0446</t>
  </si>
  <si>
    <t>CCCD: 015183000846, 
Ngày cấp: 07/04/2021. 
Tại Cục cảnh sát quản lý hành chính về trật tự xã hội</t>
  </si>
  <si>
    <t>060719209</t>
  </si>
  <si>
    <t>10/06/2001</t>
  </si>
  <si>
    <t>BV0998</t>
  </si>
  <si>
    <t>Ngô Thị Yến</t>
  </si>
  <si>
    <t>0130891784</t>
  </si>
  <si>
    <t>CCCD: 027192000403
Ngày cấp: 10/7/2021, nơi cấp: Cục cảnh sát quản lý hành chính và trật tự xã hội</t>
  </si>
  <si>
    <t>22/12/1992</t>
  </si>
  <si>
    <t>B27 khu N16, thị trấn Cao Lộc, thành phồ LẠng Sơn</t>
  </si>
  <si>
    <t>ĐH Thành đô</t>
  </si>
  <si>
    <t>BV0999</t>
  </si>
  <si>
    <t>Nguyễn Thị Thu Thúy</t>
  </si>
  <si>
    <t>1520038970</t>
  </si>
  <si>
    <t>CCCD: 015193011146
Ngày cấp: 4/9/2021, nơi cấp: Cục cảnh sát quản lý hành chính và trật tự xã hội</t>
  </si>
  <si>
    <t>10/01/1993</t>
  </si>
  <si>
    <t>Xã Điềm He, huyện Văn quan, tỉnh Lạng Sơn</t>
  </si>
  <si>
    <t>ĐH Y dược TN</t>
  </si>
  <si>
    <t>BV0863</t>
  </si>
  <si>
    <t>Hứa Thanh Thùy</t>
  </si>
  <si>
    <t>2016006759</t>
  </si>
  <si>
    <t>CCCD: 020192008865, 
Ngày cấp 25/06/2021, 
Tại Cục cảnh sát quản lý hành chính về trật tự xã hội</t>
  </si>
  <si>
    <t>082220375</t>
  </si>
  <si>
    <t xml:space="preserve">Văn Quan </t>
  </si>
  <si>
    <t>Thôn Quảng Liên III, xã Quảng Lạc, TP. Lạng Sơn</t>
  </si>
  <si>
    <t>BV0870</t>
  </si>
  <si>
    <t>Chu Thị Hoa</t>
  </si>
  <si>
    <t>2414030026</t>
  </si>
  <si>
    <t>CCCD: 020193009231, 
Ngày cấp 25/06/2021,
Tại Cục cảnh sát quản lý hành chính về trật tự xã hội</t>
  </si>
  <si>
    <t>082200223</t>
  </si>
  <si>
    <t>26/02/2009</t>
  </si>
  <si>
    <t>Thôn Nà Quan, xã Hoàng Việt, huyện Văn Lãng, tỉnh Lạng Sơn</t>
  </si>
  <si>
    <t>BV0872</t>
  </si>
  <si>
    <t>Dương Thị Thời</t>
  </si>
  <si>
    <t>2020782090</t>
  </si>
  <si>
    <t>CCCD: 020191002308, 
Ngày cấp 20/04/2021,
Tại Cục cảnh sát quản lý hành chính về trật tự xã hội</t>
  </si>
  <si>
    <t>082199452</t>
  </si>
  <si>
    <t>10/3/2009</t>
  </si>
  <si>
    <t>Phòng 503 D2 khu nhà ở xã hội, phường Đông Kinh, TP. Lạng Sơn</t>
  </si>
  <si>
    <t>BV0721</t>
  </si>
  <si>
    <t>Phương Trung Hữu</t>
  </si>
  <si>
    <t>CCCD: 020091002267, 
Ngày cấp 29/04/2021, 
Tại Cục cảnh sát quản lý hành chính về trật tự xã hội</t>
  </si>
  <si>
    <t>04/6/1991</t>
  </si>
  <si>
    <t>082140071</t>
  </si>
  <si>
    <t>24/4/2008</t>
  </si>
  <si>
    <t>Hội Hoan</t>
  </si>
  <si>
    <t>Hội Hoan, Văn Lãng, Lạng Sơn</t>
  </si>
  <si>
    <t xml:space="preserve"> 29/8/2016</t>
  </si>
  <si>
    <t>BV0899</t>
  </si>
  <si>
    <t>Lăng Thị Lỷ</t>
  </si>
  <si>
    <t>2020255600</t>
  </si>
  <si>
    <t>CCCD: 020197001175, 
Ngày cấp 29/04/2021, 
Tại Cục cảnh sát quản lý hành chính về trật tự xã hội</t>
  </si>
  <si>
    <t>04/10/1997</t>
  </si>
  <si>
    <t>082276537</t>
  </si>
  <si>
    <t>03/9/2014</t>
  </si>
  <si>
    <t>Xã Thanh Lòa, huyện Cao Lộc, tỉnh Lạng Sơn</t>
  </si>
  <si>
    <t>17/4/2019</t>
  </si>
  <si>
    <t>CĐ y tế Lạng Sơn</t>
  </si>
  <si>
    <t>BV1057</t>
  </si>
  <si>
    <t>Phạm Thị Thảo Uyên</t>
  </si>
  <si>
    <t>2020585209</t>
  </si>
  <si>
    <t>CCCD: 020196001335, 
Ngày cấp 29/04/2021, 
Tại Cục cảnh sát quản lý hành chính về trật tự xã hội</t>
  </si>
  <si>
    <t>19/01/1996</t>
  </si>
  <si>
    <t>082278273</t>
  </si>
  <si>
    <t>13/9/2014</t>
  </si>
  <si>
    <t>0859089691</t>
  </si>
  <si>
    <t>Thôn Đồng Đĩnh, xã Chi Lăng, huyện Chi Lăng, tỉnh Lạng Sơn</t>
  </si>
  <si>
    <t>17/08/2018</t>
  </si>
  <si>
    <t>BV1058</t>
  </si>
  <si>
    <t>Nguyễn Thị Linh</t>
  </si>
  <si>
    <t>2020073563</t>
  </si>
  <si>
    <t>CCCD: 020198000229, 
Ngày cấp 08/04/2021, 
Tại Cục cảnh sát quản lý hành chính về trật tự xã hội</t>
  </si>
  <si>
    <t>09/3/1998</t>
  </si>
  <si>
    <t>082308176</t>
  </si>
  <si>
    <t>22/8/2013</t>
  </si>
  <si>
    <t>0981298907</t>
  </si>
  <si>
    <t>Xã Hoàng Đồng, Thành phố Lạng Sơn, Tỉnh Lạng Sơn</t>
  </si>
  <si>
    <t>BV1073</t>
  </si>
  <si>
    <t>Hà Mạnh Chí</t>
  </si>
  <si>
    <t>2020219756</t>
  </si>
  <si>
    <t>CCCD: 020099001007, 
Ngày cấp 29/04/2021,
Tại Cục cảnh sát quản lý hành chính về trật tự xã hội</t>
  </si>
  <si>
    <t>09/10/1999</t>
  </si>
  <si>
    <t>082344321</t>
  </si>
  <si>
    <t>06/11/2015</t>
  </si>
  <si>
    <t>Xã Bắc La, huyện Văn Lãng, tỉnh Lạng Sơn</t>
  </si>
  <si>
    <t>03/11/2020</t>
  </si>
  <si>
    <t>BV1074</t>
  </si>
  <si>
    <t>Nông Thị Điệp</t>
  </si>
  <si>
    <t>2020134944</t>
  </si>
  <si>
    <t>CCCD: 020199007305,
 Ngày cấp 25/06/2021,
Tại Cục cảnh sát quản lý hành chính về trật tự xã hội</t>
  </si>
  <si>
    <t>15/5/1999</t>
  </si>
  <si>
    <t>082333547</t>
  </si>
  <si>
    <t>10/6/2015</t>
  </si>
  <si>
    <t>BV1076</t>
  </si>
  <si>
    <t>Phùng Trung Đức</t>
  </si>
  <si>
    <t>2020324286</t>
  </si>
  <si>
    <t>CCCD: 020099001207, 
Ngày cấp 29/04/2021, 
Tại Cục cảnh sát quản lý hành chính về trật tự xã hội</t>
  </si>
  <si>
    <t>16/3/1999</t>
  </si>
  <si>
    <t>082347296</t>
  </si>
  <si>
    <t>17/9/2016</t>
  </si>
  <si>
    <t>Xã An Sơn, huyện Văn Quan, tỉnh Lạng Sơn</t>
  </si>
  <si>
    <t>BV0714</t>
  </si>
  <si>
    <t>Lương Thị Ly</t>
  </si>
  <si>
    <t xml:space="preserve">CCCD: 020194004104; Ngày cấp: 12/08/2021; Nơi cấp: Cục trưởng cục cảnh sát quản lý hành chính về trật tự xã hội </t>
  </si>
  <si>
    <t>18/12/1994</t>
  </si>
  <si>
    <t>082198780</t>
  </si>
  <si>
    <t>27/7/2013</t>
  </si>
  <si>
    <t>TT Đồng Đăng Cao Lộc, Lạng Sơn</t>
  </si>
  <si>
    <t>BV0715</t>
  </si>
  <si>
    <t>Đoàn Thanh Thủy</t>
  </si>
  <si>
    <t xml:space="preserve">CCCD: 020188005717; Ngày cấp 10/06/2021; Nơi cấp: Cục trưởng cục cảnh sát quản lý hành chính về trật tự xã hội </t>
  </si>
  <si>
    <t>25/11/1988</t>
  </si>
  <si>
    <t>082091339</t>
  </si>
  <si>
    <t>24/8/2006</t>
  </si>
  <si>
    <t>Quảng Lạc</t>
  </si>
  <si>
    <t>Quảng Lạc, Lạng Sơn, Lạng Sơn</t>
  </si>
  <si>
    <t>BV0717</t>
  </si>
  <si>
    <t>Nguyễn Tiến Hưng</t>
  </si>
  <si>
    <t xml:space="preserve">CCCD: 0200933002103; Ngày cấp 29/04/2021; Nơi cấp: Cục trưởng cục cảnh sát quản lý hành chính về trật tự xã hội </t>
  </si>
  <si>
    <t>06/7/1993</t>
  </si>
  <si>
    <t>082222780</t>
  </si>
  <si>
    <t>27/7/2015</t>
  </si>
  <si>
    <t>Tam Thanh, thành phố Lạng Sơn, Lạng Sơn</t>
  </si>
  <si>
    <t>BV0859</t>
  </si>
  <si>
    <t>Trần Nhật Lê</t>
  </si>
  <si>
    <t>0116220780</t>
  </si>
  <si>
    <t xml:space="preserve">CCCD: 020194000642; ngày cấp 29/03/2021; Nơi cấp: Cục trưởng cục cảnh sát quản lý hành chính về trật tự xã hội </t>
  </si>
  <si>
    <t>082209112</t>
  </si>
  <si>
    <t>29/6/2009</t>
  </si>
  <si>
    <t>Châu Sơn</t>
  </si>
  <si>
    <t>Thôn Khe Mạ, xã Đình Lập, huyện Đình lập, tỉnh Lạng Sơn</t>
  </si>
  <si>
    <t>BV0860</t>
  </si>
  <si>
    <t>Hoàng Quang Thụy</t>
  </si>
  <si>
    <t>2716066056</t>
  </si>
  <si>
    <t xml:space="preserve">CCCD: 020091001605; Ngày cấp 25/04/2021; Nơi cấp: Cục trưởng cục cảnh sát quản lý hành chính về trật tự xã hội </t>
  </si>
  <si>
    <t>082097904</t>
  </si>
  <si>
    <t>Văn Quan, Lạng Sơn</t>
  </si>
  <si>
    <t>Xã Điềm He, huyện Văn Quan, tỉnh Lạng Sơn</t>
  </si>
  <si>
    <t>03/2014</t>
  </si>
  <si>
    <t>CN Chăm sóc người bệnh cấp cúu</t>
  </si>
  <si>
    <t>BV0967</t>
  </si>
  <si>
    <t>Đàm Quốc Huỳnh</t>
  </si>
  <si>
    <t>2020325569</t>
  </si>
  <si>
    <t xml:space="preserve">CCCD: 020097004944; Ngày cấp 25/06/2021 Nơi cấp: Cục trưởng cục cảnh sát quản lý hành chính về trật tự xã hội </t>
  </si>
  <si>
    <t>01/3/1997</t>
  </si>
  <si>
    <t>082319155</t>
  </si>
  <si>
    <t>26/11/2013</t>
  </si>
  <si>
    <t>Xã Văn An, huyện VĂn Quan, tỉnh Lạng Sơn</t>
  </si>
  <si>
    <t>Điều dưỡng cao đẳng</t>
  </si>
  <si>
    <t>BV1052</t>
  </si>
  <si>
    <t>Hoàng Thị Sao</t>
  </si>
  <si>
    <t>2020194673</t>
  </si>
  <si>
    <t xml:space="preserve">CCCD: 020197001186; Ngày cấp 29/04/2021; Nơi cấp: Cục trưởng cục cảnh sát quản lý hành chính về trật tự xã hội </t>
  </si>
  <si>
    <t>11/06/1997</t>
  </si>
  <si>
    <t>082313101</t>
  </si>
  <si>
    <t>0936924458</t>
  </si>
  <si>
    <t>BV1053</t>
  </si>
  <si>
    <t>Đỗ Thị Lan Hương</t>
  </si>
  <si>
    <t>2020058075</t>
  </si>
  <si>
    <t xml:space="preserve">CCCD: 020194001872; Ngày cấp 29/04/2021; Nơi cấp: Cục trưởng cục cảnh sát quản lý hành chính về trật tự xã hội </t>
  </si>
  <si>
    <t>14/12/1994</t>
  </si>
  <si>
    <t>082236704</t>
  </si>
  <si>
    <t>23/6/2010</t>
  </si>
  <si>
    <t>0392895536</t>
  </si>
  <si>
    <t>BV1077</t>
  </si>
  <si>
    <t>Hoàng Ngọc Châm</t>
  </si>
  <si>
    <t>2020003841</t>
  </si>
  <si>
    <t xml:space="preserve">CCCD: 020199000909; Ngày cấp 29/04/2021; Nơi cấp: Cục trưởng cục cảnh sát quản lý hành chính về trật tự xã hội </t>
  </si>
  <si>
    <t>22/10/1999</t>
  </si>
  <si>
    <t>082331150</t>
  </si>
  <si>
    <t>Xã Mai Pha, thành phố Lạng Sơn, tỉnh Lạng Sơn</t>
  </si>
  <si>
    <t>BV0720</t>
  </si>
  <si>
    <t>Hoàng Ánh Dương</t>
  </si>
  <si>
    <t xml:space="preserve">      020094001059, ngày cấp: 25/4/2021, nơi cấp: Cục cảnh sát quản lý hành chính và trật tự xã hội</t>
  </si>
  <si>
    <t>08/6/1994</t>
  </si>
  <si>
    <t>082176278</t>
  </si>
  <si>
    <t>25/6/2008</t>
  </si>
  <si>
    <t>Bắc Thủy, Chi Lăng, Lạng Sơn</t>
  </si>
  <si>
    <t>BV0864</t>
  </si>
  <si>
    <t>Nông Thu Phương</t>
  </si>
  <si>
    <t>2016006750</t>
  </si>
  <si>
    <t>020195001880
ngày cấp 29/04/2021, nơi cấp: Cục cảnh sát quản lý hành chính và trật tự xã hội</t>
  </si>
  <si>
    <t>082396397</t>
  </si>
  <si>
    <t>04/01/2013</t>
  </si>
  <si>
    <t>Mai Sao</t>
  </si>
  <si>
    <t>Thị trấn Cao Lộc, huyện Cao Lộc, tỉnh Lạng Sơn, Thị trấn Cao Lộc, huyện Cao Lộc, tỉnh Lạng Sơn</t>
  </si>
  <si>
    <t>BV0898</t>
  </si>
  <si>
    <t>Lương Thị Huế</t>
  </si>
  <si>
    <t>2020102534</t>
  </si>
  <si>
    <t>082279524
ngày cấp 25/06/2021, nơi cấp: Cục cảnh sát quản lý hành chính và trật tự xã hội</t>
  </si>
  <si>
    <t>12/01/1996</t>
  </si>
  <si>
    <t>082279524</t>
  </si>
  <si>
    <t>07/01/2014</t>
  </si>
  <si>
    <t>BV1081</t>
  </si>
  <si>
    <t>Vy Thị Sinh</t>
  </si>
  <si>
    <t>2020280816</t>
  </si>
  <si>
    <t>020197009637
ngày cấp 05/07/2021, nơi cấp: Cục cảnh sát quản lý hành chính và trật tự xã hội</t>
  </si>
  <si>
    <t>24/7/1997</t>
  </si>
  <si>
    <t>082276108</t>
  </si>
  <si>
    <t>16/7/2014</t>
  </si>
  <si>
    <t>Xã Bình Trung, huyện Cao Lộc, tỉnh Lạng Sơn</t>
  </si>
  <si>
    <t>BV0716</t>
  </si>
  <si>
    <t>Hoàng Thị Thao</t>
  </si>
  <si>
    <t>CCCD: 020193011101, ngày cấp: 16/8/2021
Tại Cục cảnh sát quản lý hành chính về trật tự xã hội</t>
  </si>
  <si>
    <t>29/5/1993</t>
  </si>
  <si>
    <t>08226431</t>
  </si>
  <si>
    <t>10/11/2009</t>
  </si>
  <si>
    <t>Bình Gía</t>
  </si>
  <si>
    <t>Tô Hiệu, Bình Gía, Lạng Sơn</t>
  </si>
  <si>
    <t>BV0974</t>
  </si>
  <si>
    <t>Nông Văn Bảo</t>
  </si>
  <si>
    <t>2020692818</t>
  </si>
  <si>
    <t>CCCD: 020096005488, ngày cấp: 25/6/2021
Tại Cục cảnh sát quản lý hành chính về trật tự xã hội</t>
  </si>
  <si>
    <t>10/4/1996</t>
  </si>
  <si>
    <t>082302093</t>
  </si>
  <si>
    <t>10/4/2013</t>
  </si>
  <si>
    <t>Xã Khuất Xá, huyện  Lộc Bình, tỉnh Lạng Sơn</t>
  </si>
  <si>
    <t>Xã Khuất Xá, huyện Lộc Bình, tỉnh Lạng Sơn</t>
  </si>
  <si>
    <t>BV0723</t>
  </si>
  <si>
    <t>Hoàng Thị Mai Hồng</t>
  </si>
  <si>
    <t>CCCD: 020193006895
ngày cấp 05/07/2021
Tại Cục cảnh sát quản lý hành chính về trật tự xã hội</t>
  </si>
  <si>
    <t>14/8/1993</t>
  </si>
  <si>
    <t>082165043</t>
  </si>
  <si>
    <t>21/4/2008</t>
  </si>
  <si>
    <t>Nhân Lý</t>
  </si>
  <si>
    <t>Thôn Phú Nhuận, Xã Điềm He, H Văn Quan, Tỉnh Lạng Sơn</t>
  </si>
  <si>
    <t>BV0782</t>
  </si>
  <si>
    <t>Chu Thị Phượng</t>
  </si>
  <si>
    <t>CCCD: 020194007387
ngày cấp 25/6/2021
Tại Cục cảnh sát quản lý hành chính về trật tự xã hội</t>
  </si>
  <si>
    <t>14/11/1994</t>
  </si>
  <si>
    <t>082197558</t>
  </si>
  <si>
    <t>14/3/2009</t>
  </si>
  <si>
    <t>TT Na Dương</t>
  </si>
  <si>
    <t>Na Dương, Lộc Bình, Lạng Sơn</t>
  </si>
  <si>
    <t>C</t>
  </si>
  <si>
    <t>003377/LS-CCHN</t>
  </si>
  <si>
    <t>Thông tư 26/2015/TTLT-BYT-BNV ngày 07/10/2015</t>
  </si>
  <si>
    <t>BV0783</t>
  </si>
  <si>
    <t>Lý Thị Hoài</t>
  </si>
  <si>
    <t>CCCD: 020192008430
ngày cấp 12/8/2021
Tại Cục cảnh sát quản lý hành chính về trật tự xã hội</t>
  </si>
  <si>
    <t>082195700</t>
  </si>
  <si>
    <t>04/08/2009</t>
  </si>
  <si>
    <t>Tri Phương</t>
  </si>
  <si>
    <t>BV0902</t>
  </si>
  <si>
    <t>Vi Ngọc Anh</t>
  </si>
  <si>
    <t>2020055024</t>
  </si>
  <si>
    <t>082207208, ngày cấp16/12/2019, cục cảnh sát QLHCVTTXH</t>
  </si>
  <si>
    <t>22/01/1994</t>
  </si>
  <si>
    <t>082207208</t>
  </si>
  <si>
    <t>15/06/2009</t>
  </si>
  <si>
    <t xml:space="preserve"> Phường Tam Thanh, TP. Lạng Sơn</t>
  </si>
  <si>
    <t>BV0903</t>
  </si>
  <si>
    <t>Chu Văn Thưởng</t>
  </si>
  <si>
    <t>2020285074</t>
  </si>
  <si>
    <t>CCCD: 020096009521
ngày cấp 21/3/2021
Tại Cục cảnh sát quản lý hành chính về trật tự xã hội</t>
  </si>
  <si>
    <t>28/01/1996</t>
  </si>
  <si>
    <t>082326244</t>
  </si>
  <si>
    <t>27/9/2014</t>
  </si>
  <si>
    <t>Xã Thạch Đạn, huyện Cao Lộc, tỉnh Lạng Sơn</t>
  </si>
  <si>
    <t>BV0904</t>
  </si>
  <si>
    <t>Vy Thị Nga</t>
  </si>
  <si>
    <t>2020635676</t>
  </si>
  <si>
    <t>CCCD: 020197007885,
ngày cấp 25/6/2021
Tại Cục cảnh sát quản lý hành chính về trật tự xã hội</t>
  </si>
  <si>
    <t>20/05/1997</t>
  </si>
  <si>
    <t>082287949</t>
  </si>
  <si>
    <t>12/10/2012</t>
  </si>
  <si>
    <t>Xã Quang Sang, huyện Chi Lăng, tỉnh Lạng Sơn</t>
  </si>
  <si>
    <t>Thôn Áng Nộc, Xã Chiêu Vũ, H Bắc Sơn, T Lạng Sơn</t>
  </si>
  <si>
    <t>BV0905</t>
  </si>
  <si>
    <t>Ngô Thế Vinh</t>
  </si>
  <si>
    <t>2020940357</t>
  </si>
  <si>
    <t>CCCD: 020090002779
ngày cấp 29/4/2021
Tại Cục cảnh sát quản lý hành chính về trật tự xã hội</t>
  </si>
  <si>
    <t>31/07/1990</t>
  </si>
  <si>
    <t>082119286</t>
  </si>
  <si>
    <t>16/04/2018</t>
  </si>
  <si>
    <t>BV0980</t>
  </si>
  <si>
    <t>Chu Đức Thịnh</t>
  </si>
  <si>
    <t>2020021173</t>
  </si>
  <si>
    <t>CCCD: 020097001294
ngày cấp 29/4/2021
Tại Cục cảnh sát quản lý hành chính về trật tự xã hội</t>
  </si>
  <si>
    <t>23/2/1997</t>
  </si>
  <si>
    <t>082280953</t>
  </si>
  <si>
    <t>31/10/2012</t>
  </si>
  <si>
    <t>Xã Khánh Khê, huyện Văn Quan, tỉnh Lạng Sơn</t>
  </si>
  <si>
    <t>2015 - 2018</t>
  </si>
  <si>
    <t>BV0780</t>
  </si>
  <si>
    <t>Nguyễn Thị Hường</t>
  </si>
  <si>
    <t xml:space="preserve">020193000513, cấp ngày 08/4/2021, tại cục CSQLHC về TTXH </t>
  </si>
  <si>
    <t>28/8/1993</t>
  </si>
  <si>
    <t>082215545</t>
  </si>
  <si>
    <t>12/02/2009</t>
  </si>
  <si>
    <t>Chi Lăng, Chi Lăng, Lạng Sơn</t>
  </si>
  <si>
    <t>BV0873</t>
  </si>
  <si>
    <t>Triệu Thị Xuân</t>
  </si>
  <si>
    <t>2020132152</t>
  </si>
  <si>
    <t xml:space="preserve">020197007773, cấp ngày 25/6/2021, tại cục CSQLHC về TTXH </t>
  </si>
  <si>
    <t>082318112</t>
  </si>
  <si>
    <t>29/11/2013</t>
  </si>
  <si>
    <t>Vĩnh Tiên</t>
  </si>
  <si>
    <t>Thôn Thôn Khòn Búm, xã Bắc Hùng, huyện Văn Lãng, tỉnh Lạng Sơn</t>
  </si>
  <si>
    <t>dao</t>
  </si>
  <si>
    <t>BV0710</t>
  </si>
  <si>
    <t>Đàm Thị Ánh</t>
  </si>
  <si>
    <t xml:space="preserve">020193011019, cấp ngày 26/8/2021, tại cục CSQLHC về TTXH </t>
  </si>
  <si>
    <t>16/3/1993</t>
  </si>
  <si>
    <t>082215015</t>
  </si>
  <si>
    <t>19/10/2009</t>
  </si>
  <si>
    <t>Số 6 ngõ 85 đường Phố Muối, phường Tam Thanh, TP.Lạng Sơn</t>
  </si>
  <si>
    <t>BV0908</t>
  </si>
  <si>
    <t>Vi Thị Mĩ Linh</t>
  </si>
  <si>
    <t>2020275691</t>
  </si>
  <si>
    <t xml:space="preserve">020196008799, cấp ngày 25/6/2021, tại cục CSQLHC về TTXH </t>
  </si>
  <si>
    <t>18/10/1996</t>
  </si>
  <si>
    <t>082293837</t>
  </si>
  <si>
    <t>Xã Xuân Long, huyện cao Lộc, tỉnh Lạng Sơn</t>
  </si>
  <si>
    <t>Thôn Bản Lành, xã Hoà Cư, Cao Lộc, tỉnh Lạng Sơn</t>
  </si>
  <si>
    <t>BV0915</t>
  </si>
  <si>
    <t>Chu Mạnh Dũng</t>
  </si>
  <si>
    <t>2020220169</t>
  </si>
  <si>
    <t xml:space="preserve">020092002324, cấp ngày 29/4/2021, tại cục CSQLHC về TTXH </t>
  </si>
  <si>
    <t>09/07/1992</t>
  </si>
  <si>
    <t>082200561</t>
  </si>
  <si>
    <t>06/6/2017</t>
  </si>
  <si>
    <t>Xã Hoàng Văn Thụ, huyện Văn lãng, tỉnh Lạng Sơn</t>
  </si>
  <si>
    <t>BV0984</t>
  </si>
  <si>
    <t>Dương Thị Yên</t>
  </si>
  <si>
    <t>2020276523</t>
  </si>
  <si>
    <t xml:space="preserve">020198006758, cấp ngày 24/6/2021, tại cục CSQLHC về TTXH </t>
  </si>
  <si>
    <t>18/9/1998</t>
  </si>
  <si>
    <t>082326954</t>
  </si>
  <si>
    <t>24/6/2015</t>
  </si>
  <si>
    <t>Xã Tân Yên, huyện Cao Lộc, tinh Lạng Sơn</t>
  </si>
  <si>
    <t>Thôn Pò Đứa - Pò Mỏ, xã Mai Pha, thành phố Lạng Sơn</t>
  </si>
  <si>
    <t>2016 - 2019</t>
  </si>
  <si>
    <t>BV1080</t>
  </si>
  <si>
    <t>Lăng Thị Ly</t>
  </si>
  <si>
    <t>2020023620</t>
  </si>
  <si>
    <t xml:space="preserve">020192001966, cấp ngày 20/4/2021, tại cục CSQLHC về TTXH </t>
  </si>
  <si>
    <t>15/5/1992</t>
  </si>
  <si>
    <t>082207881</t>
  </si>
  <si>
    <t>14/8/2009</t>
  </si>
  <si>
    <t>Phường Tam Thanh, thành phố Lạng Sơn, tỉnh Lạng Sơn</t>
  </si>
  <si>
    <t>BV0977</t>
  </si>
  <si>
    <t>Hoàng Kim Tuyến</t>
  </si>
  <si>
    <t>2020043141</t>
  </si>
  <si>
    <t>CCCD: 020197005550 
cấp ngày 25/8/2021 
Tại Cục cảnh sát quản lý hành chính về trật tự xã hội</t>
  </si>
  <si>
    <t>07/09/1997</t>
  </si>
  <si>
    <t>082343125</t>
  </si>
  <si>
    <t>24/08/2015</t>
  </si>
  <si>
    <t>Xã Mai Pha, tỉnh Lạng Sơn</t>
  </si>
  <si>
    <t>Thôn Rọ Phải, xã Mai Pha, thành phố Lạng Sơn</t>
  </si>
  <si>
    <t>BV0784</t>
  </si>
  <si>
    <t>Phạm Thu Thùy</t>
  </si>
  <si>
    <t>020193002544 cấp ngày 29/4/2021, nơi cấp: Cục cảnh sát quản lý hành chính và trật tự xã hội</t>
  </si>
  <si>
    <t>20/8/1993</t>
  </si>
  <si>
    <t>082199216</t>
  </si>
  <si>
    <t>03/03/2009</t>
  </si>
  <si>
    <t>Vũ Lễ</t>
  </si>
  <si>
    <t>Vũ Lễ, Bắc Sơn, Lạng Sơn</t>
  </si>
  <si>
    <t>CC điều dưỡng RHM, CC GDQPAN, GD Thể chất</t>
  </si>
  <si>
    <t>BV0906</t>
  </si>
  <si>
    <t>Đinh Việt Nghĩa</t>
  </si>
  <si>
    <t>2015002426</t>
  </si>
  <si>
    <t>020093009760 cấp ngày 25/6/2021, nơi cấp: Cục cảnh sát quản lý hành chính và trật tự xã hội</t>
  </si>
  <si>
    <t>07/04/1993</t>
  </si>
  <si>
    <t>082250244</t>
  </si>
  <si>
    <t>06/12/2010</t>
  </si>
  <si>
    <t>Xã Hoàng Đồng, TP Lạng Sơn, tỉnh Lạng Sơn</t>
  </si>
  <si>
    <t>BV0907</t>
  </si>
  <si>
    <t>Hoàng Tuấn Hưởng</t>
  </si>
  <si>
    <t>2717073178</t>
  </si>
  <si>
    <t>0200994011125 cấp ngày 9/1/2022, nơi cấp: Cục cảnh sát quản lý hành chính và trật tự xã hội</t>
  </si>
  <si>
    <t>15/11/1994</t>
  </si>
  <si>
    <t>082237129</t>
  </si>
  <si>
    <t>18/05/2010</t>
  </si>
  <si>
    <t>Xã Vân Mộng, huyện Văn Quan, tỉnh Lạng Sơn</t>
  </si>
  <si>
    <t>Xã Liên Hội, huyện Văn Quan, tỉnh Lạng Sơn</t>
  </si>
  <si>
    <t>BV0981</t>
  </si>
  <si>
    <t>Vi Thị Duyên</t>
  </si>
  <si>
    <t>2020316938</t>
  </si>
  <si>
    <t>082326154 cấp ngày 30/4/2018, nơi cấp: Công an tỉnh Lạng Sơn</t>
  </si>
  <si>
    <t>16/11/1997</t>
  </si>
  <si>
    <t>082326154</t>
  </si>
  <si>
    <t>30/8/2014</t>
  </si>
  <si>
    <t>Xã Xuất Lễ, huyện Cao Lộc, tỉnh Lạng Sơn</t>
  </si>
  <si>
    <t>Xã Đồng Ý, Huyện Bắc Sơn, tỉnh Lạng Sơn</t>
  </si>
  <si>
    <t>BV1054</t>
  </si>
  <si>
    <t>Lâm Thị Hằng</t>
  </si>
  <si>
    <t>2020303998</t>
  </si>
  <si>
    <t>20196007845 cấp ngày 22/11/2021, nơi cấp: Cục cảnh sát quản lý hành chính và trật tự xã hội</t>
  </si>
  <si>
    <t>01/6/1996</t>
  </si>
  <si>
    <t>082274555</t>
  </si>
  <si>
    <t>15/3/2012</t>
  </si>
  <si>
    <t>0385714497</t>
  </si>
  <si>
    <t>Xã Thống Nhất, huyện Lộc Bình.</t>
  </si>
  <si>
    <t>BV1082</t>
  </si>
  <si>
    <t>Hoàng Thị Vinh</t>
  </si>
  <si>
    <t>2717100881</t>
  </si>
  <si>
    <t>020195000999 cấp ngày 16/4/2021, nơi cấp: Cục cảnh sát quản lý hành chính và trật tự xã hội</t>
  </si>
  <si>
    <t>09/3/1995</t>
  </si>
  <si>
    <t>082267146</t>
  </si>
  <si>
    <t>29/3/2011</t>
  </si>
  <si>
    <t>Nà Song, Xã Yên Trạch, huyện Cao Lộc, tỉnh Lạng Sơn</t>
  </si>
  <si>
    <t>09/11/2020</t>
  </si>
  <si>
    <t>BV1083</t>
  </si>
  <si>
    <t>Lục Thị Mì</t>
  </si>
  <si>
    <t>2715061351</t>
  </si>
  <si>
    <t>020193005692 cấp ngày 9/5/2021, nơi cấp: Cục cảnh sát quản lý hành chính và trật tự xã hội</t>
  </si>
  <si>
    <t>082175705</t>
  </si>
  <si>
    <t>02/12/2008</t>
  </si>
  <si>
    <t>Xã Lợi Bác, huyện Lộc Bình, tỉnh Lạng Sơn</t>
  </si>
  <si>
    <t>CĐ Y tế Phú thọ</t>
  </si>
  <si>
    <t>BV1044</t>
  </si>
  <si>
    <t>Hoàng Thị Chuyên</t>
  </si>
  <si>
    <t>2020071594</t>
  </si>
  <si>
    <t>09/10/1994</t>
  </si>
  <si>
    <t>082207667</t>
  </si>
  <si>
    <t>0364026171</t>
  </si>
  <si>
    <t>BV0866</t>
  </si>
  <si>
    <t>Hoàng Minh Tuệ</t>
  </si>
  <si>
    <t>2020068031</t>
  </si>
  <si>
    <t>CCCD: 020097001291
ngày cấp:
Tại Cục cảnh sát quản lý hành chính về trật tự xã hội</t>
  </si>
  <si>
    <t>082298863</t>
  </si>
  <si>
    <t>03/7/2013</t>
  </si>
  <si>
    <t>Thôn Khòn Pát, xã Mai Pha, TP. Lạng Sơn</t>
  </si>
  <si>
    <t>BV0718</t>
  </si>
  <si>
    <t>Lâm Thị Phượng</t>
  </si>
  <si>
    <t>CCCD: 020194005623
 ngày cấp: 25/06/2021
Tại Cục cảnh sát quản lý hành chính về trật tự xã hội</t>
  </si>
  <si>
    <t>29/7/1994</t>
  </si>
  <si>
    <t>082189927</t>
  </si>
  <si>
    <t>17/11/2008</t>
  </si>
  <si>
    <t>Minh Hòa</t>
  </si>
  <si>
    <t>Minh Hòa, Hữu Lũng, Lạng Sơn</t>
  </si>
  <si>
    <t>BV0719</t>
  </si>
  <si>
    <t>Nông Văn Thảo</t>
  </si>
  <si>
    <t>08/01/1991</t>
  </si>
  <si>
    <t>082183657</t>
  </si>
  <si>
    <t>21/02/2009</t>
  </si>
  <si>
    <t>Đình Lập, Đình Lập, Lạng Sơn</t>
  </si>
  <si>
    <t>BV0789</t>
  </si>
  <si>
    <t>Nguyễn Thị Tuyền</t>
  </si>
  <si>
    <t>CMT: 082262289
ngày cấp:13/05/2011
CA.Lạng Sơn</t>
  </si>
  <si>
    <t>14/8/1995</t>
  </si>
  <si>
    <t>082262289</t>
  </si>
  <si>
    <t>13/5/2011</t>
  </si>
  <si>
    <t>Lý Dương</t>
  </si>
  <si>
    <t>Bình Giang</t>
  </si>
  <si>
    <t>Hải Dương</t>
  </si>
  <si>
    <t>Tân Thanh</t>
  </si>
  <si>
    <t>Tân Thanh, Văn Lãng, Lạng Sơn</t>
  </si>
  <si>
    <t>Anh A</t>
  </si>
  <si>
    <t>BV0857</t>
  </si>
  <si>
    <t>Lương Sơn Tùng</t>
  </si>
  <si>
    <t>2020373564</t>
  </si>
  <si>
    <t>CCCD: 020097008876
 ngày cấp: 25/6/2021
Tại Cục cảnh sát quản lý hành chính về trật tự xã hội</t>
  </si>
  <si>
    <t>082270176</t>
  </si>
  <si>
    <t>13/6/2011</t>
  </si>
  <si>
    <t>Song Giáng</t>
  </si>
  <si>
    <t>Thôn Nà Lọ, xã Song Giang, huyện Văn Quan, tỉnh Lạng Sơn</t>
  </si>
  <si>
    <t>A2</t>
  </si>
  <si>
    <t>BV0893</t>
  </si>
  <si>
    <t>Mã Thị Lâm</t>
  </si>
  <si>
    <t>2020092823</t>
  </si>
  <si>
    <t>CCCD: 020197008489
ngày cấp: 24/06/2021
Tại Cục cảnh sát quản lý hành chính về trật tự xã hội</t>
  </si>
  <si>
    <t>24/10/1997</t>
  </si>
  <si>
    <t>082318710</t>
  </si>
  <si>
    <t>11/9/2014</t>
  </si>
  <si>
    <t>BV0970</t>
  </si>
  <si>
    <t>Hoàng Thị Quy</t>
  </si>
  <si>
    <t>2020170677</t>
  </si>
  <si>
    <t>CCCD: 020197001208 
Ngày cấp 29.04.2021
Tại Cục cảnh sát quản lý hành chính về trật tự xã hội</t>
  </si>
  <si>
    <t>21/9/1997</t>
  </si>
  <si>
    <t>082300399</t>
  </si>
  <si>
    <t>04/4/2019</t>
  </si>
  <si>
    <t>Xã Tân Văn, huyện Bình Gia, tỉnh LẠng Sơn</t>
  </si>
  <si>
    <t>Xã Tân Văn, huyện Bình Gia, tỉnh Lạng Sơn</t>
  </si>
  <si>
    <t>BV1087</t>
  </si>
  <si>
    <t>Ngô Thị Ìn</t>
  </si>
  <si>
    <t>2020162620</t>
  </si>
  <si>
    <t>CCCD: 020198001085
ngày cấp: 29/04/2021
Tại Cục cảnh sát quản lý hành chính về trật tự xã hội</t>
  </si>
  <si>
    <t>16/7/1998</t>
  </si>
  <si>
    <t>082300141</t>
  </si>
  <si>
    <t>08/5/2013</t>
  </si>
  <si>
    <t>BV0875</t>
  </si>
  <si>
    <t>2011001568</t>
  </si>
  <si>
    <t>020191010822, ngày cấp 27/6/2021, nơi cấp: Cục cảnh sát quản lý hành chính và trật tự xã hội</t>
  </si>
  <si>
    <t>04/12/1996</t>
  </si>
  <si>
    <t>082250897</t>
  </si>
  <si>
    <t>Thị trấn Bắc Sơn</t>
  </si>
  <si>
    <t>Xã Hợp Thành, Huyện Cao Lộc, Tỉnh Lạng Sơn</t>
  </si>
  <si>
    <t>CC nội soi đường tiêu hóa dưới</t>
  </si>
  <si>
    <t>BV1088</t>
  </si>
  <si>
    <t>1596007631</t>
  </si>
  <si>
    <t>020199000942, cấp ngày 29/4/2021, nơi cấp: Cục cảnh sát quản lý hành chính và trật tự xã hội</t>
  </si>
  <si>
    <t>082295623</t>
  </si>
  <si>
    <t>15/9/2016</t>
  </si>
  <si>
    <t>Xã Lâm Ca, huyện Đình Lập, tỉnh Lạng Sơn</t>
  </si>
  <si>
    <t>09/5/2018</t>
  </si>
  <si>
    <t>BV0918</t>
  </si>
  <si>
    <t>Hoàng Mai Anh</t>
  </si>
  <si>
    <t>2020485105</t>
  </si>
  <si>
    <t>020195001881, cấp ngày 29/4/2021, nơi cấp: Cục cảnh sát quản lý hành chính và trật tự xã hội</t>
  </si>
  <si>
    <t>07/05/1995</t>
  </si>
  <si>
    <t>082264435</t>
  </si>
  <si>
    <t>BV0876</t>
  </si>
  <si>
    <t>Lục Thị Kim Oanh</t>
  </si>
  <si>
    <t>2020216510</t>
  </si>
  <si>
    <t>CCCD: 020191002540
Ngày cấp: 29/4/2021, nơi cấp: Cục cảnh sát quản lý hành chính và trật tự xã hội</t>
  </si>
  <si>
    <t>082100907</t>
  </si>
  <si>
    <t xml:space="preserve">Hoa Thám, </t>
  </si>
  <si>
    <t>Thôn Bản Miằng, xã Hội Hoan, huyện Văn Lãng, tỉnh Lạng Sơn</t>
  </si>
  <si>
    <t>BV0989</t>
  </si>
  <si>
    <t>Dương Thị Ngọc Anh</t>
  </si>
  <si>
    <t>2020450445</t>
  </si>
  <si>
    <t xml:space="preserve">CMT: 082317819
Ngày cấp: 20/5/2014, nơi cấp: Công an tỉnh Lạng Sơn </t>
  </si>
  <si>
    <t>16/9/1998</t>
  </si>
  <si>
    <t>082317819</t>
  </si>
  <si>
    <t>20/5/2014</t>
  </si>
  <si>
    <t>Xã Bắc Sơn, huyện Bắc Sơn, tỉnh Lạng Sơn</t>
  </si>
  <si>
    <t>Xã Bắc Quỳnh, huyện Bắc Sơn, tỉnh lạng Sơn</t>
  </si>
  <si>
    <t>BV0990</t>
  </si>
  <si>
    <t>Lục Tuấn Anh</t>
  </si>
  <si>
    <t>2020355484</t>
  </si>
  <si>
    <t>CCCD: 020096009358
Ngày cấp: 25/6/2021, nơi cấp: Cục cảnh sát quản lý hành chính và trật tự xã hội</t>
  </si>
  <si>
    <t>03/02/1996</t>
  </si>
  <si>
    <t>082347517</t>
  </si>
  <si>
    <t>25/4/2016</t>
  </si>
  <si>
    <t>Đại An, huyện Văn Quan, tỉnh Lạng Sơn</t>
  </si>
  <si>
    <t>BV1046</t>
  </si>
  <si>
    <t>Hoàng Văn Mơ</t>
  </si>
  <si>
    <t>1915825628</t>
  </si>
  <si>
    <t>CCCD: 020093011448
Ngày cấp: 09/5/2021, nơi cấp: Cục cảnh sát quản lý hành chính và trật tự xã hội</t>
  </si>
  <si>
    <t>29/3/1993</t>
  </si>
  <si>
    <t>082207278</t>
  </si>
  <si>
    <t>16/6/2009</t>
  </si>
  <si>
    <t>0366121888</t>
  </si>
  <si>
    <t>BV1047</t>
  </si>
  <si>
    <t>Hà Thị Thu Phương</t>
  </si>
  <si>
    <t>2020376288</t>
  </si>
  <si>
    <t>CCCD: 020198000573
Ngày cấp:14/4/2021, nơi cấp: Cục cảnh sát quản lý hành chính và trật tự xã hội</t>
  </si>
  <si>
    <t>11/01/1998</t>
  </si>
  <si>
    <t>082335137</t>
  </si>
  <si>
    <t>21/5/2015</t>
  </si>
  <si>
    <t>0376321916</t>
  </si>
  <si>
    <t>Xã Yên Phúc, huyện Văn Quan, tỉnh Lạng Sơn</t>
  </si>
  <si>
    <t>BV1092</t>
  </si>
  <si>
    <t>Nông Thị Diệu Linh</t>
  </si>
  <si>
    <t>2020674226</t>
  </si>
  <si>
    <t>CCCD: 020198001117
Ngày cấp: 29/4/2021, nơi cấp: Cục cảnh sát quản lý hành chính và trật tự xã hội</t>
  </si>
  <si>
    <t>03/02/1998</t>
  </si>
  <si>
    <t>082332314</t>
  </si>
  <si>
    <t>26/11/2014</t>
  </si>
  <si>
    <t>Xã Hữu Khánh, huyện Lộc Bình, tỉnh Lạng Sơn</t>
  </si>
  <si>
    <t>BV0733</t>
  </si>
  <si>
    <t>Nguyễn Văn Thiệu</t>
  </si>
  <si>
    <t>020093010735, ngày cấp 09/05/2021, cục cảnh sát QLHCVTTXH</t>
  </si>
  <si>
    <t>21/7/1993</t>
  </si>
  <si>
    <t>082183013</t>
  </si>
  <si>
    <t>23/9/2008</t>
  </si>
  <si>
    <t>Châu Sơn, Đình Lập, Lạng Sơn</t>
  </si>
  <si>
    <t>BV0972</t>
  </si>
  <si>
    <t>Long Thị Thọ</t>
  </si>
  <si>
    <t>2020189076</t>
  </si>
  <si>
    <t>020196001323, ngày cấp 29/4/2021, cục cảnh sát QLHCVTTXH</t>
  </si>
  <si>
    <t>27/9/1996</t>
  </si>
  <si>
    <t>082285561</t>
  </si>
  <si>
    <t>08/10/2012</t>
  </si>
  <si>
    <t>Xã Bình Gia, huyện Bình Gia, tỉnh Lạng Sơn</t>
  </si>
  <si>
    <t>Xã Bình La, huyện Bình Gia, tỉnh Lạng Sơn</t>
  </si>
  <si>
    <t>BV0727</t>
  </si>
  <si>
    <t>Lương Thu Hòa</t>
  </si>
  <si>
    <t>020192001501,
Ngày cấp 16/4/2021, nơi cấp: Cục cảnh sát quản lý hành chính và trật tự xã hội</t>
  </si>
  <si>
    <t>26/9/1992</t>
  </si>
  <si>
    <t>082221807</t>
  </si>
  <si>
    <t>16/12/2009</t>
  </si>
  <si>
    <t>Cao lộc</t>
  </si>
  <si>
    <t>Yen Trạch</t>
  </si>
  <si>
    <t>Yen Trạch, Cao Lộc, Lạng Sơn</t>
  </si>
  <si>
    <t>BV0728</t>
  </si>
  <si>
    <t>Nguyễn Thị Nhang</t>
  </si>
  <si>
    <t>020190003115,
Ngày cấp 29/4/2021, nơi cấp: Cục cảnh sát quản lý hành chính và trật tự xã hội</t>
  </si>
  <si>
    <t>07/11/1990</t>
  </si>
  <si>
    <t>082217839</t>
  </si>
  <si>
    <t>17/7/2013</t>
  </si>
  <si>
    <t>Vũ Lăng</t>
  </si>
  <si>
    <t>Vũ Lăng, Bắc Sơn, Lạng Sơn</t>
  </si>
  <si>
    <t>BV0735</t>
  </si>
  <si>
    <t>Triệu Thị Bích Nhung</t>
  </si>
  <si>
    <t>020191002245,
Ngày cấp 20/4/2021, nơi cấp: Cục cảnh sát quản lý hành chính và trật tự xã hội</t>
  </si>
  <si>
    <t>082153082</t>
  </si>
  <si>
    <t>19/11/2007</t>
  </si>
  <si>
    <t>Tràng Phái</t>
  </si>
  <si>
    <t>3.33</t>
  </si>
  <si>
    <t>BV0793</t>
  </si>
  <si>
    <t>Lăng Thị Duyên</t>
  </si>
  <si>
    <t>082054986,
Ngày cấp 05/9/2005,CA tỉnh Lạng Sơn</t>
  </si>
  <si>
    <t>082054986</t>
  </si>
  <si>
    <t>09/05/2005</t>
  </si>
  <si>
    <t>Hồng Thái</t>
  </si>
  <si>
    <t>Hồng Thái, Văn Lãng, Lạng Sơn</t>
  </si>
  <si>
    <t>BV0877</t>
  </si>
  <si>
    <t>Hoàng Thị Hiếu</t>
  </si>
  <si>
    <t>2415039147</t>
  </si>
  <si>
    <t>020191002552,
Ngày cấp 29/4/2021, nơi cấp: Cục cảnh sát quản lý hành chính và trật tự xã hội</t>
  </si>
  <si>
    <t>082100622</t>
  </si>
  <si>
    <t>20/12/2006</t>
  </si>
  <si>
    <t>Bình La</t>
  </si>
  <si>
    <t>Thôn Bản Pòa, xã Bình La, huyện Bình Gia, tỉnh Lạng Sơn</t>
  </si>
  <si>
    <t>BV0914</t>
  </si>
  <si>
    <t>Hoàng Đức Dương</t>
  </si>
  <si>
    <t>2020804593</t>
  </si>
  <si>
    <t>020097004510,
Ngày cấp 24/6/2021, nơi cấp: Cục cảnh sát quản lý hành chính và trật tự xã hội</t>
  </si>
  <si>
    <t>16/08/1997</t>
  </si>
  <si>
    <t>082293183</t>
  </si>
  <si>
    <t>20/10/2012</t>
  </si>
  <si>
    <t>BV0992</t>
  </si>
  <si>
    <t>Ma Văn Lý</t>
  </si>
  <si>
    <t>2020150768</t>
  </si>
  <si>
    <t>020098003549,
Ngày cấp 22/9/2021, nơi cấp: Cục cảnh sát quản lý hành chính và trật tự xã hội</t>
  </si>
  <si>
    <t>17/01/1998</t>
  </si>
  <si>
    <t>082300935</t>
  </si>
  <si>
    <t>08/04/2014</t>
  </si>
  <si>
    <t>Xã Thiện Long, huyện Bình Gai, tỉnh Lạng Sơn</t>
  </si>
  <si>
    <t>Thiện Long, huyện Bình Gia, tỉnh Lạng Sơn</t>
  </si>
  <si>
    <t>BV1049</t>
  </si>
  <si>
    <t>Lý Hồng Trang</t>
  </si>
  <si>
    <t>2012003221</t>
  </si>
  <si>
    <t>082179775,
Ngày cấp 21/10/2008, nơi cấp: Công an tỉnh Lạng Sơn</t>
  </si>
  <si>
    <t>25/02/1991</t>
  </si>
  <si>
    <t>082179775</t>
  </si>
  <si>
    <t>21/10/2008</t>
  </si>
  <si>
    <t>0844478989</t>
  </si>
  <si>
    <t>Phường Đông Kinh, thành phố Lạng Sơn, tỉnh Lạng Sơn</t>
  </si>
  <si>
    <t>BV1095</t>
  </si>
  <si>
    <t>Nông Thị Thanh Xuân</t>
  </si>
  <si>
    <t>2020036773</t>
  </si>
  <si>
    <t>020199000315, ngày cấp: 08/04/2021, nơi cấp: Cục cảnh sát quản lý hành chính và trật tự xã hội</t>
  </si>
  <si>
    <t>082323414</t>
  </si>
  <si>
    <t>Số 31 khối Văn Miếu, phường Chi Lăng, thành phố Lạng Sơn, tỉnh Lạng Sơn</t>
  </si>
  <si>
    <t>BV0868</t>
  </si>
  <si>
    <t>Nguyễn Thị Trang</t>
  </si>
  <si>
    <t>2020614260</t>
  </si>
  <si>
    <t>020197001187, ngày cấp 29/4/2021, nơi cấp cục cảnh sát quản lý hành chính về trật tự xã hội</t>
  </si>
  <si>
    <t>082273720</t>
  </si>
  <si>
    <t>15/3/2013</t>
  </si>
  <si>
    <t>Vân Thủy</t>
  </si>
  <si>
    <t>Xã Vân Thủy, huyện Chi Lăng, tỉnh Lạng Sơn</t>
  </si>
  <si>
    <t>BV0901</t>
  </si>
  <si>
    <t>Hoàng Thị Khuyên</t>
  </si>
  <si>
    <t>2020001984</t>
  </si>
  <si>
    <t>020196003543,  ngày cấp 29/4/2021,  nơi cấpcục cảnh sát quản lý hành chính về trật tự xã hội</t>
  </si>
  <si>
    <t>20/11/1996</t>
  </si>
  <si>
    <t>082265080</t>
  </si>
  <si>
    <t>21/6/2011</t>
  </si>
  <si>
    <t>BV0975</t>
  </si>
  <si>
    <t>Vi Thị Hoa</t>
  </si>
  <si>
    <t>2020271009</t>
  </si>
  <si>
    <t>020197005891,  ngày cấp 25/6/2021,  nơi cấp cục cảnh sát quản lý hành chính về trật tự xã hội</t>
  </si>
  <si>
    <t>14/10/1997</t>
  </si>
  <si>
    <t>082312823</t>
  </si>
  <si>
    <t>25/06/2014</t>
  </si>
  <si>
    <t>Xã Song Giáp, huyện Cao Lộc, tỉnh Lạng Sơn</t>
  </si>
  <si>
    <t>BV1084</t>
  </si>
  <si>
    <t>Lộc Thị Chang</t>
  </si>
  <si>
    <t>2715034768</t>
  </si>
  <si>
    <t>020189007384, ngày cấp 09/5/2021 nơi cấp cục cảnh sát quản lý hành chính về trật tự xã hội</t>
  </si>
  <si>
    <t>16/01/1989</t>
  </si>
  <si>
    <t>082032024</t>
  </si>
  <si>
    <t>Xã Đồng Bục, huyện Lộc Bình, tỉnh Lạng Sơn</t>
  </si>
  <si>
    <t>BV0916</t>
  </si>
  <si>
    <t>Hà Kim Thoa</t>
  </si>
  <si>
    <t>1915843096</t>
  </si>
  <si>
    <t>020193001390, ngày cấp 24/4/2021, cục cảnh sát QLHCVTTXH</t>
  </si>
  <si>
    <t>12/03/1993</t>
  </si>
  <si>
    <t>082209730</t>
  </si>
  <si>
    <t>16/02/2011</t>
  </si>
  <si>
    <t>Xã Cường Lợi, huyện Đình Lập, tỉnh Lạng Sơn</t>
  </si>
  <si>
    <t>BV1045</t>
  </si>
  <si>
    <t>Nông Thị Ngọc Lan</t>
  </si>
  <si>
    <t>2020084070</t>
  </si>
  <si>
    <t>CCCD: 020197008006
ngày cấp: 14/08/2021
CCSQLHCTTXH</t>
  </si>
  <si>
    <t>14/7/1997</t>
  </si>
  <si>
    <t>082318910</t>
  </si>
  <si>
    <t>21/11/2014</t>
  </si>
  <si>
    <t>0369445838</t>
  </si>
  <si>
    <t>BV0910</t>
  </si>
  <si>
    <t>Vi Văn Kim</t>
  </si>
  <si>
    <t>2020350112</t>
  </si>
  <si>
    <t>CCCD: 020095010099
Ngày cấp: 26/01/2022, nơi cấp: Cục cảnh sát quản lý hành chính và trật tự xã hội</t>
  </si>
  <si>
    <t>30/03/1995</t>
  </si>
  <si>
    <t>082270882</t>
  </si>
  <si>
    <t>31/12/2011</t>
  </si>
  <si>
    <t>Xã Tràng Các, huyện Văn Quan, tỉnh Lạng Sơn</t>
  </si>
  <si>
    <t>ĐH Y Thái Nguyên</t>
  </si>
  <si>
    <t>BV0913</t>
  </si>
  <si>
    <t>Nông Thị Lụa</t>
  </si>
  <si>
    <t>2020378208</t>
  </si>
  <si>
    <t>020189002912,
Ngày cấp 29/4/2021, nơi cấp: Cục cảnh sát quản lý hành chính và trật tự xã hội</t>
  </si>
  <si>
    <t>15/11/1989</t>
  </si>
  <si>
    <t>082074011</t>
  </si>
  <si>
    <t>01/12/2011</t>
  </si>
  <si>
    <t>Xã Hòa Binh, huyện Văn Quan, tỉnh Lạng Sơn</t>
  </si>
  <si>
    <t>BV0791</t>
  </si>
  <si>
    <t>Hoàng Ngọc Lê</t>
  </si>
  <si>
    <t>020189002999
Cấp ngày: 29/04/2021
Cục cảnh sát QLHC
về TTXH</t>
  </si>
  <si>
    <t>082073956</t>
  </si>
  <si>
    <t>Vân Mộng</t>
  </si>
  <si>
    <t>BV1051</t>
  </si>
  <si>
    <t>Sầm Thị Minh Thơ</t>
  </si>
  <si>
    <t>2010000185</t>
  </si>
  <si>
    <t>020187003172,  ngày cấp 29/4/2021,  nơi cấp cục cảnh sát quản lý hành chính về trật tự xã hội</t>
  </si>
  <si>
    <t>03/04/1987</t>
  </si>
  <si>
    <t>081020855</t>
  </si>
  <si>
    <t>23/2/2012</t>
  </si>
  <si>
    <t>0988109010</t>
  </si>
  <si>
    <t>Tân Mỹ, huyện Văn Lãng, tỉnh Lạng Sơn</t>
  </si>
  <si>
    <t>13/7/2024</t>
  </si>
  <si>
    <t>BV0748</t>
  </si>
  <si>
    <t>Đào Thị Trà</t>
  </si>
  <si>
    <t xml:space="preserve">      024191003663, ngày cấp: 25/6/2021, nơi cấp: Cục cảnh sát quản lý hành chính và trật tự xã hội</t>
  </si>
  <si>
    <t>09/03/1991</t>
  </si>
  <si>
    <t>122035501</t>
  </si>
  <si>
    <t>30/12/2008</t>
  </si>
  <si>
    <t>Bố Hạ</t>
  </si>
  <si>
    <t xml:space="preserve">Yên Thế </t>
  </si>
  <si>
    <t>Bố hạ</t>
  </si>
  <si>
    <t>Trung cấp Y tế Bắc Giang</t>
  </si>
  <si>
    <t>BV0143</t>
  </si>
  <si>
    <t>Mã Thị Thu</t>
  </si>
  <si>
    <t>CCCD: 020187002661
ngày cấp 22/4/2021
Tại Cục cảnh sát quản lý hành chính về trật tự xã hội</t>
  </si>
  <si>
    <t>082062450</t>
  </si>
  <si>
    <t>14/12/2005</t>
  </si>
  <si>
    <t>Xã Tri Phương, Huyện Tràng Định, Tỉnh Lạng Sơn</t>
  </si>
  <si>
    <t>16/3/2011</t>
  </si>
  <si>
    <t>3.34</t>
  </si>
  <si>
    <t>BV0322</t>
  </si>
  <si>
    <t>Hoàng Thị Gấm</t>
  </si>
  <si>
    <t>020185006687,
Ngày cấp 14/8/2021, nơi cấp: Cục cảnh sát quản lý hành chính và trật tự xã hội</t>
  </si>
  <si>
    <t>082039898</t>
  </si>
  <si>
    <t>27/01/2005</t>
  </si>
  <si>
    <t>Xã Tràng Sơn</t>
  </si>
  <si>
    <t>Phường Đông Kinh, Thành phố Lạng Sơn, Tỉnh Lạng Sơn</t>
  </si>
  <si>
    <t>BV0742</t>
  </si>
  <si>
    <t>Nguyễn Thị Kiều</t>
  </si>
  <si>
    <t>13/6/1975</t>
  </si>
  <si>
    <t>082078525</t>
  </si>
  <si>
    <t>05/05/2006</t>
  </si>
  <si>
    <t>Hoàng Đồng, thành phố Lạng Sơn, Lạng Sơn</t>
  </si>
  <si>
    <t xml:space="preserve"> 01/11/2016</t>
  </si>
  <si>
    <t>Chứng chỉ Hộ lý</t>
  </si>
  <si>
    <t>BV0511</t>
  </si>
  <si>
    <t>Vi Bích Hường</t>
  </si>
  <si>
    <t>082025367</t>
  </si>
  <si>
    <t>82025367</t>
  </si>
  <si>
    <t>16/11/2015</t>
  </si>
  <si>
    <t>BV0771</t>
  </si>
  <si>
    <t>Hoàng Thị Thảo</t>
  </si>
  <si>
    <t>081005268</t>
  </si>
  <si>
    <t>15/08/2012</t>
  </si>
  <si>
    <t>01/02/2016</t>
  </si>
  <si>
    <t>BV1018</t>
  </si>
  <si>
    <t>2016000981</t>
  </si>
  <si>
    <t>01/06/1991</t>
  </si>
  <si>
    <t>082162060</t>
  </si>
  <si>
    <t>28/3/2008</t>
  </si>
  <si>
    <t>12/4/2020</t>
  </si>
  <si>
    <t>BV0882</t>
  </si>
  <si>
    <t>Hoàng Thị Bích</t>
  </si>
  <si>
    <t>2020009845</t>
  </si>
  <si>
    <t>24/11/1989</t>
  </si>
  <si>
    <t>082114289</t>
  </si>
  <si>
    <t>09/04/2007</t>
  </si>
  <si>
    <t>BV1013</t>
  </si>
  <si>
    <t>Trần Thị Hiệp</t>
  </si>
  <si>
    <t>2020118347</t>
  </si>
  <si>
    <t>18/3/1989</t>
  </si>
  <si>
    <t>082099183</t>
  </si>
  <si>
    <t>12/12/2006</t>
  </si>
  <si>
    <t>Xã Đào viên, huyện Tràng Định, tỉnh Lạng Sơn</t>
  </si>
  <si>
    <t>BV1028</t>
  </si>
  <si>
    <t>Đỗ Bích Ngọc</t>
  </si>
  <si>
    <t>2020048438</t>
  </si>
  <si>
    <t>21/12/1980</t>
  </si>
  <si>
    <t>080932122</t>
  </si>
  <si>
    <t>21/9/2006</t>
  </si>
  <si>
    <t>11/5/2020</t>
  </si>
  <si>
    <t>BV1012</t>
  </si>
  <si>
    <t>2009003474</t>
  </si>
  <si>
    <t>CCCD: 020194000485
ngày cấp: 29/3/2021
Tại Cục cảnh sát quản lý hành chính về trật tự xã hội</t>
  </si>
  <si>
    <t>07/12/1981</t>
  </si>
  <si>
    <t>080942276</t>
  </si>
  <si>
    <t>03/04/2015</t>
  </si>
  <si>
    <t>Phường Chi Lăng, Thành phố Lạng Sơn, Tỉnh Lạng Sơn</t>
  </si>
  <si>
    <t>BV1059</t>
  </si>
  <si>
    <t>Hoàng Thị Xuyến</t>
  </si>
  <si>
    <t>2020848431</t>
  </si>
  <si>
    <t>01/02/1982</t>
  </si>
  <si>
    <t>122379978</t>
  </si>
  <si>
    <t>29/3/2019</t>
  </si>
  <si>
    <t>Xã Hoàng Lương, huyện Hiệp Hòa, tỉnh Bắc Giang</t>
  </si>
  <si>
    <t>BV1005</t>
  </si>
  <si>
    <t>Đàm Thị Hợi</t>
  </si>
  <si>
    <t>1507003181</t>
  </si>
  <si>
    <t>04/06/1983</t>
  </si>
  <si>
    <t>081001465</t>
  </si>
  <si>
    <t>28/02/2018</t>
  </si>
  <si>
    <t>Thị trấn Cao Lộc, huyên Cao Lộc, tỉnh Lạng Sơn</t>
  </si>
  <si>
    <t>BV1006</t>
  </si>
  <si>
    <t>Hoàng Thị Thêu</t>
  </si>
  <si>
    <t>0112062997</t>
  </si>
  <si>
    <t>CCCD: 020178002555
ngày cấp: 24/4/2021
Tại Cục cảnh sát quản lý hành chính về trật tự xã hội</t>
  </si>
  <si>
    <t>05/11/1978</t>
  </si>
  <si>
    <t>080995537</t>
  </si>
  <si>
    <t>13/07/2012</t>
  </si>
  <si>
    <t>BV1008</t>
  </si>
  <si>
    <t>Vy Thị Xung</t>
  </si>
  <si>
    <t>2009001930</t>
  </si>
  <si>
    <t>10/01/1986</t>
  </si>
  <si>
    <t>081017475</t>
  </si>
  <si>
    <t>18/12/2008</t>
  </si>
  <si>
    <t>BV1027</t>
  </si>
  <si>
    <t>Đoàn Vân Hòa</t>
  </si>
  <si>
    <t>3621112594</t>
  </si>
  <si>
    <t>01/3/1986</t>
  </si>
  <si>
    <t>082008239</t>
  </si>
  <si>
    <t>Xã Hùng Việt, huyện Tràng Định, tỉnh Lạng Sơn</t>
  </si>
  <si>
    <t>BV1015</t>
  </si>
  <si>
    <t>1500002001</t>
  </si>
  <si>
    <t>11/03/1979</t>
  </si>
  <si>
    <t>081005246</t>
  </si>
  <si>
    <t>08/07/2015</t>
  </si>
  <si>
    <t>Thị trấn Cao Lộc, huyện Cao Lộc, tỉnh Lạng Sơn</t>
  </si>
  <si>
    <t>BV0689</t>
  </si>
  <si>
    <t>Nguyễn Thị Thúy</t>
  </si>
  <si>
    <t>18/05/2015</t>
  </si>
  <si>
    <t>Phường Tam Thanh, thành phố Lạng Sơn</t>
  </si>
  <si>
    <t xml:space="preserve"> 01/02/2016</t>
  </si>
  <si>
    <t>BV0817</t>
  </si>
  <si>
    <t>Trần Ngọc Thúy</t>
  </si>
  <si>
    <t>20/04/2015</t>
  </si>
  <si>
    <t>Đào Viên</t>
  </si>
  <si>
    <t>01/02/2018</t>
  </si>
  <si>
    <t>BV1016</t>
  </si>
  <si>
    <t>Nông Thị Liễu</t>
  </si>
  <si>
    <t>2020711281</t>
  </si>
  <si>
    <t>23/11/1985</t>
  </si>
  <si>
    <t>081048781</t>
  </si>
  <si>
    <t>04/01/2006</t>
  </si>
  <si>
    <t>BV1017</t>
  </si>
  <si>
    <t>Dương Thị Hiến</t>
  </si>
  <si>
    <t>0111173457</t>
  </si>
  <si>
    <t>11/5/1982</t>
  </si>
  <si>
    <t>082047355</t>
  </si>
  <si>
    <t>26/8/2005</t>
  </si>
  <si>
    <t>Xã Tân Liên, huyên Cao Lộc, tỉnh Lạng Sơn</t>
  </si>
  <si>
    <t>BV0770</t>
  </si>
  <si>
    <t>Nông Thúy Mai</t>
  </si>
  <si>
    <t>14/10/1978</t>
  </si>
  <si>
    <t>080966744</t>
  </si>
  <si>
    <t>30/9/2010</t>
  </si>
  <si>
    <t>Hoàng Đồng, Lạng Sơn, Lạng Sơn</t>
  </si>
  <si>
    <t>BV1010</t>
  </si>
  <si>
    <t>Đặng Thị Thoa</t>
  </si>
  <si>
    <t>2020959562</t>
  </si>
  <si>
    <t>31/7/1973</t>
  </si>
  <si>
    <t>Xã Hoàng Đồng, thành phố Lạng Sơn</t>
  </si>
  <si>
    <t>BV1024</t>
  </si>
  <si>
    <t>Trần Thị Hòa</t>
  </si>
  <si>
    <t>23/7/1983</t>
  </si>
  <si>
    <t>082373848</t>
  </si>
  <si>
    <t>23/5/2018</t>
  </si>
  <si>
    <t>Thôn Phú Nhuận, xã Điềm He, huyện Văn Quan, tỉnh Lạng Sơn</t>
  </si>
  <si>
    <t>BV0626</t>
  </si>
  <si>
    <t>Trần Mậu Quý</t>
  </si>
  <si>
    <t>CCCD: 020079009951
Ngày cấp: 05/7/2021
Tại Cục cảnh sát quản lý hành chính về trật tự xã hội</t>
  </si>
  <si>
    <t>080982650</t>
  </si>
  <si>
    <t>19/09/2014</t>
  </si>
  <si>
    <t>5/1/2015</t>
  </si>
  <si>
    <t>02/4/2026</t>
  </si>
  <si>
    <t>BV0455</t>
  </si>
  <si>
    <t>Đoàn Thị Hòa</t>
  </si>
  <si>
    <t>CCCD: 020176002027
Ngày cấp: 20/4/2021
Tại Cục cảnh sát quản lý hành chính về trật tự xã hội</t>
  </si>
  <si>
    <t>081003482</t>
  </si>
  <si>
    <t>14/08/2002</t>
  </si>
  <si>
    <t>Phường Tam Thanh, Thành phố Lạng Sơn, Tỉnh Lạng Sơn</t>
  </si>
  <si>
    <t>1/8/2006</t>
  </si>
  <si>
    <t>01/7/2025</t>
  </si>
  <si>
    <t>BV1067</t>
  </si>
  <si>
    <t>Trương Thị Quỳnh Trang</t>
  </si>
  <si>
    <t>1507000760</t>
  </si>
  <si>
    <t>081037406</t>
  </si>
  <si>
    <t>Số 6 đường Trần Quốc Toản, phường Hoàng Văn Thụ, thành phố Lạng Sơn, tỉnh Lạng Sơn</t>
  </si>
  <si>
    <t xml:space="preserve">09/9/2020 </t>
  </si>
  <si>
    <t>BV0621</t>
  </si>
  <si>
    <t>Hoàng Thị Dầm</t>
  </si>
  <si>
    <t>CCCD: 020188005204
Ngày cấp: 25/6/2021
Tại Cục cảnh sát quản lý hành chính về trật tự xã hội</t>
  </si>
  <si>
    <t>082150412</t>
  </si>
  <si>
    <t>29/07/2007</t>
  </si>
  <si>
    <t>Số 55 Phố Muối, phường Tam Thanh, thành phố Lạng Sơn</t>
  </si>
  <si>
    <t>1/2/2013</t>
  </si>
  <si>
    <t>01/10/2024</t>
  </si>
  <si>
    <t>BV0850</t>
  </si>
  <si>
    <t>Dương Minh Thiện</t>
  </si>
  <si>
    <t>CMT: 082315063, 
Ngày cấp 13/05/2014, 
CA Lạng Sơn</t>
  </si>
  <si>
    <t>10/02/1996</t>
  </si>
  <si>
    <t>082315063</t>
  </si>
  <si>
    <t>13/05/2014</t>
  </si>
  <si>
    <t>Thị trấn Đình Lập, Huyện Đình Lập, Tỉnh Lạng Sơn</t>
  </si>
  <si>
    <t>05/9/2018</t>
  </si>
  <si>
    <t>01/9/2018</t>
  </si>
  <si>
    <t>05/9/2025</t>
  </si>
  <si>
    <t>BV0766</t>
  </si>
  <si>
    <t>Trần Thị Thủy</t>
  </si>
  <si>
    <t>020195001863 cấp ngày 29/04/2021, nơi cấp: Cục cảnh sát quản lý hành chính và trật tự xã hội</t>
  </si>
  <si>
    <t>082250068</t>
  </si>
  <si>
    <t>04/11/2010</t>
  </si>
  <si>
    <t>TT Văn Quan</t>
  </si>
  <si>
    <t>CĐ Y Tế Phú Thọ</t>
  </si>
  <si>
    <t>BV0510</t>
  </si>
  <si>
    <t>Hoàng Thị Kim Hải</t>
  </si>
  <si>
    <t>CCCD: 020193002196
Ngày cấp: 29/4/2021, nơi cấp: Cục cảnh sát quản lý hành chính và trật tự xã hội</t>
  </si>
  <si>
    <t>082176129</t>
  </si>
  <si>
    <t>23/06/2008</t>
  </si>
  <si>
    <t>Xã Bắc Thủy</t>
  </si>
  <si>
    <t>Xã Bắc Thủy, Huyện Chi Lăng, Tỉnh Lạng Sơn</t>
  </si>
  <si>
    <t>CĐ Y té Phú Thọ</t>
  </si>
  <si>
    <t>BV1041</t>
  </si>
  <si>
    <t>Vi Thị Hiển</t>
  </si>
  <si>
    <t>2020663340</t>
  </si>
  <si>
    <t>CCCD: 020193002195
Ngày cấp: 29/4/2021, nơi cấp: Cục cảnh sát quản lý hành chính và trật tự xã hội</t>
  </si>
  <si>
    <t>07/11/1993</t>
  </si>
  <si>
    <t>082214049</t>
  </si>
  <si>
    <t>13/7/1993</t>
  </si>
  <si>
    <t>0977839941</t>
  </si>
  <si>
    <t>BV0813</t>
  </si>
  <si>
    <t>Trần Thị Thảo</t>
  </si>
  <si>
    <t>CCCD: 020193002184
Ngày cấp: 29/4/2021, nơi cấp: Cục cảnh sát quản lý hành chính và trật tự xã hội</t>
  </si>
  <si>
    <t>11/08/1993</t>
  </si>
  <si>
    <t>082222737</t>
  </si>
  <si>
    <t>25/09/2009</t>
  </si>
  <si>
    <t xml:space="preserve"> Lạng Sơn</t>
  </si>
  <si>
    <t>13/12/2017</t>
  </si>
  <si>
    <t>3/12/2024</t>
  </si>
  <si>
    <t>ĐH Khoa học Thái Nguyên</t>
  </si>
  <si>
    <t>CC Định hướng chuyên khoa</t>
  </si>
  <si>
    <t>BV0955</t>
  </si>
  <si>
    <t>Phan Thị Vân Anh</t>
  </si>
  <si>
    <t>2020459516</t>
  </si>
  <si>
    <t>CCCD: 020197009034
Ngày cấp: 28/6/2021, nơi cấp: Cục cảnh sát quản lý hành chính và trật tự xã hội</t>
  </si>
  <si>
    <t>Thôn Nhị Hà, xã Sơn Hà, huyện Hữu Lũng, tỉnh Lạng Sơn</t>
  </si>
  <si>
    <t>23/10/2019</t>
  </si>
  <si>
    <t>BV1124</t>
  </si>
  <si>
    <t>Trần Thị Thanh Huyền</t>
  </si>
  <si>
    <t>2020902669</t>
  </si>
  <si>
    <t>CMT: 82236344, ngày cấp: 18/8/2014, nơi cấp: Công an tỉnh Lạng Sơn</t>
  </si>
  <si>
    <t>082236344</t>
  </si>
  <si>
    <t>48 Ngô Thì Sỹ, phường Tam Thanh, thành phố Lạng Sơn, tỉnh Lạng Sơn</t>
  </si>
  <si>
    <t>BV0751</t>
  </si>
  <si>
    <t>Lý Minh Thức</t>
  </si>
  <si>
    <t>081044095</t>
  </si>
  <si>
    <t>17/7/2010</t>
  </si>
  <si>
    <t>Đồng Bục</t>
  </si>
  <si>
    <t xml:space="preserve"> Học viện Kỹ thuật Quân sự</t>
  </si>
  <si>
    <t>BV1065</t>
  </si>
  <si>
    <t>Đào Quang Trục</t>
  </si>
  <si>
    <t>1500000059</t>
  </si>
  <si>
    <t>080931247</t>
  </si>
  <si>
    <t>28 ngõ 8 Phai Vệ, phường Đông Kinh, thành phố Lạng Sơn, tỉnh Lạng Sơn</t>
  </si>
  <si>
    <t>03/8/2020</t>
  </si>
  <si>
    <t>BV0625</t>
  </si>
  <si>
    <t>Hoàng Thế Võ</t>
  </si>
  <si>
    <t>082091976</t>
  </si>
  <si>
    <t>Tri Yên</t>
  </si>
  <si>
    <t>Huyện Yên Dũng</t>
  </si>
  <si>
    <t>CC Sơ cấp Công nghiệp Điện</t>
  </si>
  <si>
    <t>BV0772</t>
  </si>
  <si>
    <t>Vi Thị Hằng</t>
  </si>
  <si>
    <t>30/7/1993</t>
  </si>
  <si>
    <t>082238692</t>
  </si>
  <si>
    <t>14/3/2014</t>
  </si>
  <si>
    <t xml:space="preserve">Quang Lang </t>
  </si>
  <si>
    <t>Tam Thanh, Lạng Sơn, Lạng Sơn</t>
  </si>
  <si>
    <t>BV0878</t>
  </si>
  <si>
    <t>Trần Thị Ngọc</t>
  </si>
  <si>
    <t>2020347266</t>
  </si>
  <si>
    <t>28/06/1990</t>
  </si>
  <si>
    <t>082073353</t>
  </si>
  <si>
    <t>26/05/2014</t>
  </si>
  <si>
    <t>Xã Lương Năng, huyện Văn Quan, tỉnh Lạng Sơn</t>
  </si>
  <si>
    <t>BV0576</t>
  </si>
  <si>
    <t>Tô Thị Mai</t>
  </si>
  <si>
    <t>082010052</t>
  </si>
  <si>
    <t>16/01/2009</t>
  </si>
  <si>
    <t>Sàn Viên</t>
  </si>
  <si>
    <t>Khối 10, phường Tam Thanh, thành phố Lạng Sơn</t>
  </si>
  <si>
    <t>CN Hộ Lý</t>
  </si>
  <si>
    <t>BV1115</t>
  </si>
  <si>
    <t>Trương Quý Dũng</t>
  </si>
  <si>
    <t>080977757</t>
  </si>
  <si>
    <t>Tổ 2 khối 7, phường Vĩnh Trại, thành phố Lạng Sơn, tỉnh Lạng Sơn</t>
  </si>
  <si>
    <t>01/3/2021</t>
  </si>
  <si>
    <t>BV0731</t>
  </si>
  <si>
    <t>Lê Thị Nhã</t>
  </si>
  <si>
    <t>25/12/1981</t>
  </si>
  <si>
    <t>135285841</t>
  </si>
  <si>
    <t>14/7/2004</t>
  </si>
  <si>
    <t>CA Vĩnh Phúc</t>
  </si>
  <si>
    <t>Văn Khê</t>
  </si>
  <si>
    <t>Vĩnh Phúc</t>
  </si>
  <si>
    <t xml:space="preserve"> 01/9/2016</t>
  </si>
  <si>
    <t>BV0880</t>
  </si>
  <si>
    <t>Dương Thu Hiền</t>
  </si>
  <si>
    <t>2716019127</t>
  </si>
  <si>
    <t>01/12/1986</t>
  </si>
  <si>
    <t>081049240</t>
  </si>
  <si>
    <t>19/05/2017</t>
  </si>
  <si>
    <t>Tân Liên</t>
  </si>
  <si>
    <t>Xã Tân Liên, huyện Cao Lộc, tỉnh Lạng Sơn</t>
  </si>
  <si>
    <t>BV0767</t>
  </si>
  <si>
    <t>Hoàng Văn Hiếu</t>
  </si>
  <si>
    <t>2015002178</t>
  </si>
  <si>
    <t>13/8/1991</t>
  </si>
  <si>
    <t>082276659</t>
  </si>
  <si>
    <t>03/07/2012</t>
  </si>
  <si>
    <t>01/04/2017</t>
  </si>
  <si>
    <t>BV0729</t>
  </si>
  <si>
    <t>Lương Thị Thảo</t>
  </si>
  <si>
    <t>23/10/1992</t>
  </si>
  <si>
    <t>082161737</t>
  </si>
  <si>
    <t>08/7/2010</t>
  </si>
  <si>
    <t>Kháng Chiến</t>
  </si>
  <si>
    <t>Trần Quang Khải 1, phường Chi lăng, thành phố Lạng Sơn.</t>
  </si>
  <si>
    <t>BV0691</t>
  </si>
  <si>
    <t>Hoàng Thị Chín</t>
  </si>
  <si>
    <t>081013437</t>
  </si>
  <si>
    <t>13/07/2007</t>
  </si>
  <si>
    <t>Tràng Các</t>
  </si>
  <si>
    <t>CN Nghiệp vụ vệ sinh công nghiệp tại bệnh viện</t>
  </si>
  <si>
    <t>BV0953</t>
  </si>
  <si>
    <t>1500002060</t>
  </si>
  <si>
    <t>020171001372
Cấp ngày: 25/04/2021
Cục cảnh sát QLHC
về TTXH</t>
  </si>
  <si>
    <t>03/09/2019</t>
  </si>
  <si>
    <t>BV0792</t>
  </si>
  <si>
    <t>Vy Thị Hoa</t>
  </si>
  <si>
    <t>24/12/1981</t>
  </si>
  <si>
    <t>081006061</t>
  </si>
  <si>
    <t>14/1/2015</t>
  </si>
  <si>
    <t>BV1002</t>
  </si>
  <si>
    <t>Nguyễn Văn Lý</t>
  </si>
  <si>
    <t>1507000382</t>
  </si>
  <si>
    <t>081060736</t>
  </si>
  <si>
    <t>01/10/2025</t>
  </si>
  <si>
    <t>KTYS</t>
  </si>
  <si>
    <t>BV0927</t>
  </si>
  <si>
    <t>Đỗ Nhật Tùng</t>
  </si>
  <si>
    <t>2020029392</t>
  </si>
  <si>
    <t>020093008213, ngày cấp: 25/6/2021, nơi cấp: Cục cảnh sát quản lý hành chính và trật tự xã hội</t>
  </si>
  <si>
    <t>21/10/1993</t>
  </si>
  <si>
    <t>082250537</t>
  </si>
  <si>
    <t>13/5/2019</t>
  </si>
  <si>
    <t>Khối 11, Phường Tam Thanh, TP Lạng Sơn, tỉnh Lạng Sơn</t>
  </si>
  <si>
    <t>Khối 11, Phường Tam Thanh, thành phố Lạng Sơn, tỉnh Lạng Sơn</t>
  </si>
  <si>
    <t>YHDP</t>
  </si>
  <si>
    <t>BV0926</t>
  </si>
  <si>
    <t>Đinh Thị Hải Yến</t>
  </si>
  <si>
    <t>1520931434</t>
  </si>
  <si>
    <t>CMT: 060957045, 
Ngày cấp 20/6/2015, 
nơi cấp CA tỉnh Yên Bái</t>
  </si>
  <si>
    <t>25/8/1993</t>
  </si>
  <si>
    <t>060957045</t>
  </si>
  <si>
    <t>20/6/2015</t>
  </si>
  <si>
    <t>Công an tỉnh Yên Bái</t>
  </si>
  <si>
    <t>Phường Pú Trạng, TX Nghĩa Lộ, tỉnh Yên Bái</t>
  </si>
  <si>
    <t>phường Tam Thanh, thành phố Lạng Sơn, tỉnh Lạng Sơn</t>
  </si>
  <si>
    <t>BV0369</t>
  </si>
  <si>
    <t>Vi Văn Tân</t>
  </si>
  <si>
    <t>CCCD: 020089009096 ngày cấp 12/08/2021
Cục trưởng cục CSQLHC về TTXH</t>
  </si>
  <si>
    <t>082085866</t>
  </si>
  <si>
    <t>19/08/2013</t>
  </si>
  <si>
    <t>1/11/2013</t>
  </si>
  <si>
    <t>2.86</t>
  </si>
  <si>
    <t>CC Chuyên nghành Y học cổ truyền</t>
  </si>
  <si>
    <t>BV0797</t>
  </si>
  <si>
    <t>Dương Công Khanh</t>
  </si>
  <si>
    <t>CCCD: 020094009569
Ngày cấp: 25/06/2021
Tại Cục cảnh sát quản lý hành chính về trật tự xã hội</t>
  </si>
  <si>
    <t>21/8/1994</t>
  </si>
  <si>
    <t>082267100</t>
  </si>
  <si>
    <t>Gia Cát</t>
  </si>
  <si>
    <t>Gia Cát, Cao Lộc, Lạng Sơn</t>
  </si>
  <si>
    <t>ĐH Y Tế Công cộng</t>
  </si>
  <si>
    <t>ƯDCNTCB</t>
  </si>
  <si>
    <t>BV0803</t>
  </si>
  <si>
    <t>Dương Công Tình</t>
  </si>
  <si>
    <t>CCCD: 020092002145 
Ngày cấp 29/4/2021,
Tại Cục cảnh sát quản lý hành chính về trật tự xã hội</t>
  </si>
  <si>
    <t>082230384</t>
  </si>
  <si>
    <t>26/8/2016</t>
  </si>
  <si>
    <t>Quỳnh Sơn</t>
  </si>
  <si>
    <t>Xã Bắc Quỳnh, huyên Bắc Sơn, tỉnh Lạng Sơn</t>
  </si>
  <si>
    <t>BV0924</t>
  </si>
  <si>
    <t>Nguyễn Thu Huyền</t>
  </si>
  <si>
    <t>3321487160</t>
  </si>
  <si>
    <t>CCCD: 020197000360
Ngày cấp: 13/4/2021
Tại Cục cảnh sát quản lý hành chính về trật tự xã hội</t>
  </si>
  <si>
    <t>08/8/1997</t>
  </si>
  <si>
    <t>082325320</t>
  </si>
  <si>
    <t>04/4/2018</t>
  </si>
  <si>
    <t>Số 14 đường Ba Đình, khu Tân Mỹ I, Thị trấn Hữu Lũng, huyện Hữu Lũng, tỉnh Lạng Sơn</t>
  </si>
  <si>
    <t>15/2/2026</t>
  </si>
  <si>
    <t>ĐH YTCC</t>
  </si>
  <si>
    <t>BV0804</t>
  </si>
  <si>
    <t>Lương Thanh Nhàn</t>
  </si>
  <si>
    <t>CCCD: 020194001881, 
Ngày cấp: 29/04/2021.
Tại Cục cảnh sát quản lý hành chính về trật tự xã hội</t>
  </si>
  <si>
    <t>30/10/1994</t>
  </si>
  <si>
    <t>082234130</t>
  </si>
  <si>
    <t>26/1/2010</t>
  </si>
  <si>
    <t>Đông Bục</t>
  </si>
  <si>
    <t>Đồng Bục, Lộc Bình, Lạng Sơn</t>
  </si>
  <si>
    <t>BV1139</t>
  </si>
  <si>
    <t>Hoàng Văn Cánh</t>
  </si>
  <si>
    <t>CCCD: 020099001098
Ngày cấp: 29/4/2021
Tại Cục cảnh sát quản lý hành chính về trật tự xã hội</t>
  </si>
  <si>
    <t>020099001098</t>
  </si>
  <si>
    <t>29/4/2021</t>
  </si>
  <si>
    <t>Cục Quản lý hành chính về trật tự xã hội</t>
  </si>
  <si>
    <t>Xã Gia Miễn, huyện Văn Lãng, tỉnh Lạng Sơn</t>
  </si>
  <si>
    <t>Anh bậc 2</t>
  </si>
  <si>
    <t>BV1140</t>
  </si>
  <si>
    <t>Sầm Thị Hồng</t>
  </si>
  <si>
    <t>CCCD: 004195000680
ngày cấp: 13/04/2021.  
Tại Cục cảnh sát quản lý hành chính về trật tự xã hội</t>
  </si>
  <si>
    <t>19/5/1995</t>
  </si>
  <si>
    <t>004195000680</t>
  </si>
  <si>
    <t>13/4/2021</t>
  </si>
  <si>
    <t>Xã Thanh Long, huyện Hà Quảng, tỉnh Cao Bằng</t>
  </si>
  <si>
    <t>Xã Thanh Long, huyện Hà Quảng, tỉnh Cao Bằng.</t>
  </si>
  <si>
    <t>23/8/2021</t>
  </si>
  <si>
    <t>23/8/2025</t>
  </si>
  <si>
    <t>ĐH PHENIKAA</t>
  </si>
  <si>
    <t>BV1142</t>
  </si>
  <si>
    <t>Nông Hải Yến</t>
  </si>
  <si>
    <t>020192002657 cấp ngày 29/4/2021, nơi cấp: Cục cảnh sát quản lý hành chính và trật tự xã hội</t>
  </si>
  <si>
    <t>020192002657</t>
  </si>
  <si>
    <t>Xã Mai Pha, thành phố Lạng Sơn</t>
  </si>
  <si>
    <t>Xã Mai Pha, TP. Lạng Sơn ,tỉnh Lạng Sơn</t>
  </si>
  <si>
    <t>BV1147</t>
  </si>
  <si>
    <t>Hà Quang Tỉnh</t>
  </si>
  <si>
    <t>CCCD: 020096000732
Ngày cấp: 16/4/2021, nơi cấp: Cục cảnh sát quản lý hành chính và trật tự xã hội</t>
  </si>
  <si>
    <t>30/5/1996</t>
  </si>
  <si>
    <t>020096000732</t>
  </si>
  <si>
    <t>16/04/2021</t>
  </si>
  <si>
    <t>Xã Bình Phúc, huyện Văn Quan</t>
  </si>
  <si>
    <t>Xã Bình Phúc, huyện Văn Quan, tỉnh Lạng Sơn</t>
  </si>
  <si>
    <t>BV1148</t>
  </si>
  <si>
    <t>Lương Thị Tới</t>
  </si>
  <si>
    <t>020192010705,
Ngày cấp 22/11/2021, nơi cấp: Cục cảnh sát quản lý hành chính và trật tự xã hội</t>
  </si>
  <si>
    <t>26/8/1992</t>
  </si>
  <si>
    <t>082215738</t>
  </si>
  <si>
    <t>14/12/2009</t>
  </si>
  <si>
    <t>Xã Vân An. Huyện Chi Lăng</t>
  </si>
  <si>
    <t>BV1149</t>
  </si>
  <si>
    <t>Toàn Thu Linh</t>
  </si>
  <si>
    <t>082047068, ngày cấp 21/10/2019, công an tỉnh Lạng Sơn</t>
  </si>
  <si>
    <t>04/3/1988</t>
  </si>
  <si>
    <t>082047068</t>
  </si>
  <si>
    <t>21/10/2019</t>
  </si>
  <si>
    <t>Phường Hoàng Văn Thụ, Thành phố Lạng Sơn</t>
  </si>
  <si>
    <t>Phường Hoàng Văn Thụ, TP. Lạng Sơn ,tỉnh Lạng Sơn</t>
  </si>
  <si>
    <t>BV1152</t>
  </si>
  <si>
    <t>Nguyễn Quỳnh Anh</t>
  </si>
  <si>
    <t>020196005434 ngày cấp 13/2/2022 , Cục cảnh sát quản lý hành chính về trật tự xã hội</t>
  </si>
  <si>
    <t>14/5/1996</t>
  </si>
  <si>
    <t>082308668</t>
  </si>
  <si>
    <t>20/12/2013</t>
  </si>
  <si>
    <t>Phường Đông Kinh, thành phố Lạng Sơn</t>
  </si>
  <si>
    <t>ĐH y dược TB</t>
  </si>
  <si>
    <t>BV1153</t>
  </si>
  <si>
    <t>Đàm Quang Diệu</t>
  </si>
  <si>
    <t xml:space="preserve">020095001919, cấp ngày 29/4/2021, tại cục CSQLHC về TTXH </t>
  </si>
  <si>
    <t>14/5/1995</t>
  </si>
  <si>
    <t>082190998</t>
  </si>
  <si>
    <t>06/10/2010</t>
  </si>
  <si>
    <t>Phường Vĩnh Trại, Thành phố Lạng Sơn</t>
  </si>
  <si>
    <t>Phường Vĩnh Trại, Thành phố Lạng Sơn, tỉnh Lạng Sơn</t>
  </si>
  <si>
    <t>BV1159</t>
  </si>
  <si>
    <t>Bùi Thị Thu Hà</t>
  </si>
  <si>
    <t>020194011727, ngày cấp 28/9/2021, nơi cấp cục cảnh sát quản lý hành chính về trật tự xã hội</t>
  </si>
  <si>
    <t>17/9/1994</t>
  </si>
  <si>
    <t>082234135</t>
  </si>
  <si>
    <t>26/6/2017</t>
  </si>
  <si>
    <t>Khu Hòa Bình, Thị trấn Lộc Bình, Huyện Lộc Bình</t>
  </si>
  <si>
    <t>Khu Hòa Bình, Thị trấn Lộc Bình, Huyện Lộc Bình, tỉnh Lạng Sơn</t>
  </si>
  <si>
    <t>ĐH Y dược TB</t>
  </si>
  <si>
    <t>BV1132</t>
  </si>
  <si>
    <t>Vy Thị Tình</t>
  </si>
  <si>
    <t>29/09/1986</t>
  </si>
  <si>
    <t>Thôn Bản Đẩy, xã Thạch Đạn, huyện Cao Lộc, tỉnh Lạng Sơn</t>
  </si>
  <si>
    <t>BV1131</t>
  </si>
  <si>
    <t>07/11/1977</t>
  </si>
  <si>
    <t>33A ngõ 4, đường Lê Lợi, phường Vĩnh Trại, thành phố Lạng Sơn, tỉnh Lạng Sơn</t>
  </si>
  <si>
    <t xml:space="preserve"> 02/8/2021</t>
  </si>
  <si>
    <t>BV1134</t>
  </si>
  <si>
    <t>Vi Văn Vẻ</t>
  </si>
  <si>
    <t>25/3/1988</t>
  </si>
  <si>
    <t>Số 14 đường Phan Huy Chú, phường Chi Lăng, thành phố Lạng Sơn, tỉnh Lạng Sơn</t>
  </si>
  <si>
    <t>23/11/0012</t>
  </si>
  <si>
    <t>BV1165</t>
  </si>
  <si>
    <t>Hoàng Văn Dương</t>
  </si>
  <si>
    <t>12/11/1979</t>
  </si>
  <si>
    <t>Số 2, ngõ 109 đường Nguyễn Du, phường Đông Kinh, thành phố Lạng Sơn</t>
  </si>
  <si>
    <t xml:space="preserve"> 01/11/2021</t>
  </si>
  <si>
    <t>BV1171</t>
  </si>
  <si>
    <t>Lương Phan Anh</t>
  </si>
  <si>
    <t>020093006527
Cấp ngày: 20/02/2022
Cục cảnh sát QLHC
về TTXH</t>
  </si>
  <si>
    <t>01/11/1993</t>
  </si>
  <si>
    <t>082164937</t>
  </si>
  <si>
    <t>12/5/2018</t>
  </si>
  <si>
    <t>KP016</t>
  </si>
  <si>
    <t>BV1173</t>
  </si>
  <si>
    <t>Hoàng Thị Xì</t>
  </si>
  <si>
    <t xml:space="preserve">       020197007925, ngày cấp: 24/6/2021, nơi cấp: Cục cảnh sát quản lý hành chính và trật tự xã hội</t>
  </si>
  <si>
    <t>12/02/1997</t>
  </si>
  <si>
    <t>020197007925</t>
  </si>
  <si>
    <t>24/6/2021</t>
  </si>
  <si>
    <t>Xã Tân Tác, huyện Văn Lãng, tỉnh Lạng Sơn</t>
  </si>
  <si>
    <t>KP036</t>
  </si>
  <si>
    <t>2.34</t>
  </si>
  <si>
    <t>BV1179</t>
  </si>
  <si>
    <t>Mông Đức Thuận</t>
  </si>
  <si>
    <t>06/9/1983</t>
  </si>
  <si>
    <t>020083002203</t>
  </si>
  <si>
    <t>20/4/2021</t>
  </si>
  <si>
    <t>114 đường Bắc Sơn, phường Hoàng Văn Thụ, thành phố Lạng Sơn</t>
  </si>
  <si>
    <t>BV1177</t>
  </si>
  <si>
    <t>Nguyễn Đức Tuân</t>
  </si>
  <si>
    <t>26/12/1971</t>
  </si>
  <si>
    <t>080924379</t>
  </si>
  <si>
    <t>25/4/2021</t>
  </si>
  <si>
    <t>139 đường Mỹ Sơn, khối 9 phường Vĩnh Trại, thành phố Lạng Sơn</t>
  </si>
  <si>
    <t>BV1182</t>
  </si>
  <si>
    <t>Vi Thanh Hương</t>
  </si>
  <si>
    <t>020193001302</t>
  </si>
  <si>
    <t>19 ngõ 64 đường Lê Đại Hành, phường Vĩnh Trại, thành phố Lạng Sơn</t>
  </si>
  <si>
    <t>20/6/2022</t>
  </si>
  <si>
    <t>BV1185</t>
  </si>
  <si>
    <t>Chu Thị Mây</t>
  </si>
  <si>
    <t>09/5/1984</t>
  </si>
  <si>
    <t>020184009651</t>
  </si>
  <si>
    <t>Thôn Hoàng Thượng, xã Hoàng Đồng, thành phố Lạng Sơn</t>
  </si>
  <si>
    <t>BV1187</t>
  </si>
  <si>
    <t>Vương Thị Lý</t>
  </si>
  <si>
    <t>22/167 đường Phai Vệ, phường Đông Kinh, thành phố Lạng Sơn</t>
  </si>
  <si>
    <t>2.06</t>
  </si>
  <si>
    <t>Bv1188</t>
  </si>
  <si>
    <t>Nông Thị Liên</t>
  </si>
  <si>
    <t>13/4/1985</t>
  </si>
  <si>
    <t>BV1189</t>
  </si>
  <si>
    <t>Nông Minh Huyền</t>
  </si>
  <si>
    <t>21/4/1999</t>
  </si>
  <si>
    <t>Số 28/104 đường Lê Đại Hành, phường Đông Kinh, thành phố Lạng Sơn</t>
  </si>
  <si>
    <t>BV1191</t>
  </si>
  <si>
    <t>Cam Thị Sơn</t>
  </si>
  <si>
    <t>27/4/1996</t>
  </si>
  <si>
    <t>BV1193</t>
  </si>
  <si>
    <t>Hoàng Thị Ngọc Bích</t>
  </si>
  <si>
    <t>18/10/1990</t>
  </si>
  <si>
    <t>2.10</t>
  </si>
  <si>
    <t>BV1194</t>
  </si>
  <si>
    <t>Lăng Nhật Cương</t>
  </si>
  <si>
    <t>29/01/1999</t>
  </si>
  <si>
    <t>Xã Xuân Long, Huyện Cao Lộc, tỉnh Lạng Sơn</t>
  </si>
  <si>
    <t>BV1196</t>
  </si>
  <si>
    <t>Lý Thị Hoa</t>
  </si>
  <si>
    <t>24/6/2001</t>
  </si>
  <si>
    <t>Xã Lộc Yên, huyện Cao Lộc, tỉnh Lạng Sơn</t>
  </si>
  <si>
    <t>BV1200</t>
  </si>
  <si>
    <t>Mông Thị Hưởng</t>
  </si>
  <si>
    <t>23/12/1998</t>
  </si>
  <si>
    <t>Xã Hợp Thành, Huyện Cao Lộc, tỉnh Lạng Sơn</t>
  </si>
  <si>
    <t>BV1202</t>
  </si>
  <si>
    <t>Luân Văn Lượng</t>
  </si>
  <si>
    <t>13/12/1997</t>
  </si>
  <si>
    <t>BV1205</t>
  </si>
  <si>
    <t>Phan Thị Thảo Uyên</t>
  </si>
  <si>
    <t>20/9/2001</t>
  </si>
  <si>
    <t>BV1206</t>
  </si>
  <si>
    <t>Lý Thị Yến Nhi</t>
  </si>
  <si>
    <t>15/10/2001</t>
  </si>
  <si>
    <t>Phường Hoàng Văn Thụ, thành phố Lạng Sơn</t>
  </si>
  <si>
    <t>BV1207</t>
  </si>
  <si>
    <t>28/9/1986</t>
  </si>
  <si>
    <t>Thôn Quảng Trung, Xã Quảng Lạc, thành phố Lạng Sơn</t>
  </si>
  <si>
    <t>BV1209</t>
  </si>
  <si>
    <t>Mông Tiến Hỷ</t>
  </si>
  <si>
    <t>28/6/1980</t>
  </si>
  <si>
    <t>Số 13, ngõ 720 đường Bà Triệu, phường Đông Kinh, thành phố Lạng Sơn</t>
  </si>
  <si>
    <t>BV1210</t>
  </si>
  <si>
    <t>Đinh Tuấn Bình</t>
  </si>
  <si>
    <t>16/09/1998</t>
  </si>
  <si>
    <t>118B đường Tản Đà, phường Hoàng Văn Thụ, thành phố Lạng Sơn</t>
  </si>
  <si>
    <t>BV1211</t>
  </si>
  <si>
    <t>La Tiến Cương</t>
  </si>
  <si>
    <t>19/10/1996</t>
  </si>
  <si>
    <t>Số 1 ngõ 1, đường Thân Cảnh Phúc, phường Hoàng Văn Thụ, thành phố Lạng Sơn</t>
  </si>
  <si>
    <t>BV1212</t>
  </si>
  <si>
    <t>12/8/1996</t>
  </si>
  <si>
    <t>106 Lê Đại Hành, phường Đông Kinh, tỉnh Lạng Sơn</t>
  </si>
  <si>
    <t>Mường</t>
  </si>
  <si>
    <t>BV1213</t>
  </si>
  <si>
    <t>Triệu Quảng Đông</t>
  </si>
  <si>
    <t>02/9/1998</t>
  </si>
  <si>
    <t>Khối 15, phường Hoàng Văn Thụ, thành phố Lạng Sơn</t>
  </si>
  <si>
    <t>BV1218</t>
  </si>
  <si>
    <t>Hoàng Thảo Chi</t>
  </si>
  <si>
    <t>Thị trấn Văn Quan, huyện Văn Quan, tỉnh Lạng Sơn</t>
  </si>
  <si>
    <t>BV1154</t>
  </si>
  <si>
    <t>Trần Trịnh Huy</t>
  </si>
  <si>
    <t>Phường Hoàng Văn Thụ, Thành phố Lạng Sơn, tỉnh Lạng Sơn</t>
  </si>
  <si>
    <t>6/9/2021</t>
  </si>
  <si>
    <t>BV1217</t>
  </si>
  <si>
    <t>Hứa Quang Thuận</t>
  </si>
  <si>
    <t>Khối phố Pà Nim, thị trấn Bình Gia, huyện Bình Gia, tỉnh Lạng Sơn</t>
  </si>
  <si>
    <t>03/01/2023</t>
  </si>
  <si>
    <t>BV1224</t>
  </si>
  <si>
    <t>Phạm Duy</t>
  </si>
  <si>
    <t>09/09/1995</t>
  </si>
  <si>
    <t>83 Bến Bắc, Phường Tam Thanh, thành phố Lạng Sơn</t>
  </si>
  <si>
    <t>BV1223</t>
  </si>
  <si>
    <t>Hoàng Thị Thanh Mai</t>
  </si>
  <si>
    <t>27/11/1996</t>
  </si>
  <si>
    <t>Xã Hòa Bình, huyện Văn Quan, tỉnh Lạng Sơn</t>
  </si>
  <si>
    <t>BV1222</t>
  </si>
  <si>
    <t>Phạm Đức Thọ</t>
  </si>
  <si>
    <t>20/08/1982</t>
  </si>
  <si>
    <t>Số 10 ngõ 830 đường Bà Triệu, phường Đông Kinh, Thành phố Lạng Sơn</t>
  </si>
  <si>
    <t>BV1227</t>
  </si>
  <si>
    <t>Ngô Công Anh</t>
  </si>
  <si>
    <t>22/01/1993</t>
  </si>
  <si>
    <t>18B, Chu Văn An, TP Lạng Sơn, tỉnh Lạng Sơn</t>
  </si>
  <si>
    <t>BV1228</t>
  </si>
  <si>
    <t>Trần Hoàng Vân Anh</t>
  </si>
  <si>
    <t>06/05/1996</t>
  </si>
  <si>
    <t>Phường Chi Lăng, TP Lạng Sơn, tỉnh Lạng Sơn</t>
  </si>
  <si>
    <t>BV1229</t>
  </si>
  <si>
    <t>Dương Thị Chang</t>
  </si>
  <si>
    <t>17/01/1997</t>
  </si>
  <si>
    <t>Xã Trấn Yên, huyện Bắc Sơn, tỉnh Lạng Sơn</t>
  </si>
  <si>
    <t>BV1230</t>
  </si>
  <si>
    <t>Nông Thị Ngân Giang</t>
  </si>
  <si>
    <t>25/02/1998</t>
  </si>
  <si>
    <t>Xã Nhật Tiến, huyện Hữu Lũng, tỉnh Lạng Sơn</t>
  </si>
  <si>
    <t>BV1232</t>
  </si>
  <si>
    <t>Hoàng Thu Hoài</t>
  </si>
  <si>
    <t>06/12/1996</t>
  </si>
  <si>
    <t>BV1233</t>
  </si>
  <si>
    <t>Lê Thị Lệ</t>
  </si>
  <si>
    <t>13/04/1998</t>
  </si>
  <si>
    <t>BV1236</t>
  </si>
  <si>
    <t>Nguyễn Thị Thùy Linh</t>
  </si>
  <si>
    <t>18/11/1999</t>
  </si>
  <si>
    <t>BV1239</t>
  </si>
  <si>
    <t>Lương Thanh Huỳnh</t>
  </si>
  <si>
    <t>05/01/1996</t>
  </si>
  <si>
    <t>Ngõ 66, Đèo Giang, phường Chi Lăng, TP Lạng Sơn, tỉnh Lạng Sơn</t>
  </si>
  <si>
    <t>BV1242</t>
  </si>
  <si>
    <t>Nguyễn Thúy Quỳnh</t>
  </si>
  <si>
    <t>30/12/2000</t>
  </si>
  <si>
    <t>Khối 9, phường Đông Kinh, TP Lạng Sơn, tỉnh Lạng Sơn</t>
  </si>
  <si>
    <t>BV1244</t>
  </si>
  <si>
    <t>Hoàng Văn Sáu</t>
  </si>
  <si>
    <t>Ngõ 123, tổ 1, Khối 3, phường Vĩnh Trại, TP Lạng Sơn</t>
  </si>
  <si>
    <t>BV1245</t>
  </si>
  <si>
    <t>Lương Thị Lưu</t>
  </si>
  <si>
    <t>Thôn Tân Lập, xã Mai Pha, thành phố Lạng Sơn</t>
  </si>
  <si>
    <t>BV1258</t>
  </si>
  <si>
    <t>Đường Ngọc Trang</t>
  </si>
  <si>
    <t>020196005171, ngày cấp 11/11/2022</t>
  </si>
  <si>
    <t>21/11/1996</t>
  </si>
  <si>
    <t>Anh B1</t>
  </si>
  <si>
    <t>BV1251</t>
  </si>
  <si>
    <t>Nguyễn Thị Bích Phương</t>
  </si>
  <si>
    <t>02030008106, ngày cấp 06/12/2021</t>
  </si>
  <si>
    <t>30/01/2000</t>
  </si>
  <si>
    <t>Thôn liên Sơn, xã Vũ Lăng, huyện Bắc Sơn, tỉnh Lạng Sơn</t>
  </si>
  <si>
    <t>BV1256</t>
  </si>
  <si>
    <t>Nông Thị Hồng Hạnh</t>
  </si>
  <si>
    <t>006193004260, ngày cấp 12/6/2023</t>
  </si>
  <si>
    <t>24/10/1993</t>
  </si>
  <si>
    <t>Khối 7, phường Vĩnh Trại, thành phố Lạng Sơn</t>
  </si>
  <si>
    <t>BV1257</t>
  </si>
  <si>
    <t>Vũ Phong Toàn</t>
  </si>
  <si>
    <t>020099005502, ngày cấp 25/6/2021</t>
  </si>
  <si>
    <t>09/7/1999</t>
  </si>
  <si>
    <t>Thị trấn Bình Gia, huyện Bình Gia, tỉnh Lạng Sơn</t>
  </si>
  <si>
    <t>Anh bậc 3</t>
  </si>
  <si>
    <t>BV1259</t>
  </si>
  <si>
    <t>Hoàng Doãn Anh</t>
  </si>
  <si>
    <t>020098007253, ngày cấp 15/9/2022</t>
  </si>
  <si>
    <t>23/9/1998</t>
  </si>
  <si>
    <t>BV1260</t>
  </si>
  <si>
    <t>Hoàng Thị Thảo Nương</t>
  </si>
  <si>
    <t>020197005434, ngày cấp 24/6/2021</t>
  </si>
  <si>
    <t>28/12/1997</t>
  </si>
  <si>
    <t>BV1261</t>
  </si>
  <si>
    <t>Đinh Tố Uyên</t>
  </si>
  <si>
    <t>020198007296, ngày cấp 14/2/2023</t>
  </si>
  <si>
    <t>23/4/1998</t>
  </si>
  <si>
    <t>Khối Đèo Giang, phường Chi Lăng, thành phố Lạng Sơn</t>
  </si>
  <si>
    <t>Anh bậc 4</t>
  </si>
  <si>
    <t>BV1267</t>
  </si>
  <si>
    <t>Trần Văn Tuyến</t>
  </si>
  <si>
    <t>001092022720</t>
  </si>
  <si>
    <t>19/9/1992</t>
  </si>
  <si>
    <t>21/4/2021</t>
  </si>
  <si>
    <t>TOEFL ITP 387đ</t>
  </si>
  <si>
    <t>BV1262</t>
  </si>
  <si>
    <t>Hoàng Thanh Dung</t>
  </si>
  <si>
    <t>020301006110</t>
  </si>
  <si>
    <t>14/09/2001</t>
  </si>
  <si>
    <t>25/6/2021</t>
  </si>
  <si>
    <t>Toeic 250đ</t>
  </si>
  <si>
    <t>BV1263</t>
  </si>
  <si>
    <t>Nông Thị Hồng</t>
  </si>
  <si>
    <t>020302004841</t>
  </si>
  <si>
    <t>01/11/2002</t>
  </si>
  <si>
    <t>31/5/2021</t>
  </si>
  <si>
    <t>BV1264</t>
  </si>
  <si>
    <t>Nguyễn Thị Lượng</t>
  </si>
  <si>
    <t>027302008129</t>
  </si>
  <si>
    <t>28/11/2002</t>
  </si>
  <si>
    <t>07/11/2021</t>
  </si>
  <si>
    <t>Xã Đại Lai, Huyện Gia Bình, tỉnh Bắc Ninh</t>
  </si>
  <si>
    <t>BV1265</t>
  </si>
  <si>
    <t>Dương Thị Uyên</t>
  </si>
  <si>
    <t>020302003749</t>
  </si>
  <si>
    <t>17/05/2002</t>
  </si>
  <si>
    <t>16/9/2022</t>
  </si>
  <si>
    <t>Phố Đức Tâm, thị trấn Văn Quan, huyện Văn Quan, tỉnh Lạng Sơn</t>
  </si>
  <si>
    <t>BV1266</t>
  </si>
  <si>
    <t>Nguyễn Thị Vân Anh</t>
  </si>
  <si>
    <t>020199003406</t>
  </si>
  <si>
    <t>8/10/1999</t>
  </si>
  <si>
    <t>26/5/2023</t>
  </si>
  <si>
    <t>BV1268</t>
  </si>
  <si>
    <t>Nông Thị Kim Xuyến</t>
  </si>
  <si>
    <t>020301003517</t>
  </si>
  <si>
    <t>11/12/2001</t>
  </si>
  <si>
    <t>10/5/2021</t>
  </si>
  <si>
    <t>Thôn Bản Viễn, xã Hoàng Đồng, thành phố Lạng Sơn</t>
  </si>
  <si>
    <t>BV1247</t>
  </si>
  <si>
    <t>Nguyễn Thùy Dương</t>
  </si>
  <si>
    <t>01/7/2023</t>
  </si>
  <si>
    <t/>
  </si>
  <si>
    <t>BV1249</t>
  </si>
  <si>
    <t>Hà Huy Hoàng</t>
  </si>
  <si>
    <t>19/1 ngõ 66 Đèo Giang, phường Chi Lăng, thành phố Lạng Sơn</t>
  </si>
  <si>
    <t>01/8/2023</t>
  </si>
  <si>
    <t>BV1248</t>
  </si>
  <si>
    <t>Lành Tuấn An</t>
  </si>
  <si>
    <t>BV1250</t>
  </si>
  <si>
    <t>Vy Văn Quy</t>
  </si>
  <si>
    <t>Tổ 1 khối 6, thị trấn Cao Lộc, huyện Cao Lộc, tỉnh Lạng Sơn</t>
  </si>
  <si>
    <t>BV1168</t>
  </si>
  <si>
    <t>Hoàng Tuấn Hưng</t>
  </si>
  <si>
    <t>F3A, khu N18, khối 5 thị trấn Cao Lộc, huyện Cao Lộc, tỉnh Lạng Sơn</t>
  </si>
  <si>
    <t>15/11/2021</t>
  </si>
  <si>
    <t>01/11/2023</t>
  </si>
  <si>
    <t>BV1269</t>
  </si>
  <si>
    <t>Ngô Thị Thanh</t>
  </si>
  <si>
    <t>19/12/1988</t>
  </si>
  <si>
    <t>Khối 5, phường Đông Kinh, thành phố Lạng Sơn</t>
  </si>
  <si>
    <t>BV1271</t>
  </si>
  <si>
    <t>Hoàng Thu Hà</t>
  </si>
  <si>
    <t>22/6/2001</t>
  </si>
  <si>
    <t>BV1273</t>
  </si>
  <si>
    <t>10/3/1997</t>
  </si>
  <si>
    <t>Xã Quảng Thạch, huyện Quảng Xương, tỉnh Thanh Hóa</t>
  </si>
  <si>
    <t>85% bậc 1</t>
  </si>
  <si>
    <t>kinh</t>
  </si>
  <si>
    <t>BV1274</t>
  </si>
  <si>
    <t>Phan Thị Ái Vân</t>
  </si>
  <si>
    <t>01/01/1994</t>
  </si>
  <si>
    <t>BV1275</t>
  </si>
  <si>
    <t>Bế Quốc Tuân</t>
  </si>
  <si>
    <t>17/04/1997</t>
  </si>
  <si>
    <t>Xã Đình Lập, huyện Đình Lập, tỉnh Lạng Sơn</t>
  </si>
  <si>
    <t>BV1253</t>
  </si>
  <si>
    <t>Trần Thị Hồng Hạnh</t>
  </si>
  <si>
    <t>04/11/1998</t>
  </si>
  <si>
    <t>Thôn 1, xã Đào Viên, huyện Tràng Định, tỉnh Lạng Sơn</t>
  </si>
  <si>
    <t>BV1276</t>
  </si>
  <si>
    <t>Lương Thị Lan Hương</t>
  </si>
  <si>
    <t>020198005844</t>
  </si>
  <si>
    <t>20/02/1998</t>
  </si>
  <si>
    <t>13/8/2021</t>
  </si>
  <si>
    <t>Kháng Chiến, huyện Tràng Định, tỉnh Lạng Sơn</t>
  </si>
  <si>
    <t>02/4/2024</t>
  </si>
  <si>
    <t>BV1093</t>
  </si>
  <si>
    <t>Triệu Thị Liễu</t>
  </si>
  <si>
    <t>020198001129</t>
  </si>
  <si>
    <t>Xã Vĩnh Yên, Huyện Bình Gia, Tỉnh Lạng Sơn</t>
  </si>
  <si>
    <t>11/3/2024</t>
  </si>
  <si>
    <t>BV1278</t>
  </si>
  <si>
    <t>Vũ Trần Hiếu</t>
  </si>
  <si>
    <t>020096005224</t>
  </si>
  <si>
    <t>22/04/1996</t>
  </si>
  <si>
    <t>05/3/2022</t>
  </si>
  <si>
    <t>Thị trấn Bắc Sơn, huyện Bắc Sơn, tỉnh Lạng Sơn</t>
  </si>
  <si>
    <t>15/4/2024</t>
  </si>
  <si>
    <t>BV1279</t>
  </si>
  <si>
    <t>Dương Đức Anh</t>
  </si>
  <si>
    <t>020202003960</t>
  </si>
  <si>
    <t>01/9/2021</t>
  </si>
  <si>
    <t>Thị trấn Cao Lộc, huyện Cao Lộc, Lạng Sơn</t>
  </si>
  <si>
    <t>BV1281</t>
  </si>
  <si>
    <t>Hoàng Việt Hưng</t>
  </si>
  <si>
    <t>020099003830</t>
  </si>
  <si>
    <t>13/6/1999</t>
  </si>
  <si>
    <t>30/6/2023</t>
  </si>
  <si>
    <t>Xã Hoàng Văn Thụ, huyện Văn Lãng, tỉnh Lạng Sơn</t>
  </si>
  <si>
    <t>01/7/2024</t>
  </si>
  <si>
    <t>85% Bậc 1</t>
  </si>
  <si>
    <t>BV1282</t>
  </si>
  <si>
    <t>Vi Văn Phong</t>
  </si>
  <si>
    <t>020096004642</t>
  </si>
  <si>
    <t>07/12/1996</t>
  </si>
  <si>
    <t>20/8/2022</t>
  </si>
  <si>
    <t>Khối 3, phường Đông Kinh, TP. Lạng Sơn, tỉnh Lạng Sơn</t>
  </si>
  <si>
    <t>BV1283</t>
  </si>
  <si>
    <t>Nguyễn Thu Thủy</t>
  </si>
  <si>
    <t>020197008599</t>
  </si>
  <si>
    <t>22/02/1997</t>
  </si>
  <si>
    <t>29/12/2024</t>
  </si>
  <si>
    <t>BV1285</t>
  </si>
  <si>
    <t>020196008669</t>
  </si>
  <si>
    <t>16/12/1996</t>
  </si>
  <si>
    <t>28/9/2021</t>
  </si>
  <si>
    <t>Khối 8, phường Đông Kinh, TP. Lạng Sơn, tỉnh Lạng Sơn</t>
  </si>
  <si>
    <t>BV1288</t>
  </si>
  <si>
    <t>Hoàng Thùy Ngân</t>
  </si>
  <si>
    <t>26/10/2000</t>
  </si>
  <si>
    <t>020300005186</t>
  </si>
  <si>
    <t>11/8/2021</t>
  </si>
  <si>
    <t>Thôn Nà Rào, xã Long Đống, huyện Bắc Sơn</t>
  </si>
  <si>
    <t>BV1289</t>
  </si>
  <si>
    <t>Nguyễn Nhật Hạ</t>
  </si>
  <si>
    <t>28/8/2002</t>
  </si>
  <si>
    <t>020302000473</t>
  </si>
  <si>
    <t>Khối phố Tân Thành, thị trấn Bình Gia, huyện Bình Gia, tỉnh Lạng Sơn</t>
  </si>
  <si>
    <t>BV1292</t>
  </si>
  <si>
    <t>Trần Thu Hà</t>
  </si>
  <si>
    <t>07/8/2003</t>
  </si>
  <si>
    <t>020303006704</t>
  </si>
  <si>
    <t>12/6/2021</t>
  </si>
  <si>
    <t>Xã Điểm He, huyện Văn Quan, tỉnh Lạng Sơn</t>
  </si>
  <si>
    <t>BV1291</t>
  </si>
  <si>
    <t>Hoàng Tiến Hùng</t>
  </si>
  <si>
    <t>03/7/2003</t>
  </si>
  <si>
    <t>020203001990</t>
  </si>
  <si>
    <t>16/4/2021</t>
  </si>
  <si>
    <t>BV1293</t>
  </si>
  <si>
    <t>Lý Hoàng Anh Tuấn</t>
  </si>
  <si>
    <t>23/01/2002</t>
  </si>
  <si>
    <t>020202002533</t>
  </si>
  <si>
    <t>17/9/2021</t>
  </si>
  <si>
    <t>Xã Thống Nhất, huyện Lộc Bình, tỉnh Lạng Sơn</t>
  </si>
  <si>
    <t>BV1294</t>
  </si>
  <si>
    <t>Nông Hoa Cúc</t>
  </si>
  <si>
    <t>28/10/2003</t>
  </si>
  <si>
    <t>020303002040</t>
  </si>
  <si>
    <t>BV1295</t>
  </si>
  <si>
    <t>Hoàng Thị Mai</t>
  </si>
  <si>
    <t>07/10/1991</t>
  </si>
  <si>
    <t>020191008463</t>
  </si>
  <si>
    <t>05/4/2022</t>
  </si>
  <si>
    <t>BV1296</t>
  </si>
  <si>
    <t>Hoàng Thị Năm</t>
  </si>
  <si>
    <t>03/11/2001</t>
  </si>
  <si>
    <t>020301000202</t>
  </si>
  <si>
    <t>08/4/2021</t>
  </si>
  <si>
    <t>Phường Chi Lăng, thành phố Lạng Sơn, tỉnh Lạng Sơn</t>
  </si>
  <si>
    <t>BV0897</t>
  </si>
  <si>
    <t>Mông Thị Bích Thùy</t>
  </si>
  <si>
    <t>2020298236</t>
  </si>
  <si>
    <t xml:space="preserve">CCCD: 020197000299; Ngày cấp 10/04/2021; Nơi cấp: Cục trưởng cục cảnh sát quản lý hành chính về trật tự xã hội </t>
  </si>
  <si>
    <t>25/08/1997</t>
  </si>
  <si>
    <t>082303682</t>
  </si>
  <si>
    <t>07/9/2013</t>
  </si>
  <si>
    <t>Số 215 Văn Vỉ, phường Chi Lăng, thành phố Lạng Sơn</t>
  </si>
  <si>
    <t>TĐ012</t>
  </si>
  <si>
    <t>HSTC-CĐ</t>
  </si>
  <si>
    <t>BV1326</t>
  </si>
  <si>
    <t>Nguyễn Thị Mừng</t>
  </si>
  <si>
    <t>17/10/1982</t>
  </si>
  <si>
    <t>001183051164</t>
  </si>
  <si>
    <t>24/3/2023</t>
  </si>
  <si>
    <t>Phường Đông Kinh, tỉnh Lạng Sơn</t>
  </si>
  <si>
    <t>Kiểm soát nhiễm khuẩn</t>
  </si>
  <si>
    <t>1.54</t>
  </si>
  <si>
    <t>Nhân viên phục vụ</t>
  </si>
  <si>
    <t>BV1324</t>
  </si>
  <si>
    <t>Nguyễn Thu Hương</t>
  </si>
  <si>
    <t>21/4/1995</t>
  </si>
  <si>
    <t>020195004323</t>
  </si>
  <si>
    <t>09/05/2021</t>
  </si>
  <si>
    <t>3/59, Đèo Giang, Khối Cửa Bắc, Phường Lương Văn Tri, tỉnh Lạng Sơn</t>
  </si>
  <si>
    <t>Hành chính Quản trị</t>
  </si>
  <si>
    <t>BV1325</t>
  </si>
  <si>
    <t>Đặng Tuấn Phong</t>
  </si>
  <si>
    <t>06/03/1997</t>
  </si>
  <si>
    <t>020097008691</t>
  </si>
  <si>
    <t>09/01/2022</t>
  </si>
  <si>
    <t>146 Trần Hưng Đạo, phường Lương Văn Tri, tỉnh Lạng Sơn</t>
  </si>
  <si>
    <t>Tâm thần - Thần kinh</t>
  </si>
  <si>
    <t>2,10</t>
  </si>
  <si>
    <t>BV1327</t>
  </si>
  <si>
    <t>Triệu Phương Huyền</t>
  </si>
  <si>
    <t>28/5/2001</t>
  </si>
  <si>
    <t>020301006641</t>
  </si>
  <si>
    <t>04/6/2023</t>
  </si>
  <si>
    <t>Số 39 ngõ 161 Bến Bắc, phường Tam Thanh, Lạng Sơn</t>
  </si>
  <si>
    <t>Lão - Cơ xương khớp</t>
  </si>
  <si>
    <t>BV1328</t>
  </si>
  <si>
    <t>Lành Văn Đông</t>
  </si>
  <si>
    <t>26/4/1987</t>
  </si>
  <si>
    <t>020087013063</t>
  </si>
  <si>
    <t>16/09/2021</t>
  </si>
  <si>
    <t>Thôn Hoàng Tâm, phường Tam Thanh, tỉnh Lạng Sơn</t>
  </si>
  <si>
    <t>Ngoại Tiêu hoá</t>
  </si>
  <si>
    <t>BV1329</t>
  </si>
  <si>
    <t>Chu Văn Bộ</t>
  </si>
  <si>
    <t>020069005917</t>
  </si>
  <si>
    <t>25/5/2021</t>
  </si>
  <si>
    <t>Khối 9, phường Đông Kinh, tỉnh Lạng Sơn</t>
  </si>
  <si>
    <t>Bảo vệ</t>
  </si>
  <si>
    <t>BV1330</t>
  </si>
  <si>
    <t>Vi Thị Bình</t>
  </si>
  <si>
    <t>12/4/2003</t>
  </si>
  <si>
    <t>020303003694</t>
  </si>
  <si>
    <t>09/5/2021</t>
  </si>
  <si>
    <t>Thôn Nà Lầm, xã Chiến Thắng, tỉnh Lạng Sơn</t>
  </si>
  <si>
    <t>Nội Tim mạch</t>
  </si>
  <si>
    <t>BV1331</t>
  </si>
  <si>
    <t>12/02/1994</t>
  </si>
  <si>
    <t>020194001591</t>
  </si>
  <si>
    <t>30/8/2021</t>
  </si>
  <si>
    <t>Khối 11, phường Kỹ Lừa, tỉnh Lạng Sơn</t>
  </si>
  <si>
    <t>Hoá sinh - Vi sinh</t>
  </si>
  <si>
    <t>1</t>
  </si>
  <si>
    <t>Kỹ thuật Xét nghiệm Y học</t>
  </si>
  <si>
    <t>BV1332</t>
  </si>
  <si>
    <t>Dương Thị Thanh Ngọc</t>
  </si>
  <si>
    <t>20/4/2003</t>
  </si>
  <si>
    <t>020303001599</t>
  </si>
  <si>
    <t>04/4/2003</t>
  </si>
  <si>
    <t>Thôn Đông Đằng, Xã Bắc Sơn, Tỉnh Lạng Sơn</t>
  </si>
  <si>
    <t>Hồi sức tích cực - Chống độc</t>
  </si>
  <si>
    <t>Thời gian tập sự 12 tháng, hưởng 85% lương từ ngày 01/10/2025.</t>
  </si>
  <si>
    <t>BV1333</t>
  </si>
  <si>
    <t>Vy Thị Vâng</t>
  </si>
  <si>
    <t>29/05/1998</t>
  </si>
  <si>
    <t>020198003237</t>
  </si>
  <si>
    <t>12/7/2021</t>
  </si>
  <si>
    <t>Thôn Bách Hoá, xã Thiện Long, tỉnh Lạng Sơn</t>
  </si>
  <si>
    <t>Nội Tiêu hóa</t>
  </si>
  <si>
    <t>Thời gian tập sự 09 tháng, hưởng 85% lương từ ngày 01/10/2025.</t>
  </si>
  <si>
    <t>BV1334</t>
  </si>
  <si>
    <t>Lưu Bảo Hoan</t>
  </si>
  <si>
    <t>21/7/1978</t>
  </si>
  <si>
    <t>020078012316</t>
  </si>
  <si>
    <t>01/6/2021</t>
  </si>
  <si>
    <t>Khối 7, phường Tam Tahnh, tỉnh Lạng Sơn</t>
  </si>
  <si>
    <t>2</t>
  </si>
  <si>
    <t>Xây dựng</t>
  </si>
  <si>
    <t>BV1335</t>
  </si>
  <si>
    <t>Phương Xuân Bách</t>
  </si>
  <si>
    <t>15/10/1968</t>
  </si>
  <si>
    <t>020068001242</t>
  </si>
  <si>
    <t>24/4/2021</t>
  </si>
  <si>
    <t>Khối Đồi Chè, phường Tam Thanh, tỉnh Lạng Sơn</t>
  </si>
  <si>
    <t>BV1336</t>
  </si>
  <si>
    <t>Hoàng Quốc Khánh</t>
  </si>
  <si>
    <t>24/9/2000</t>
  </si>
  <si>
    <t>020200006773</t>
  </si>
  <si>
    <t>20/3/2025</t>
  </si>
  <si>
    <t>Xã Nan Dương, tỉnh Lạng Sơn</t>
  </si>
  <si>
    <t>Cấp cứu</t>
  </si>
  <si>
    <t>Thời gian tập sự 09 tháng, hưởng 85% lương từ ngày 03/11/2025 hết ngày 02/8/2026</t>
  </si>
  <si>
    <t>Bác sĩ Y khoa</t>
  </si>
  <si>
    <t>BV1337</t>
  </si>
  <si>
    <t>Liễu Thị Mẫn</t>
  </si>
  <si>
    <t>17/7/1999</t>
  </si>
  <si>
    <t>020199005638</t>
  </si>
  <si>
    <t>21/8/2024</t>
  </si>
  <si>
    <t>Thôn Phú Thịnh, xã Đồng Đăng, tỉnh Lạng Sơn</t>
  </si>
  <si>
    <t>Nội Thận - Tiết niệu - Lọc máu</t>
  </si>
  <si>
    <t>Thời gian tập sự 09 tháng, hưởng 85% lương từ ngày 03/11/2025</t>
  </si>
  <si>
    <t>BV1338</t>
  </si>
  <si>
    <t>Lương Duy Minh</t>
  </si>
  <si>
    <t>15/5/1997</t>
  </si>
  <si>
    <t>020097005885</t>
  </si>
  <si>
    <t>Số 136 Phai Vệ, phường Đông Kinh, tỉnh Lạng Sơn</t>
  </si>
  <si>
    <t>Ngoại Thần kinh - Lồng ngực</t>
  </si>
  <si>
    <t>BV1339</t>
  </si>
  <si>
    <t>Nguyễn Xuân Nam</t>
  </si>
  <si>
    <t>15/10/1998</t>
  </si>
  <si>
    <t>024098008421</t>
  </si>
  <si>
    <t>19/9/2023</t>
  </si>
  <si>
    <t>Phường Kỳ Lừa, tỉnh Lạng Sơn</t>
  </si>
  <si>
    <t>Nhi</t>
  </si>
  <si>
    <t>BV1340</t>
  </si>
  <si>
    <t>Trịnh Vân Trang</t>
  </si>
  <si>
    <t>7/2/1999</t>
  </si>
  <si>
    <t>020199003451</t>
  </si>
  <si>
    <t>2/2/2024</t>
  </si>
  <si>
    <t>phường Đông Kinh, tỉnh Lạng Sơn</t>
  </si>
  <si>
    <t>Nội Tổng hợp</t>
  </si>
  <si>
    <t>BV1341</t>
  </si>
  <si>
    <t>Lâm Văn Lương</t>
  </si>
  <si>
    <t>28/02/1996</t>
  </si>
  <si>
    <t>020096004522</t>
  </si>
  <si>
    <t>01/4/2022</t>
  </si>
  <si>
    <t>Thôn Nà Thì, xã Thống Nhất, tỉnh Lạng Sơn</t>
  </si>
  <si>
    <t>Chấn thương - Bỏng</t>
  </si>
  <si>
    <t>BV1342</t>
  </si>
  <si>
    <t xml:space="preserve">Dương Thị Hương </t>
  </si>
  <si>
    <t>02/02/2000</t>
  </si>
  <si>
    <t>020300003355</t>
  </si>
  <si>
    <t>28/01/2025</t>
  </si>
  <si>
    <t>Bộ Công an</t>
  </si>
  <si>
    <t>Thôn An Ninh, xã Hưng Vũ, tỉnh Lạng Sơn</t>
  </si>
  <si>
    <t>BV1343</t>
  </si>
  <si>
    <t>Đặng Thị Minh Thu</t>
  </si>
  <si>
    <t>08/10/2004</t>
  </si>
  <si>
    <t>020304003786</t>
  </si>
  <si>
    <t>17/12/2021</t>
  </si>
  <si>
    <t>Xã Thống Nhất, tỉnh Lạng Sơn</t>
  </si>
  <si>
    <t>BV1344</t>
  </si>
  <si>
    <t>Lương Thị Thùy</t>
  </si>
  <si>
    <t>25/01/2004</t>
  </si>
  <si>
    <t>020304004565</t>
  </si>
  <si>
    <t>Thôn Ngọc Quyến, xã Bình Gia, tỉnh Lạng Sơn</t>
  </si>
  <si>
    <t>BV1345</t>
  </si>
  <si>
    <t>11/12/2004</t>
  </si>
  <si>
    <t>020304001618</t>
  </si>
  <si>
    <t>28/4/2021</t>
  </si>
  <si>
    <t>Thôn Bản Téng, xã Tri Lễ, tỉnh Lạng Sơn</t>
  </si>
  <si>
    <t>BV1346</t>
  </si>
  <si>
    <t>Hoàng Thị Thùy Linh</t>
  </si>
  <si>
    <t>04/03/2004</t>
  </si>
  <si>
    <t>020304006133</t>
  </si>
  <si>
    <t>BV1347</t>
  </si>
  <si>
    <t>Hoàng Khánh Vinh</t>
  </si>
  <si>
    <t>07/11/2002</t>
  </si>
  <si>
    <t>020202004024</t>
  </si>
  <si>
    <t>28/6/2022</t>
  </si>
  <si>
    <t>Thôn Pò Pheo, xã Na Sầm, tỉnh Lạng Sơn</t>
  </si>
  <si>
    <t>BV1348</t>
  </si>
  <si>
    <t>Hoàng Văn Thân</t>
  </si>
  <si>
    <t>11/3/2004</t>
  </si>
  <si>
    <t>020204000751</t>
  </si>
  <si>
    <t>29/03/2021</t>
  </si>
  <si>
    <t>Thôn Hồng Phong 1, xã Vũ Lễ, tỉnh Lạng Sơn</t>
  </si>
  <si>
    <t>BV1349</t>
  </si>
  <si>
    <t>12/02/2001</t>
  </si>
  <si>
    <t>020301004545</t>
  </si>
  <si>
    <t>27/6/2021</t>
  </si>
  <si>
    <t>Thôn Tân Yên, Xã Hữu Liên, tỉnh Lạng Sơn</t>
  </si>
  <si>
    <t>Ngoại Thận - Tiết niệu</t>
  </si>
  <si>
    <t>Thời gian tập sự 09 tháng, hưởng 85% lương từ ngày 20/10/2025</t>
  </si>
  <si>
    <t>BV1350</t>
  </si>
  <si>
    <t>Hoàng Thị Phương Dung</t>
  </si>
  <si>
    <t>24/9/2004</t>
  </si>
  <si>
    <t>020304000733</t>
  </si>
  <si>
    <t>14/8/2021</t>
  </si>
  <si>
    <t xml:space="preserve">Thôn Pò Đứa - Pò Mỏ, phường Đông Kinh, tỉnh Lạng Sơn </t>
  </si>
  <si>
    <t>BV1351</t>
  </si>
  <si>
    <t>Hoàng Thùy Linh</t>
  </si>
  <si>
    <t>16/11/2000</t>
  </si>
  <si>
    <t>020300006879</t>
  </si>
  <si>
    <t>27/7/2022</t>
  </si>
  <si>
    <t>số 53 Thác Mạ 7,Phường Đông Kinh, tỉnh Lạng Sơn</t>
  </si>
  <si>
    <t>BV1352</t>
  </si>
  <si>
    <t>Hoàng Thị Kim Ngân</t>
  </si>
  <si>
    <t>01/03/2002</t>
  </si>
  <si>
    <t>020302000732</t>
  </si>
  <si>
    <t>31/01/2023</t>
  </si>
  <si>
    <t>Thôn Ra Lá, xã Bắc Sơn, tỉnh Lạng Sơn</t>
  </si>
  <si>
    <t>BV1353</t>
  </si>
  <si>
    <t>23/10/1995</t>
  </si>
  <si>
    <t>027195008291</t>
  </si>
  <si>
    <t>18/11/2021</t>
  </si>
  <si>
    <t>Thôn Đồng Thủy, xã Tân Thành, tỉnh Lạng Sơn</t>
  </si>
  <si>
    <t>BV1354</t>
  </si>
  <si>
    <t>Nguyễn Sơn Tùng</t>
  </si>
  <si>
    <t>30/5/2000</t>
  </si>
  <si>
    <t>020200006452</t>
  </si>
  <si>
    <t>11/6/2023</t>
  </si>
  <si>
    <t>Số 27 ngõ 247 đường Lê Lợi, phường Đông Kinh, tỉnh Lạng Sơn</t>
  </si>
  <si>
    <t>BV1355</t>
  </si>
  <si>
    <t>Vi Thu Hường</t>
  </si>
  <si>
    <t>26/12/2003</t>
  </si>
  <si>
    <t>020303001218</t>
  </si>
  <si>
    <t>01/4/2021</t>
  </si>
  <si>
    <t>Thôn làng trung, xã Chi Lăng, tỉnh Lạng Sơn</t>
  </si>
  <si>
    <t>BV1356</t>
  </si>
  <si>
    <t>Nguyễn Mai Hương</t>
  </si>
  <si>
    <t>09/08/2002</t>
  </si>
  <si>
    <t>020302007536</t>
  </si>
  <si>
    <t>Khối Cửa Bắc, phường Lương Văn Tri, tỉnh Lạng Sơn</t>
  </si>
  <si>
    <t>Dược</t>
  </si>
  <si>
    <t>BV1357</t>
  </si>
  <si>
    <t>Nguyễn Thiên Trang</t>
  </si>
  <si>
    <t>24/11/1991</t>
  </si>
  <si>
    <t>082191008250</t>
  </si>
  <si>
    <t>Số 185 Trần Quang Khải, phường Lương Văn Tri, tỉnh Lạng Sơn</t>
  </si>
  <si>
    <t>BV1314</t>
  </si>
  <si>
    <t>Triệu Thị Hồng Nhung</t>
  </si>
  <si>
    <t>23/3/2003</t>
  </si>
  <si>
    <t>020303006368</t>
  </si>
  <si>
    <t>14/08/2021</t>
  </si>
  <si>
    <t>Thôn Khuổi Sả Xã Đoàn Kết Tỉnh Lạng Sơn</t>
  </si>
  <si>
    <t>BV1303</t>
  </si>
  <si>
    <t>Nông Thị Tình</t>
  </si>
  <si>
    <t>12/12/2001</t>
  </si>
  <si>
    <t>020301006277</t>
  </si>
  <si>
    <t>22/09/2021</t>
  </si>
  <si>
    <t>Thôn Lũng Cải, xã Tú Xuyên, huyện Văn Quan, tỉnh Lạng Sơn</t>
  </si>
  <si>
    <t>Hồi sức Tích cực - Chống độc</t>
  </si>
  <si>
    <t>BV1317</t>
  </si>
  <si>
    <t>Lục Thị Thanh Mai</t>
  </si>
  <si>
    <t>1/7/1995</t>
  </si>
  <si>
    <t>020195004599</t>
  </si>
  <si>
    <t>Khối 4   - Phường Đông Kinh  - Tỉnh Lạng Sơn</t>
  </si>
  <si>
    <t xml:space="preserve">Ung bướu - Y học hạt nhân </t>
  </si>
  <si>
    <t>BV1304</t>
  </si>
  <si>
    <t>Trương Thị Thanh Giang</t>
  </si>
  <si>
    <t>020303007961</t>
  </si>
  <si>
    <t>25/08/2021</t>
  </si>
  <si>
    <t>Xã Hoà Lạc, huyện Hữu Lũng, tỉnh Lạng Sơn</t>
  </si>
  <si>
    <t>BV1315</t>
  </si>
  <si>
    <t>Hoàng Thị Hương Lan</t>
  </si>
  <si>
    <t>26/7/2000</t>
  </si>
  <si>
    <t>020300000631</t>
  </si>
  <si>
    <t>11/4/2021</t>
  </si>
  <si>
    <t>Bản Viển, Xã Tam Thanh, Tỉnh Lạng Sơn</t>
  </si>
  <si>
    <t>BV1312</t>
  </si>
  <si>
    <t>Dương Thị Duyên</t>
  </si>
  <si>
    <t>19/02/2003</t>
  </si>
  <si>
    <t>020303001535</t>
  </si>
  <si>
    <t>04/04/2021</t>
  </si>
  <si>
    <t>số nhà 32, ngõ 2, đường Nguyễn Đình Chiểu, phường Đông Kinh, tỉnh Lạng Sơn</t>
  </si>
  <si>
    <t>BV1321</t>
  </si>
  <si>
    <t>Nguyễn Thị Hồng</t>
  </si>
  <si>
    <t>26/01/2000</t>
  </si>
  <si>
    <t>020300007395</t>
  </si>
  <si>
    <t>08/01/2025</t>
  </si>
  <si>
    <t>Thôn Khau Đắng Xã Khánh Khê Tỉnh Lạng Sơn</t>
  </si>
  <si>
    <t>BV1309</t>
  </si>
  <si>
    <t>16/6/1975</t>
  </si>
  <si>
    <t>020175000553</t>
  </si>
  <si>
    <t>07/4/2021</t>
  </si>
  <si>
    <t>Số 248 khu Bản Kho, thị trấn Lộc Bình, tỉnh Lạng Sơn</t>
  </si>
  <si>
    <t>Hộ lý </t>
  </si>
  <si>
    <t>BV1300</t>
  </si>
  <si>
    <t>Phan Thị Xuân</t>
  </si>
  <si>
    <t>21/5/1999</t>
  </si>
  <si>
    <t>020199005155</t>
  </si>
  <si>
    <t>27/5/2024</t>
  </si>
  <si>
    <t>Thôn Kéo Tào, xã Hợp Thành, huyện Cao Lộc, TP Lạng Sơn</t>
  </si>
  <si>
    <t>BV1301</t>
  </si>
  <si>
    <t>Hoàng Mùi Nảy</t>
  </si>
  <si>
    <t>20/02/2000</t>
  </si>
  <si>
    <t>020300003798</t>
  </si>
  <si>
    <t>Thôn Ngàn Pặc, xã Công Sơn huyện Cao Lộc, tỉnh Lạng Sơn</t>
  </si>
  <si>
    <t>BV1234</t>
  </si>
  <si>
    <t>Vũ Hoàng Mai Linh</t>
  </si>
  <si>
    <t>020198006454</t>
  </si>
  <si>
    <t>09/3/2023</t>
  </si>
  <si>
    <t>91, Trần Quang Khải, phường Chi Lăng, TP Lạng Sơn, tỉnh Lạng Sơn</t>
  </si>
  <si>
    <t>BV1320</t>
  </si>
  <si>
    <t>Nguyễn Thị Thu</t>
  </si>
  <si>
    <t>10/2/1996</t>
  </si>
  <si>
    <t>027196010687</t>
  </si>
  <si>
    <t>12/9/2022</t>
  </si>
  <si>
    <t>50 ngõ 6 đường Văn Miếu, phường Lương Văn Chi, tỉnh Lạng Sơn</t>
  </si>
  <si>
    <t>BV1302</t>
  </si>
  <si>
    <t>Nguyễn Thị Thảo</t>
  </si>
  <si>
    <t>30/01/1997</t>
  </si>
  <si>
    <t>020197003727</t>
  </si>
  <si>
    <t>11/08/2021</t>
  </si>
  <si>
    <t>Thôn Còn Quyền, xã Đồng Đăng, tỉnh Lạng Sơn</t>
  </si>
  <si>
    <t>BV1155</t>
  </si>
  <si>
    <t>Nguyễn Thị Quỳnh Hương</t>
  </si>
  <si>
    <t>15/7/1996</t>
  </si>
  <si>
    <t>020196007438</t>
  </si>
  <si>
    <t xml:space="preserve"> 28/9/2021 </t>
  </si>
  <si>
    <t>Số nhà 12/38 đường Mỹ Sơn, khối 8, phường Vĩnh Trại, TP Lạng Sơn</t>
  </si>
  <si>
    <t>BV1310</t>
  </si>
  <si>
    <t>Đường Ngọc Châm</t>
  </si>
  <si>
    <t>25/2/1995</t>
  </si>
  <si>
    <t>020195010566</t>
  </si>
  <si>
    <t>11/11/2022</t>
  </si>
  <si>
    <t>Thôn Pò Cại, Phường Kỳ Lừa, Tỉnh Lạng Sơn</t>
  </si>
  <si>
    <t>BV1316</t>
  </si>
  <si>
    <t>Lâm Thị Kim Liên</t>
  </si>
  <si>
    <t>020302006447</t>
  </si>
  <si>
    <t>28/09/2021</t>
  </si>
  <si>
    <t>Thôn Pản Pẻn, Xã Hồng Phong, Tỉnh Lạng Sơn</t>
  </si>
  <si>
    <t>BV1299</t>
  </si>
  <si>
    <t>Lương Thị Phương Linh</t>
  </si>
  <si>
    <t>20/09/1998</t>
  </si>
  <si>
    <t>020198000972</t>
  </si>
  <si>
    <t>13/09/2023</t>
  </si>
  <si>
    <t>Số nhà 43 đường Bông Lau , tổ 3 khối 14 phường Hoàng Văn Thụ , Thành phố lạng sơn</t>
  </si>
  <si>
    <t>BV1319</t>
  </si>
  <si>
    <t>Đặng Phương Thảo</t>
  </si>
  <si>
    <t>12/1/2001</t>
  </si>
  <si>
    <t>030301014212</t>
  </si>
  <si>
    <t>08/07/2022</t>
  </si>
  <si>
    <t>Tân Lập, phường Đông Kinh, Tỉnh Lạng Sơn</t>
  </si>
  <si>
    <t>Huyết học - Truyền máu</t>
  </si>
  <si>
    <t>kỹ thuật xét nghiệm y học</t>
  </si>
  <si>
    <t>BV1214</t>
  </si>
  <si>
    <t>Phạm Quốc Khánh</t>
  </si>
  <si>
    <t>020096003142</t>
  </si>
  <si>
    <t>13/2/2022</t>
  </si>
  <si>
    <t>Bác sĩ y khoa</t>
  </si>
  <si>
    <t>BV1311</t>
  </si>
  <si>
    <t>Nguyễn Quang Duy</t>
  </si>
  <si>
    <t>29/11/2002</t>
  </si>
  <si>
    <t>020202007126</t>
  </si>
  <si>
    <t>31/05/2021</t>
  </si>
  <si>
    <t>Thôn Đoàn Kết, xã Chi Lăng, tỉnh Lạng Sơn</t>
  </si>
  <si>
    <t>Kỹ thuật hình ảnh Y học</t>
  </si>
  <si>
    <t>BV1323</t>
  </si>
  <si>
    <t>Nguyễn Thị Ngọc Anh</t>
  </si>
  <si>
    <t>22/9/2001</t>
  </si>
  <si>
    <t>020301004621</t>
  </si>
  <si>
    <t>26/8/2022</t>
  </si>
  <si>
    <t>Khối 2, phường Đông Kinh, tỉnh Lạng Sơn</t>
  </si>
  <si>
    <t>BV1305</t>
  </si>
  <si>
    <t>Tô Thị Hiếu </t>
  </si>
  <si>
    <t>06/10/1985</t>
  </si>
  <si>
    <t>020185010442</t>
  </si>
  <si>
    <t>Tổ 3 Khối 6, phường Đông Kinh, thành phố Lạng Sơn</t>
  </si>
  <si>
    <t>BV1307</t>
  </si>
  <si>
    <t>Lý Thị Phương</t>
  </si>
  <si>
    <t>27/10/1990</t>
  </si>
  <si>
    <t>020190005412</t>
  </si>
  <si>
    <t>Xã Thụy Hùng, huyện Cao Lộc, tỉnh Lạng Sơn</t>
  </si>
  <si>
    <t>BV1306</t>
  </si>
  <si>
    <t>Lương Ngọc Phách</t>
  </si>
  <si>
    <t>18/8/1969</t>
  </si>
  <si>
    <t>020069000441</t>
  </si>
  <si>
    <t>29/3/2021</t>
  </si>
  <si>
    <t>Tổ 3, khối 6, thị trấn Cao Lộc, huyện Cao Lộc, tỉnh Lạng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</si>
</sst>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"/>
    <numFmt numFmtId="165" formatCode="[$-1010000]d/m/yyyy"/>
    <numFmt numFmtId="166" formatCode="#,##0.000"/>
  </numFmts>
  <fonts count="23" x14ac:knownFonts="1">
    <font>
      <sz val="11"/>
      <color theme="1"/>
      <name val="Calibri"/>
      <family val="2"/>
      <charset val="163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Times New Roman"/>
      <family val="1"/>
      <charset val="163"/>
    </font>
    <font>
      <b/>
      <sz val="8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9"/>
      <color theme="1"/>
      <name val="Times New Roman"/>
      <family val="1"/>
      <charset val="163"/>
    </font>
    <font>
      <sz val="9"/>
      <color theme="1"/>
      <name val="Cambria"/>
      <family val="1"/>
      <charset val="163"/>
    </font>
    <font>
      <b/>
      <sz val="9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0"/>
      <color theme="1"/>
      <name val="Arial"/>
      <family val="2"/>
      <charset val="163"/>
    </font>
    <font>
      <b/>
      <sz val="10"/>
      <color theme="1"/>
      <name val="Cambria"/>
      <family val="1"/>
      <charset val="163"/>
    </font>
    <font>
      <b/>
      <sz val="11"/>
      <color theme="1"/>
      <name val="Cambria"/>
      <family val="1"/>
      <charset val="163"/>
    </font>
    <font>
      <b/>
      <sz val="9"/>
      <color theme="1"/>
      <name val="Cambria"/>
      <family val="1"/>
      <charset val="163"/>
    </font>
    <font>
      <b/>
      <sz val="8"/>
      <color theme="1"/>
      <name val="Cambria"/>
      <family val="1"/>
      <charset val="163"/>
    </font>
    <font>
      <sz val="8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8"/>
      <color theme="1"/>
      <name val="Cambria"/>
      <family val="1"/>
      <charset val="163"/>
    </font>
    <font>
      <sz val="7"/>
      <color theme="1"/>
      <name val="Times New Roman"/>
      <family val="1"/>
      <charset val="163"/>
    </font>
    <font>
      <sz val="10"/>
      <color theme="1"/>
      <name val="Cambria"/>
      <family val="1"/>
      <charset val="163"/>
    </font>
    <font>
      <sz val="8"/>
      <color theme="1"/>
      <name val="Arial"/>
      <family val="2"/>
      <charset val="163"/>
    </font>
    <font>
      <sz val="14"/>
      <color theme="1"/>
      <name val="Times New Roman"/>
      <family val="1"/>
      <charset val="163"/>
    </font>
    <font>
      <sz val="11"/>
      <color theme="1"/>
      <name val="Tahoma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 shrinkToFit="1"/>
    </xf>
    <xf numFmtId="0" fontId="3" fillId="0" borderId="1" xfId="0" applyFont="1" applyFill="1" applyBorder="1" applyAlignment="1">
      <alignment vertical="center" shrinkToFit="1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vertical="center"/>
    </xf>
    <xf numFmtId="165" fontId="7" fillId="0" borderId="1" xfId="0" applyNumberFormat="1" applyFont="1" applyFill="1" applyBorder="1" applyAlignment="1">
      <alignment vertical="center" wrapText="1"/>
    </xf>
    <xf numFmtId="14" fontId="8" fillId="0" borderId="1" xfId="0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shrinkToFit="1"/>
    </xf>
    <xf numFmtId="0" fontId="9" fillId="0" borderId="1" xfId="0" applyFont="1" applyFill="1" applyBorder="1"/>
    <xf numFmtId="2" fontId="8" fillId="0" borderId="1" xfId="0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shrinkToFit="1"/>
    </xf>
    <xf numFmtId="49" fontId="10" fillId="0" borderId="1" xfId="0" applyNumberFormat="1" applyFont="1" applyFill="1" applyBorder="1" applyAlignment="1">
      <alignment vertical="center" shrinkToFit="1"/>
    </xf>
    <xf numFmtId="0" fontId="2" fillId="0" borderId="1" xfId="0" applyFont="1" applyFill="1" applyBorder="1" applyAlignment="1">
      <alignment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vertical="center" shrinkToFit="1"/>
    </xf>
    <xf numFmtId="0" fontId="8" fillId="0" borderId="1" xfId="0" applyFont="1" applyFill="1" applyBorder="1" applyAlignment="1">
      <alignment vertical="center" wrapText="1"/>
    </xf>
    <xf numFmtId="164" fontId="8" fillId="0" borderId="1" xfId="0" applyNumberFormat="1" applyFont="1" applyFill="1" applyBorder="1" applyAlignment="1">
      <alignment vertical="center" shrinkToFit="1"/>
    </xf>
    <xf numFmtId="0" fontId="2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165" fontId="11" fillId="0" borderId="1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left" vertical="center" shrinkToFit="1"/>
    </xf>
    <xf numFmtId="0" fontId="11" fillId="0" borderId="1" xfId="0" applyFont="1" applyFill="1" applyBorder="1" applyAlignment="1">
      <alignment vertical="center" shrinkToFit="1"/>
    </xf>
    <xf numFmtId="49" fontId="11" fillId="0" borderId="1" xfId="0" applyNumberFormat="1" applyFont="1" applyFill="1" applyBorder="1" applyAlignment="1">
      <alignment vertical="center" shrinkToFit="1"/>
    </xf>
    <xf numFmtId="49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shrinkToFit="1"/>
    </xf>
    <xf numFmtId="49" fontId="13" fillId="0" borderId="1" xfId="0" applyNumberFormat="1" applyFont="1" applyFill="1" applyBorder="1" applyAlignment="1">
      <alignment horizontal="center" vertical="center" shrinkToFit="1"/>
    </xf>
    <xf numFmtId="164" fontId="8" fillId="0" borderId="1" xfId="0" applyNumberFormat="1" applyFont="1" applyFill="1" applyBorder="1" applyAlignment="1">
      <alignment horizontal="center" vertical="center" shrinkToFit="1"/>
    </xf>
    <xf numFmtId="49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2" fontId="14" fillId="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165" fontId="14" fillId="0" borderId="1" xfId="0" applyNumberFormat="1" applyFont="1" applyFill="1" applyBorder="1" applyAlignment="1">
      <alignment horizontal="right" vertical="center"/>
    </xf>
    <xf numFmtId="165" fontId="14" fillId="0" borderId="1" xfId="0" applyNumberFormat="1" applyFont="1" applyFill="1" applyBorder="1" applyAlignment="1">
      <alignment horizontal="center" vertical="center"/>
    </xf>
    <xf numFmtId="2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165" fontId="14" fillId="0" borderId="1" xfId="0" applyNumberFormat="1" applyFont="1" applyFill="1" applyBorder="1" applyAlignment="1">
      <alignment horizontal="left" vertical="center"/>
    </xf>
    <xf numFmtId="49" fontId="14" fillId="0" borderId="1" xfId="0" applyNumberFormat="1" applyFont="1" applyFill="1" applyBorder="1" applyAlignment="1">
      <alignment horizontal="right" vertical="center" wrapText="1"/>
    </xf>
    <xf numFmtId="0" fontId="14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right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49" fontId="14" fillId="0" borderId="1" xfId="0" applyNumberFormat="1" applyFont="1" applyFill="1" applyBorder="1" applyAlignment="1">
      <alignment vertical="center"/>
    </xf>
    <xf numFmtId="14" fontId="14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14" fontId="14" fillId="0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Fill="1" applyBorder="1" applyAlignment="1">
      <alignment vertical="center" wrapText="1"/>
    </xf>
    <xf numFmtId="49" fontId="14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vertical="center" wrapText="1"/>
    </xf>
    <xf numFmtId="14" fontId="14" fillId="0" borderId="1" xfId="0" applyNumberFormat="1" applyFont="1" applyFill="1" applyBorder="1" applyAlignment="1">
      <alignment horizontal="center" vertical="center" wrapText="1"/>
    </xf>
    <xf numFmtId="9" fontId="14" fillId="0" borderId="1" xfId="0" applyNumberFormat="1" applyFont="1" applyFill="1" applyBorder="1" applyAlignment="1">
      <alignment horizontal="center" vertical="center" wrapText="1"/>
    </xf>
    <xf numFmtId="0" fontId="14" fillId="0" borderId="1" xfId="0" quotePrefix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right" vertical="center" wrapText="1"/>
    </xf>
    <xf numFmtId="49" fontId="14" fillId="0" borderId="1" xfId="0" applyNumberFormat="1" applyFont="1" applyFill="1" applyBorder="1" applyAlignment="1">
      <alignment vertical="center" wrapText="1"/>
    </xf>
    <xf numFmtId="165" fontId="14" fillId="0" borderId="1" xfId="0" applyNumberFormat="1" applyFont="1" applyFill="1" applyBorder="1" applyAlignment="1">
      <alignment vertical="center" wrapText="1"/>
    </xf>
    <xf numFmtId="0" fontId="16" fillId="0" borderId="1" xfId="0" applyFont="1" applyFill="1" applyBorder="1"/>
    <xf numFmtId="165" fontId="14" fillId="0" borderId="1" xfId="0" applyNumberFormat="1" applyFont="1" applyFill="1" applyBorder="1" applyAlignment="1">
      <alignment horizontal="center" vertical="center" wrapText="1"/>
    </xf>
    <xf numFmtId="49" fontId="14" fillId="0" borderId="1" xfId="0" quotePrefix="1" applyNumberFormat="1" applyFont="1" applyFill="1" applyBorder="1" applyAlignment="1">
      <alignment vertical="center"/>
    </xf>
    <xf numFmtId="165" fontId="14" fillId="0" borderId="1" xfId="0" applyNumberFormat="1" applyFont="1" applyFill="1" applyBorder="1" applyAlignment="1">
      <alignment vertical="center"/>
    </xf>
    <xf numFmtId="164" fontId="14" fillId="0" borderId="1" xfId="0" applyNumberFormat="1" applyFont="1" applyFill="1" applyBorder="1" applyAlignment="1">
      <alignment horizontal="center" vertical="center"/>
    </xf>
    <xf numFmtId="165" fontId="16" fillId="0" borderId="1" xfId="0" applyNumberFormat="1" applyFont="1" applyFill="1" applyBorder="1" applyAlignment="1">
      <alignment vertical="center" wrapText="1"/>
    </xf>
    <xf numFmtId="49" fontId="14" fillId="0" borderId="1" xfId="0" quotePrefix="1" applyNumberFormat="1" applyFont="1" applyFill="1" applyBorder="1" applyAlignment="1">
      <alignment horizontal="center" vertical="center" wrapText="1"/>
    </xf>
    <xf numFmtId="1" fontId="16" fillId="0" borderId="1" xfId="0" applyNumberFormat="1" applyFont="1" applyFill="1" applyBorder="1" applyAlignment="1">
      <alignment vertical="center" wrapText="1"/>
    </xf>
    <xf numFmtId="165" fontId="14" fillId="0" borderId="1" xfId="0" applyNumberFormat="1" applyFont="1" applyFill="1" applyBorder="1" applyAlignment="1">
      <alignment horizontal="left" vertical="center" wrapText="1"/>
    </xf>
    <xf numFmtId="49" fontId="14" fillId="0" borderId="1" xfId="0" quotePrefix="1" applyNumberFormat="1" applyFont="1" applyFill="1" applyBorder="1" applyAlignment="1">
      <alignment horizontal="right" vertical="center" wrapText="1"/>
    </xf>
    <xf numFmtId="165" fontId="3" fillId="0" borderId="1" xfId="0" applyNumberFormat="1" applyFont="1" applyFill="1" applyBorder="1" applyAlignment="1">
      <alignment vertical="center" wrapText="1"/>
    </xf>
    <xf numFmtId="165" fontId="3" fillId="0" borderId="1" xfId="0" applyNumberFormat="1" applyFont="1" applyFill="1" applyBorder="1" applyAlignment="1">
      <alignment horizontal="left" vertical="center" wrapText="1"/>
    </xf>
    <xf numFmtId="49" fontId="3" fillId="0" borderId="1" xfId="0" quotePrefix="1" applyNumberFormat="1" applyFont="1" applyFill="1" applyBorder="1" applyAlignment="1">
      <alignment horizontal="right" vertical="center" wrapText="1"/>
    </xf>
    <xf numFmtId="0" fontId="14" fillId="0" borderId="1" xfId="0" quotePrefix="1" applyFont="1" applyFill="1" applyBorder="1" applyAlignment="1">
      <alignment vertical="center"/>
    </xf>
    <xf numFmtId="0" fontId="5" fillId="0" borderId="1" xfId="0" quotePrefix="1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49" fontId="14" fillId="0" borderId="1" xfId="0" applyNumberFormat="1" applyFont="1" applyFill="1" applyBorder="1" applyAlignment="1">
      <alignment horizontal="left" vertic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/>
    </xf>
    <xf numFmtId="49" fontId="14" fillId="0" borderId="1" xfId="0" quotePrefix="1" applyNumberFormat="1" applyFont="1" applyFill="1" applyBorder="1" applyAlignment="1">
      <alignment horizontal="left" vertical="center" wrapText="1"/>
    </xf>
    <xf numFmtId="165" fontId="14" fillId="0" borderId="1" xfId="0" applyNumberFormat="1" applyFont="1" applyFill="1" applyBorder="1" applyAlignment="1">
      <alignment horizontal="right" vertical="center" wrapText="1"/>
    </xf>
    <xf numFmtId="14" fontId="17" fillId="0" borderId="1" xfId="0" applyNumberFormat="1" applyFont="1" applyFill="1" applyBorder="1" applyAlignment="1">
      <alignment horizontal="left" vertical="center"/>
    </xf>
    <xf numFmtId="49" fontId="17" fillId="0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vertical="center"/>
    </xf>
    <xf numFmtId="0" fontId="17" fillId="0" borderId="1" xfId="0" applyFont="1" applyFill="1" applyBorder="1" applyAlignment="1">
      <alignment horizontal="right" vertical="center"/>
    </xf>
    <xf numFmtId="2" fontId="14" fillId="0" borderId="1" xfId="0" applyNumberFormat="1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/>
    <xf numFmtId="49" fontId="14" fillId="0" borderId="1" xfId="0" quotePrefix="1" applyNumberFormat="1" applyFont="1" applyFill="1" applyBorder="1" applyAlignment="1">
      <alignment horizontal="right" vertical="center"/>
    </xf>
    <xf numFmtId="49" fontId="14" fillId="0" borderId="1" xfId="0" applyNumberFormat="1" applyFont="1" applyFill="1" applyBorder="1" applyAlignment="1">
      <alignment horizontal="left"/>
    </xf>
    <xf numFmtId="0" fontId="14" fillId="0" borderId="1" xfId="0" applyFont="1" applyFill="1" applyBorder="1"/>
    <xf numFmtId="49" fontId="17" fillId="0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/>
    </xf>
    <xf numFmtId="49" fontId="17" fillId="0" borderId="1" xfId="0" quotePrefix="1" applyNumberFormat="1" applyFont="1" applyFill="1" applyBorder="1" applyAlignment="1">
      <alignment horizontal="right" vertical="center"/>
    </xf>
    <xf numFmtId="0" fontId="1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4" fontId="14" fillId="0" borderId="1" xfId="0" quotePrefix="1" applyNumberFormat="1" applyFont="1" applyFill="1" applyBorder="1" applyAlignment="1">
      <alignment horizontal="center" vertical="center"/>
    </xf>
    <xf numFmtId="165" fontId="14" fillId="0" borderId="1" xfId="0" quotePrefix="1" applyNumberFormat="1" applyFont="1" applyFill="1" applyBorder="1" applyAlignment="1">
      <alignment vertical="center" wrapText="1"/>
    </xf>
    <xf numFmtId="49" fontId="14" fillId="0" borderId="1" xfId="0" quotePrefix="1" applyNumberFormat="1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vertical="center"/>
    </xf>
    <xf numFmtId="0" fontId="19" fillId="0" borderId="1" xfId="0" applyFont="1" applyFill="1" applyBorder="1" applyAlignment="1">
      <alignment vertical="center"/>
    </xf>
    <xf numFmtId="0" fontId="14" fillId="0" borderId="1" xfId="0" quotePrefix="1" applyFont="1" applyFill="1" applyBorder="1" applyAlignment="1">
      <alignment horizontal="left" vertical="center" wrapText="1"/>
    </xf>
    <xf numFmtId="165" fontId="14" fillId="0" borderId="1" xfId="0" quotePrefix="1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14" fillId="0" borderId="1" xfId="0" quotePrefix="1" applyNumberFormat="1" applyFont="1" applyFill="1" applyBorder="1" applyAlignment="1">
      <alignment vertical="center" wrapText="1"/>
    </xf>
    <xf numFmtId="14" fontId="14" fillId="0" borderId="1" xfId="0" quotePrefix="1" applyNumberFormat="1" applyFont="1" applyFill="1" applyBorder="1" applyAlignment="1">
      <alignment horizontal="center" vertical="center" wrapText="1"/>
    </xf>
    <xf numFmtId="2" fontId="14" fillId="0" borderId="1" xfId="0" applyNumberFormat="1" applyFont="1" applyFill="1" applyBorder="1" applyAlignment="1">
      <alignment horizontal="left" vertical="center"/>
    </xf>
    <xf numFmtId="49" fontId="19" fillId="0" borderId="1" xfId="0" applyNumberFormat="1" applyFont="1" applyFill="1" applyBorder="1" applyAlignment="1">
      <alignment horizontal="left" vertical="center"/>
    </xf>
    <xf numFmtId="49" fontId="17" fillId="0" borderId="1" xfId="0" applyNumberFormat="1" applyFont="1" applyFill="1" applyBorder="1" applyAlignment="1">
      <alignment horizontal="right" vertical="center"/>
    </xf>
    <xf numFmtId="2" fontId="19" fillId="0" borderId="1" xfId="0" applyNumberFormat="1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vertical="center" wrapText="1"/>
    </xf>
    <xf numFmtId="49" fontId="9" fillId="0" borderId="1" xfId="0" applyNumberFormat="1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49" fontId="19" fillId="0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Fill="1" applyBorder="1" applyAlignment="1">
      <alignment horizontal="left" vertical="center"/>
    </xf>
    <xf numFmtId="1" fontId="14" fillId="0" borderId="1" xfId="0" applyNumberFormat="1" applyFont="1" applyFill="1" applyBorder="1" applyAlignment="1">
      <alignment horizontal="left" vertical="center" wrapText="1"/>
    </xf>
    <xf numFmtId="3" fontId="14" fillId="0" borderId="1" xfId="0" quotePrefix="1" applyNumberFormat="1" applyFont="1" applyFill="1" applyBorder="1" applyAlignment="1">
      <alignment horizontal="center" vertical="center"/>
    </xf>
    <xf numFmtId="166" fontId="1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right" vertical="center"/>
    </xf>
    <xf numFmtId="166" fontId="14" fillId="0" borderId="1" xfId="0" quotePrefix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7" fillId="0" borderId="1" xfId="0" quotePrefix="1" applyFont="1" applyFill="1" applyBorder="1" applyAlignment="1">
      <alignment horizontal="left" vertical="center"/>
    </xf>
    <xf numFmtId="14" fontId="14" fillId="0" borderId="1" xfId="0" applyNumberFormat="1" applyFont="1" applyFill="1" applyBorder="1" applyAlignment="1">
      <alignment horizontal="right" vertical="center"/>
    </xf>
    <xf numFmtId="0" fontId="17" fillId="0" borderId="1" xfId="0" applyFont="1" applyFill="1" applyBorder="1"/>
    <xf numFmtId="0" fontId="4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20" fillId="0" borderId="1" xfId="0" applyFont="1" applyFill="1" applyBorder="1"/>
    <xf numFmtId="14" fontId="14" fillId="0" borderId="1" xfId="0" applyNumberFormat="1" applyFont="1" applyFill="1" applyBorder="1" applyAlignment="1">
      <alignment horizontal="left" vertical="center"/>
    </xf>
    <xf numFmtId="14" fontId="14" fillId="0" borderId="1" xfId="0" quotePrefix="1" applyNumberFormat="1" applyFont="1" applyFill="1" applyBorder="1" applyAlignment="1">
      <alignment horizontal="center"/>
    </xf>
    <xf numFmtId="49" fontId="14" fillId="0" borderId="1" xfId="0" applyNumberFormat="1" applyFont="1" applyFill="1" applyBorder="1"/>
    <xf numFmtId="49" fontId="14" fillId="0" borderId="1" xfId="0" applyNumberFormat="1" applyFont="1" applyFill="1" applyBorder="1" applyAlignment="1">
      <alignment horizontal="center"/>
    </xf>
    <xf numFmtId="49" fontId="14" fillId="0" borderId="1" xfId="0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wrapText="1"/>
    </xf>
    <xf numFmtId="14" fontId="14" fillId="0" borderId="1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49" fontId="15" fillId="0" borderId="1" xfId="0" applyNumberFormat="1" applyFont="1" applyFill="1" applyBorder="1" applyAlignment="1">
      <alignment wrapText="1"/>
    </xf>
    <xf numFmtId="17" fontId="14" fillId="0" borderId="1" xfId="0" quotePrefix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left" vertical="center" wrapText="1"/>
    </xf>
    <xf numFmtId="165" fontId="5" fillId="0" borderId="1" xfId="0" applyNumberFormat="1" applyFont="1" applyFill="1" applyBorder="1" applyAlignment="1">
      <alignment vertical="center" wrapText="1"/>
    </xf>
    <xf numFmtId="1" fontId="3" fillId="0" borderId="1" xfId="0" applyNumberFormat="1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15" fillId="0" borderId="1" xfId="0" applyNumberFormat="1" applyFont="1" applyFill="1" applyBorder="1" applyAlignment="1">
      <alignment horizontal="center" vertical="center" wrapText="1"/>
    </xf>
    <xf numFmtId="14" fontId="17" fillId="0" borderId="1" xfId="0" quotePrefix="1" applyNumberFormat="1" applyFont="1" applyFill="1" applyBorder="1" applyAlignment="1">
      <alignment horizontal="left" vertical="center"/>
    </xf>
    <xf numFmtId="14" fontId="14" fillId="0" borderId="1" xfId="0" quotePrefix="1" applyNumberFormat="1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left" vertical="center"/>
    </xf>
    <xf numFmtId="14" fontId="14" fillId="0" borderId="1" xfId="0" applyNumberFormat="1" applyFont="1" applyFill="1" applyBorder="1"/>
    <xf numFmtId="14" fontId="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49" fontId="21" fillId="0" borderId="1" xfId="0" applyNumberFormat="1" applyFont="1" applyFill="1" applyBorder="1" applyAlignment="1">
      <alignment horizontal="center" vertical="center" wrapText="1"/>
    </xf>
    <xf numFmtId="14" fontId="21" fillId="0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right" vertical="center"/>
    </xf>
    <xf numFmtId="0" fontId="22" fillId="0" borderId="1" xfId="0" applyFont="1" applyFill="1" applyBorder="1"/>
    <xf numFmtId="14" fontId="14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2">
    <dxf>
      <font>
        <b/>
        <i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FFFF00"/>
          <bgColor rgb="FFFFFF00"/>
        </patternFill>
      </fill>
    </dxf>
    <dxf>
      <font>
        <b/>
        <i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ProjectBVDKLS\htqlbenhvien\mau\DANH%20SACH%20CAN%20BO%20CAP%20NHAT%20LIEN%20TUC.xlsx" TargetMode="External"/><Relationship Id="rId1" Type="http://schemas.openxmlformats.org/officeDocument/2006/relationships/externalLinkPath" Target="DANH%20SACH%20CAN%20BO%20CAP%20NHAT%20LIEN%20TU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ẢNG MÃ"/>
      <sheetName val="Mã ngạch"/>
      <sheetName val="DS STK"/>
      <sheetName val="DANH SÁCH"/>
      <sheetName val="ĐÃ NGHỈ"/>
      <sheetName val="Bieu 1a"/>
      <sheetName val="soluong+chuyenmon"/>
      <sheetName val="trình độ chuyên môn"/>
      <sheetName val="Đào tạo Bác sĩ"/>
      <sheetName val="Chứng chỉ"/>
      <sheetName val="Hạng CDNN"/>
      <sheetName val="DS TRƯỞNG PHÓ KHOA"/>
      <sheetName val="DS ĐD TRƯỞNG"/>
      <sheetName val="NL TT08"/>
      <sheetName val="CÁCH TÍNH"/>
      <sheetName val="DS BIẾN ĐỘNG"/>
      <sheetName val="DS luân chuyển"/>
      <sheetName val="DS HỢP ĐỒNG"/>
      <sheetName val="DS nghỉ hưu"/>
      <sheetName val="DS Đang đào tạo"/>
      <sheetName val="Mo"/>
      <sheetName val="VTVL KB"/>
      <sheetName val="NL khoa phụ sản"/>
      <sheetName val="BS MỚI 2018"/>
      <sheetName val="Xác định VTVL"/>
      <sheetName val="NGHI HUU"/>
      <sheetName val="Đánh giá VC"/>
      <sheetName val="2. BC BYT"/>
      <sheetName val="3. BC VC"/>
      <sheetName val="4. BC HĐ"/>
      <sheetName val="BC QLCL"/>
      <sheetName val="BC năm"/>
      <sheetName val="TKNL theo trinh do (B1)"/>
      <sheetName val="Biểu (B3)"/>
      <sheetName val="3. BC KTYT.VN"/>
      <sheetName val="DS KHOA PHÒNG"/>
      <sheetName val="pl 3 y tế "/>
      <sheetName val="NLYT Tuyen tinh (B2)"/>
    </sheetNames>
    <sheetDataSet>
      <sheetData sheetId="0"/>
      <sheetData sheetId="1"/>
      <sheetData sheetId="2"/>
      <sheetData sheetId="3">
        <row r="8">
          <cell r="B8" t="str">
            <v>BV0004</v>
          </cell>
          <cell r="C8" t="str">
            <v>Nguyễn Văn Thắng</v>
          </cell>
          <cell r="D8" t="str">
            <v>BV0004</v>
          </cell>
          <cell r="F8" t="str">
            <v>BSCKII</v>
          </cell>
          <cell r="G8" t="str">
            <v>TĐ001</v>
          </cell>
          <cell r="H8" t="str">
            <v>Bác sĩ chính (hạng II)</v>
          </cell>
          <cell r="I8" t="str">
            <v>Bác sĩ chính (hạng II)</v>
          </cell>
          <cell r="J8" t="str">
            <v>Khám bệnh</v>
          </cell>
          <cell r="K8" t="str">
            <v>KP001</v>
          </cell>
          <cell r="L8" t="str">
            <v>Lãnh đạo khoa, phòng</v>
          </cell>
          <cell r="M8" t="str">
            <v>Phó trưởng khoa/giao phụ trách khoa</v>
          </cell>
          <cell r="N8" t="str">
            <v>Viên chức</v>
          </cell>
          <cell r="O8">
            <v>48</v>
          </cell>
          <cell r="P8">
            <v>28585</v>
          </cell>
          <cell r="Q8">
            <v>0</v>
          </cell>
          <cell r="R8" t="str">
            <v>Kinh</v>
          </cell>
          <cell r="S8" t="str">
            <v>15/2/2005</v>
          </cell>
          <cell r="T8" t="str">
            <v>024078001825</v>
          </cell>
          <cell r="U8" t="str">
            <v>Số 60, Tổ Sơn, Phường Lương Văn Tri, Tỉnh Lạng Sơn</v>
          </cell>
          <cell r="V8" t="str">
            <v/>
          </cell>
          <cell r="W8" t="str">
            <v>000730/LS-CCHN</v>
          </cell>
          <cell r="X8" t="str">
            <v>26/04/2013</v>
          </cell>
          <cell r="Z8" t="str">
            <v>Khám bệnh chữa bệnh Nội khoa</v>
          </cell>
          <cell r="AB8" t="str">
            <v>01.0239;01.0303;01.0092;18.0015;18.0016</v>
          </cell>
          <cell r="AC8">
            <v>913367858</v>
          </cell>
        </row>
        <row r="9">
          <cell r="B9" t="str">
            <v>BV0167</v>
          </cell>
          <cell r="C9" t="str">
            <v>Hoàng Thị Nga</v>
          </cell>
          <cell r="D9" t="str">
            <v>BV0167</v>
          </cell>
          <cell r="E9" t="str">
            <v>x</v>
          </cell>
          <cell r="F9" t="str">
            <v>Điều dưỡng ĐH</v>
          </cell>
          <cell r="G9" t="str">
            <v>TĐ011</v>
          </cell>
          <cell r="H9" t="str">
            <v>Điều dưỡng (hạng III)</v>
          </cell>
          <cell r="I9" t="str">
            <v>Điều dưỡng (hạng III)</v>
          </cell>
          <cell r="J9" t="str">
            <v>Khám bệnh</v>
          </cell>
          <cell r="K9" t="str">
            <v>KP001</v>
          </cell>
          <cell r="L9" t="str">
            <v>Viên chức CMNV</v>
          </cell>
          <cell r="M9">
            <v>0</v>
          </cell>
          <cell r="N9" t="str">
            <v>Viên chức</v>
          </cell>
          <cell r="O9">
            <v>56</v>
          </cell>
          <cell r="P9">
            <v>0</v>
          </cell>
          <cell r="Q9">
            <v>25601</v>
          </cell>
          <cell r="R9" t="str">
            <v>Nùng</v>
          </cell>
          <cell r="S9" t="str">
            <v>7/11/2006</v>
          </cell>
          <cell r="T9" t="str">
            <v>020170000676</v>
          </cell>
          <cell r="U9" t="str">
            <v>Phường Lương Văn Tri, tỉnh Lạng Sơn</v>
          </cell>
          <cell r="W9" t="str">
            <v>001052/LS-CCHN</v>
          </cell>
          <cell r="X9" t="str">
            <v>11/12/2022</v>
          </cell>
          <cell r="Z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9" t="str">
            <v/>
          </cell>
          <cell r="AC9" t="str">
            <v>0916888276</v>
          </cell>
        </row>
        <row r="10">
          <cell r="B10" t="str">
            <v>BV0201</v>
          </cell>
          <cell r="C10" t="str">
            <v>Trần Thị Hoàng Anh</v>
          </cell>
          <cell r="D10" t="str">
            <v>BV0201</v>
          </cell>
          <cell r="E10" t="str">
            <v>x</v>
          </cell>
          <cell r="F10" t="str">
            <v>Điều dưỡng ĐH</v>
          </cell>
          <cell r="G10" t="str">
            <v>TĐ011</v>
          </cell>
          <cell r="H10" t="str">
            <v>Điều dưỡng (hạng III)</v>
          </cell>
          <cell r="I10" t="str">
            <v>Điều dưỡng (hạng III)</v>
          </cell>
          <cell r="J10" t="str">
            <v>Khám bệnh</v>
          </cell>
          <cell r="K10" t="str">
            <v>KP001</v>
          </cell>
          <cell r="L10" t="str">
            <v>Viên chức CMNV</v>
          </cell>
          <cell r="M10">
            <v>0</v>
          </cell>
          <cell r="N10" t="str">
            <v>Viên chức</v>
          </cell>
          <cell r="O10">
            <v>33</v>
          </cell>
          <cell r="P10">
            <v>0</v>
          </cell>
          <cell r="Q10">
            <v>34191</v>
          </cell>
          <cell r="R10" t="str">
            <v>Tày</v>
          </cell>
          <cell r="S10" t="str">
            <v>01/11/2014</v>
          </cell>
          <cell r="T10" t="str">
            <v>020193002204</v>
          </cell>
          <cell r="U10" t="str">
            <v>Khối Co Măn, Phường Đông Kinh, tỉnh Lạng Sơn</v>
          </cell>
          <cell r="W10" t="str">
            <v>000534/LS-CCHN</v>
          </cell>
          <cell r="X10" t="str">
            <v>11/12/2022</v>
          </cell>
          <cell r="Z1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0" t="str">
            <v/>
          </cell>
          <cell r="AC10">
            <v>962693262</v>
          </cell>
        </row>
        <row r="11">
          <cell r="B11" t="str">
            <v>BV1174</v>
          </cell>
          <cell r="C11" t="str">
            <v>Nông Thị Bích Hà</v>
          </cell>
          <cell r="D11" t="str">
            <v>BV1174</v>
          </cell>
          <cell r="E11" t="str">
            <v>x</v>
          </cell>
          <cell r="F11" t="str">
            <v>Điều dưỡng ĐH</v>
          </cell>
          <cell r="G11" t="str">
            <v>TĐ011</v>
          </cell>
          <cell r="H11" t="str">
            <v>Hộ sinh (hạng III)</v>
          </cell>
          <cell r="I11" t="str">
            <v>Hộ sinh (hạng III)</v>
          </cell>
          <cell r="J11" t="str">
            <v>Khám bệnh</v>
          </cell>
          <cell r="K11" t="str">
            <v>KP001</v>
          </cell>
          <cell r="L11" t="str">
            <v>Viên chức CMNV</v>
          </cell>
          <cell r="M11">
            <v>0</v>
          </cell>
          <cell r="N11" t="str">
            <v>Viên chức</v>
          </cell>
          <cell r="O11">
            <v>39</v>
          </cell>
          <cell r="P11">
            <v>0</v>
          </cell>
          <cell r="Q11">
            <v>31947</v>
          </cell>
          <cell r="R11" t="str">
            <v>Nùng</v>
          </cell>
          <cell r="S11">
            <v>40193</v>
          </cell>
          <cell r="T11" t="str">
            <v>020187006850</v>
          </cell>
          <cell r="U11" t="str">
            <v>Căn 804, trung cư Green Park 1, khối 18, phường Đông Kinh, tỉnh Lạng Sơn</v>
          </cell>
          <cell r="W11" t="str">
            <v>001361/LS-CCHN</v>
          </cell>
          <cell r="X11">
            <v>0</v>
          </cell>
          <cell r="Z11" t="str">
            <v>Theo Quy định tại Thông tư số 12/2011/TT-BYT ngày 15/3/2011 của Bộ Y tế quy định tiêu chuẩn các ngạch viên chức hộ sinh</v>
          </cell>
          <cell r="AB11" t="str">
            <v/>
          </cell>
          <cell r="AC11">
            <v>869880966</v>
          </cell>
          <cell r="AD11" t="str">
            <v>Chuyển đến 04/4/2022</v>
          </cell>
        </row>
        <row r="12">
          <cell r="B12" t="str">
            <v>BV0038</v>
          </cell>
          <cell r="C12" t="str">
            <v>Đàm Thúy Ngân</v>
          </cell>
          <cell r="D12" t="str">
            <v>BV0038</v>
          </cell>
          <cell r="E12" t="str">
            <v>x</v>
          </cell>
          <cell r="F12" t="str">
            <v>Điều dưỡng CĐ</v>
          </cell>
          <cell r="G12" t="str">
            <v>TĐ012</v>
          </cell>
          <cell r="H12" t="str">
            <v>Điều dưỡng (hạng IV)</v>
          </cell>
          <cell r="I12" t="str">
            <v>Điều dưỡng (hạng IV)</v>
          </cell>
          <cell r="J12" t="str">
            <v>Khám bệnh</v>
          </cell>
          <cell r="K12" t="str">
            <v>KP001</v>
          </cell>
          <cell r="L12" t="str">
            <v>Viên chức CMNV</v>
          </cell>
          <cell r="M12">
            <v>0</v>
          </cell>
          <cell r="N12" t="str">
            <v>Viên chức</v>
          </cell>
          <cell r="O12">
            <v>36</v>
          </cell>
          <cell r="P12">
            <v>0</v>
          </cell>
          <cell r="Q12">
            <v>32936</v>
          </cell>
          <cell r="R12" t="str">
            <v>Nùng</v>
          </cell>
          <cell r="S12" t="str">
            <v>5/6/2013</v>
          </cell>
          <cell r="T12" t="str">
            <v>020190008097</v>
          </cell>
          <cell r="U12" t="str">
            <v>Căn 1110, toà 3 trung cư Green Park 3, phường Đông Kinh, tỉnh Lạng Sơn</v>
          </cell>
          <cell r="W12" t="str">
            <v>000380/LS-CCHN</v>
          </cell>
          <cell r="X12" t="str">
            <v>11/12/2022</v>
          </cell>
          <cell r="Z1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2" t="str">
            <v/>
          </cell>
          <cell r="AC12" t="str">
            <v>0394663100</v>
          </cell>
        </row>
        <row r="13">
          <cell r="B13" t="str">
            <v>BV0013</v>
          </cell>
          <cell r="C13" t="str">
            <v>Trương Mai Phương</v>
          </cell>
          <cell r="D13" t="str">
            <v>BV0013</v>
          </cell>
          <cell r="E13" t="str">
            <v>x</v>
          </cell>
          <cell r="F13" t="str">
            <v>Điều dưỡng CĐ</v>
          </cell>
          <cell r="G13" t="str">
            <v>TĐ012</v>
          </cell>
          <cell r="H13" t="str">
            <v>Điều dưỡng (hạng IV)</v>
          </cell>
          <cell r="I13" t="str">
            <v>Điều dưỡng (hạng IV)</v>
          </cell>
          <cell r="J13" t="str">
            <v>Khám bệnh</v>
          </cell>
          <cell r="K13" t="str">
            <v>KP001</v>
          </cell>
          <cell r="L13" t="str">
            <v>Viên chức CMNV</v>
          </cell>
          <cell r="M13">
            <v>0</v>
          </cell>
          <cell r="N13" t="str">
            <v>Viên chức</v>
          </cell>
          <cell r="O13">
            <v>36</v>
          </cell>
          <cell r="P13">
            <v>0</v>
          </cell>
          <cell r="Q13">
            <v>32921</v>
          </cell>
          <cell r="R13" t="str">
            <v>Tày</v>
          </cell>
          <cell r="S13" t="str">
            <v>5/6/2013</v>
          </cell>
          <cell r="T13" t="str">
            <v>020190002769</v>
          </cell>
          <cell r="U13" t="str">
            <v>SN 29, ngõ 2C, Thôn Hoàng Thanh, Phường Tam Thanh, Tỉnh Lạng Sơn</v>
          </cell>
          <cell r="W13" t="str">
            <v>000379/LS-CCHN</v>
          </cell>
          <cell r="X13" t="str">
            <v>11/12/2022</v>
          </cell>
          <cell r="Z1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3" t="str">
            <v/>
          </cell>
          <cell r="AC13" t="str">
            <v>0988868489</v>
          </cell>
        </row>
        <row r="14">
          <cell r="B14" t="str">
            <v>BV0009</v>
          </cell>
          <cell r="C14" t="str">
            <v>Hoàng Hải Yến</v>
          </cell>
          <cell r="D14" t="str">
            <v>BV0009</v>
          </cell>
          <cell r="E14" t="str">
            <v>x</v>
          </cell>
          <cell r="F14" t="str">
            <v>Điều dưỡng CĐ</v>
          </cell>
          <cell r="G14" t="str">
            <v>TĐ012</v>
          </cell>
          <cell r="H14" t="str">
            <v>Điều dưỡng (hạng IV)</v>
          </cell>
          <cell r="I14" t="str">
            <v>Điều dưỡng (hạng IV)</v>
          </cell>
          <cell r="J14" t="str">
            <v>Khám bệnh</v>
          </cell>
          <cell r="K14" t="str">
            <v>KP001</v>
          </cell>
          <cell r="L14" t="str">
            <v>Viên chức CMNV</v>
          </cell>
          <cell r="M14">
            <v>0</v>
          </cell>
          <cell r="N14" t="str">
            <v>Viên chức</v>
          </cell>
          <cell r="O14">
            <v>36</v>
          </cell>
          <cell r="P14">
            <v>0</v>
          </cell>
          <cell r="Q14">
            <v>32871</v>
          </cell>
          <cell r="R14" t="str">
            <v>Nùng</v>
          </cell>
          <cell r="S14" t="str">
            <v>05/6/2013</v>
          </cell>
          <cell r="T14" t="str">
            <v>020189006031</v>
          </cell>
          <cell r="U14" t="str">
            <v>Khối Hoàng Tâm, Phường Tam Thanh, Tỉnh Lạng Sơn</v>
          </cell>
          <cell r="W14" t="str">
            <v>000378/LS-CCHN</v>
          </cell>
          <cell r="X14" t="str">
            <v>01/06/2016</v>
          </cell>
          <cell r="Z1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4" t="str">
            <v/>
          </cell>
          <cell r="AC14">
            <v>399487032</v>
          </cell>
        </row>
        <row r="15">
          <cell r="B15" t="str">
            <v>BV0170</v>
          </cell>
          <cell r="C15" t="str">
            <v>Trần Thị Hải Yến</v>
          </cell>
          <cell r="D15" t="str">
            <v>BV0170</v>
          </cell>
          <cell r="E15" t="str">
            <v>x</v>
          </cell>
          <cell r="F15" t="str">
            <v>Điều dưỡng CĐ</v>
          </cell>
          <cell r="G15" t="str">
            <v>TĐ012</v>
          </cell>
          <cell r="H15" t="str">
            <v>Điều dưỡng (hạng IV)</v>
          </cell>
          <cell r="I15" t="str">
            <v>Điều dưỡng (hạng IV)</v>
          </cell>
          <cell r="J15" t="str">
            <v>Khám bệnh</v>
          </cell>
          <cell r="K15" t="str">
            <v>KP001</v>
          </cell>
          <cell r="L15" t="str">
            <v>Viên chức CMNV</v>
          </cell>
          <cell r="M15">
            <v>0</v>
          </cell>
          <cell r="N15" t="str">
            <v>Viên chức</v>
          </cell>
          <cell r="O15">
            <v>40</v>
          </cell>
          <cell r="P15">
            <v>0</v>
          </cell>
          <cell r="Q15">
            <v>31476</v>
          </cell>
          <cell r="R15" t="str">
            <v>Nùng</v>
          </cell>
          <cell r="S15" t="str">
            <v>25/12/2008</v>
          </cell>
          <cell r="T15" t="str">
            <v>020186009334</v>
          </cell>
          <cell r="U15" t="str">
            <v>Xã Lộc Bình, tỉnh Lạng Sơn</v>
          </cell>
          <cell r="W15" t="str">
            <v>001622/LS-CCHN</v>
          </cell>
          <cell r="X15" t="str">
            <v>16/09/2013</v>
          </cell>
          <cell r="Z15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15" t="str">
            <v/>
          </cell>
          <cell r="AC15" t="str">
            <v>0397056976</v>
          </cell>
        </row>
        <row r="16">
          <cell r="B16" t="str">
            <v>BV0864</v>
          </cell>
          <cell r="C16" t="str">
            <v>Nông Thu Phương</v>
          </cell>
          <cell r="D16" t="str">
            <v>BV0864</v>
          </cell>
          <cell r="E16" t="str">
            <v>x</v>
          </cell>
          <cell r="F16" t="str">
            <v>Điều dưỡng CĐ</v>
          </cell>
          <cell r="G16" t="str">
            <v>TĐ012</v>
          </cell>
          <cell r="I16" t="str">
            <v>Điều dưỡng (hạng IV)</v>
          </cell>
          <cell r="J16" t="str">
            <v>Khám bệnh</v>
          </cell>
          <cell r="K16" t="str">
            <v>KP001</v>
          </cell>
          <cell r="N16" t="str">
            <v>Viên chức</v>
          </cell>
          <cell r="O16">
            <v>31</v>
          </cell>
          <cell r="P16">
            <v>0</v>
          </cell>
          <cell r="Q16">
            <v>34873</v>
          </cell>
          <cell r="R16" t="str">
            <v>Tày</v>
          </cell>
          <cell r="S16" t="str">
            <v>12/11/2018</v>
          </cell>
          <cell r="T16" t="str">
            <v>020195001880</v>
          </cell>
          <cell r="U16" t="str">
            <v>Khu Hòa Bình, xã Lộc Bình, tỉnh Lạng Sơn</v>
          </cell>
          <cell r="W16" t="str">
            <v>002111/LS-CCHN</v>
          </cell>
          <cell r="X16" t="str">
            <v>30/10/2017</v>
          </cell>
          <cell r="Z16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6" t="str">
            <v/>
          </cell>
          <cell r="AC16" t="str">
            <v>0982467591</v>
          </cell>
          <cell r="AD16" t="str">
            <v>Thử việc T11/2018; đỗ VC 20/5/2026</v>
          </cell>
        </row>
        <row r="17">
          <cell r="B17" t="str">
            <v>BV0898</v>
          </cell>
          <cell r="C17" t="str">
            <v>Lương Thị Huế</v>
          </cell>
          <cell r="D17" t="str">
            <v>BV0898</v>
          </cell>
          <cell r="E17" t="str">
            <v>x</v>
          </cell>
          <cell r="F17" t="str">
            <v>Điều dưỡng CĐ</v>
          </cell>
          <cell r="G17" t="str">
            <v>TĐ012</v>
          </cell>
          <cell r="I17" t="str">
            <v>Điều dưỡng (hạng IV)</v>
          </cell>
          <cell r="J17" t="str">
            <v>Khám bệnh</v>
          </cell>
          <cell r="K17" t="str">
            <v>KP001</v>
          </cell>
          <cell r="N17" t="str">
            <v>Viên chức</v>
          </cell>
          <cell r="O17">
            <v>30</v>
          </cell>
          <cell r="P17">
            <v>0</v>
          </cell>
          <cell r="Q17" t="str">
            <v>12/01/1996</v>
          </cell>
          <cell r="R17" t="str">
            <v>Tày</v>
          </cell>
          <cell r="S17" t="str">
            <v>17/4/2019</v>
          </cell>
          <cell r="T17" t="str">
            <v>020196007531</v>
          </cell>
          <cell r="U17" t="str">
            <v>SN 90, Ngõ 97, Đường Trần Quang Khải, Khối Trần Quang Khải 1, Phường Lương Văn Tri, Tỉnh Lạng Sơn.</v>
          </cell>
          <cell r="W17" t="str">
            <v>004047/LS-CCHN</v>
          </cell>
          <cell r="X17" t="str">
            <v>20/11/2020</v>
          </cell>
          <cell r="Z1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7" t="str">
            <v/>
          </cell>
          <cell r="AC17" t="str">
            <v>0373712907</v>
          </cell>
          <cell r="AD17" t="str">
            <v>Thử việc 17/4/2019-31/5/2019; nghỉ ko lương 01/9 đến 31/12/2023, Viên chức từ 15/6/2026</v>
          </cell>
        </row>
        <row r="18">
          <cell r="B18" t="str">
            <v>BV1081</v>
          </cell>
          <cell r="C18" t="str">
            <v>Vy Thị Sinh</v>
          </cell>
          <cell r="D18" t="str">
            <v>BV1081</v>
          </cell>
          <cell r="E18" t="str">
            <v>x</v>
          </cell>
          <cell r="F18" t="str">
            <v>Điều dưỡng CĐ</v>
          </cell>
          <cell r="G18" t="str">
            <v>TĐ012</v>
          </cell>
          <cell r="I18" t="str">
            <v>Điều dưỡng (hạng IV)</v>
          </cell>
          <cell r="J18" t="str">
            <v>Khám bệnh</v>
          </cell>
          <cell r="K18" t="str">
            <v>KP001</v>
          </cell>
          <cell r="N18" t="str">
            <v>Viên chức</v>
          </cell>
          <cell r="O18">
            <v>29</v>
          </cell>
          <cell r="P18">
            <v>0</v>
          </cell>
          <cell r="Q18" t="str">
            <v>24/7/1997</v>
          </cell>
          <cell r="R18" t="str">
            <v>Nùng</v>
          </cell>
          <cell r="S18" t="str">
            <v>03/11/2020</v>
          </cell>
          <cell r="T18" t="str">
            <v>020197009637</v>
          </cell>
          <cell r="U18" t="str">
            <v>Thôn Tùng Tày, Xã Tân Đoàn, Tỉnh Lạng Sơn</v>
          </cell>
          <cell r="W18" t="str">
            <v>004026/LS-CCHN</v>
          </cell>
          <cell r="X18" t="str">
            <v>21/10/2020</v>
          </cell>
          <cell r="Z1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8" t="str">
            <v/>
          </cell>
          <cell r="AC18" t="str">
            <v>0936944436</v>
          </cell>
          <cell r="AD18" t="str">
            <v>Thử việc 03/11/2020, Viên chức từ 15/6/2026</v>
          </cell>
        </row>
        <row r="19">
          <cell r="B19" t="str">
            <v>BV0012</v>
          </cell>
          <cell r="C19" t="str">
            <v>Trần Bích Phương</v>
          </cell>
          <cell r="D19" t="str">
            <v>BV0012</v>
          </cell>
          <cell r="E19" t="str">
            <v>x</v>
          </cell>
          <cell r="F19" t="str">
            <v>Điều dưỡng CĐ</v>
          </cell>
          <cell r="G19" t="str">
            <v>TĐ012</v>
          </cell>
          <cell r="H19" t="str">
            <v>Điều dưỡng (hạng IV)</v>
          </cell>
          <cell r="I19" t="str">
            <v>Điều dưỡng (hạng IV)</v>
          </cell>
          <cell r="J19" t="str">
            <v>Khám bệnh</v>
          </cell>
          <cell r="K19" t="str">
            <v>KP001</v>
          </cell>
          <cell r="L19" t="str">
            <v>Viên chức CMNV</v>
          </cell>
          <cell r="M19">
            <v>0</v>
          </cell>
          <cell r="N19" t="str">
            <v>Viên chức</v>
          </cell>
          <cell r="O19">
            <v>38</v>
          </cell>
          <cell r="P19">
            <v>0</v>
          </cell>
          <cell r="Q19">
            <v>32291</v>
          </cell>
          <cell r="R19" t="str">
            <v>Kinh</v>
          </cell>
          <cell r="S19" t="str">
            <v>05/6/2013</v>
          </cell>
          <cell r="T19" t="str">
            <v>020188003360</v>
          </cell>
          <cell r="U19" t="str">
            <v>Ngõ 39 Văn Vỉ, Phường Lương Văn Tri, Tỉnh Lạng Sơn.</v>
          </cell>
          <cell r="W19" t="str">
            <v>000224/LS-CCHN</v>
          </cell>
          <cell r="X19" t="str">
            <v>11/12/2022</v>
          </cell>
          <cell r="Z1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9" t="str">
            <v/>
          </cell>
          <cell r="AC19" t="str">
            <v>0974342003</v>
          </cell>
        </row>
        <row r="20">
          <cell r="B20" t="str">
            <v>BV0031</v>
          </cell>
          <cell r="C20" t="str">
            <v>Trần Thị Liễu Thúy</v>
          </cell>
          <cell r="D20" t="str">
            <v>BV0031</v>
          </cell>
          <cell r="E20" t="str">
            <v>x</v>
          </cell>
          <cell r="F20" t="str">
            <v>Điều dưỡng CĐ</v>
          </cell>
          <cell r="G20" t="str">
            <v>TĐ012</v>
          </cell>
          <cell r="H20" t="str">
            <v>Điều dưỡng (hạng IV)</v>
          </cell>
          <cell r="I20" t="str">
            <v>Điều dưỡng (hạng IV)</v>
          </cell>
          <cell r="J20" t="str">
            <v>Khám bệnh</v>
          </cell>
          <cell r="K20" t="str">
            <v>KP001</v>
          </cell>
          <cell r="L20" t="str">
            <v>Viên chức CMNV</v>
          </cell>
          <cell r="M20">
            <v>0</v>
          </cell>
          <cell r="N20" t="str">
            <v>Viên chức</v>
          </cell>
          <cell r="O20">
            <v>40</v>
          </cell>
          <cell r="P20">
            <v>0</v>
          </cell>
          <cell r="Q20">
            <v>31628</v>
          </cell>
          <cell r="R20" t="str">
            <v>Kinh</v>
          </cell>
          <cell r="S20" t="str">
            <v>15/1/2010</v>
          </cell>
          <cell r="T20" t="str">
            <v>020186000205</v>
          </cell>
          <cell r="U20" t="str">
            <v>Số 124, Tổ Sơn, Phường Lương Văn Tri, Tỉnh Lạng Sơn,</v>
          </cell>
          <cell r="W20" t="str">
            <v>000756/LS-CCHN</v>
          </cell>
          <cell r="X20" t="str">
            <v>11/12/2022</v>
          </cell>
          <cell r="Z2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0" t="str">
            <v/>
          </cell>
          <cell r="AC20" t="str">
            <v>0376706750</v>
          </cell>
        </row>
        <row r="21">
          <cell r="B21" t="str">
            <v>BV0431</v>
          </cell>
          <cell r="C21" t="str">
            <v>Liễu Kim Hoa</v>
          </cell>
          <cell r="D21" t="str">
            <v>BV0431</v>
          </cell>
          <cell r="E21" t="str">
            <v>x</v>
          </cell>
          <cell r="F21" t="str">
            <v>Điều dưỡng CĐ</v>
          </cell>
          <cell r="G21" t="str">
            <v>TĐ012</v>
          </cell>
          <cell r="H21" t="str">
            <v>Điều dưỡng (hạng IV)</v>
          </cell>
          <cell r="I21" t="str">
            <v>Điều dưỡng (hạng IV)</v>
          </cell>
          <cell r="J21" t="str">
            <v>Khám bệnh</v>
          </cell>
          <cell r="K21" t="str">
            <v>KP001</v>
          </cell>
          <cell r="L21" t="str">
            <v>Viên chức CMNV</v>
          </cell>
          <cell r="M21">
            <v>0</v>
          </cell>
          <cell r="N21" t="str">
            <v>Viên chức</v>
          </cell>
          <cell r="O21">
            <v>49</v>
          </cell>
          <cell r="P21">
            <v>0</v>
          </cell>
          <cell r="Q21">
            <v>28231</v>
          </cell>
          <cell r="R21" t="str">
            <v>Tày</v>
          </cell>
          <cell r="S21" t="str">
            <v>23/7/2003</v>
          </cell>
          <cell r="T21" t="str">
            <v>020177004198</v>
          </cell>
          <cell r="U21" t="str">
            <v>số nhà 45 phố Mỹ Sơn 5 , tổ 3,  Khối 9, Phường Đông Kinh  Lạng Sơn</v>
          </cell>
          <cell r="W21" t="str">
            <v>001029/LS-CCHN</v>
          </cell>
          <cell r="X21" t="str">
            <v>11/12/2022</v>
          </cell>
          <cell r="Z21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1" t="str">
            <v/>
          </cell>
          <cell r="AC21" t="str">
            <v>0913492166</v>
          </cell>
        </row>
        <row r="22">
          <cell r="B22" t="str">
            <v>BV0016</v>
          </cell>
          <cell r="C22" t="str">
            <v>Hoàng Thị Cả</v>
          </cell>
          <cell r="D22" t="str">
            <v>BV0016</v>
          </cell>
          <cell r="E22" t="str">
            <v>x</v>
          </cell>
          <cell r="F22" t="str">
            <v>Điều dưỡng TC</v>
          </cell>
          <cell r="G22" t="str">
            <v>TĐ013</v>
          </cell>
          <cell r="H22" t="str">
            <v>Điều dưỡng (hạng IV)</v>
          </cell>
          <cell r="I22" t="str">
            <v>Điều dưỡng (hạng IV)</v>
          </cell>
          <cell r="J22" t="str">
            <v>Khám bệnh</v>
          </cell>
          <cell r="K22" t="str">
            <v>KP001</v>
          </cell>
          <cell r="L22" t="str">
            <v>Viên chức CMNV</v>
          </cell>
          <cell r="M22">
            <v>0</v>
          </cell>
          <cell r="N22" t="str">
            <v>Viên chức</v>
          </cell>
          <cell r="O22">
            <v>55</v>
          </cell>
          <cell r="P22">
            <v>0</v>
          </cell>
          <cell r="Q22">
            <v>25895</v>
          </cell>
          <cell r="R22" t="str">
            <v>Tày</v>
          </cell>
          <cell r="S22" t="str">
            <v>19/1/2005</v>
          </cell>
          <cell r="T22" t="str">
            <v>020170001210</v>
          </cell>
          <cell r="U22" t="str">
            <v>Thôn Pàn Pè, phường Tam Thanh, Tỉnh Lạng Sơn</v>
          </cell>
          <cell r="W22" t="str">
            <v>000742/LS-CCHN</v>
          </cell>
          <cell r="X22" t="str">
            <v>24/06/2013</v>
          </cell>
          <cell r="Z22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22" t="str">
            <v/>
          </cell>
          <cell r="AC22" t="str">
            <v>0919501370</v>
          </cell>
        </row>
        <row r="23">
          <cell r="B23" t="str">
            <v>BV0290</v>
          </cell>
          <cell r="C23" t="str">
            <v>Ngọ Thị Ngoan</v>
          </cell>
          <cell r="D23" t="str">
            <v>BV0290</v>
          </cell>
          <cell r="E23" t="str">
            <v>x</v>
          </cell>
          <cell r="F23" t="str">
            <v>Hộ sinh CĐ</v>
          </cell>
          <cell r="G23" t="str">
            <v>TĐ018</v>
          </cell>
          <cell r="H23" t="str">
            <v>Hộ sinh (hạng IV)</v>
          </cell>
          <cell r="I23" t="str">
            <v>Hộ sinh (hạng IV)</v>
          </cell>
          <cell r="J23" t="str">
            <v>Khám bệnh</v>
          </cell>
          <cell r="K23" t="str">
            <v>KP001</v>
          </cell>
          <cell r="L23" t="str">
            <v>Viên chức CMNV</v>
          </cell>
          <cell r="M23">
            <v>0</v>
          </cell>
          <cell r="N23" t="str">
            <v>Viên chức</v>
          </cell>
          <cell r="O23">
            <v>42</v>
          </cell>
          <cell r="P23">
            <v>0</v>
          </cell>
          <cell r="Q23">
            <v>30551</v>
          </cell>
          <cell r="R23" t="str">
            <v>Kinh</v>
          </cell>
          <cell r="S23" t="str">
            <v>2/1/2009</v>
          </cell>
          <cell r="T23" t="str">
            <v>024183004315</v>
          </cell>
          <cell r="U23" t="str">
            <v>Nam Hoàng Đồng 1, Phường Tam Thanh, Tỉnh Lạng Sơn</v>
          </cell>
          <cell r="W23" t="str">
            <v>000969/LS-CCHN</v>
          </cell>
          <cell r="X23" t="str">
            <v>11/01/2023</v>
          </cell>
          <cell r="Z2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3">
            <v>0</v>
          </cell>
          <cell r="AC23" t="str">
            <v>0915976646</v>
          </cell>
        </row>
        <row r="24">
          <cell r="B24" t="str">
            <v>BV0043</v>
          </cell>
          <cell r="C24" t="str">
            <v>Hoàng Thị Hoa</v>
          </cell>
          <cell r="D24" t="str">
            <v>BV0043</v>
          </cell>
          <cell r="E24" t="str">
            <v>x</v>
          </cell>
          <cell r="F24" t="str">
            <v>Hộ lý</v>
          </cell>
          <cell r="G24" t="str">
            <v>TĐ047</v>
          </cell>
          <cell r="I24" t="str">
            <v>Hộ lý</v>
          </cell>
          <cell r="J24" t="str">
            <v>Khám bệnh</v>
          </cell>
          <cell r="K24" t="str">
            <v>KP001</v>
          </cell>
          <cell r="M24">
            <v>0</v>
          </cell>
          <cell r="N24" t="str">
            <v>HĐ theo NĐ161</v>
          </cell>
          <cell r="O24">
            <v>55</v>
          </cell>
          <cell r="P24">
            <v>0</v>
          </cell>
          <cell r="Q24">
            <v>25808</v>
          </cell>
          <cell r="R24" t="str">
            <v>Nùng</v>
          </cell>
          <cell r="S24" t="str">
            <v>1/4/1996</v>
          </cell>
          <cell r="T24" t="str">
            <v>020170000377</v>
          </cell>
          <cell r="U24" t="str">
            <v>Ngõ 311, Đường Bà Triệu, Phường Kỳ Lừa, Tỉnh Lạng Sơn.</v>
          </cell>
          <cell r="W24" t="str">
            <v/>
          </cell>
          <cell r="X24" t="str">
            <v/>
          </cell>
          <cell r="Z24" t="str">
            <v/>
          </cell>
          <cell r="AB24" t="str">
            <v/>
          </cell>
          <cell r="AC24" t="str">
            <v>0949056459</v>
          </cell>
          <cell r="AD24" t="str">
            <v>Chuyển từ HĐ68</v>
          </cell>
        </row>
        <row r="25">
          <cell r="B25" t="str">
            <v>BV0691</v>
          </cell>
          <cell r="C25" t="str">
            <v>Hoàng Thị Chín</v>
          </cell>
          <cell r="D25" t="str">
            <v>BV0691</v>
          </cell>
          <cell r="E25" t="str">
            <v>x</v>
          </cell>
          <cell r="F25" t="str">
            <v>Hộ lý</v>
          </cell>
          <cell r="G25" t="str">
            <v>TĐ047</v>
          </cell>
          <cell r="I25" t="str">
            <v>Hộ lý</v>
          </cell>
          <cell r="J25" t="str">
            <v>Khám bệnh</v>
          </cell>
          <cell r="K25" t="str">
            <v>KP001</v>
          </cell>
          <cell r="N25" t="str">
            <v>HĐ có thời hạn</v>
          </cell>
          <cell r="O25">
            <v>49</v>
          </cell>
          <cell r="P25">
            <v>0</v>
          </cell>
          <cell r="Q25">
            <v>28288</v>
          </cell>
          <cell r="R25" t="str">
            <v>Tày</v>
          </cell>
          <cell r="S25" t="str">
            <v xml:space="preserve"> 01/02/2016</v>
          </cell>
          <cell r="T25" t="str">
            <v>020177004592</v>
          </cell>
          <cell r="U25" t="str">
            <v>Sn 36, Ngõ 195, Đường Bến Bắc, Phường Tam Thanh, Tỉnh Lạng Sơn</v>
          </cell>
          <cell r="W25" t="str">
            <v/>
          </cell>
          <cell r="X25" t="str">
            <v/>
          </cell>
          <cell r="Z25" t="str">
            <v/>
          </cell>
          <cell r="AB25" t="str">
            <v/>
          </cell>
          <cell r="AC25" t="str">
            <v>0986384451</v>
          </cell>
        </row>
        <row r="26">
          <cell r="B26" t="str">
            <v>BV0729</v>
          </cell>
          <cell r="C26" t="str">
            <v>Lương Thị Thảo</v>
          </cell>
          <cell r="D26" t="str">
            <v>BV0729</v>
          </cell>
          <cell r="E26" t="str">
            <v>x</v>
          </cell>
          <cell r="F26" t="str">
            <v>Hộ Lý</v>
          </cell>
          <cell r="G26" t="str">
            <v>TĐ047</v>
          </cell>
          <cell r="I26" t="str">
            <v>Hộ Lý</v>
          </cell>
          <cell r="J26" t="str">
            <v>Khám bệnh</v>
          </cell>
          <cell r="K26" t="str">
            <v>KP001</v>
          </cell>
          <cell r="N26" t="str">
            <v>HĐ có thời hạn</v>
          </cell>
          <cell r="O26">
            <v>33</v>
          </cell>
          <cell r="P26">
            <v>0</v>
          </cell>
          <cell r="Q26" t="str">
            <v>23/10/1992</v>
          </cell>
          <cell r="R26" t="str">
            <v>Tày</v>
          </cell>
          <cell r="S26" t="str">
            <v xml:space="preserve"> 01/9/2016</v>
          </cell>
          <cell r="T26" t="str">
            <v>020192012225</v>
          </cell>
          <cell r="U26" t="str">
            <v>Sn 113, Đường Trần Quang Khải, Phường Lương Văn Tri, Tỉnh Lạng Sơn</v>
          </cell>
          <cell r="W26" t="str">
            <v/>
          </cell>
          <cell r="X26" t="str">
            <v/>
          </cell>
          <cell r="Z26" t="str">
            <v/>
          </cell>
          <cell r="AB26" t="str">
            <v/>
          </cell>
          <cell r="AC26">
            <v>988057957</v>
          </cell>
        </row>
        <row r="27">
          <cell r="B27" t="str">
            <v>BV0049</v>
          </cell>
          <cell r="C27" t="str">
            <v>Đinh Vĩnh Thái</v>
          </cell>
          <cell r="D27" t="str">
            <v>BV0049</v>
          </cell>
          <cell r="F27" t="str">
            <v>BSCKII</v>
          </cell>
          <cell r="G27" t="str">
            <v>TĐ001</v>
          </cell>
          <cell r="H27" t="str">
            <v>Bác sĩ chính (hạng II)</v>
          </cell>
          <cell r="I27" t="str">
            <v>Bác sĩ chính (hạng II)</v>
          </cell>
          <cell r="J27" t="str">
            <v>Cấp cứu</v>
          </cell>
          <cell r="K27" t="str">
            <v>KP002</v>
          </cell>
          <cell r="L27" t="str">
            <v>Lãnh đạo khoa, phòng</v>
          </cell>
          <cell r="M27" t="str">
            <v>Trưởng khoa</v>
          </cell>
          <cell r="N27" t="str">
            <v>Viên chức</v>
          </cell>
          <cell r="O27">
            <v>46</v>
          </cell>
          <cell r="P27">
            <v>29206</v>
          </cell>
          <cell r="Q27">
            <v>0</v>
          </cell>
          <cell r="R27" t="str">
            <v>Kinh</v>
          </cell>
          <cell r="S27" t="str">
            <v>19/01/2005</v>
          </cell>
          <cell r="T27" t="str">
            <v>012079000876</v>
          </cell>
          <cell r="U27">
            <v>0</v>
          </cell>
          <cell r="W27" t="str">
            <v>000765/LS-CCHN</v>
          </cell>
          <cell r="X27" t="str">
            <v>11/12/2022</v>
          </cell>
          <cell r="Z27" t="str">
            <v>Khám bệnh, chữa bệnh chuyên khoa Hồi sức cấp cứu</v>
          </cell>
          <cell r="AB27" t="str">
            <v/>
          </cell>
          <cell r="AC27" t="str">
            <v>0946235999</v>
          </cell>
        </row>
        <row r="28">
          <cell r="B28" t="str">
            <v>BV0178</v>
          </cell>
          <cell r="C28" t="str">
            <v>Triệu Đức Anh</v>
          </cell>
          <cell r="D28" t="str">
            <v>BV0178</v>
          </cell>
          <cell r="F28" t="str">
            <v>BSCKII</v>
          </cell>
          <cell r="G28" t="str">
            <v>TĐ001</v>
          </cell>
          <cell r="H28" t="str">
            <v>Bác sĩ chính (hạng II)</v>
          </cell>
          <cell r="I28" t="str">
            <v>Bác sĩ chính (hạng II)</v>
          </cell>
          <cell r="J28" t="str">
            <v>Ngoại Thận - Tiết niệu</v>
          </cell>
          <cell r="K28" t="str">
            <v>KP012</v>
          </cell>
          <cell r="L28" t="str">
            <v>Lãnh đạo khoa, phòng</v>
          </cell>
          <cell r="M28" t="str">
            <v>Phó trưởng khoa</v>
          </cell>
          <cell r="N28" t="str">
            <v>Viên chức</v>
          </cell>
          <cell r="O28">
            <v>39</v>
          </cell>
          <cell r="P28">
            <v>31681</v>
          </cell>
          <cell r="Q28">
            <v>0</v>
          </cell>
          <cell r="R28" t="str">
            <v>Nùng</v>
          </cell>
          <cell r="S28" t="str">
            <v>05/6/2013</v>
          </cell>
          <cell r="T28" t="str">
            <v>020086011262</v>
          </cell>
          <cell r="U28" t="str">
            <v xml:space="preserve">43 Trần Quang Khải, P. Lương Văn Tri, tỉnh Lạng Sơn </v>
          </cell>
          <cell r="W28" t="str">
            <v>000496/LS-CCHN</v>
          </cell>
          <cell r="X28" t="str">
            <v>24/08/2016</v>
          </cell>
          <cell r="Z28" t="str">
            <v>Khám bệnh, chữa bệnh Ngoại khoa</v>
          </cell>
          <cell r="AB28">
            <v>0</v>
          </cell>
          <cell r="AC28" t="str">
            <v>0978122012</v>
          </cell>
        </row>
        <row r="29">
          <cell r="B29" t="str">
            <v>BV0676</v>
          </cell>
          <cell r="C29" t="str">
            <v>Lương Văn Lực</v>
          </cell>
          <cell r="D29" t="str">
            <v>BV0676</v>
          </cell>
          <cell r="F29" t="str">
            <v>BSCKI</v>
          </cell>
          <cell r="G29" t="str">
            <v>TĐ003</v>
          </cell>
          <cell r="H29" t="str">
            <v>Bác sĩ (hạng III)</v>
          </cell>
          <cell r="I29" t="str">
            <v>Bác sĩ (hạng III)</v>
          </cell>
          <cell r="J29" t="str">
            <v>Nội Tiêu hóa</v>
          </cell>
          <cell r="K29" t="str">
            <v>KP008</v>
          </cell>
          <cell r="L29" t="str">
            <v>Viên chức CMNV</v>
          </cell>
          <cell r="M29">
            <v>0</v>
          </cell>
          <cell r="N29" t="str">
            <v>Viên chức</v>
          </cell>
          <cell r="O29">
            <v>36</v>
          </cell>
          <cell r="P29" t="str">
            <v>12/02/1990</v>
          </cell>
          <cell r="Q29">
            <v>0</v>
          </cell>
          <cell r="R29" t="str">
            <v>Cao Lan</v>
          </cell>
          <cell r="S29" t="str">
            <v>21/10/2016</v>
          </cell>
          <cell r="T29" t="str">
            <v>020090012670</v>
          </cell>
          <cell r="U29" t="str">
            <v>Xã Yên Bình, Lạng Sơn</v>
          </cell>
          <cell r="W29" t="str">
            <v>003449/LS-CCHN</v>
          </cell>
          <cell r="X29" t="str">
            <v>17/05/2019</v>
          </cell>
          <cell r="Z29" t="str">
            <v>Khám bệnh, chữa bệnh Nội khoa</v>
          </cell>
          <cell r="AB29" t="str">
            <v>01.0346;01.0209;01.0002;02.0085;21.0014</v>
          </cell>
          <cell r="AC29">
            <v>858339889</v>
          </cell>
        </row>
        <row r="30">
          <cell r="B30" t="str">
            <v>BV0848</v>
          </cell>
          <cell r="C30" t="str">
            <v>Lành Thị Quỳnh Nga</v>
          </cell>
          <cell r="D30" t="str">
            <v>BV0848</v>
          </cell>
          <cell r="E30" t="str">
            <v>x</v>
          </cell>
          <cell r="F30" t="str">
            <v>BSCKI</v>
          </cell>
          <cell r="G30" t="str">
            <v>TĐ003</v>
          </cell>
          <cell r="H30" t="str">
            <v>Bác sĩ (hạng III)</v>
          </cell>
          <cell r="I30" t="str">
            <v>Bác sĩ (hạng III)</v>
          </cell>
          <cell r="J30" t="str">
            <v>Cấp cứu</v>
          </cell>
          <cell r="K30" t="str">
            <v>KP002</v>
          </cell>
          <cell r="L30" t="str">
            <v>Viên chức CMNV</v>
          </cell>
          <cell r="M30">
            <v>0</v>
          </cell>
          <cell r="N30" t="str">
            <v>Viên chức</v>
          </cell>
          <cell r="O30">
            <v>34</v>
          </cell>
          <cell r="P30">
            <v>0</v>
          </cell>
          <cell r="Q30" t="str">
            <v>02/9/1991</v>
          </cell>
          <cell r="R30" t="str">
            <v>Tày</v>
          </cell>
          <cell r="S30" t="str">
            <v>04/05/2016</v>
          </cell>
          <cell r="T30" t="str">
            <v>020191000623</v>
          </cell>
          <cell r="U30">
            <v>0</v>
          </cell>
          <cell r="W30" t="str">
            <v>003284/LS-CCHN</v>
          </cell>
          <cell r="X30" t="str">
            <v>06/07/2018</v>
          </cell>
          <cell r="Z30" t="str">
            <v>Khám bệnh, chữa bệnh Nội khoa; Hồi sức cấp cứu</v>
          </cell>
          <cell r="AB30" t="str">
            <v/>
          </cell>
          <cell r="AC30" t="str">
            <v>0986269055</v>
          </cell>
          <cell r="AD30" t="str">
            <v>Chuyển đến 20/8/2018</v>
          </cell>
        </row>
        <row r="31">
          <cell r="B31" t="str">
            <v>BV0929</v>
          </cell>
          <cell r="C31" t="str">
            <v>Triệu Thị Hạ</v>
          </cell>
          <cell r="D31" t="str">
            <v>BV0929</v>
          </cell>
          <cell r="E31" t="str">
            <v>x</v>
          </cell>
          <cell r="F31" t="str">
            <v>Bác sĩ</v>
          </cell>
          <cell r="G31" t="str">
            <v>TĐ005</v>
          </cell>
          <cell r="I31" t="str">
            <v>Bác sĩ (hạng III)</v>
          </cell>
          <cell r="J31" t="str">
            <v>Cấp cứu</v>
          </cell>
          <cell r="K31" t="str">
            <v>KP002</v>
          </cell>
          <cell r="N31" t="str">
            <v>Viên chức</v>
          </cell>
          <cell r="O31">
            <v>33</v>
          </cell>
          <cell r="P31">
            <v>0</v>
          </cell>
          <cell r="Q31" t="str">
            <v>10/3/1993</v>
          </cell>
          <cell r="R31" t="str">
            <v>Nùng</v>
          </cell>
          <cell r="S31" t="str">
            <v>19/8/2019</v>
          </cell>
          <cell r="T31" t="str">
            <v>020193002215</v>
          </cell>
          <cell r="U31" t="str">
            <v>Xã Bằng Mạc - tỉnh Lạng Sơn</v>
          </cell>
          <cell r="W31" t="str">
            <v>004235/LS-CCHN</v>
          </cell>
          <cell r="X31" t="str">
            <v>10/06/2021</v>
          </cell>
          <cell r="Z3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1">
            <v>0</v>
          </cell>
          <cell r="AC31" t="str">
            <v>0372549450</v>
          </cell>
          <cell r="AD31" t="str">
            <v>Thử việc 19/8/2019; đỗ VC 20/5/2026</v>
          </cell>
        </row>
        <row r="32">
          <cell r="B32" t="str">
            <v>BV0890</v>
          </cell>
          <cell r="C32" t="str">
            <v>Nông Quốc Thiên</v>
          </cell>
          <cell r="D32" t="str">
            <v>BV0890</v>
          </cell>
          <cell r="F32" t="str">
            <v>BSCKI</v>
          </cell>
          <cell r="G32" t="str">
            <v>TĐ003</v>
          </cell>
          <cell r="H32" t="str">
            <v>Bác sĩ (hạng III)</v>
          </cell>
          <cell r="I32" t="str">
            <v>Bác sĩ (hạng III)</v>
          </cell>
          <cell r="J32" t="str">
            <v>Cấp cứu</v>
          </cell>
          <cell r="K32" t="str">
            <v>KP002</v>
          </cell>
          <cell r="L32" t="str">
            <v>Viên chức CMNV</v>
          </cell>
          <cell r="M32">
            <v>0</v>
          </cell>
          <cell r="N32" t="str">
            <v>Viên chức</v>
          </cell>
          <cell r="O32">
            <v>31</v>
          </cell>
          <cell r="P32" t="str">
            <v>10/09/1994</v>
          </cell>
          <cell r="Q32">
            <v>0</v>
          </cell>
          <cell r="R32" t="str">
            <v>Nùng</v>
          </cell>
          <cell r="S32" t="str">
            <v>05/04/2019</v>
          </cell>
          <cell r="T32" t="str">
            <v>020094010940</v>
          </cell>
          <cell r="U32">
            <v>0</v>
          </cell>
          <cell r="W32" t="str">
            <v>004162/LS-CCHN</v>
          </cell>
          <cell r="X32" t="str">
            <v>06/04/2021</v>
          </cell>
          <cell r="Z32" t="str">
            <v>Khám bệnh, chữa bệnh Nội khoa, Hồi sức cấp cứu</v>
          </cell>
          <cell r="AB32">
            <v>0</v>
          </cell>
          <cell r="AC32">
            <v>977018056</v>
          </cell>
          <cell r="AD32" t="str">
            <v>BC 5/4/2019</v>
          </cell>
        </row>
        <row r="33">
          <cell r="B33" t="str">
            <v>BV0959</v>
          </cell>
          <cell r="C33" t="str">
            <v>Liễu Thị Ngân</v>
          </cell>
          <cell r="D33" t="str">
            <v>BV0959</v>
          </cell>
          <cell r="E33" t="str">
            <v>x</v>
          </cell>
          <cell r="F33" t="str">
            <v>Bác sĩ</v>
          </cell>
          <cell r="G33" t="str">
            <v>TĐ005</v>
          </cell>
          <cell r="I33" t="str">
            <v>Bác sĩ (hạng III)</v>
          </cell>
          <cell r="J33" t="str">
            <v>Cấp cứu</v>
          </cell>
          <cell r="K33" t="str">
            <v>KP002</v>
          </cell>
          <cell r="N33" t="str">
            <v>Viên chức</v>
          </cell>
          <cell r="O33">
            <v>32</v>
          </cell>
          <cell r="P33">
            <v>0</v>
          </cell>
          <cell r="Q33" t="str">
            <v>12/3/1994</v>
          </cell>
          <cell r="R33" t="str">
            <v>Nùng</v>
          </cell>
          <cell r="S33" t="str">
            <v>10/12/2019</v>
          </cell>
          <cell r="T33" t="str">
            <v>020194010077</v>
          </cell>
          <cell r="U33" t="str">
            <v>Xã Hoàng Văn Thụ - tỉnh Lạng Sơn</v>
          </cell>
          <cell r="W33" t="str">
            <v>004296/LS-CCHN</v>
          </cell>
          <cell r="X33" t="str">
            <v>20/07/2021</v>
          </cell>
          <cell r="Z33" t="str">
            <v>Khám bệnh chữa bệnh Nội khoa</v>
          </cell>
          <cell r="AB33" t="str">
            <v>01.0239;01.0303;01.0092</v>
          </cell>
          <cell r="AD33" t="str">
            <v>Thử việc 10/12/2019; đỗ VC 20/5/2026</v>
          </cell>
        </row>
        <row r="34">
          <cell r="B34" t="str">
            <v>BV1267</v>
          </cell>
          <cell r="C34" t="str">
            <v>Trần Văn Tuyến</v>
          </cell>
          <cell r="D34" t="str">
            <v>BV1267</v>
          </cell>
          <cell r="F34" t="str">
            <v>Bác sĩ</v>
          </cell>
          <cell r="G34" t="str">
            <v>TĐ005</v>
          </cell>
          <cell r="I34" t="str">
            <v>Bác sĩ (hạng III)</v>
          </cell>
          <cell r="J34" t="str">
            <v>Cấp cứu</v>
          </cell>
          <cell r="K34" t="str">
            <v>KP002</v>
          </cell>
          <cell r="N34" t="str">
            <v>Viên chức</v>
          </cell>
          <cell r="O34">
            <v>33</v>
          </cell>
          <cell r="P34">
            <v>0</v>
          </cell>
          <cell r="Q34" t="str">
            <v>19/9/1992</v>
          </cell>
          <cell r="R34" t="str">
            <v>Kinh</v>
          </cell>
          <cell r="S34">
            <v>45261</v>
          </cell>
          <cell r="T34" t="str">
            <v>001092022720</v>
          </cell>
          <cell r="U34">
            <v>0</v>
          </cell>
          <cell r="W34" t="str">
            <v>050361/BYT-CCHN</v>
          </cell>
          <cell r="X34" t="str">
            <v>01/04/2024</v>
          </cell>
          <cell r="Z34" t="str">
            <v>Khám bệnh, chữa bệnh chuyên khoa Nội</v>
          </cell>
          <cell r="AB34">
            <v>0</v>
          </cell>
          <cell r="AC34" t="str">
            <v>0971991992</v>
          </cell>
          <cell r="AD34" t="str">
            <v>Thử việc 01/12/2023, Viên chức từ 15/6/2026</v>
          </cell>
        </row>
        <row r="35">
          <cell r="B35" t="str">
            <v>BV1278</v>
          </cell>
          <cell r="C35" t="str">
            <v>Vũ Trần Hiếu</v>
          </cell>
          <cell r="D35" t="str">
            <v>BV1278</v>
          </cell>
          <cell r="F35" t="str">
            <v>Bác sĩ</v>
          </cell>
          <cell r="G35" t="str">
            <v>TĐ005</v>
          </cell>
          <cell r="I35" t="str">
            <v>Bác sĩ (hạng III)</v>
          </cell>
          <cell r="J35" t="str">
            <v>Chấn thương - Bỏng</v>
          </cell>
          <cell r="K35" t="str">
            <v>KP014</v>
          </cell>
          <cell r="N35" t="str">
            <v>HĐ có thời hạn</v>
          </cell>
          <cell r="O35">
            <v>30</v>
          </cell>
          <cell r="P35" t="str">
            <v>22/04/1996</v>
          </cell>
          <cell r="Q35">
            <v>0</v>
          </cell>
          <cell r="R35" t="str">
            <v>Nùng</v>
          </cell>
          <cell r="S35" t="str">
            <v>15/4/2024</v>
          </cell>
          <cell r="T35" t="str">
            <v>020096005224</v>
          </cell>
          <cell r="U35" t="str">
            <v>khối phố Trần Phú, Xã Bắc Sơn, tỉnh Lạng Sơn</v>
          </cell>
          <cell r="V35">
            <v>45870</v>
          </cell>
          <cell r="W35" t="str">
            <v>000426/LS-GPHN</v>
          </cell>
          <cell r="X35">
            <v>46002</v>
          </cell>
          <cell r="Z35" t="str">
            <v>Y khoa</v>
          </cell>
          <cell r="AB35">
            <v>0</v>
          </cell>
          <cell r="AC35" t="str">
            <v>0963695596</v>
          </cell>
          <cell r="AD35" t="str">
            <v>Thử việc 01/4/2024</v>
          </cell>
        </row>
        <row r="36">
          <cell r="B36" t="str">
            <v>BV0059</v>
          </cell>
          <cell r="C36" t="str">
            <v>Dương Thị Niên</v>
          </cell>
          <cell r="D36" t="str">
            <v>BV0059</v>
          </cell>
          <cell r="E36" t="str">
            <v>x</v>
          </cell>
          <cell r="F36" t="str">
            <v>Điều dưỡng ĐH</v>
          </cell>
          <cell r="G36" t="str">
            <v>TĐ011</v>
          </cell>
          <cell r="H36" t="str">
            <v>Điều dưỡng (hạng III)</v>
          </cell>
          <cell r="I36" t="str">
            <v>Điều dưỡng (hạng III)</v>
          </cell>
          <cell r="J36" t="str">
            <v>Cấp cứu</v>
          </cell>
          <cell r="K36" t="str">
            <v>KP002</v>
          </cell>
          <cell r="L36" t="str">
            <v>Lãnh đạo khoa, phòng</v>
          </cell>
          <cell r="M36" t="str">
            <v>Điều dưỡng trưởng</v>
          </cell>
          <cell r="N36" t="str">
            <v>Viên chức</v>
          </cell>
          <cell r="O36">
            <v>40</v>
          </cell>
          <cell r="P36">
            <v>0</v>
          </cell>
          <cell r="Q36">
            <v>31359</v>
          </cell>
          <cell r="R36" t="str">
            <v>Tày</v>
          </cell>
          <cell r="S36" t="str">
            <v>1/12/2008</v>
          </cell>
          <cell r="T36" t="str">
            <v>020185006032</v>
          </cell>
          <cell r="U36">
            <v>0</v>
          </cell>
          <cell r="W36" t="str">
            <v>000780/LS-CCHN</v>
          </cell>
          <cell r="X36" t="str">
            <v>11/12/2022</v>
          </cell>
          <cell r="Z36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6" t="str">
            <v/>
          </cell>
          <cell r="AC36" t="str">
            <v>0382382608</v>
          </cell>
        </row>
        <row r="37">
          <cell r="B37" t="str">
            <v>BV0331</v>
          </cell>
          <cell r="C37" t="str">
            <v>Hoàng Thị Thúy</v>
          </cell>
          <cell r="D37" t="str">
            <v>BV0331</v>
          </cell>
          <cell r="E37" t="str">
            <v>x</v>
          </cell>
          <cell r="F37" t="str">
            <v>Điều dưỡng ĐH</v>
          </cell>
          <cell r="G37" t="str">
            <v>TĐ011</v>
          </cell>
          <cell r="H37" t="str">
            <v>Điều dưỡng (hạng III)</v>
          </cell>
          <cell r="I37" t="str">
            <v>Điều dưỡng (hạng III)</v>
          </cell>
          <cell r="J37" t="str">
            <v>Cấp cứu</v>
          </cell>
          <cell r="K37" t="str">
            <v>KP002</v>
          </cell>
          <cell r="L37" t="str">
            <v>Viên chức CMNV</v>
          </cell>
          <cell r="M37">
            <v>0</v>
          </cell>
          <cell r="N37" t="str">
            <v>Viên chức</v>
          </cell>
          <cell r="O37">
            <v>35</v>
          </cell>
          <cell r="P37">
            <v>0</v>
          </cell>
          <cell r="Q37">
            <v>33223</v>
          </cell>
          <cell r="R37" t="str">
            <v>Tày</v>
          </cell>
          <cell r="S37" t="str">
            <v>10/6/2013</v>
          </cell>
          <cell r="T37" t="str">
            <v>020190009345</v>
          </cell>
          <cell r="U37" t="str">
            <v>Thôn Thuận Lợi - xã Hoàng Văn Thụ - tỉnh Lạng Sơn</v>
          </cell>
          <cell r="W37" t="str">
            <v>000381/LS-CCHN</v>
          </cell>
          <cell r="X37" t="str">
            <v>11/12/2022</v>
          </cell>
          <cell r="Z3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7" t="str">
            <v/>
          </cell>
          <cell r="AC37" t="str">
            <v>0396820236</v>
          </cell>
        </row>
        <row r="38">
          <cell r="B38" t="str">
            <v>BV1262</v>
          </cell>
          <cell r="C38" t="str">
            <v>Hoàng Thanh Dung</v>
          </cell>
          <cell r="D38" t="str">
            <v>BV1262</v>
          </cell>
          <cell r="E38" t="str">
            <v>x</v>
          </cell>
          <cell r="F38" t="str">
            <v>Điều dưỡng ĐH</v>
          </cell>
          <cell r="G38" t="str">
            <v>TĐ011</v>
          </cell>
          <cell r="I38" t="str">
            <v>Điều dưỡng (hạng III)</v>
          </cell>
          <cell r="J38" t="str">
            <v>Cấp cứu</v>
          </cell>
          <cell r="K38" t="str">
            <v>KP002</v>
          </cell>
          <cell r="N38" t="str">
            <v>Viên chức</v>
          </cell>
          <cell r="O38">
            <v>24</v>
          </cell>
          <cell r="P38">
            <v>0</v>
          </cell>
          <cell r="Q38" t="str">
            <v>14/09/2001</v>
          </cell>
          <cell r="R38" t="str">
            <v>Tày</v>
          </cell>
          <cell r="S38">
            <v>45250</v>
          </cell>
          <cell r="T38" t="str">
            <v>020301006110</v>
          </cell>
          <cell r="U38">
            <v>0</v>
          </cell>
          <cell r="V38">
            <v>45524</v>
          </cell>
          <cell r="W38" t="str">
            <v>000208/LS-GPHN</v>
          </cell>
          <cell r="X38">
            <v>45708</v>
          </cell>
          <cell r="Z38" t="str">
            <v>Điều dưỡng</v>
          </cell>
          <cell r="AB38" t="str">
            <v/>
          </cell>
          <cell r="AC38" t="str">
            <v>0373419649</v>
          </cell>
          <cell r="AD38" t="str">
            <v>Thử việc 20/11/2023, Viên chức từ 15/6/2026</v>
          </cell>
        </row>
        <row r="39">
          <cell r="B39" t="str">
            <v>BV0863</v>
          </cell>
          <cell r="C39" t="str">
            <v>Hứa Thanh Thùy</v>
          </cell>
          <cell r="D39" t="str">
            <v>BV0863</v>
          </cell>
          <cell r="E39" t="str">
            <v>x</v>
          </cell>
          <cell r="F39" t="str">
            <v>Điều dưỡng CĐ</v>
          </cell>
          <cell r="G39" t="str">
            <v>TĐ012</v>
          </cell>
          <cell r="I39" t="str">
            <v>Điều dưỡng (hạng IV)</v>
          </cell>
          <cell r="J39" t="str">
            <v>Cấp cứu</v>
          </cell>
          <cell r="K39" t="str">
            <v>KP002</v>
          </cell>
          <cell r="N39" t="str">
            <v>Viên chức</v>
          </cell>
          <cell r="O39">
            <v>34</v>
          </cell>
          <cell r="P39">
            <v>0</v>
          </cell>
          <cell r="Q39">
            <v>33678</v>
          </cell>
          <cell r="R39" t="str">
            <v>Nùng</v>
          </cell>
          <cell r="S39" t="str">
            <v>12/11/2018</v>
          </cell>
          <cell r="T39" t="str">
            <v>020192008865</v>
          </cell>
          <cell r="U39">
            <v>0</v>
          </cell>
          <cell r="W39" t="str">
            <v>003268/LS-CCHN</v>
          </cell>
          <cell r="X39" t="str">
            <v>07/06/2018</v>
          </cell>
          <cell r="Z3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9" t="str">
            <v/>
          </cell>
          <cell r="AC39" t="str">
            <v>0376480629</v>
          </cell>
          <cell r="AD39" t="str">
            <v>Thử việc T11/2018; đỗ VC 20/5/2026</v>
          </cell>
        </row>
        <row r="40">
          <cell r="B40" t="str">
            <v>BV0899</v>
          </cell>
          <cell r="C40" t="str">
            <v>Lăng Thị Lỷ</v>
          </cell>
          <cell r="D40" t="str">
            <v>BV0899</v>
          </cell>
          <cell r="E40" t="str">
            <v>x</v>
          </cell>
          <cell r="F40" t="str">
            <v>Điều dưỡng CĐ</v>
          </cell>
          <cell r="G40" t="str">
            <v>TĐ012</v>
          </cell>
          <cell r="I40" t="str">
            <v>Điều dưỡng (hạng IV)</v>
          </cell>
          <cell r="J40" t="str">
            <v>Cấp cứu</v>
          </cell>
          <cell r="K40" t="str">
            <v>KP002</v>
          </cell>
          <cell r="N40" t="str">
            <v>Viên chức</v>
          </cell>
          <cell r="O40">
            <v>28</v>
          </cell>
          <cell r="P40">
            <v>0</v>
          </cell>
          <cell r="Q40" t="str">
            <v>04/10/1997</v>
          </cell>
          <cell r="R40" t="str">
            <v>Nùng</v>
          </cell>
          <cell r="S40" t="str">
            <v>17/4/2019</v>
          </cell>
          <cell r="T40" t="str">
            <v>020197001175</v>
          </cell>
          <cell r="U40">
            <v>0</v>
          </cell>
          <cell r="W40" t="str">
            <v>003801/LS-CCHN</v>
          </cell>
          <cell r="X40" t="str">
            <v>21/07/2020</v>
          </cell>
          <cell r="Z4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0" t="str">
            <v/>
          </cell>
          <cell r="AC40" t="str">
            <v>0355002847</v>
          </cell>
          <cell r="AD40" t="str">
            <v>Thử việc 17/4/2019-31/5/2019; đỗ VC 20/5/2026</v>
          </cell>
        </row>
        <row r="41">
          <cell r="B41" t="str">
            <v>BV0136</v>
          </cell>
          <cell r="C41" t="str">
            <v>Lâm Thị Thiện</v>
          </cell>
          <cell r="D41" t="str">
            <v>BV0136</v>
          </cell>
          <cell r="E41" t="str">
            <v>x</v>
          </cell>
          <cell r="F41" t="str">
            <v>Điều dưỡng CĐ</v>
          </cell>
          <cell r="G41" t="str">
            <v>TĐ012</v>
          </cell>
          <cell r="H41" t="str">
            <v>Điều dưỡng (hạng IV)</v>
          </cell>
          <cell r="I41" t="str">
            <v>Điều dưỡng (hạng IV)</v>
          </cell>
          <cell r="J41" t="str">
            <v>Cấp cứu</v>
          </cell>
          <cell r="K41" t="str">
            <v>KP002</v>
          </cell>
          <cell r="L41" t="str">
            <v>Viên chức CMNV</v>
          </cell>
          <cell r="M41">
            <v>0</v>
          </cell>
          <cell r="N41" t="str">
            <v>Viên chức</v>
          </cell>
          <cell r="O41">
            <v>40</v>
          </cell>
          <cell r="P41">
            <v>0</v>
          </cell>
          <cell r="Q41">
            <v>31334</v>
          </cell>
          <cell r="R41" t="str">
            <v>Nùng</v>
          </cell>
          <cell r="S41" t="str">
            <v>15/1/2010</v>
          </cell>
          <cell r="T41" t="str">
            <v>020185002429</v>
          </cell>
          <cell r="U41" t="str">
            <v>16B Thác Trà - phường Lương Văn Tri - tỉnh Lạng Sơn</v>
          </cell>
          <cell r="W41" t="str">
            <v>000832/LS-CCHN</v>
          </cell>
          <cell r="X41" t="str">
            <v>11/01/2023</v>
          </cell>
          <cell r="Z4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1" t="str">
            <v/>
          </cell>
          <cell r="AC41">
            <v>384298976</v>
          </cell>
        </row>
        <row r="42">
          <cell r="B42" t="str">
            <v>BV0870</v>
          </cell>
          <cell r="C42" t="str">
            <v>Chu Thị Hoa</v>
          </cell>
          <cell r="D42" t="str">
            <v>BV0870</v>
          </cell>
          <cell r="E42" t="str">
            <v>x</v>
          </cell>
          <cell r="F42" t="str">
            <v>Điều dưỡng CĐ</v>
          </cell>
          <cell r="G42" t="str">
            <v>TĐ012</v>
          </cell>
          <cell r="I42" t="str">
            <v>Điều dưỡng (hạng IV)</v>
          </cell>
          <cell r="J42" t="str">
            <v>Cấp cứu</v>
          </cell>
          <cell r="K42" t="str">
            <v>KP002</v>
          </cell>
          <cell r="N42" t="str">
            <v>Viên chức</v>
          </cell>
          <cell r="O42">
            <v>33</v>
          </cell>
          <cell r="P42">
            <v>0</v>
          </cell>
          <cell r="Q42">
            <v>34133</v>
          </cell>
          <cell r="R42" t="str">
            <v>Nùng</v>
          </cell>
          <cell r="S42" t="str">
            <v>01/11/2018</v>
          </cell>
          <cell r="T42" t="str">
            <v>020193009231</v>
          </cell>
          <cell r="U42">
            <v>0</v>
          </cell>
          <cell r="W42" t="str">
            <v>003711/LS-CCHN</v>
          </cell>
          <cell r="X42" t="str">
            <v>17/04/2020</v>
          </cell>
          <cell r="Z4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2" t="str">
            <v/>
          </cell>
          <cell r="AC42" t="str">
            <v>0964918478</v>
          </cell>
          <cell r="AD42" t="str">
            <v>Thử việc T11/2018; đỗ VC 20/5/2026</v>
          </cell>
        </row>
        <row r="43">
          <cell r="B43" t="str">
            <v>BV0872</v>
          </cell>
          <cell r="C43" t="str">
            <v>Dương Thị Thời</v>
          </cell>
          <cell r="D43" t="str">
            <v>BV0872</v>
          </cell>
          <cell r="E43" t="str">
            <v>x</v>
          </cell>
          <cell r="F43" t="str">
            <v>Điều dưỡng CĐ</v>
          </cell>
          <cell r="G43" t="str">
            <v>TĐ012</v>
          </cell>
          <cell r="I43" t="str">
            <v>Điều dưỡng (hạng IV)</v>
          </cell>
          <cell r="J43" t="str">
            <v>Cấp cứu</v>
          </cell>
          <cell r="K43" t="str">
            <v>KP002</v>
          </cell>
          <cell r="N43" t="str">
            <v>Viên chức</v>
          </cell>
          <cell r="O43">
            <v>34</v>
          </cell>
          <cell r="P43">
            <v>0</v>
          </cell>
          <cell r="Q43">
            <v>33486</v>
          </cell>
          <cell r="R43" t="str">
            <v>Tày</v>
          </cell>
          <cell r="S43" t="str">
            <v>01/11/2018</v>
          </cell>
          <cell r="T43" t="str">
            <v>020191002308</v>
          </cell>
          <cell r="U43">
            <v>0</v>
          </cell>
          <cell r="W43" t="str">
            <v>003717/LS-CCHN</v>
          </cell>
          <cell r="X43" t="str">
            <v>22/05/2020</v>
          </cell>
          <cell r="Z4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3" t="str">
            <v/>
          </cell>
          <cell r="AC43" t="str">
            <v>0966804818</v>
          </cell>
          <cell r="AD43" t="str">
            <v>Thử việc T11/2018; đỗ VC 20/5/2026</v>
          </cell>
        </row>
        <row r="44">
          <cell r="B44" t="str">
            <v>BV0721</v>
          </cell>
          <cell r="C44" t="str">
            <v>Phương Trung Hữu</v>
          </cell>
          <cell r="D44" t="str">
            <v>BV0721</v>
          </cell>
          <cell r="F44" t="str">
            <v>Điều dưỡng CĐ</v>
          </cell>
          <cell r="G44" t="str">
            <v>TĐ012</v>
          </cell>
          <cell r="I44" t="str">
            <v>Điều dưỡng (hạng IV)</v>
          </cell>
          <cell r="J44" t="str">
            <v>Cấp cứu</v>
          </cell>
          <cell r="K44" t="str">
            <v>KP002</v>
          </cell>
          <cell r="N44" t="str">
            <v>Viên chức</v>
          </cell>
          <cell r="O44">
            <v>35</v>
          </cell>
          <cell r="P44" t="str">
            <v>04/6/1991</v>
          </cell>
          <cell r="Q44">
            <v>0</v>
          </cell>
          <cell r="R44" t="str">
            <v>Nùng</v>
          </cell>
          <cell r="S44" t="str">
            <v xml:space="preserve"> 29/8/2016</v>
          </cell>
          <cell r="T44" t="str">
            <v>020091002267</v>
          </cell>
          <cell r="U44">
            <v>0</v>
          </cell>
          <cell r="W44" t="str">
            <v>002164/LS-CCHN</v>
          </cell>
          <cell r="X44" t="str">
            <v>29/12/2017</v>
          </cell>
          <cell r="Z4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4" t="str">
            <v/>
          </cell>
          <cell r="AC44" t="str">
            <v>0398242896</v>
          </cell>
          <cell r="AD44" t="str">
            <v>HĐ 29/8/2016; Đỗ VC 20/5/2026</v>
          </cell>
        </row>
        <row r="45">
          <cell r="B45" t="str">
            <v>BV1057</v>
          </cell>
          <cell r="C45" t="str">
            <v>Phạm Thị Thảo Uyên</v>
          </cell>
          <cell r="D45" t="str">
            <v>BV1057</v>
          </cell>
          <cell r="E45" t="str">
            <v>x</v>
          </cell>
          <cell r="F45" t="str">
            <v>Điều dưỡng CĐ</v>
          </cell>
          <cell r="G45" t="str">
            <v>TĐ012</v>
          </cell>
          <cell r="I45" t="str">
            <v>Điều dưỡng (hạng IV)</v>
          </cell>
          <cell r="J45" t="str">
            <v>Cấp cứu</v>
          </cell>
          <cell r="K45" t="str">
            <v>KP002</v>
          </cell>
          <cell r="N45" t="str">
            <v>Viên chức</v>
          </cell>
          <cell r="O45">
            <v>30</v>
          </cell>
          <cell r="P45">
            <v>0</v>
          </cell>
          <cell r="Q45" t="str">
            <v>19/01/1996</v>
          </cell>
          <cell r="R45" t="str">
            <v>Nùng</v>
          </cell>
          <cell r="S45" t="str">
            <v>13/7/2020</v>
          </cell>
          <cell r="T45" t="str">
            <v>020196001335</v>
          </cell>
          <cell r="U45">
            <v>0</v>
          </cell>
          <cell r="W45" t="str">
            <v>004396/LS-CCHN</v>
          </cell>
          <cell r="X45" t="str">
            <v>20/12/2021</v>
          </cell>
          <cell r="Z45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5" t="str">
            <v/>
          </cell>
          <cell r="AC45" t="str">
            <v>0859089691</v>
          </cell>
          <cell r="AD45" t="str">
            <v>Thử việc từ 13/7/2020, Viên chức từ 15/6/2026</v>
          </cell>
        </row>
        <row r="46">
          <cell r="B46" t="str">
            <v>BV1058</v>
          </cell>
          <cell r="C46" t="str">
            <v>Nguyễn Thị Linh</v>
          </cell>
          <cell r="D46" t="str">
            <v>BV1058</v>
          </cell>
          <cell r="E46" t="str">
            <v>x</v>
          </cell>
          <cell r="F46" t="str">
            <v>Điều dưỡng CĐ</v>
          </cell>
          <cell r="G46" t="str">
            <v>TĐ012</v>
          </cell>
          <cell r="I46" t="str">
            <v>Điều dưỡng (hạng IV)</v>
          </cell>
          <cell r="J46" t="str">
            <v>Cấp cứu</v>
          </cell>
          <cell r="K46" t="str">
            <v>KP002</v>
          </cell>
          <cell r="N46" t="str">
            <v>Viên chức</v>
          </cell>
          <cell r="O46">
            <v>28</v>
          </cell>
          <cell r="P46">
            <v>0</v>
          </cell>
          <cell r="Q46" t="str">
            <v>09/3/1998</v>
          </cell>
          <cell r="R46" t="str">
            <v>Tày</v>
          </cell>
          <cell r="S46" t="str">
            <v>13/7/2020</v>
          </cell>
          <cell r="T46" t="str">
            <v>020198000229</v>
          </cell>
          <cell r="U46" t="str">
            <v>Thôn Chi Mạc - phường Tam Thanh - tỉnh Lạng Sơn</v>
          </cell>
          <cell r="W46" t="str">
            <v>004405/LS-CCHN</v>
          </cell>
          <cell r="X46" t="str">
            <v>20/12/2021</v>
          </cell>
          <cell r="Z46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6" t="str">
            <v/>
          </cell>
          <cell r="AC46" t="str">
            <v>0981298907</v>
          </cell>
          <cell r="AD46" t="str">
            <v>Thử việc từ 13/7/2020, Viên chức từ 15/6/2026</v>
          </cell>
        </row>
        <row r="47">
          <cell r="B47" t="str">
            <v>BV1073</v>
          </cell>
          <cell r="C47" t="str">
            <v>Hà Mạnh Chí</v>
          </cell>
          <cell r="D47" t="str">
            <v>BV1073</v>
          </cell>
          <cell r="F47" t="str">
            <v>Điều dưỡng CĐ</v>
          </cell>
          <cell r="G47" t="str">
            <v>TĐ012</v>
          </cell>
          <cell r="I47" t="str">
            <v>Điều dưỡng (hạng IV)</v>
          </cell>
          <cell r="J47" t="str">
            <v>Cấp cứu</v>
          </cell>
          <cell r="K47" t="str">
            <v>KP002</v>
          </cell>
          <cell r="N47" t="str">
            <v>Viên chức</v>
          </cell>
          <cell r="O47">
            <v>26</v>
          </cell>
          <cell r="P47" t="str">
            <v>09/10/1999</v>
          </cell>
          <cell r="Q47">
            <v>0</v>
          </cell>
          <cell r="R47" t="str">
            <v>Nùng</v>
          </cell>
          <cell r="S47" t="str">
            <v>03/11/2020</v>
          </cell>
          <cell r="T47" t="str">
            <v>020099001007</v>
          </cell>
          <cell r="U47">
            <v>0</v>
          </cell>
          <cell r="W47" t="str">
            <v>004397/LS-CCHN</v>
          </cell>
          <cell r="X47" t="str">
            <v>20/12/2021</v>
          </cell>
          <cell r="Z4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7" t="str">
            <v/>
          </cell>
          <cell r="AC47" t="str">
            <v>0367176331</v>
          </cell>
          <cell r="AD47" t="str">
            <v>Thử việc 03/11/2020, Viên chức từ 15/6/2026</v>
          </cell>
        </row>
        <row r="48">
          <cell r="B48" t="str">
            <v>BV1074</v>
          </cell>
          <cell r="C48" t="str">
            <v>Nông Thị Điệp</v>
          </cell>
          <cell r="D48" t="str">
            <v>BV1074</v>
          </cell>
          <cell r="E48" t="str">
            <v>x</v>
          </cell>
          <cell r="F48" t="str">
            <v>Điều dưỡng CĐ</v>
          </cell>
          <cell r="G48" t="str">
            <v>TĐ012</v>
          </cell>
          <cell r="I48" t="str">
            <v>Điều dưỡng (hạng IV)</v>
          </cell>
          <cell r="J48" t="str">
            <v>Cấp cứu</v>
          </cell>
          <cell r="K48" t="str">
            <v>KP002</v>
          </cell>
          <cell r="N48" t="str">
            <v>HĐ có thời hạn</v>
          </cell>
          <cell r="O48">
            <v>27</v>
          </cell>
          <cell r="P48">
            <v>0</v>
          </cell>
          <cell r="Q48" t="str">
            <v>15/5/1999</v>
          </cell>
          <cell r="R48" t="str">
            <v>Nùng</v>
          </cell>
          <cell r="S48" t="str">
            <v>03/11/2020</v>
          </cell>
          <cell r="T48" t="str">
            <v>020199007305</v>
          </cell>
          <cell r="U48">
            <v>0</v>
          </cell>
          <cell r="W48" t="str">
            <v>004406/LS-CCHN</v>
          </cell>
          <cell r="X48" t="str">
            <v>20/12/2021</v>
          </cell>
          <cell r="Z4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8" t="str">
            <v/>
          </cell>
          <cell r="AC48" t="str">
            <v>0334693143</v>
          </cell>
          <cell r="AD48" t="str">
            <v>Thử việc 03/11/2020</v>
          </cell>
        </row>
        <row r="49">
          <cell r="B49" t="str">
            <v>BV1076</v>
          </cell>
          <cell r="C49" t="str">
            <v>Phùng Trung Đức</v>
          </cell>
          <cell r="D49" t="str">
            <v>BV1076</v>
          </cell>
          <cell r="F49" t="str">
            <v>Điều dưỡng CĐ</v>
          </cell>
          <cell r="G49" t="str">
            <v>TĐ012</v>
          </cell>
          <cell r="I49" t="str">
            <v>Điều dưỡng (hạng IV)</v>
          </cell>
          <cell r="J49" t="str">
            <v>Cấp cứu</v>
          </cell>
          <cell r="K49" t="str">
            <v>KP002</v>
          </cell>
          <cell r="N49" t="str">
            <v>HĐ có thời hạn</v>
          </cell>
          <cell r="O49">
            <v>27</v>
          </cell>
          <cell r="P49" t="str">
            <v>16/3/1999</v>
          </cell>
          <cell r="Q49">
            <v>0</v>
          </cell>
          <cell r="R49" t="str">
            <v>Nùng</v>
          </cell>
          <cell r="S49" t="str">
            <v>03/11/2020</v>
          </cell>
          <cell r="T49" t="str">
            <v>020099001027</v>
          </cell>
          <cell r="U49">
            <v>0</v>
          </cell>
          <cell r="W49" t="str">
            <v>004391/LS-CCHN</v>
          </cell>
          <cell r="X49" t="str">
            <v>20/12/2021</v>
          </cell>
          <cell r="Z4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9" t="str">
            <v/>
          </cell>
          <cell r="AC49" t="str">
            <v>0362735232</v>
          </cell>
          <cell r="AD49" t="str">
            <v>Thử việc 03/11/2020</v>
          </cell>
        </row>
        <row r="50">
          <cell r="B50" t="str">
            <v>BV0060</v>
          </cell>
          <cell r="C50" t="str">
            <v>Bế Thị Thắm</v>
          </cell>
          <cell r="D50" t="str">
            <v>BV0060</v>
          </cell>
          <cell r="E50" t="str">
            <v>x</v>
          </cell>
          <cell r="F50" t="str">
            <v>Điều dưỡng CĐ</v>
          </cell>
          <cell r="G50" t="str">
            <v>TĐ012</v>
          </cell>
          <cell r="H50" t="str">
            <v>Điều dưỡng (hạng IV)</v>
          </cell>
          <cell r="I50" t="str">
            <v>Điều dưỡng (hạng IV)</v>
          </cell>
          <cell r="J50" t="str">
            <v>Cấp cứu</v>
          </cell>
          <cell r="K50" t="str">
            <v>KP002</v>
          </cell>
          <cell r="L50" t="str">
            <v>Viên chức CMNV</v>
          </cell>
          <cell r="M50">
            <v>0</v>
          </cell>
          <cell r="N50" t="str">
            <v>Viên chức</v>
          </cell>
          <cell r="O50">
            <v>45</v>
          </cell>
          <cell r="P50">
            <v>0</v>
          </cell>
          <cell r="Q50">
            <v>29474</v>
          </cell>
          <cell r="R50" t="str">
            <v>Tày</v>
          </cell>
          <cell r="S50" t="str">
            <v>1/12/2008</v>
          </cell>
          <cell r="T50" t="str">
            <v>020180001946</v>
          </cell>
          <cell r="U50">
            <v>0</v>
          </cell>
          <cell r="W50" t="str">
            <v>000781/LS-CCHN</v>
          </cell>
          <cell r="X50" t="str">
            <v>24/06/2013</v>
          </cell>
          <cell r="Z50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50" t="str">
            <v/>
          </cell>
          <cell r="AC50" t="str">
            <v>0855012179</v>
          </cell>
        </row>
        <row r="51">
          <cell r="B51" t="str">
            <v>BV0061</v>
          </cell>
          <cell r="C51" t="str">
            <v>Thi Văn Thắng</v>
          </cell>
          <cell r="D51" t="str">
            <v>BV0061</v>
          </cell>
          <cell r="F51" t="str">
            <v>Điều dưỡng CĐ</v>
          </cell>
          <cell r="G51" t="str">
            <v>TĐ012</v>
          </cell>
          <cell r="H51" t="str">
            <v>Điều dưỡng (hạng IV)</v>
          </cell>
          <cell r="I51" t="str">
            <v>Điều dưỡng (hạng IV)</v>
          </cell>
          <cell r="J51" t="str">
            <v>Cấp cứu</v>
          </cell>
          <cell r="K51" t="str">
            <v>KP002</v>
          </cell>
          <cell r="L51" t="str">
            <v>Viên chức CMNV</v>
          </cell>
          <cell r="M51">
            <v>0</v>
          </cell>
          <cell r="N51" t="str">
            <v>Viên chức</v>
          </cell>
          <cell r="O51">
            <v>39</v>
          </cell>
          <cell r="P51">
            <v>31723</v>
          </cell>
          <cell r="Q51">
            <v>0</v>
          </cell>
          <cell r="R51" t="str">
            <v>Tày</v>
          </cell>
          <cell r="S51" t="str">
            <v>2/1/2009</v>
          </cell>
          <cell r="T51" t="str">
            <v>020086002794</v>
          </cell>
          <cell r="U51" t="str">
            <v>Khối Bắc Đông II, Phường Kỳ Lừa - Lạng Sơn</v>
          </cell>
          <cell r="W51" t="str">
            <v>000777/LS-CCHN</v>
          </cell>
          <cell r="X51" t="str">
            <v>11/01/2023</v>
          </cell>
          <cell r="Z5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1" t="str">
            <v/>
          </cell>
          <cell r="AC51" t="str">
            <v>0972886856</v>
          </cell>
        </row>
        <row r="52">
          <cell r="B52" t="str">
            <v>BV0218</v>
          </cell>
          <cell r="C52" t="str">
            <v>Thi Thị Thiện</v>
          </cell>
          <cell r="D52" t="str">
            <v>BV0218</v>
          </cell>
          <cell r="E52" t="str">
            <v>x</v>
          </cell>
          <cell r="F52" t="str">
            <v>Điều dưỡng CĐ</v>
          </cell>
          <cell r="G52" t="str">
            <v>TĐ012</v>
          </cell>
          <cell r="H52" t="str">
            <v>Điều dưỡng (hạng IV)</v>
          </cell>
          <cell r="I52" t="str">
            <v>Điều dưỡng (hạng IV)</v>
          </cell>
          <cell r="J52" t="str">
            <v>Cấp cứu</v>
          </cell>
          <cell r="K52" t="str">
            <v>KP002</v>
          </cell>
          <cell r="L52" t="str">
            <v>Viên chức CMNV</v>
          </cell>
          <cell r="M52">
            <v>0</v>
          </cell>
          <cell r="N52" t="str">
            <v>Viên chức</v>
          </cell>
          <cell r="O52">
            <v>43</v>
          </cell>
          <cell r="P52">
            <v>0</v>
          </cell>
          <cell r="Q52">
            <v>30227</v>
          </cell>
          <cell r="R52" t="str">
            <v>Tày</v>
          </cell>
          <cell r="S52" t="str">
            <v>7/11/2006</v>
          </cell>
          <cell r="T52" t="str">
            <v>020182007690</v>
          </cell>
          <cell r="U52">
            <v>0</v>
          </cell>
          <cell r="W52" t="str">
            <v>000740/LS-CCHN</v>
          </cell>
          <cell r="X52" t="str">
            <v>24/06/2013</v>
          </cell>
          <cell r="Z52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52" t="str">
            <v/>
          </cell>
          <cell r="AC52" t="str">
            <v>0915122882</v>
          </cell>
        </row>
        <row r="53">
          <cell r="B53" t="str">
            <v>BV1194</v>
          </cell>
          <cell r="C53" t="str">
            <v>Lăng Nhật Cương</v>
          </cell>
          <cell r="D53" t="str">
            <v>BV1194</v>
          </cell>
          <cell r="F53" t="str">
            <v>Điều dưỡng CĐ</v>
          </cell>
          <cell r="G53" t="str">
            <v>TĐ012</v>
          </cell>
          <cell r="I53" t="str">
            <v>Điều dưỡng (hạng IV)</v>
          </cell>
          <cell r="J53" t="str">
            <v>Cấp cứu</v>
          </cell>
          <cell r="K53" t="str">
            <v>KP002</v>
          </cell>
          <cell r="N53" t="str">
            <v>HĐ có thời hạn</v>
          </cell>
          <cell r="O53">
            <v>27</v>
          </cell>
          <cell r="P53" t="str">
            <v>29/01/1999</v>
          </cell>
          <cell r="Q53">
            <v>0</v>
          </cell>
          <cell r="R53" t="str">
            <v>Nùng</v>
          </cell>
          <cell r="S53">
            <v>44837</v>
          </cell>
          <cell r="T53" t="str">
            <v>020099006084</v>
          </cell>
          <cell r="U53">
            <v>0</v>
          </cell>
          <cell r="W53" t="str">
            <v>005703/LS-CCHN</v>
          </cell>
          <cell r="X53" t="str">
            <v>24/10/2023</v>
          </cell>
          <cell r="Z5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3" t="str">
            <v/>
          </cell>
          <cell r="AC53" t="str">
            <v>0342369421</v>
          </cell>
          <cell r="AD53" t="str">
            <v>Thử việc 03/10/2022</v>
          </cell>
        </row>
        <row r="54">
          <cell r="B54" t="str">
            <v>BV1314</v>
          </cell>
          <cell r="C54" t="str">
            <v>Triệu Thị Hồng Nhung</v>
          </cell>
          <cell r="D54" t="str">
            <v>BV1314</v>
          </cell>
          <cell r="E54" t="str">
            <v>x</v>
          </cell>
          <cell r="F54" t="str">
            <v>Điều dưỡng CĐ</v>
          </cell>
          <cell r="G54" t="str">
            <v>TĐ012</v>
          </cell>
          <cell r="I54" t="str">
            <v>Điều dưỡng (hạng IV)</v>
          </cell>
          <cell r="J54" t="str">
            <v>Cấp cứu</v>
          </cell>
          <cell r="K54" t="str">
            <v>KP002</v>
          </cell>
          <cell r="N54" t="str">
            <v>HĐ có thời hạn</v>
          </cell>
          <cell r="O54">
            <v>23</v>
          </cell>
          <cell r="P54">
            <v>0</v>
          </cell>
          <cell r="Q54" t="str">
            <v>23/3/2003</v>
          </cell>
          <cell r="R54" t="str">
            <v>Dao</v>
          </cell>
          <cell r="S54">
            <v>45783</v>
          </cell>
          <cell r="T54" t="str">
            <v>020303006368</v>
          </cell>
          <cell r="U54" t="str">
            <v>Xã Đoàn Kết, tỉnh Lạng Sơn</v>
          </cell>
          <cell r="W54" t="str">
            <v/>
          </cell>
          <cell r="X54" t="str">
            <v/>
          </cell>
          <cell r="Z54" t="str">
            <v/>
          </cell>
          <cell r="AB54" t="str">
            <v/>
          </cell>
          <cell r="AC54" t="str">
            <v>0824488284</v>
          </cell>
          <cell r="AD54" t="str">
            <v>HĐ 06/05/2025</v>
          </cell>
        </row>
        <row r="55">
          <cell r="B55" t="str">
            <v>BV0772</v>
          </cell>
          <cell r="C55" t="str">
            <v>Vi Thị Hằng</v>
          </cell>
          <cell r="D55" t="str">
            <v>BV0772</v>
          </cell>
          <cell r="E55" t="str">
            <v>x</v>
          </cell>
          <cell r="F55" t="str">
            <v>Hộ Lý</v>
          </cell>
          <cell r="G55" t="str">
            <v>TĐ047</v>
          </cell>
          <cell r="I55" t="str">
            <v>Hộ Lý</v>
          </cell>
          <cell r="J55" t="str">
            <v>Cấp cứu</v>
          </cell>
          <cell r="K55" t="str">
            <v>KP002</v>
          </cell>
          <cell r="N55" t="str">
            <v>HĐ có thời hạn</v>
          </cell>
          <cell r="O55">
            <v>33</v>
          </cell>
          <cell r="P55">
            <v>0</v>
          </cell>
          <cell r="Q55" t="str">
            <v>30/7/1993</v>
          </cell>
          <cell r="R55" t="str">
            <v>Tày</v>
          </cell>
          <cell r="S55" t="str">
            <v xml:space="preserve"> 02/10/2017</v>
          </cell>
          <cell r="T55" t="str">
            <v>020193005429</v>
          </cell>
          <cell r="U55">
            <v>0</v>
          </cell>
          <cell r="W55" t="str">
            <v/>
          </cell>
          <cell r="X55" t="str">
            <v/>
          </cell>
          <cell r="Z55" t="str">
            <v/>
          </cell>
          <cell r="AB55" t="str">
            <v/>
          </cell>
          <cell r="AC55" t="str">
            <v>0968946913</v>
          </cell>
        </row>
        <row r="56">
          <cell r="B56" t="str">
            <v>BV0533</v>
          </cell>
          <cell r="C56" t="str">
            <v>Hoàng Thị Lan</v>
          </cell>
          <cell r="D56" t="str">
            <v>BV0533</v>
          </cell>
          <cell r="E56" t="str">
            <v>x</v>
          </cell>
          <cell r="F56" t="str">
            <v>Hộ Lý</v>
          </cell>
          <cell r="G56" t="str">
            <v>TĐ047</v>
          </cell>
          <cell r="I56" t="str">
            <v>Hộ Lý</v>
          </cell>
          <cell r="J56" t="str">
            <v>Cấp Cứu</v>
          </cell>
          <cell r="K56" t="str">
            <v>KP002</v>
          </cell>
          <cell r="M56">
            <v>0</v>
          </cell>
          <cell r="N56" t="str">
            <v>HĐ theo NĐ161</v>
          </cell>
          <cell r="O56">
            <v>43</v>
          </cell>
          <cell r="P56">
            <v>0</v>
          </cell>
          <cell r="Q56">
            <v>30269</v>
          </cell>
          <cell r="R56" t="str">
            <v>Tày</v>
          </cell>
          <cell r="S56" t="str">
            <v>1/12/2006</v>
          </cell>
          <cell r="T56" t="str">
            <v>020182003090</v>
          </cell>
          <cell r="U56" t="str">
            <v>Thôn Khòn Pát - phường Đông Kinh - tỉnh Lạng Sơn</v>
          </cell>
          <cell r="W56" t="str">
            <v/>
          </cell>
          <cell r="X56" t="str">
            <v/>
          </cell>
          <cell r="Z56" t="str">
            <v/>
          </cell>
          <cell r="AB56" t="str">
            <v/>
          </cell>
          <cell r="AC56" t="str">
            <v>0978240344</v>
          </cell>
          <cell r="AD56" t="str">
            <v>Chuyển từ HĐ68</v>
          </cell>
        </row>
        <row r="57">
          <cell r="B57" t="str">
            <v>BV1015</v>
          </cell>
          <cell r="C57" t="str">
            <v>Nguyễn Thị Thắm</v>
          </cell>
          <cell r="D57" t="str">
            <v>BV1015</v>
          </cell>
          <cell r="E57" t="str">
            <v>x</v>
          </cell>
          <cell r="F57" t="str">
            <v>Hộ lý</v>
          </cell>
          <cell r="G57" t="str">
            <v>TĐ047</v>
          </cell>
          <cell r="I57" t="str">
            <v>Hộ lý</v>
          </cell>
          <cell r="J57" t="str">
            <v>Cấp Cứu</v>
          </cell>
          <cell r="K57" t="str">
            <v>KP002</v>
          </cell>
          <cell r="N57" t="str">
            <v>HĐ có thời hạn</v>
          </cell>
          <cell r="O57">
            <v>47</v>
          </cell>
          <cell r="P57">
            <v>0</v>
          </cell>
          <cell r="Q57" t="str">
            <v>11/03/1979</v>
          </cell>
          <cell r="R57" t="str">
            <v>Tày</v>
          </cell>
          <cell r="S57" t="str">
            <v>12/4/2020</v>
          </cell>
          <cell r="T57" t="str">
            <v>020179000466</v>
          </cell>
          <cell r="U57" t="str">
            <v>Khối 23 - Phường Kỳ Lừa - Tính Lạng Sơn</v>
          </cell>
          <cell r="W57" t="str">
            <v/>
          </cell>
          <cell r="X57" t="str">
            <v/>
          </cell>
          <cell r="Z57" t="str">
            <v/>
          </cell>
          <cell r="AB57" t="str">
            <v/>
          </cell>
          <cell r="AC57" t="str">
            <v>0393533827</v>
          </cell>
          <cell r="AD57" t="str">
            <v>Hợp đồng từ 12/4/2020</v>
          </cell>
        </row>
        <row r="58">
          <cell r="B58" t="str">
            <v>BV0096</v>
          </cell>
          <cell r="C58" t="str">
            <v>Hoàng Mạnh Cương</v>
          </cell>
          <cell r="D58" t="str">
            <v>BV0096</v>
          </cell>
          <cell r="F58" t="str">
            <v>BSCKI</v>
          </cell>
          <cell r="G58" t="str">
            <v>TĐ003</v>
          </cell>
          <cell r="H58" t="str">
            <v>Bác sĩ chính (hạng II)</v>
          </cell>
          <cell r="I58" t="str">
            <v>Bác sĩ chính (hạng II)</v>
          </cell>
          <cell r="J58" t="str">
            <v>HSTC-CĐ</v>
          </cell>
          <cell r="K58" t="str">
            <v>KP003</v>
          </cell>
          <cell r="L58" t="str">
            <v>Lãnh đạo đơn vị</v>
          </cell>
          <cell r="M58" t="str">
            <v>Phó giám đốc</v>
          </cell>
          <cell r="N58" t="str">
            <v>Viên chức</v>
          </cell>
          <cell r="O58">
            <v>42</v>
          </cell>
          <cell r="P58">
            <v>30552</v>
          </cell>
          <cell r="Q58">
            <v>0</v>
          </cell>
          <cell r="R58" t="str">
            <v>Tày</v>
          </cell>
          <cell r="S58" t="str">
            <v>1/12/2008</v>
          </cell>
          <cell r="T58" t="str">
            <v>020083009680</v>
          </cell>
          <cell r="U58" t="str">
            <v>Khối 11- Phường Kỳ Lừa - Tỉnh Lạng Sơn</v>
          </cell>
          <cell r="W58" t="str">
            <v>000767/LS-CCHN</v>
          </cell>
          <cell r="X58">
            <v>41449</v>
          </cell>
          <cell r="Z58" t="str">
            <v>Khám bệnh, chữa bệnh Hồi sức cấp cứu</v>
          </cell>
          <cell r="AB58" t="str">
            <v/>
          </cell>
          <cell r="AC58">
            <v>912426888</v>
          </cell>
        </row>
        <row r="59">
          <cell r="B59" t="str">
            <v>BV0774</v>
          </cell>
          <cell r="C59" t="str">
            <v>Nguyễn Thành Đô</v>
          </cell>
          <cell r="D59" t="str">
            <v>BV0774</v>
          </cell>
          <cell r="F59" t="str">
            <v>BSCKI</v>
          </cell>
          <cell r="G59" t="str">
            <v>TĐ003</v>
          </cell>
          <cell r="H59" t="str">
            <v>Bác sĩ (hạng III)</v>
          </cell>
          <cell r="I59" t="str">
            <v>Bác sĩ (hạng III)</v>
          </cell>
          <cell r="J59" t="str">
            <v>HSTC-CĐ</v>
          </cell>
          <cell r="K59" t="str">
            <v>KP003</v>
          </cell>
          <cell r="L59" t="str">
            <v>Lãnh đạo khoa, phòng</v>
          </cell>
          <cell r="M59" t="str">
            <v>Phó trưởng khoa/giao phụ trách khoa</v>
          </cell>
          <cell r="N59" t="str">
            <v>Viên chức</v>
          </cell>
          <cell r="O59">
            <v>35</v>
          </cell>
          <cell r="P59">
            <v>33457</v>
          </cell>
          <cell r="Q59">
            <v>0</v>
          </cell>
          <cell r="R59" t="str">
            <v>Tày</v>
          </cell>
          <cell r="S59" t="str">
            <v>20/3/2018</v>
          </cell>
          <cell r="T59" t="str">
            <v>020091007749</v>
          </cell>
          <cell r="U59" t="str">
            <v>Khối  9  - Phường Kỳ Lừa - Tỉnh Lạng Sơn</v>
          </cell>
          <cell r="W59" t="str">
            <v>003456/LS-CCHN</v>
          </cell>
          <cell r="X59" t="str">
            <v>17/05/2019</v>
          </cell>
          <cell r="Z59" t="str">
            <v>Khám bệnh, chữa bệnh Nội khoa; Hồi sức cấp cứu</v>
          </cell>
          <cell r="AB59" t="str">
            <v/>
          </cell>
          <cell r="AC59" t="str">
            <v>0766070891</v>
          </cell>
          <cell r="AD59" t="str">
            <v>HĐ 8/2017; BC 20/3/2018</v>
          </cell>
        </row>
        <row r="60">
          <cell r="B60" t="str">
            <v>BV0773</v>
          </cell>
          <cell r="C60" t="str">
            <v>Dương Tuấn Minh</v>
          </cell>
          <cell r="D60" t="str">
            <v>BV0773</v>
          </cell>
          <cell r="F60" t="str">
            <v>BSCKI</v>
          </cell>
          <cell r="G60" t="str">
            <v>TĐ003</v>
          </cell>
          <cell r="I60" t="str">
            <v>Bác sĩ (hạng III)</v>
          </cell>
          <cell r="J60" t="str">
            <v>HSTC-CĐ</v>
          </cell>
          <cell r="K60" t="str">
            <v>KP003</v>
          </cell>
          <cell r="N60" t="str">
            <v>Viên chức</v>
          </cell>
          <cell r="O60">
            <v>33</v>
          </cell>
          <cell r="P60" t="str">
            <v>20/10/1992</v>
          </cell>
          <cell r="Q60">
            <v>0</v>
          </cell>
          <cell r="R60" t="str">
            <v>Tày</v>
          </cell>
          <cell r="S60" t="str">
            <v xml:space="preserve"> 01/9/2017</v>
          </cell>
          <cell r="T60" t="str">
            <v>020092002148</v>
          </cell>
          <cell r="U60" t="str">
            <v>Số 5/2 Lê Hồng Phong - Phường Tam Thanh - Tỉnh Lạng Sơn</v>
          </cell>
          <cell r="W60" t="str">
            <v>003519/LS-CCHN</v>
          </cell>
          <cell r="X60" t="str">
            <v>17/07/2019</v>
          </cell>
          <cell r="Z60" t="str">
            <v>Khám bệnh, chữa bệnh Nội khoa, Hồi sức cấp cứu</v>
          </cell>
          <cell r="AB60" t="str">
            <v/>
          </cell>
          <cell r="AC60" t="str">
            <v>0348007111</v>
          </cell>
          <cell r="AD60" t="str">
            <v>HĐ 01/9/2017; Đỗ VC 20/5/2026</v>
          </cell>
        </row>
        <row r="61">
          <cell r="B61" t="str">
            <v>BV0960</v>
          </cell>
          <cell r="C61" t="str">
            <v>Đào Thị Hồng Nhung</v>
          </cell>
          <cell r="D61" t="str">
            <v>BV0960</v>
          </cell>
          <cell r="E61" t="str">
            <v>x</v>
          </cell>
          <cell r="F61" t="str">
            <v>Bác sĩ</v>
          </cell>
          <cell r="G61" t="str">
            <v>TĐ005</v>
          </cell>
          <cell r="I61" t="str">
            <v>Bác sĩ (hạng III)</v>
          </cell>
          <cell r="J61" t="str">
            <v>HSTC-CĐ</v>
          </cell>
          <cell r="K61" t="str">
            <v>KP003</v>
          </cell>
          <cell r="N61" t="str">
            <v>Viên chức</v>
          </cell>
          <cell r="O61">
            <v>32</v>
          </cell>
          <cell r="P61">
            <v>0</v>
          </cell>
          <cell r="Q61" t="str">
            <v>15/4/1994</v>
          </cell>
          <cell r="R61" t="str">
            <v>Kinh</v>
          </cell>
          <cell r="S61" t="str">
            <v>02/12/2019</v>
          </cell>
          <cell r="T61" t="str">
            <v>020194000469</v>
          </cell>
          <cell r="U61" t="str">
            <v>Thôn  Hoàng Tân- Phường Tam Thanh  - Tỉnh Lạng Sơn</v>
          </cell>
          <cell r="W61" t="str">
            <v>004295/LS-CCHN</v>
          </cell>
          <cell r="X61" t="str">
            <v>20/07/2021</v>
          </cell>
          <cell r="Z61" t="str">
            <v>Khám bệnh chữa bệnh Nội khoa</v>
          </cell>
          <cell r="AB61" t="str">
            <v/>
          </cell>
          <cell r="AD61" t="str">
            <v>Thử việc 02/12/2019; đỗ VC 20/5/2026</v>
          </cell>
        </row>
        <row r="62">
          <cell r="B62" t="str">
            <v>BV0940</v>
          </cell>
          <cell r="C62" t="str">
            <v>Vũ Hoàng Đức</v>
          </cell>
          <cell r="D62" t="str">
            <v>BV0940</v>
          </cell>
          <cell r="F62" t="str">
            <v>Bác sĩ</v>
          </cell>
          <cell r="G62" t="str">
            <v>TĐ005</v>
          </cell>
          <cell r="H62" t="str">
            <v>Bác sĩ (hạng III)</v>
          </cell>
          <cell r="I62" t="str">
            <v>Bác sĩ (hạng III)</v>
          </cell>
          <cell r="J62" t="str">
            <v>HSTC-CĐ</v>
          </cell>
          <cell r="K62" t="str">
            <v>KP003</v>
          </cell>
          <cell r="L62" t="str">
            <v>Viên chức CMNV</v>
          </cell>
          <cell r="M62">
            <v>0</v>
          </cell>
          <cell r="N62" t="str">
            <v>Viên chức</v>
          </cell>
          <cell r="O62">
            <v>31</v>
          </cell>
          <cell r="P62">
            <v>34909</v>
          </cell>
          <cell r="Q62">
            <v>0</v>
          </cell>
          <cell r="R62" t="str">
            <v>Kinh</v>
          </cell>
          <cell r="S62" t="str">
            <v>01/4/2020</v>
          </cell>
          <cell r="T62" t="str">
            <v>020095006351</v>
          </cell>
          <cell r="U62" t="str">
            <v>Khối  7  - Phường Kỳ Lừa - Tỉnh Lạng Sơn</v>
          </cell>
          <cell r="W62" t="str">
            <v>004232/LS-CCHN</v>
          </cell>
          <cell r="X62" t="str">
            <v>10/06/2021</v>
          </cell>
          <cell r="Z62" t="str">
            <v>Khám bệnh, chữa bệnh Nội khoa, Hồi sức cấp cứu</v>
          </cell>
          <cell r="AB62" t="str">
            <v/>
          </cell>
          <cell r="AC62">
            <v>368462305</v>
          </cell>
          <cell r="AD62" t="str">
            <v>Chuyển đến 05/3/2021</v>
          </cell>
        </row>
        <row r="63">
          <cell r="B63" t="str">
            <v>BV1229</v>
          </cell>
          <cell r="C63" t="str">
            <v>Dương Thị Chang</v>
          </cell>
          <cell r="D63" t="str">
            <v>BV1229</v>
          </cell>
          <cell r="E63" t="str">
            <v>x</v>
          </cell>
          <cell r="F63" t="str">
            <v>Bác sĩ</v>
          </cell>
          <cell r="G63" t="str">
            <v>TĐ005</v>
          </cell>
          <cell r="I63" t="str">
            <v>Bác sĩ (hạng III)</v>
          </cell>
          <cell r="J63" t="str">
            <v>HSTC-CĐ</v>
          </cell>
          <cell r="K63" t="str">
            <v>KP003</v>
          </cell>
          <cell r="N63" t="str">
            <v>HĐ có thời hạn</v>
          </cell>
          <cell r="O63">
            <v>29</v>
          </cell>
          <cell r="P63">
            <v>0</v>
          </cell>
          <cell r="Q63" t="str">
            <v>17/01/1997</v>
          </cell>
          <cell r="R63" t="str">
            <v>Tày</v>
          </cell>
          <cell r="S63">
            <v>45030</v>
          </cell>
          <cell r="T63" t="str">
            <v>020197007514</v>
          </cell>
          <cell r="U63" t="str">
            <v>Thâm Vớt - Hưng Vũ - Bắc Sơn - Lạng Sơn</v>
          </cell>
          <cell r="V63">
            <v>45396</v>
          </cell>
          <cell r="W63" t="str">
            <v>000040/LS-GPHN</v>
          </cell>
          <cell r="X63">
            <v>0</v>
          </cell>
          <cell r="Z63" t="str">
            <v>Chuyên khoa Nội khoa</v>
          </cell>
          <cell r="AB63" t="str">
            <v/>
          </cell>
          <cell r="AC63" t="str">
            <v>0399432795</v>
          </cell>
          <cell r="AD63" t="str">
            <v>Thử việc 14/4/2023</v>
          </cell>
        </row>
        <row r="64">
          <cell r="B64" t="str">
            <v>BV1282</v>
          </cell>
          <cell r="C64" t="str">
            <v>Vi Văn Phong</v>
          </cell>
          <cell r="D64" t="str">
            <v>BV1282</v>
          </cell>
          <cell r="F64" t="str">
            <v>Bác sĩ</v>
          </cell>
          <cell r="G64" t="str">
            <v>TĐ005</v>
          </cell>
          <cell r="I64" t="str">
            <v>Bác sĩ (hạng III)</v>
          </cell>
          <cell r="J64" t="str">
            <v>HSTC-CĐ</v>
          </cell>
          <cell r="K64" t="str">
            <v>KP003</v>
          </cell>
          <cell r="N64" t="str">
            <v>Viên chức</v>
          </cell>
          <cell r="O64">
            <v>29</v>
          </cell>
          <cell r="P64" t="str">
            <v>07/12/1996</v>
          </cell>
          <cell r="Q64">
            <v>0</v>
          </cell>
          <cell r="R64" t="str">
            <v>Tày</v>
          </cell>
          <cell r="S64" t="str">
            <v>01/7/2024</v>
          </cell>
          <cell r="T64" t="str">
            <v>020096004642</v>
          </cell>
          <cell r="U64" t="str">
            <v>Khối 3   - Phường Đông Kinh  - Tỉnh Lạng Sơn</v>
          </cell>
          <cell r="V64">
            <v>45870</v>
          </cell>
          <cell r="W64" t="str">
            <v>005668/LS-CCHN</v>
          </cell>
          <cell r="X64">
            <v>0</v>
          </cell>
          <cell r="Z64" t="str">
            <v>Khám bệnh, chữa bệnh đa khoa</v>
          </cell>
          <cell r="AB64" t="str">
            <v/>
          </cell>
          <cell r="AD64" t="str">
            <v>HĐ 01/7/2024, Viên chức từ 15/6/2026</v>
          </cell>
        </row>
        <row r="65">
          <cell r="B65" t="str">
            <v>BV0053</v>
          </cell>
          <cell r="C65" t="str">
            <v>Lê Thị Hà</v>
          </cell>
          <cell r="D65" t="str">
            <v>BV0053</v>
          </cell>
          <cell r="E65" t="str">
            <v>x</v>
          </cell>
          <cell r="F65" t="str">
            <v>Điều dưỡng ĐH</v>
          </cell>
          <cell r="G65" t="str">
            <v>TĐ011</v>
          </cell>
          <cell r="H65" t="str">
            <v>Điều dưỡng (hạng III)</v>
          </cell>
          <cell r="I65" t="str">
            <v>Điều dưỡng (hạng III)</v>
          </cell>
          <cell r="J65" t="str">
            <v>HSTC-CĐ</v>
          </cell>
          <cell r="K65" t="str">
            <v>KP003</v>
          </cell>
          <cell r="L65" t="str">
            <v>Lãnh đạo khoa, phòng</v>
          </cell>
          <cell r="M65" t="str">
            <v>Điều dưỡng trưởng</v>
          </cell>
          <cell r="N65" t="str">
            <v>Viên chức</v>
          </cell>
          <cell r="O65">
            <v>44</v>
          </cell>
          <cell r="P65">
            <v>0</v>
          </cell>
          <cell r="Q65">
            <v>30024</v>
          </cell>
          <cell r="R65" t="str">
            <v>Kinh</v>
          </cell>
          <cell r="S65" t="str">
            <v>30/10/2006</v>
          </cell>
          <cell r="T65" t="str">
            <v>001182010943</v>
          </cell>
          <cell r="U65" t="str">
            <v>Khối 6 - Phường Kỳ Lừa - Tỉnh Lạng Sơn</v>
          </cell>
          <cell r="W65" t="str">
            <v>000769/LS-CCHN</v>
          </cell>
          <cell r="X65" t="str">
            <v>11/01/2023</v>
          </cell>
          <cell r="Z6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65" t="str">
            <v/>
          </cell>
          <cell r="AC65" t="str">
            <v>0977051260</v>
          </cell>
        </row>
        <row r="66">
          <cell r="B66" t="str">
            <v>BV1317</v>
          </cell>
          <cell r="C66" t="str">
            <v>Lục Thị Thanh Mai</v>
          </cell>
          <cell r="D66" t="str">
            <v>BV1317</v>
          </cell>
          <cell r="E66" t="str">
            <v>x</v>
          </cell>
          <cell r="F66" t="str">
            <v>Điều dưỡng ĐH</v>
          </cell>
          <cell r="G66" t="str">
            <v>TĐ011</v>
          </cell>
          <cell r="I66" t="str">
            <v>Điều dưỡng (hạng III)</v>
          </cell>
          <cell r="J66" t="str">
            <v>UB-YHHN</v>
          </cell>
          <cell r="K66" t="str">
            <v>KP011</v>
          </cell>
          <cell r="N66" t="str">
            <v>HĐ có thời hạn</v>
          </cell>
          <cell r="O66">
            <v>31</v>
          </cell>
          <cell r="P66">
            <v>0</v>
          </cell>
          <cell r="Q66" t="str">
            <v>1/7/1995</v>
          </cell>
          <cell r="R66" t="str">
            <v>Nùng</v>
          </cell>
          <cell r="S66">
            <v>45783</v>
          </cell>
          <cell r="T66" t="str">
            <v>020195004599</v>
          </cell>
          <cell r="W66" t="str">
            <v>003338/LS-CCHN</v>
          </cell>
          <cell r="X66">
            <v>43329</v>
          </cell>
          <cell r="Z66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6">
            <v>0</v>
          </cell>
          <cell r="AC66" t="str">
            <v>0364171103</v>
          </cell>
          <cell r="AD66" t="str">
            <v>HĐ 06/05/2025</v>
          </cell>
        </row>
        <row r="67">
          <cell r="B67" t="str">
            <v>BV0068</v>
          </cell>
          <cell r="C67" t="str">
            <v>Hoàng Thị Nga</v>
          </cell>
          <cell r="D67" t="str">
            <v>BV0068</v>
          </cell>
          <cell r="E67" t="str">
            <v>x</v>
          </cell>
          <cell r="F67" t="str">
            <v>Điều dưỡng CĐ</v>
          </cell>
          <cell r="G67" t="str">
            <v>TĐ012</v>
          </cell>
          <cell r="H67" t="str">
            <v>Điều dưỡng (hạng IV)</v>
          </cell>
          <cell r="I67" t="str">
            <v>Điều dưỡng (hạng IV)</v>
          </cell>
          <cell r="J67" t="str">
            <v>Nội Tổng hợp</v>
          </cell>
          <cell r="K67" t="str">
            <v>KP007</v>
          </cell>
          <cell r="L67" t="str">
            <v>Viên chức CMNV</v>
          </cell>
          <cell r="M67">
            <v>0</v>
          </cell>
          <cell r="N67" t="str">
            <v>Viên chức</v>
          </cell>
          <cell r="O67">
            <v>38</v>
          </cell>
          <cell r="P67">
            <v>0</v>
          </cell>
          <cell r="Q67">
            <v>32183</v>
          </cell>
          <cell r="R67" t="str">
            <v>Nùng</v>
          </cell>
          <cell r="S67" t="str">
            <v>15/1/2010</v>
          </cell>
          <cell r="T67" t="str">
            <v>020188006649</v>
          </cell>
          <cell r="U67" t="str">
            <v>Khố́i 14- Phường Đông Kinh - Tỉnh Lạng Sơn</v>
          </cell>
          <cell r="W67" t="str">
            <v>000786/LS-CCHN</v>
          </cell>
          <cell r="X67" t="str">
            <v>11/01/2023</v>
          </cell>
          <cell r="Z6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67">
            <v>0</v>
          </cell>
          <cell r="AC67" t="str">
            <v>0372600939</v>
          </cell>
        </row>
        <row r="68">
          <cell r="B68" t="str">
            <v>BV0717</v>
          </cell>
          <cell r="C68" t="str">
            <v>Nguyễn Tiến Hưng</v>
          </cell>
          <cell r="D68" t="str">
            <v>BV0717</v>
          </cell>
          <cell r="F68" t="str">
            <v>Điều dưỡng CĐ</v>
          </cell>
          <cell r="G68" t="str">
            <v>TĐ012</v>
          </cell>
          <cell r="I68" t="str">
            <v>Điều dưỡng (hạng IV)</v>
          </cell>
          <cell r="J68" t="str">
            <v>HSTC-CĐ</v>
          </cell>
          <cell r="K68" t="str">
            <v>KP003</v>
          </cell>
          <cell r="N68" t="str">
            <v>Viên chức</v>
          </cell>
          <cell r="O68">
            <v>33</v>
          </cell>
          <cell r="P68" t="str">
            <v>06/7/1993</v>
          </cell>
          <cell r="Q68">
            <v>0</v>
          </cell>
          <cell r="R68" t="str">
            <v>Tày</v>
          </cell>
          <cell r="S68" t="str">
            <v xml:space="preserve"> 29/8/2016</v>
          </cell>
          <cell r="T68" t="str">
            <v>0200933002103</v>
          </cell>
          <cell r="U68" t="str">
            <v>Khối 11 - Phường Tam Thanh - Tỉnh Lạng Sơn</v>
          </cell>
          <cell r="W68" t="str">
            <v>003317/LS-CCHN</v>
          </cell>
          <cell r="X68" t="str">
            <v>28/06/2018</v>
          </cell>
          <cell r="Z6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8" t="str">
            <v/>
          </cell>
          <cell r="AC68">
            <v>989590939</v>
          </cell>
          <cell r="AD68" t="str">
            <v>HĐ 29/8/2016; Đỗ VC 20/5/2026</v>
          </cell>
        </row>
        <row r="69">
          <cell r="B69" t="str">
            <v>BV0072</v>
          </cell>
          <cell r="C69" t="str">
            <v>Nông Văn Lập</v>
          </cell>
          <cell r="D69" t="str">
            <v>BV0072</v>
          </cell>
          <cell r="F69" t="str">
            <v>Điều dưỡng CĐ</v>
          </cell>
          <cell r="G69" t="str">
            <v>TĐ012</v>
          </cell>
          <cell r="H69" t="str">
            <v>Điều dưỡng (hạng IV)</v>
          </cell>
          <cell r="I69" t="str">
            <v>Điều dưỡng (hạng IV)</v>
          </cell>
          <cell r="J69" t="str">
            <v>HSTC-CĐ</v>
          </cell>
          <cell r="K69" t="str">
            <v>KP003</v>
          </cell>
          <cell r="L69" t="str">
            <v>Viên chức CMNV</v>
          </cell>
          <cell r="M69">
            <v>0</v>
          </cell>
          <cell r="N69" t="str">
            <v>Viên chức</v>
          </cell>
          <cell r="O69">
            <v>41</v>
          </cell>
          <cell r="P69">
            <v>31084</v>
          </cell>
          <cell r="Q69">
            <v>0</v>
          </cell>
          <cell r="R69" t="str">
            <v>Tày</v>
          </cell>
          <cell r="S69" t="str">
            <v>1/12/2008</v>
          </cell>
          <cell r="T69" t="str">
            <v>020085008813</v>
          </cell>
          <cell r="U69" t="str">
            <v>Khối  8  - Phường Tam Thanh - Tỉnh Lạng Sơn</v>
          </cell>
          <cell r="W69" t="str">
            <v>001089/LS-CCHN</v>
          </cell>
          <cell r="X69" t="str">
            <v>11/01/2023</v>
          </cell>
          <cell r="Z6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69" t="str">
            <v/>
          </cell>
          <cell r="AC69" t="str">
            <v>0972971018</v>
          </cell>
        </row>
        <row r="70">
          <cell r="B70" t="str">
            <v>BV0833</v>
          </cell>
          <cell r="C70" t="str">
            <v>Nông Thị Khánh Linh</v>
          </cell>
          <cell r="D70" t="str">
            <v>BV0833</v>
          </cell>
          <cell r="E70" t="str">
            <v>x</v>
          </cell>
          <cell r="F70" t="str">
            <v>Điều dưỡng CĐ</v>
          </cell>
          <cell r="G70" t="str">
            <v>TĐ012</v>
          </cell>
          <cell r="H70" t="str">
            <v>Điều dưỡng (hạng IV)</v>
          </cell>
          <cell r="I70" t="str">
            <v>Điều dưỡng (hạng IV)</v>
          </cell>
          <cell r="J70" t="str">
            <v>HSTC-CĐ</v>
          </cell>
          <cell r="K70" t="str">
            <v>KP003</v>
          </cell>
          <cell r="L70" t="str">
            <v>Viên chức CMNV</v>
          </cell>
          <cell r="M70">
            <v>0</v>
          </cell>
          <cell r="N70" t="str">
            <v>Viên chức</v>
          </cell>
          <cell r="O70">
            <v>33</v>
          </cell>
          <cell r="P70">
            <v>0</v>
          </cell>
          <cell r="Q70">
            <v>34121</v>
          </cell>
          <cell r="R70" t="str">
            <v>Tày</v>
          </cell>
          <cell r="S70" t="str">
            <v>20/3/2018</v>
          </cell>
          <cell r="T70" t="str">
            <v>020193009199</v>
          </cell>
          <cell r="U70" t="str">
            <v>Khối Hoàng Tâm - Phường Tam Thanh - Tỉnh Lạng Sơn</v>
          </cell>
          <cell r="W70" t="str">
            <v>003672/LS-CCHN</v>
          </cell>
          <cell r="X70" t="str">
            <v>22/01/2020</v>
          </cell>
          <cell r="Z7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70" t="str">
            <v/>
          </cell>
          <cell r="AC70" t="str">
            <v>0398718995</v>
          </cell>
          <cell r="AD70" t="str">
            <v>BC 20/3/2018</v>
          </cell>
        </row>
        <row r="71">
          <cell r="B71" t="str">
            <v>BV0714</v>
          </cell>
          <cell r="C71" t="str">
            <v>Lương Thị Ly</v>
          </cell>
          <cell r="D71" t="str">
            <v>BV0714</v>
          </cell>
          <cell r="E71" t="str">
            <v>x</v>
          </cell>
          <cell r="F71" t="str">
            <v>Điều dưỡng CĐ</v>
          </cell>
          <cell r="G71" t="str">
            <v>TĐ012</v>
          </cell>
          <cell r="I71" t="str">
            <v>Điều dưỡng (hạng IV)</v>
          </cell>
          <cell r="J71" t="str">
            <v>HSTC-CĐ</v>
          </cell>
          <cell r="K71" t="str">
            <v>KP003</v>
          </cell>
          <cell r="N71" t="str">
            <v>Viên chức</v>
          </cell>
          <cell r="O71">
            <v>31</v>
          </cell>
          <cell r="P71">
            <v>0</v>
          </cell>
          <cell r="Q71" t="str">
            <v>18/12/1994</v>
          </cell>
          <cell r="R71" t="str">
            <v>Tày</v>
          </cell>
          <cell r="S71" t="str">
            <v xml:space="preserve"> 29/8/2016</v>
          </cell>
          <cell r="T71" t="str">
            <v>020194004104</v>
          </cell>
          <cell r="U71" t="str">
            <v>Thôn Ga - Xã Đồng Đăng - Tỉnh Lạng Sơn</v>
          </cell>
          <cell r="W71" t="str">
            <v>003316/LS-CCHN</v>
          </cell>
          <cell r="X71" t="str">
            <v>28/06/2018</v>
          </cell>
          <cell r="Z71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71" t="str">
            <v/>
          </cell>
          <cell r="AC71" t="str">
            <v>0981020002</v>
          </cell>
          <cell r="AD71" t="str">
            <v>HĐ 29/8/2016; Đỗ VC 20/5/2026</v>
          </cell>
        </row>
        <row r="72">
          <cell r="B72" t="str">
            <v>BV0715</v>
          </cell>
          <cell r="C72" t="str">
            <v>Đoàn Thanh Thủy</v>
          </cell>
          <cell r="D72" t="str">
            <v>BV0715</v>
          </cell>
          <cell r="E72" t="str">
            <v>x</v>
          </cell>
          <cell r="F72" t="str">
            <v>Điều dưỡng CĐ</v>
          </cell>
          <cell r="G72" t="str">
            <v>TĐ012</v>
          </cell>
          <cell r="I72" t="str">
            <v>Điều dưỡng (hạng IV)</v>
          </cell>
          <cell r="J72" t="str">
            <v>HSTC-CĐ</v>
          </cell>
          <cell r="K72" t="str">
            <v>KP003</v>
          </cell>
          <cell r="N72" t="str">
            <v>Viên chức</v>
          </cell>
          <cell r="O72">
            <v>37</v>
          </cell>
          <cell r="P72">
            <v>0</v>
          </cell>
          <cell r="Q72" t="str">
            <v>25/11/1988</v>
          </cell>
          <cell r="R72" t="str">
            <v>Tày</v>
          </cell>
          <cell r="S72" t="str">
            <v xml:space="preserve"> 29/8/2016</v>
          </cell>
          <cell r="T72" t="str">
            <v>020188005717</v>
          </cell>
          <cell r="U72" t="str">
            <v>Thôn Quảng Liên 1 - Phường Lương Văn Tri - Tỉnh  Lạng Sơn</v>
          </cell>
          <cell r="W72" t="str">
            <v>003347/LS-CCHN</v>
          </cell>
          <cell r="X72" t="str">
            <v>17/08/2018</v>
          </cell>
          <cell r="Z7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72" t="str">
            <v/>
          </cell>
          <cell r="AC72" t="str">
            <v>0918327383</v>
          </cell>
          <cell r="AD72" t="str">
            <v>HĐ 29/8/2016; Đỗ VC 20/5/2026</v>
          </cell>
        </row>
        <row r="73">
          <cell r="B73" t="str">
            <v>BV0859</v>
          </cell>
          <cell r="C73" t="str">
            <v>Trần Nhật Lê</v>
          </cell>
          <cell r="D73" t="str">
            <v>BV0859</v>
          </cell>
          <cell r="E73" t="str">
            <v>x</v>
          </cell>
          <cell r="F73" t="str">
            <v>Điều dưỡng CĐ</v>
          </cell>
          <cell r="G73" t="str">
            <v>TĐ012</v>
          </cell>
          <cell r="I73" t="str">
            <v>Điều dưỡng (hạng IV)</v>
          </cell>
          <cell r="J73" t="str">
            <v>HSTC-CĐ</v>
          </cell>
          <cell r="K73" t="str">
            <v>KP003</v>
          </cell>
          <cell r="N73" t="str">
            <v>Viên chức</v>
          </cell>
          <cell r="O73">
            <v>32</v>
          </cell>
          <cell r="P73">
            <v>0</v>
          </cell>
          <cell r="Q73">
            <v>34490</v>
          </cell>
          <cell r="R73" t="str">
            <v>Tày</v>
          </cell>
          <cell r="S73" t="str">
            <v>01/11/2018</v>
          </cell>
          <cell r="T73" t="str">
            <v>020194000642</v>
          </cell>
          <cell r="U73" t="str">
            <v>Khối Hoàng Tâm - Phường Tam Thanh - Tỉnh Lạng Sơn</v>
          </cell>
          <cell r="W73" t="str">
            <v>003721/LS-CCHN</v>
          </cell>
          <cell r="X73" t="str">
            <v>22/05/2020</v>
          </cell>
          <cell r="Z7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73" t="str">
            <v/>
          </cell>
          <cell r="AC73" t="str">
            <v>0989023614</v>
          </cell>
          <cell r="AD73" t="str">
            <v>Thử việc T11/2018; đỗ VC 20/5/2026</v>
          </cell>
        </row>
        <row r="74">
          <cell r="B74" t="str">
            <v>BV0860</v>
          </cell>
          <cell r="C74" t="str">
            <v>Hoàng Quang Thụy</v>
          </cell>
          <cell r="D74" t="str">
            <v>BV0860</v>
          </cell>
          <cell r="F74" t="str">
            <v>Điều dưỡng CĐ</v>
          </cell>
          <cell r="G74" t="str">
            <v>TĐ012</v>
          </cell>
          <cell r="I74" t="str">
            <v>Điều dưỡng (hạng IV)</v>
          </cell>
          <cell r="J74" t="str">
            <v>HSTC-CĐ</v>
          </cell>
          <cell r="K74" t="str">
            <v>KP003</v>
          </cell>
          <cell r="N74" t="str">
            <v>Viên chức</v>
          </cell>
          <cell r="O74">
            <v>35</v>
          </cell>
          <cell r="P74">
            <v>33449</v>
          </cell>
          <cell r="Q74">
            <v>0</v>
          </cell>
          <cell r="R74" t="str">
            <v>Tày</v>
          </cell>
          <cell r="S74" t="str">
            <v>01/11/2018</v>
          </cell>
          <cell r="T74" t="str">
            <v>020091001605</v>
          </cell>
          <cell r="U74" t="str">
            <v>Thôn Phú Nhuận - Xã Điềm He - Tỉnh Lạng Sơn</v>
          </cell>
          <cell r="W74" t="str">
            <v>002078/LS-CCHN</v>
          </cell>
          <cell r="X74" t="str">
            <v>29/08/2017</v>
          </cell>
          <cell r="Z7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74" t="str">
            <v/>
          </cell>
          <cell r="AC74">
            <v>979664191</v>
          </cell>
          <cell r="AD74" t="str">
            <v>Thử việc T11/2018; đỗ VC 20/5/2026</v>
          </cell>
        </row>
        <row r="75">
          <cell r="B75" t="str">
            <v>BV0967</v>
          </cell>
          <cell r="C75" t="str">
            <v>Đàm Quốc Huỳnh</v>
          </cell>
          <cell r="D75" t="str">
            <v>BV0967</v>
          </cell>
          <cell r="F75" t="str">
            <v>Điều dưỡng CĐ</v>
          </cell>
          <cell r="G75" t="str">
            <v>TĐ012</v>
          </cell>
          <cell r="I75" t="str">
            <v>Điều dưỡng (hạng IV)</v>
          </cell>
          <cell r="J75" t="str">
            <v>HSTC-CĐ</v>
          </cell>
          <cell r="K75" t="str">
            <v>KP003</v>
          </cell>
          <cell r="N75" t="str">
            <v>Viên chức</v>
          </cell>
          <cell r="O75">
            <v>29</v>
          </cell>
          <cell r="P75" t="str">
            <v>01/3/1997</v>
          </cell>
          <cell r="Q75">
            <v>0</v>
          </cell>
          <cell r="R75" t="str">
            <v>Nùng</v>
          </cell>
          <cell r="S75" t="str">
            <v>02/12/2019</v>
          </cell>
          <cell r="T75" t="str">
            <v>020097004944</v>
          </cell>
          <cell r="U75" t="str">
            <v>Phường Kỳ Lừa - Tỉnh Lạng Sơn</v>
          </cell>
          <cell r="W75" t="str">
            <v>004302/LS-CCHN</v>
          </cell>
          <cell r="X75" t="str">
            <v>20/07/2021</v>
          </cell>
          <cell r="Z75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75" t="str">
            <v/>
          </cell>
          <cell r="AD75" t="str">
            <v>Thử việc 02/12/2019; đỗ VC 20/5/2026</v>
          </cell>
        </row>
        <row r="76">
          <cell r="B76" t="str">
            <v>BV0057</v>
          </cell>
          <cell r="C76" t="str">
            <v>Bế Thị Quyên</v>
          </cell>
          <cell r="D76" t="str">
            <v>BV0057</v>
          </cell>
          <cell r="E76" t="str">
            <v>x</v>
          </cell>
          <cell r="F76" t="str">
            <v>Điều dưỡng CĐ</v>
          </cell>
          <cell r="G76" t="str">
            <v>TĐ012</v>
          </cell>
          <cell r="H76" t="str">
            <v>Điều dưỡng (hạng IV)</v>
          </cell>
          <cell r="I76" t="str">
            <v>Điều dưỡng (hạng IV)</v>
          </cell>
          <cell r="J76" t="str">
            <v>HSTC-CĐ</v>
          </cell>
          <cell r="K76" t="str">
            <v>KP003</v>
          </cell>
          <cell r="L76" t="str">
            <v>Viên chức CMNV</v>
          </cell>
          <cell r="M76">
            <v>0</v>
          </cell>
          <cell r="N76" t="str">
            <v>Viên chức</v>
          </cell>
          <cell r="O76">
            <v>43</v>
          </cell>
          <cell r="P76">
            <v>0</v>
          </cell>
          <cell r="Q76">
            <v>30241</v>
          </cell>
          <cell r="R76" t="str">
            <v>Tày</v>
          </cell>
          <cell r="S76" t="str">
            <v>7/11/2006</v>
          </cell>
          <cell r="T76" t="str">
            <v>020182001088</v>
          </cell>
          <cell r="U76" t="str">
            <v>Khối Đại Thắng - Phường Lương Văn Tri - Tỉnh  Lạng Sơn</v>
          </cell>
          <cell r="W76" t="str">
            <v>000773/LS-CCHN</v>
          </cell>
          <cell r="X76" t="str">
            <v>11/01/2023</v>
          </cell>
          <cell r="Z7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76" t="str">
            <v/>
          </cell>
          <cell r="AC76" t="str">
            <v>0386978044</v>
          </cell>
        </row>
        <row r="77">
          <cell r="B77" t="str">
            <v>BV1052</v>
          </cell>
          <cell r="C77" t="str">
            <v>Hoàng Thị Sao</v>
          </cell>
          <cell r="D77" t="str">
            <v>BV1052</v>
          </cell>
          <cell r="E77" t="str">
            <v>x</v>
          </cell>
          <cell r="F77" t="str">
            <v>Điều dưỡng CĐ</v>
          </cell>
          <cell r="G77" t="str">
            <v>TĐ012</v>
          </cell>
          <cell r="I77" t="str">
            <v>Điều dưỡng (hạng IV)</v>
          </cell>
          <cell r="J77" t="str">
            <v>HSTC-CĐ</v>
          </cell>
          <cell r="K77" t="str">
            <v>KP003</v>
          </cell>
          <cell r="N77" t="str">
            <v>Viên chức</v>
          </cell>
          <cell r="O77">
            <v>29</v>
          </cell>
          <cell r="P77">
            <v>0</v>
          </cell>
          <cell r="Q77" t="str">
            <v>11/06/1997</v>
          </cell>
          <cell r="R77" t="str">
            <v>Tày</v>
          </cell>
          <cell r="S77" t="str">
            <v>13/7/2020</v>
          </cell>
          <cell r="T77" t="str">
            <v>020197001186</v>
          </cell>
          <cell r="U77" t="str">
            <v>413 Trần Đăng Ninh - Phường Tam Thanh - Tỉnh Lạng Sơn</v>
          </cell>
          <cell r="W77" t="str">
            <v>004301/LS-CCHN</v>
          </cell>
          <cell r="X77" t="str">
            <v>20/07/2021</v>
          </cell>
          <cell r="Z7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77" t="str">
            <v/>
          </cell>
          <cell r="AC77" t="str">
            <v>0936924458</v>
          </cell>
          <cell r="AD77" t="str">
            <v>Thử việc từ 20/7/2020, Viên chức từ 15/6/2026</v>
          </cell>
        </row>
        <row r="78">
          <cell r="B78" t="str">
            <v>BV1053</v>
          </cell>
          <cell r="C78" t="str">
            <v>Đỗ Thị Lan Hương</v>
          </cell>
          <cell r="D78" t="str">
            <v>BV1053</v>
          </cell>
          <cell r="E78" t="str">
            <v>x</v>
          </cell>
          <cell r="F78" t="str">
            <v>Điều dưỡng CĐ</v>
          </cell>
          <cell r="G78" t="str">
            <v>TĐ012</v>
          </cell>
          <cell r="I78" t="str">
            <v>Điều dưỡng (hạng IV)</v>
          </cell>
          <cell r="J78" t="str">
            <v>HSTC-CĐ</v>
          </cell>
          <cell r="K78" t="str">
            <v>KP003</v>
          </cell>
          <cell r="N78" t="str">
            <v>Viên chức</v>
          </cell>
          <cell r="O78">
            <v>31</v>
          </cell>
          <cell r="P78">
            <v>0</v>
          </cell>
          <cell r="Q78" t="str">
            <v>14/12/1994</v>
          </cell>
          <cell r="R78" t="str">
            <v>Kinh</v>
          </cell>
          <cell r="S78" t="str">
            <v>13/7/2020</v>
          </cell>
          <cell r="T78" t="str">
            <v>020194001872</v>
          </cell>
          <cell r="U78" t="str">
            <v>khối 18 - Phường Đông Kinh - Tỉnh Lạng Sơn</v>
          </cell>
          <cell r="W78" t="str">
            <v>004234/LS-CCHN</v>
          </cell>
          <cell r="X78" t="str">
            <v>10/06/2021</v>
          </cell>
          <cell r="Z7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78" t="str">
            <v/>
          </cell>
          <cell r="AC78" t="str">
            <v>0392895536</v>
          </cell>
          <cell r="AD78" t="str">
            <v>Thử việc từ 13/7/2020, Viên chức từ 15/6/2026</v>
          </cell>
        </row>
        <row r="79">
          <cell r="B79" t="str">
            <v>BV1077</v>
          </cell>
          <cell r="C79" t="str">
            <v>Hoàng Ngọc Châm</v>
          </cell>
          <cell r="D79" t="str">
            <v>BV1077</v>
          </cell>
          <cell r="E79" t="str">
            <v>x</v>
          </cell>
          <cell r="F79" t="str">
            <v>Điều dưỡng CĐ</v>
          </cell>
          <cell r="G79" t="str">
            <v>TĐ012</v>
          </cell>
          <cell r="I79" t="str">
            <v>Điều dưỡng (hạng IV)</v>
          </cell>
          <cell r="J79" t="str">
            <v>HSTC-CĐ</v>
          </cell>
          <cell r="K79" t="str">
            <v>KP003</v>
          </cell>
          <cell r="N79" t="str">
            <v>Viên chức</v>
          </cell>
          <cell r="O79">
            <v>26</v>
          </cell>
          <cell r="P79">
            <v>0</v>
          </cell>
          <cell r="Q79" t="str">
            <v>22/10/1999</v>
          </cell>
          <cell r="R79" t="str">
            <v>Tày</v>
          </cell>
          <cell r="S79" t="str">
            <v>03/11/2020</v>
          </cell>
          <cell r="T79" t="str">
            <v>020199000909</v>
          </cell>
          <cell r="U79" t="str">
            <v>Thôn Khòn Pát   - Phường Đông Kinh  - Tỉnh Lạng Sơn</v>
          </cell>
          <cell r="W79" t="str">
            <v>004376/LS-CCHN</v>
          </cell>
          <cell r="X79" t="str">
            <v>05/11/2021</v>
          </cell>
          <cell r="Z7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79" t="str">
            <v/>
          </cell>
          <cell r="AC79" t="str">
            <v>0389526108</v>
          </cell>
          <cell r="AD79" t="str">
            <v>Thử việc 03/11/2020, Viên chức từ 15/6/2026</v>
          </cell>
        </row>
        <row r="80">
          <cell r="B80" t="str">
            <v>BV0069</v>
          </cell>
          <cell r="C80" t="str">
            <v>Hoàng Thị SLao</v>
          </cell>
          <cell r="D80" t="str">
            <v>BV0069</v>
          </cell>
          <cell r="E80" t="str">
            <v>x</v>
          </cell>
          <cell r="F80" t="str">
            <v>Điều dưỡng CĐ</v>
          </cell>
          <cell r="G80" t="str">
            <v>TĐ012</v>
          </cell>
          <cell r="H80" t="str">
            <v>Điều dưỡng (hạng IV)</v>
          </cell>
          <cell r="I80" t="str">
            <v>Điều dưỡng (hạng IV)</v>
          </cell>
          <cell r="J80" t="str">
            <v>HSTC-CĐ</v>
          </cell>
          <cell r="K80" t="str">
            <v>KP003</v>
          </cell>
          <cell r="L80" t="str">
            <v>Viên chức CMNV</v>
          </cell>
          <cell r="M80">
            <v>0</v>
          </cell>
          <cell r="N80" t="str">
            <v>Viên chức</v>
          </cell>
          <cell r="O80">
            <v>39</v>
          </cell>
          <cell r="P80">
            <v>0</v>
          </cell>
          <cell r="Q80">
            <v>31752</v>
          </cell>
          <cell r="R80" t="str">
            <v>Tày</v>
          </cell>
          <cell r="S80" t="str">
            <v>15/1/2010</v>
          </cell>
          <cell r="T80" t="str">
            <v>020186002927</v>
          </cell>
          <cell r="U80" t="str">
            <v>Thôn Thâm Mò - Xã Đồng Đăng - Tỉnh Lạng Sơn</v>
          </cell>
          <cell r="W80" t="str">
            <v>000783/LS-CCHN</v>
          </cell>
          <cell r="X80" t="str">
            <v>11/01/2023</v>
          </cell>
          <cell r="Z80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80" t="str">
            <v/>
          </cell>
          <cell r="AC80" t="str">
            <v>0373026362</v>
          </cell>
        </row>
        <row r="81">
          <cell r="B81" t="str">
            <v>BV0054</v>
          </cell>
          <cell r="C81" t="str">
            <v>Lương Thị Thuyên</v>
          </cell>
          <cell r="D81" t="str">
            <v>BV0054</v>
          </cell>
          <cell r="E81" t="str">
            <v>x</v>
          </cell>
          <cell r="F81" t="str">
            <v>Điều dưỡng CĐ</v>
          </cell>
          <cell r="G81" t="str">
            <v>TĐ012</v>
          </cell>
          <cell r="H81" t="str">
            <v>Điều dưỡng (hạng IV)</v>
          </cell>
          <cell r="I81" t="str">
            <v>Điều dưỡng (hạng IV)</v>
          </cell>
          <cell r="J81" t="str">
            <v>HSTC-CĐ</v>
          </cell>
          <cell r="K81" t="str">
            <v>KP003</v>
          </cell>
          <cell r="L81" t="str">
            <v>Viên chức CMNV</v>
          </cell>
          <cell r="M81">
            <v>0</v>
          </cell>
          <cell r="N81" t="str">
            <v>Viên chức</v>
          </cell>
          <cell r="O81">
            <v>52</v>
          </cell>
          <cell r="P81">
            <v>0</v>
          </cell>
          <cell r="Q81">
            <v>26947</v>
          </cell>
          <cell r="R81" t="str">
            <v>Nùng</v>
          </cell>
          <cell r="S81" t="str">
            <v>1/5/1999</v>
          </cell>
          <cell r="T81" t="str">
            <v>020173008501</v>
          </cell>
          <cell r="U81" t="str">
            <v>Khối 10  - Phường Tam Thanh - Tỉnh Lạng Sơn</v>
          </cell>
          <cell r="W81" t="str">
            <v>000771/LS-CCHN</v>
          </cell>
          <cell r="X81" t="str">
            <v>11/01/2023</v>
          </cell>
          <cell r="Z8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81" t="str">
            <v/>
          </cell>
          <cell r="AC81" t="str">
            <v>0913369665</v>
          </cell>
        </row>
        <row r="82">
          <cell r="B82" t="str">
            <v>BV0082</v>
          </cell>
          <cell r="C82" t="str">
            <v>Hà Thị Kiều Oanh</v>
          </cell>
          <cell r="D82" t="str">
            <v>BV0082</v>
          </cell>
          <cell r="E82" t="str">
            <v>x</v>
          </cell>
          <cell r="F82" t="str">
            <v>Điều dưỡng CĐ</v>
          </cell>
          <cell r="G82" t="str">
            <v>TĐ012</v>
          </cell>
          <cell r="H82" t="str">
            <v>Điều dưỡng (hạng IV)</v>
          </cell>
          <cell r="I82" t="str">
            <v>Điều dưỡng (hạng IV)</v>
          </cell>
          <cell r="J82" t="str">
            <v>HSTC-CĐ</v>
          </cell>
          <cell r="K82" t="str">
            <v>KP003</v>
          </cell>
          <cell r="L82" t="str">
            <v>Viên chức CMNV</v>
          </cell>
          <cell r="M82">
            <v>0</v>
          </cell>
          <cell r="N82" t="str">
            <v>Viên chức</v>
          </cell>
          <cell r="O82">
            <v>37</v>
          </cell>
          <cell r="P82">
            <v>0</v>
          </cell>
          <cell r="Q82">
            <v>32410</v>
          </cell>
          <cell r="R82" t="str">
            <v>Nùng</v>
          </cell>
          <cell r="S82" t="str">
            <v>14/1/2011</v>
          </cell>
          <cell r="T82" t="str">
            <v>020188002923</v>
          </cell>
          <cell r="U82" t="str">
            <v>Thôn Nhất Tâm - Xã Đồng Đăng - Tỉnh Lạng Sơn</v>
          </cell>
          <cell r="W82" t="str">
            <v>000800/LS-CCHN</v>
          </cell>
          <cell r="X82" t="str">
            <v>11/01/2023</v>
          </cell>
          <cell r="Z8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82" t="str">
            <v/>
          </cell>
          <cell r="AC82" t="str">
            <v>0374673306</v>
          </cell>
        </row>
        <row r="83">
          <cell r="B83" t="str">
            <v>BV1205</v>
          </cell>
          <cell r="C83" t="str">
            <v>Phan Thị Thảo Uyên</v>
          </cell>
          <cell r="D83" t="str">
            <v>BV1205</v>
          </cell>
          <cell r="E83" t="str">
            <v>x</v>
          </cell>
          <cell r="F83" t="str">
            <v>Điều dưỡng CĐ</v>
          </cell>
          <cell r="G83" t="str">
            <v>TĐ012</v>
          </cell>
          <cell r="I83" t="str">
            <v>Điều dưỡng (hạng IV)</v>
          </cell>
          <cell r="J83" t="str">
            <v>HSTC-CĐ</v>
          </cell>
          <cell r="K83" t="str">
            <v>KP003</v>
          </cell>
          <cell r="N83" t="str">
            <v>Viên chức</v>
          </cell>
          <cell r="O83">
            <v>24</v>
          </cell>
          <cell r="P83">
            <v>0</v>
          </cell>
          <cell r="Q83" t="str">
            <v>20/9/2001</v>
          </cell>
          <cell r="R83" t="str">
            <v>tày</v>
          </cell>
          <cell r="S83">
            <v>44837</v>
          </cell>
          <cell r="T83" t="str">
            <v>020301003797</v>
          </cell>
          <cell r="U83" t="str">
            <v>Xã Lộc Bình - Tỉnh Lạng Sơn</v>
          </cell>
          <cell r="W83" t="str">
            <v>005719/LS-CCHN</v>
          </cell>
          <cell r="X83" t="str">
            <v>13/12/2023</v>
          </cell>
          <cell r="Z8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83" t="str">
            <v/>
          </cell>
          <cell r="AC83" t="str">
            <v>0384242312</v>
          </cell>
          <cell r="AD83" t="str">
            <v>Thử việc 03/10/2022, Viên chức từ 15/6/2026</v>
          </cell>
        </row>
        <row r="84">
          <cell r="B84" t="str">
            <v>BV1264</v>
          </cell>
          <cell r="C84" t="str">
            <v>Nguyễn Thị Lượng</v>
          </cell>
          <cell r="D84" t="str">
            <v>BV1264</v>
          </cell>
          <cell r="E84" t="str">
            <v>x</v>
          </cell>
          <cell r="F84" t="str">
            <v>Điều dưỡng CĐ</v>
          </cell>
          <cell r="G84" t="str">
            <v>TĐ012</v>
          </cell>
          <cell r="I84" t="str">
            <v>Điều dưỡng (hạng IV)</v>
          </cell>
          <cell r="J84" t="str">
            <v>HSTC-CĐ</v>
          </cell>
          <cell r="K84" t="str">
            <v>KP003</v>
          </cell>
          <cell r="N84" t="str">
            <v>Viên chức</v>
          </cell>
          <cell r="O84">
            <v>23</v>
          </cell>
          <cell r="P84">
            <v>0</v>
          </cell>
          <cell r="Q84" t="str">
            <v>28/11/2002</v>
          </cell>
          <cell r="R84" t="str">
            <v>Kinh</v>
          </cell>
          <cell r="S84">
            <v>45250</v>
          </cell>
          <cell r="T84" t="str">
            <v>027302008129</v>
          </cell>
          <cell r="U84" t="str">
            <v>Khối 1  - Phường Kỳ Lừa - Lạng Sơn</v>
          </cell>
          <cell r="V84">
            <v>45524</v>
          </cell>
          <cell r="W84" t="str">
            <v>000165/LS-GPHN</v>
          </cell>
          <cell r="X84">
            <v>45581</v>
          </cell>
          <cell r="Z84" t="str">
            <v>Điều dưỡng</v>
          </cell>
          <cell r="AB84" t="str">
            <v/>
          </cell>
          <cell r="AC84" t="str">
            <v>0369673816</v>
          </cell>
          <cell r="AD84" t="str">
            <v>Thử việc 20/11/2023, Viên chức từ 15/6/2026</v>
          </cell>
        </row>
        <row r="85">
          <cell r="B85" t="str">
            <v>BV1292</v>
          </cell>
          <cell r="C85" t="str">
            <v>Trần Thu Hà</v>
          </cell>
          <cell r="D85" t="str">
            <v>BV1292</v>
          </cell>
          <cell r="E85" t="str">
            <v>x</v>
          </cell>
          <cell r="F85" t="str">
            <v>Điều dưỡng CĐ</v>
          </cell>
          <cell r="G85" t="str">
            <v>TĐ012</v>
          </cell>
          <cell r="I85" t="str">
            <v>Điều dưỡng (hạng IV)</v>
          </cell>
          <cell r="J85" t="str">
            <v>HSTC-CĐ</v>
          </cell>
          <cell r="K85" t="str">
            <v>KP003</v>
          </cell>
          <cell r="N85" t="str">
            <v>HĐ có thời hạn</v>
          </cell>
          <cell r="O85">
            <v>23</v>
          </cell>
          <cell r="P85">
            <v>0</v>
          </cell>
          <cell r="Q85" t="str">
            <v>07/8/2003</v>
          </cell>
          <cell r="R85" t="str">
            <v>Tày</v>
          </cell>
          <cell r="S85">
            <v>45597</v>
          </cell>
          <cell r="T85" t="str">
            <v>020303006704</v>
          </cell>
          <cell r="U85" t="str">
            <v>Thôn Bản Trại - Xã Kháng Chiến - Tỉnh Lạng Sơn</v>
          </cell>
          <cell r="W85" t="str">
            <v>000336/LS-GPHN</v>
          </cell>
          <cell r="X85">
            <v>45905</v>
          </cell>
          <cell r="Z85" t="str">
            <v>Điều dưỡng</v>
          </cell>
          <cell r="AB85" t="str">
            <v/>
          </cell>
          <cell r="AC85" t="str">
            <v>0829081243</v>
          </cell>
          <cell r="AD85" t="str">
            <v>HĐ 01/11/2024</v>
          </cell>
        </row>
        <row r="86">
          <cell r="B86" t="str">
            <v>BV1304</v>
          </cell>
          <cell r="C86" t="str">
            <v>Trương Thị Thanh Giang</v>
          </cell>
          <cell r="D86" t="str">
            <v>BV1304</v>
          </cell>
          <cell r="E86" t="str">
            <v>x</v>
          </cell>
          <cell r="F86" t="str">
            <v>Điều dưỡng CĐ</v>
          </cell>
          <cell r="G86" t="str">
            <v>TĐ012</v>
          </cell>
          <cell r="I86" t="str">
            <v>Điều dưỡng (hạng IV)</v>
          </cell>
          <cell r="J86" t="str">
            <v>Chấn thương - Bỏng</v>
          </cell>
          <cell r="K86" t="str">
            <v>KP014</v>
          </cell>
          <cell r="N86" t="str">
            <v>Viên chức</v>
          </cell>
          <cell r="O86">
            <v>22</v>
          </cell>
          <cell r="P86">
            <v>0</v>
          </cell>
          <cell r="Q86" t="str">
            <v>05/09/2003</v>
          </cell>
          <cell r="R86" t="str">
            <v>Kinh</v>
          </cell>
          <cell r="S86">
            <v>45698</v>
          </cell>
          <cell r="T86" t="str">
            <v>020303007961</v>
          </cell>
          <cell r="U86" t="str">
            <v>thôn Rừng Cấm, xã Tân Thành, tỉnh Lạng Sơn</v>
          </cell>
          <cell r="W86" t="str">
            <v/>
          </cell>
          <cell r="X86" t="str">
            <v/>
          </cell>
          <cell r="Z86" t="str">
            <v/>
          </cell>
          <cell r="AB86" t="str">
            <v/>
          </cell>
          <cell r="AD86" t="str">
            <v>Thử việc 10/02/2025, Viên chức từ 15/6/2026</v>
          </cell>
        </row>
        <row r="87">
          <cell r="B87" t="str">
            <v>BV0731</v>
          </cell>
          <cell r="C87" t="str">
            <v>Lê Thị Nhã</v>
          </cell>
          <cell r="D87" t="str">
            <v>BV0731</v>
          </cell>
          <cell r="E87" t="str">
            <v>x</v>
          </cell>
          <cell r="F87" t="str">
            <v>Hộ Lý</v>
          </cell>
          <cell r="G87" t="str">
            <v>TĐ047</v>
          </cell>
          <cell r="I87" t="str">
            <v>Hộ Lý</v>
          </cell>
          <cell r="J87" t="str">
            <v>HSTC-CĐ</v>
          </cell>
          <cell r="K87" t="str">
            <v>KP003</v>
          </cell>
          <cell r="N87" t="str">
            <v>HĐ có thời hạn</v>
          </cell>
          <cell r="O87">
            <v>44</v>
          </cell>
          <cell r="P87">
            <v>0</v>
          </cell>
          <cell r="Q87" t="str">
            <v>25/12/1981</v>
          </cell>
          <cell r="R87" t="str">
            <v>Kinh</v>
          </cell>
          <cell r="S87" t="str">
            <v xml:space="preserve"> 01/9/2016</v>
          </cell>
          <cell r="T87" t="str">
            <v>001181035574</v>
          </cell>
          <cell r="U87" t="str">
            <v>Khối  10 - Phường Tam Thanh - Tỉnh Lạng Sơn</v>
          </cell>
          <cell r="W87" t="str">
            <v/>
          </cell>
          <cell r="X87" t="str">
            <v/>
          </cell>
          <cell r="Z87" t="str">
            <v/>
          </cell>
          <cell r="AB87" t="str">
            <v/>
          </cell>
          <cell r="AC87" t="str">
            <v>0977030050</v>
          </cell>
        </row>
        <row r="88">
          <cell r="B88" t="str">
            <v>BV1018</v>
          </cell>
          <cell r="C88" t="str">
            <v>Hoàng Thị Thoa</v>
          </cell>
          <cell r="D88" t="str">
            <v>BV1018</v>
          </cell>
          <cell r="E88" t="str">
            <v>x</v>
          </cell>
          <cell r="F88" t="str">
            <v>Hộ lý</v>
          </cell>
          <cell r="G88" t="str">
            <v>TĐ047</v>
          </cell>
          <cell r="I88" t="str">
            <v>Hộ lý</v>
          </cell>
          <cell r="J88" t="str">
            <v>HSTC-CĐ</v>
          </cell>
          <cell r="K88" t="str">
            <v>KP003</v>
          </cell>
          <cell r="N88" t="str">
            <v>HĐ có thời hạn</v>
          </cell>
          <cell r="O88">
            <v>35</v>
          </cell>
          <cell r="P88">
            <v>0</v>
          </cell>
          <cell r="Q88" t="str">
            <v>01/06/1991</v>
          </cell>
          <cell r="R88" t="str">
            <v>Tày</v>
          </cell>
          <cell r="S88" t="str">
            <v>12/4/2020</v>
          </cell>
          <cell r="T88" t="str">
            <v>020191009921</v>
          </cell>
          <cell r="U88" t="str">
            <v>Thôn Bản Cưởm - Xã Cao Lộc - Tỉnh Lạng Sơn</v>
          </cell>
          <cell r="W88" t="str">
            <v/>
          </cell>
          <cell r="X88" t="str">
            <v/>
          </cell>
          <cell r="Z88" t="str">
            <v/>
          </cell>
          <cell r="AB88" t="str">
            <v/>
          </cell>
          <cell r="AC88" t="str">
            <v>0984635971</v>
          </cell>
          <cell r="AD88" t="str">
            <v>Hợp đồng từ 12/4/2020</v>
          </cell>
        </row>
        <row r="89">
          <cell r="B89" t="str">
            <v>BV0077</v>
          </cell>
          <cell r="C89" t="str">
            <v>Hoàng Thị Minh Hồng</v>
          </cell>
          <cell r="D89" t="str">
            <v>BV0077</v>
          </cell>
          <cell r="E89" t="str">
            <v>x</v>
          </cell>
          <cell r="F89" t="str">
            <v>BSCKI</v>
          </cell>
          <cell r="G89" t="str">
            <v>TĐ003</v>
          </cell>
          <cell r="H89" t="str">
            <v>Bác sĩ (hạng III)</v>
          </cell>
          <cell r="I89" t="str">
            <v>Bác sĩ (hạng III)</v>
          </cell>
          <cell r="J89" t="str">
            <v>Lão - CXK</v>
          </cell>
          <cell r="K89" t="str">
            <v>KP004</v>
          </cell>
          <cell r="L89" t="str">
            <v>Lãnh đạo khoa, phòng</v>
          </cell>
          <cell r="M89" t="str">
            <v>Phó trưởng khoa</v>
          </cell>
          <cell r="N89" t="str">
            <v>Viên chức</v>
          </cell>
          <cell r="O89">
            <v>55</v>
          </cell>
          <cell r="P89">
            <v>0</v>
          </cell>
          <cell r="Q89">
            <v>25913</v>
          </cell>
          <cell r="R89" t="str">
            <v>Tày</v>
          </cell>
          <cell r="S89" t="str">
            <v>10/1/1996</v>
          </cell>
          <cell r="T89" t="str">
            <v>020170006326</v>
          </cell>
          <cell r="U89" t="str">
            <v>P. Tam thanh - Lạng Sơn</v>
          </cell>
          <cell r="W89" t="str">
            <v>000792/LS-CCHN</v>
          </cell>
          <cell r="X89" t="str">
            <v>11/01/2023</v>
          </cell>
          <cell r="Z89" t="str">
            <v>Khám bệnh, chữa bệnh Nội khoa</v>
          </cell>
          <cell r="AB89" t="str">
            <v>18.0018;18.0020;18.0030;18.0031;18.0034;18.0035;18.0036;18.0054</v>
          </cell>
          <cell r="AC89" t="str">
            <v>0912334455</v>
          </cell>
        </row>
        <row r="90">
          <cell r="B90" t="str">
            <v>BV0685</v>
          </cell>
          <cell r="C90" t="str">
            <v>Hoàng Sĩ Hoa</v>
          </cell>
          <cell r="D90" t="str">
            <v>BV0685</v>
          </cell>
          <cell r="E90" t="str">
            <v>x</v>
          </cell>
          <cell r="F90" t="str">
            <v>BSCKI</v>
          </cell>
          <cell r="G90" t="str">
            <v>TĐ003</v>
          </cell>
          <cell r="H90" t="str">
            <v>Bác sĩ (hạng III)</v>
          </cell>
          <cell r="I90" t="str">
            <v>Bác sĩ (hạng III)</v>
          </cell>
          <cell r="J90" t="str">
            <v>Lão - CXK</v>
          </cell>
          <cell r="K90" t="str">
            <v>KP004</v>
          </cell>
          <cell r="L90" t="str">
            <v>Viên chức CMNV</v>
          </cell>
          <cell r="M90" t="str">
            <v>Phụ trách khoa Dinh dưỡng</v>
          </cell>
          <cell r="N90" t="str">
            <v>Viên chức</v>
          </cell>
          <cell r="O90">
            <v>36</v>
          </cell>
          <cell r="P90">
            <v>0</v>
          </cell>
          <cell r="Q90" t="str">
            <v>10/6/1990</v>
          </cell>
          <cell r="R90" t="str">
            <v>Nùng</v>
          </cell>
          <cell r="S90" t="str">
            <v>10/01/2016</v>
          </cell>
          <cell r="T90" t="str">
            <v>020190006385</v>
          </cell>
          <cell r="U90" t="str">
            <v>Xã Công sơn - Lạng Sơn</v>
          </cell>
          <cell r="W90" t="str">
            <v>002135/LS-CCHN</v>
          </cell>
          <cell r="X90" t="str">
            <v>01/12/2017</v>
          </cell>
          <cell r="Z90" t="str">
            <v>Khám bệnh chữa bệnh Nội khoa</v>
          </cell>
          <cell r="AB90">
            <v>0</v>
          </cell>
          <cell r="AC90" t="str">
            <v>0335389256</v>
          </cell>
        </row>
        <row r="91">
          <cell r="B91" t="str">
            <v>BV1285</v>
          </cell>
          <cell r="C91" t="str">
            <v>Hoàng Hải Yến</v>
          </cell>
          <cell r="D91" t="str">
            <v>BV1285</v>
          </cell>
          <cell r="E91" t="str">
            <v>x</v>
          </cell>
          <cell r="F91" t="str">
            <v>Thạc sỹ</v>
          </cell>
          <cell r="G91" t="str">
            <v>TĐ004</v>
          </cell>
          <cell r="I91" t="str">
            <v>Bác sĩ (hạng III)</v>
          </cell>
          <cell r="J91" t="str">
            <v>Lão - CXK</v>
          </cell>
          <cell r="K91" t="str">
            <v>KP004</v>
          </cell>
          <cell r="N91" t="str">
            <v>Viên chức</v>
          </cell>
          <cell r="O91">
            <v>29</v>
          </cell>
          <cell r="P91">
            <v>0</v>
          </cell>
          <cell r="Q91" t="str">
            <v>16/12/1996</v>
          </cell>
          <cell r="R91" t="str">
            <v>Tày</v>
          </cell>
          <cell r="S91" t="str">
            <v>01/7/2024</v>
          </cell>
          <cell r="T91" t="str">
            <v>020196008669</v>
          </cell>
          <cell r="U91" t="str">
            <v>P. Đông kinh - Lạng Sơn</v>
          </cell>
          <cell r="V91">
            <v>45870</v>
          </cell>
          <cell r="W91" t="str">
            <v>000080/LS-GPHN</v>
          </cell>
          <cell r="X91">
            <v>0</v>
          </cell>
          <cell r="Z91" t="str">
            <v>Chuyên khoa Nội khoa</v>
          </cell>
          <cell r="AB91">
            <v>0</v>
          </cell>
          <cell r="AD91" t="str">
            <v>HĐ 01/7/2024, Viên chức từ 15/6/2026</v>
          </cell>
        </row>
        <row r="92">
          <cell r="B92" t="str">
            <v>BV1253</v>
          </cell>
          <cell r="C92" t="str">
            <v>Trần Thị Hồng Hạnh</v>
          </cell>
          <cell r="D92" t="str">
            <v>BV1253</v>
          </cell>
          <cell r="E92" t="str">
            <v>x</v>
          </cell>
          <cell r="F92" t="str">
            <v>Bác sĩ</v>
          </cell>
          <cell r="G92" t="str">
            <v>TĐ005</v>
          </cell>
          <cell r="I92" t="str">
            <v>Bác sĩ (hạng III)</v>
          </cell>
          <cell r="J92" t="str">
            <v>Lão - CXK</v>
          </cell>
          <cell r="K92" t="str">
            <v>KP004</v>
          </cell>
          <cell r="N92" t="str">
            <v>HĐ có thời hạn</v>
          </cell>
          <cell r="O92">
            <v>27</v>
          </cell>
          <cell r="P92">
            <v>0</v>
          </cell>
          <cell r="Q92" t="str">
            <v>04/11/1998</v>
          </cell>
          <cell r="R92" t="str">
            <v>Tày</v>
          </cell>
          <cell r="S92">
            <v>45337</v>
          </cell>
          <cell r="T92" t="str">
            <v>020198004470</v>
          </cell>
          <cell r="U92" t="str">
            <v>P. Đông kinh - Lạng Sơn</v>
          </cell>
          <cell r="V92">
            <v>45870</v>
          </cell>
          <cell r="W92" t="str">
            <v>000366/LS-GPHN</v>
          </cell>
          <cell r="X92">
            <v>45926</v>
          </cell>
          <cell r="Z92" t="str">
            <v>Y khoa</v>
          </cell>
          <cell r="AB92">
            <v>0</v>
          </cell>
          <cell r="AC92" t="str">
            <v>0962450420</v>
          </cell>
          <cell r="AD92" t="str">
            <v>HĐ 15/03/2024</v>
          </cell>
        </row>
        <row r="93">
          <cell r="B93" t="str">
            <v>BV0410</v>
          </cell>
          <cell r="C93" t="str">
            <v>Vy Lan Anh</v>
          </cell>
          <cell r="D93" t="str">
            <v>BV0410</v>
          </cell>
          <cell r="E93" t="str">
            <v>x</v>
          </cell>
          <cell r="F93" t="str">
            <v>Điều dưỡng ĐH</v>
          </cell>
          <cell r="G93" t="str">
            <v>TĐ011</v>
          </cell>
          <cell r="H93" t="str">
            <v>Điều dưỡng (hạng III)</v>
          </cell>
          <cell r="I93" t="str">
            <v>Điều dưỡng (hạng III)</v>
          </cell>
          <cell r="J93" t="str">
            <v>Khám bệnh</v>
          </cell>
          <cell r="K93" t="str">
            <v>KP001</v>
          </cell>
          <cell r="L93" t="str">
            <v>Viên chức CMNV</v>
          </cell>
          <cell r="M93">
            <v>0</v>
          </cell>
          <cell r="N93" t="str">
            <v>Viên chức</v>
          </cell>
          <cell r="O93">
            <v>51</v>
          </cell>
          <cell r="P93">
            <v>0</v>
          </cell>
          <cell r="Q93">
            <v>27337</v>
          </cell>
          <cell r="R93" t="str">
            <v>Tày</v>
          </cell>
          <cell r="S93" t="str">
            <v>26/4/1999</v>
          </cell>
          <cell r="T93" t="str">
            <v>020174004647</v>
          </cell>
          <cell r="U93" t="str">
            <v xml:space="preserve">Số 680 - K19 Đường Bà Triệu , Phường Đông Kinh, Tỉnh Lạng Sơn </v>
          </cell>
          <cell r="W93" t="str">
            <v>001012/LS-CCHN</v>
          </cell>
          <cell r="X93" t="str">
            <v>24/06/2013</v>
          </cell>
          <cell r="Z93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93" t="str">
            <v/>
          </cell>
          <cell r="AC93">
            <v>985504163</v>
          </cell>
        </row>
        <row r="94">
          <cell r="B94" t="str">
            <v>BV0210</v>
          </cell>
          <cell r="C94" t="str">
            <v>Hoàng Thị Thu Huyền</v>
          </cell>
          <cell r="D94" t="str">
            <v>BV0210</v>
          </cell>
          <cell r="E94" t="str">
            <v>x</v>
          </cell>
          <cell r="F94" t="str">
            <v>Điều dưỡng ĐH</v>
          </cell>
          <cell r="G94" t="str">
            <v>TĐ011</v>
          </cell>
          <cell r="H94" t="str">
            <v>Điều dưỡng (hạng III)</v>
          </cell>
          <cell r="I94" t="str">
            <v>Điều dưỡng (hạng III)</v>
          </cell>
          <cell r="J94" t="str">
            <v>Lão - CXK</v>
          </cell>
          <cell r="K94" t="str">
            <v>KP004</v>
          </cell>
          <cell r="L94" t="str">
            <v>Lãnh đạo khoa, phòng</v>
          </cell>
          <cell r="M94" t="str">
            <v>Điều dưỡng trưởng</v>
          </cell>
          <cell r="N94" t="str">
            <v>Viên chức</v>
          </cell>
          <cell r="O94">
            <v>43</v>
          </cell>
          <cell r="P94">
            <v>0</v>
          </cell>
          <cell r="Q94">
            <v>30234</v>
          </cell>
          <cell r="R94" t="str">
            <v>Nùng</v>
          </cell>
          <cell r="S94" t="str">
            <v>17/3/2006</v>
          </cell>
          <cell r="T94" t="str">
            <v>020182002689</v>
          </cell>
          <cell r="U94" t="str">
            <v>P.Lương văn tri - Lạng Sơn</v>
          </cell>
          <cell r="W94" t="str">
            <v>000938/LS-CCHN</v>
          </cell>
          <cell r="X94" t="str">
            <v>24/06/2013</v>
          </cell>
          <cell r="Z94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94" t="str">
            <v/>
          </cell>
          <cell r="AC94" t="str">
            <v>0337680434</v>
          </cell>
        </row>
        <row r="95">
          <cell r="B95" t="str">
            <v>BV0055</v>
          </cell>
          <cell r="C95" t="str">
            <v>Hoàng Mạnh Châu</v>
          </cell>
          <cell r="D95" t="str">
            <v>BV0055</v>
          </cell>
          <cell r="F95" t="str">
            <v>Điều dưỡng ĐH</v>
          </cell>
          <cell r="G95" t="str">
            <v>TĐ011</v>
          </cell>
          <cell r="H95" t="str">
            <v>Điều dưỡng (hạng III)</v>
          </cell>
          <cell r="I95" t="str">
            <v>Điều dưỡng (hạng III)</v>
          </cell>
          <cell r="J95" t="str">
            <v>Nội Thận-TN-LM</v>
          </cell>
          <cell r="K95" t="str">
            <v>KP009</v>
          </cell>
          <cell r="L95" t="str">
            <v>Viên chức CMNV</v>
          </cell>
          <cell r="M95">
            <v>0</v>
          </cell>
          <cell r="N95" t="str">
            <v>Viên chức</v>
          </cell>
          <cell r="O95">
            <v>41</v>
          </cell>
          <cell r="P95">
            <v>31108</v>
          </cell>
          <cell r="Q95">
            <v>0</v>
          </cell>
          <cell r="R95" t="str">
            <v>Tày</v>
          </cell>
          <cell r="S95" t="str">
            <v>01/12/2008</v>
          </cell>
          <cell r="T95" t="str">
            <v>020085006668</v>
          </cell>
          <cell r="U95" t="str">
            <v>Tam Thanh., Lạng Sơn</v>
          </cell>
          <cell r="W95" t="str">
            <v>000778/LS-CCHN</v>
          </cell>
          <cell r="X95" t="str">
            <v>11/01/2023</v>
          </cell>
          <cell r="Z9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95">
            <v>0</v>
          </cell>
          <cell r="AC95" t="str">
            <v>0888440058</v>
          </cell>
        </row>
        <row r="96">
          <cell r="B96" t="str">
            <v>BV0071</v>
          </cell>
          <cell r="C96" t="str">
            <v>Lành Thị Hồng Vân</v>
          </cell>
          <cell r="D96" t="str">
            <v>BV0071</v>
          </cell>
          <cell r="E96" t="str">
            <v>x</v>
          </cell>
          <cell r="F96" t="str">
            <v>Điều dưỡng ĐH</v>
          </cell>
          <cell r="G96" t="str">
            <v>TĐ011</v>
          </cell>
          <cell r="H96" t="str">
            <v>Điều dưỡng (hạng III)</v>
          </cell>
          <cell r="I96" t="str">
            <v>Điều dưỡng (hạng III)</v>
          </cell>
          <cell r="J96" t="str">
            <v>Lão - CXK</v>
          </cell>
          <cell r="K96" t="str">
            <v>KP004</v>
          </cell>
          <cell r="L96" t="str">
            <v>Viên chức CMNV</v>
          </cell>
          <cell r="M96">
            <v>0</v>
          </cell>
          <cell r="N96" t="str">
            <v>Viên chức</v>
          </cell>
          <cell r="O96">
            <v>39</v>
          </cell>
          <cell r="P96">
            <v>0</v>
          </cell>
          <cell r="Q96">
            <v>31684</v>
          </cell>
          <cell r="R96" t="str">
            <v>Tày</v>
          </cell>
          <cell r="S96" t="str">
            <v>15/1/2010</v>
          </cell>
          <cell r="T96" t="str">
            <v>020186002923</v>
          </cell>
          <cell r="U96" t="str">
            <v>P.Kỳ lừa - Lạng Sơn</v>
          </cell>
          <cell r="W96" t="str">
            <v>000754/LS-CCHN</v>
          </cell>
          <cell r="X96" t="str">
            <v>11/01/2023</v>
          </cell>
          <cell r="Z9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96" t="str">
            <v/>
          </cell>
          <cell r="AC96" t="str">
            <v>0989175168</v>
          </cell>
        </row>
        <row r="97">
          <cell r="B97" t="str">
            <v>BV0716</v>
          </cell>
          <cell r="C97" t="str">
            <v>Hoàng Thị Thao</v>
          </cell>
          <cell r="D97" t="str">
            <v>BV0716</v>
          </cell>
          <cell r="E97" t="str">
            <v>x</v>
          </cell>
          <cell r="F97" t="str">
            <v>Điều dưỡng CĐ</v>
          </cell>
          <cell r="G97" t="str">
            <v>TĐ012</v>
          </cell>
          <cell r="I97" t="str">
            <v>Điều dưỡng (hạng IV)</v>
          </cell>
          <cell r="J97" t="str">
            <v>Lão - CXK</v>
          </cell>
          <cell r="K97" t="str">
            <v>KP004</v>
          </cell>
          <cell r="N97" t="str">
            <v>Viên chức</v>
          </cell>
          <cell r="O97">
            <v>33</v>
          </cell>
          <cell r="P97">
            <v>0</v>
          </cell>
          <cell r="Q97" t="str">
            <v>29/5/1993</v>
          </cell>
          <cell r="R97" t="str">
            <v>Tày</v>
          </cell>
          <cell r="S97" t="str">
            <v xml:space="preserve"> 29/8/2016</v>
          </cell>
          <cell r="T97" t="str">
            <v>020193011101</v>
          </cell>
          <cell r="U97" t="str">
            <v>P. Kỳ lừa. Lạng Sơn</v>
          </cell>
          <cell r="W97" t="str">
            <v>003302/LS-CCHN</v>
          </cell>
          <cell r="X97" t="str">
            <v>28/06/2018</v>
          </cell>
          <cell r="Z9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97" t="str">
            <v/>
          </cell>
          <cell r="AC97" t="str">
            <v>0976438525</v>
          </cell>
          <cell r="AD97" t="str">
            <v>HĐ 29/8/2016; Đỗ VC 20/5/2026</v>
          </cell>
        </row>
        <row r="98">
          <cell r="B98" t="str">
            <v>BV0160</v>
          </cell>
          <cell r="C98" t="str">
            <v>Dương Thị Tám</v>
          </cell>
          <cell r="D98" t="str">
            <v>BV0160</v>
          </cell>
          <cell r="E98" t="str">
            <v>x</v>
          </cell>
          <cell r="F98" t="str">
            <v>Hộ sinh TC</v>
          </cell>
          <cell r="G98" t="str">
            <v>TĐ019</v>
          </cell>
          <cell r="H98" t="str">
            <v>Hộ sinh (hạng IV)</v>
          </cell>
          <cell r="I98" t="str">
            <v>Hộ sinh (hạng IV)</v>
          </cell>
          <cell r="J98" t="str">
            <v>Lão - CXK</v>
          </cell>
          <cell r="K98" t="str">
            <v>KP004</v>
          </cell>
          <cell r="L98" t="str">
            <v>Viên chức CMNV</v>
          </cell>
          <cell r="M98">
            <v>0</v>
          </cell>
          <cell r="N98" t="str">
            <v>Viên chức</v>
          </cell>
          <cell r="O98">
            <v>52</v>
          </cell>
          <cell r="P98">
            <v>0</v>
          </cell>
          <cell r="Q98">
            <v>26923</v>
          </cell>
          <cell r="R98" t="str">
            <v>Tày</v>
          </cell>
          <cell r="S98" t="str">
            <v>1/11/1994</v>
          </cell>
          <cell r="T98" t="str">
            <v>020173006948</v>
          </cell>
          <cell r="U98" t="str">
            <v>P Kỳ lừa - Lạng Sơn</v>
          </cell>
          <cell r="W98" t="str">
            <v>000841/LS-CCHN</v>
          </cell>
          <cell r="X98">
            <v>0</v>
          </cell>
          <cell r="Z98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98" t="str">
            <v/>
          </cell>
          <cell r="AC98" t="str">
            <v>0936392888</v>
          </cell>
          <cell r="AD98" t="str">
            <v>Kiêm nhiệm khoa Dinh dưỡng 01/10/2022</v>
          </cell>
        </row>
        <row r="99">
          <cell r="B99" t="str">
            <v>BV0953</v>
          </cell>
          <cell r="C99" t="str">
            <v>Hoàng Thị Hương</v>
          </cell>
          <cell r="D99" t="str">
            <v>BV0953</v>
          </cell>
          <cell r="E99" t="str">
            <v>x</v>
          </cell>
          <cell r="F99" t="str">
            <v>Hộ Lý</v>
          </cell>
          <cell r="G99" t="str">
            <v>TĐ047</v>
          </cell>
          <cell r="I99" t="str">
            <v>Hộ Lý</v>
          </cell>
          <cell r="J99" t="str">
            <v>Lão - CXK</v>
          </cell>
          <cell r="K99" t="str">
            <v>KP004</v>
          </cell>
          <cell r="N99" t="str">
            <v>HĐ có thời hạn</v>
          </cell>
          <cell r="O99">
            <v>44</v>
          </cell>
          <cell r="P99">
            <v>0</v>
          </cell>
          <cell r="Q99">
            <v>29945</v>
          </cell>
          <cell r="R99" t="str">
            <v>Tày</v>
          </cell>
          <cell r="S99" t="str">
            <v>03/09/2019</v>
          </cell>
          <cell r="T99" t="str">
            <v>020181000718</v>
          </cell>
          <cell r="U99" t="str">
            <v>P. Kỳ lừa. Lạng Sơn</v>
          </cell>
          <cell r="W99" t="str">
            <v/>
          </cell>
          <cell r="X99" t="str">
            <v/>
          </cell>
          <cell r="Z99" t="str">
            <v/>
          </cell>
          <cell r="AB99" t="str">
            <v/>
          </cell>
          <cell r="AC99">
            <v>615571288</v>
          </cell>
          <cell r="AD99" t="str">
            <v>Hợp đồng 03/09/2019</v>
          </cell>
        </row>
        <row r="100">
          <cell r="B100" t="str">
            <v>BV0090</v>
          </cell>
          <cell r="C100" t="str">
            <v>Đặng Huy Du</v>
          </cell>
          <cell r="D100" t="str">
            <v>BV0090</v>
          </cell>
          <cell r="F100" t="str">
            <v>BSCKII</v>
          </cell>
          <cell r="G100" t="str">
            <v>TĐ001</v>
          </cell>
          <cell r="H100" t="str">
            <v>Bác sĩ chính (hạng II)</v>
          </cell>
          <cell r="I100" t="str">
            <v>Bác sĩ chính (hạng II)</v>
          </cell>
          <cell r="J100" t="str">
            <v>Tâm thần - Thần kinh</v>
          </cell>
          <cell r="K100" t="str">
            <v>KP006</v>
          </cell>
          <cell r="L100" t="str">
            <v>Lãnh đạo đơn vị</v>
          </cell>
          <cell r="M100" t="str">
            <v>Phó giám đốc; phụ trách khoa TT-TK</v>
          </cell>
          <cell r="N100" t="str">
            <v>Viên chức</v>
          </cell>
          <cell r="O100">
            <v>53</v>
          </cell>
          <cell r="P100">
            <v>26605</v>
          </cell>
          <cell r="Q100">
            <v>0</v>
          </cell>
          <cell r="R100" t="str">
            <v>Tày</v>
          </cell>
          <cell r="S100" t="str">
            <v>20/4/1997</v>
          </cell>
          <cell r="T100" t="str">
            <v>020072008320</v>
          </cell>
          <cell r="U100" t="str">
            <v>Số 8, Phố Mỹ Sơn 1, Khối 8, Phường Đông Kinh, Tỉnh Lạng Sơn</v>
          </cell>
          <cell r="W100" t="str">
            <v>000106/LS-CCHN</v>
          </cell>
          <cell r="X100">
            <v>41088</v>
          </cell>
          <cell r="Z100" t="str">
            <v>Khám bệnh, chữa bệnh chuyên khoa Nội tổng hợp; Siêu âm, điện não đồ; Khám bệnh, chữa bệnh chuyên khoa Thần kinh.</v>
          </cell>
          <cell r="AB100" t="str">
            <v>21C.2; 18A.1; 18A.2; 01.0021; 03.0708; 03.4253; 18.0047;18.0501;18.0553;18.0554;18.0555;18.0558;18.0565;18.0566;18.0567;18.0562;18.0556;18.0564</v>
          </cell>
          <cell r="AC100">
            <v>913516948</v>
          </cell>
        </row>
        <row r="101">
          <cell r="B101" t="str">
            <v>BV0956</v>
          </cell>
          <cell r="C101" t="str">
            <v>Trịnh Thị Việt Hà</v>
          </cell>
          <cell r="D101" t="str">
            <v>BV0956</v>
          </cell>
          <cell r="E101" t="str">
            <v>x</v>
          </cell>
          <cell r="F101" t="str">
            <v>BSCKI</v>
          </cell>
          <cell r="G101" t="str">
            <v>TĐ003</v>
          </cell>
          <cell r="H101" t="str">
            <v>Bác sĩ chính (hạng II)</v>
          </cell>
          <cell r="I101" t="str">
            <v>Bác sĩ chính (hạng II)</v>
          </cell>
          <cell r="J101" t="str">
            <v>Tâm thần - Thần kinh</v>
          </cell>
          <cell r="K101" t="str">
            <v>KP006</v>
          </cell>
          <cell r="L101" t="str">
            <v>Lãnh đạo khoa, phòng</v>
          </cell>
          <cell r="M101" t="str">
            <v>Phó trưởng khoa</v>
          </cell>
          <cell r="N101" t="str">
            <v>Viên chức</v>
          </cell>
          <cell r="O101">
            <v>51</v>
          </cell>
          <cell r="P101">
            <v>0</v>
          </cell>
          <cell r="Q101">
            <v>27600</v>
          </cell>
          <cell r="R101" t="str">
            <v>Kinh</v>
          </cell>
          <cell r="S101" t="str">
            <v>19/07/2000</v>
          </cell>
          <cell r="T101" t="str">
            <v>020175004619</v>
          </cell>
          <cell r="U101" t="str">
            <v>104, Đèo Giang, Phường Lương Văn Tri, Tỉnh Lạng Sơn</v>
          </cell>
          <cell r="W101" t="str">
            <v>002936/LS-CCHN</v>
          </cell>
          <cell r="X101" t="str">
            <v>13/02/2015</v>
          </cell>
          <cell r="Z101" t="str">
            <v>Khám bệnh, chữa bệnh chuyên khoa Tâm thần - Thần kinh</v>
          </cell>
          <cell r="AB101" t="str">
            <v>02.0145;03.0138;02.0160</v>
          </cell>
          <cell r="AC101">
            <v>976328730</v>
          </cell>
          <cell r="AD101" t="str">
            <v>Chuyển đến 01/11/2019</v>
          </cell>
        </row>
        <row r="102">
          <cell r="B102" t="str">
            <v>BV0190</v>
          </cell>
          <cell r="C102" t="str">
            <v>Trịnh Xuân Trường</v>
          </cell>
          <cell r="D102" t="str">
            <v>BV0190</v>
          </cell>
          <cell r="F102" t="str">
            <v>BSCKI</v>
          </cell>
          <cell r="G102" t="str">
            <v>TĐ003</v>
          </cell>
          <cell r="H102" t="str">
            <v>Bác sĩ (hạng III)</v>
          </cell>
          <cell r="I102" t="str">
            <v>Bác sĩ (hạng III)</v>
          </cell>
          <cell r="J102" t="str">
            <v>Tâm thần - Thần kinh</v>
          </cell>
          <cell r="K102" t="str">
            <v>KP006</v>
          </cell>
          <cell r="L102" t="str">
            <v>Viên chức CMNV</v>
          </cell>
          <cell r="M102">
            <v>0</v>
          </cell>
          <cell r="N102" t="str">
            <v>Viên chức</v>
          </cell>
          <cell r="O102">
            <v>44</v>
          </cell>
          <cell r="P102">
            <v>30094</v>
          </cell>
          <cell r="Q102">
            <v>0</v>
          </cell>
          <cell r="R102" t="str">
            <v>Kinh</v>
          </cell>
          <cell r="S102" t="str">
            <v>30/10/2006</v>
          </cell>
          <cell r="T102" t="str">
            <v>020082002995</v>
          </cell>
          <cell r="U102" t="str">
            <v>90, Đèo Giang, Phường Lương Văn Tri, Tỉnh Lạng Sơn</v>
          </cell>
          <cell r="W102" t="str">
            <v>000911/LS-CCHN</v>
          </cell>
          <cell r="X102" t="str">
            <v>21/11/2019</v>
          </cell>
          <cell r="Z102" t="str">
            <v>Khám bệnh chữa bệnh Nội khoa</v>
          </cell>
          <cell r="AB102">
            <v>0</v>
          </cell>
          <cell r="AC102" t="str">
            <v>0982642288</v>
          </cell>
        </row>
        <row r="103">
          <cell r="B103" t="str">
            <v>BV0132</v>
          </cell>
          <cell r="C103" t="str">
            <v>Hoàng Thị Khảo</v>
          </cell>
          <cell r="D103" t="str">
            <v>BV0132</v>
          </cell>
          <cell r="E103" t="str">
            <v>x</v>
          </cell>
          <cell r="F103" t="str">
            <v>BSCKI</v>
          </cell>
          <cell r="G103" t="str">
            <v>TĐ003</v>
          </cell>
          <cell r="H103" t="str">
            <v>Bác sĩ (hạng III)</v>
          </cell>
          <cell r="I103" t="str">
            <v>Bác sĩ (hạng III)</v>
          </cell>
          <cell r="J103" t="str">
            <v>Tâm thần - Thần kinh</v>
          </cell>
          <cell r="K103" t="str">
            <v>KP006</v>
          </cell>
          <cell r="L103" t="str">
            <v>Viên chức CMNV</v>
          </cell>
          <cell r="M103">
            <v>0</v>
          </cell>
          <cell r="N103" t="str">
            <v>Viên chức</v>
          </cell>
          <cell r="O103">
            <v>42</v>
          </cell>
          <cell r="P103">
            <v>0</v>
          </cell>
          <cell r="Q103">
            <v>30609</v>
          </cell>
          <cell r="R103" t="str">
            <v>Nùng</v>
          </cell>
          <cell r="S103" t="str">
            <v>30/10/2006</v>
          </cell>
          <cell r="T103" t="str">
            <v>020183001920</v>
          </cell>
          <cell r="U103" t="str">
            <v>Xã Nhân Lý, Tỉnh Lạng Sơn</v>
          </cell>
          <cell r="W103" t="str">
            <v>000827/LS-CCHN</v>
          </cell>
          <cell r="X103" t="str">
            <v>24/06/2013</v>
          </cell>
          <cell r="Z103" t="str">
            <v>Khám bệnh chữa bệnh Nội khoa; chuyên khoa Thần kinh</v>
          </cell>
          <cell r="AB103">
            <v>0</v>
          </cell>
          <cell r="AC103" t="str">
            <v>0382193368</v>
          </cell>
        </row>
        <row r="104">
          <cell r="B104" t="str">
            <v>BV1111</v>
          </cell>
          <cell r="C104" t="str">
            <v>Triệu Đoàn Thùy Linh</v>
          </cell>
          <cell r="D104" t="str">
            <v>BV1111</v>
          </cell>
          <cell r="E104" t="str">
            <v>x</v>
          </cell>
          <cell r="F104" t="str">
            <v>Bác sĩ</v>
          </cell>
          <cell r="G104" t="str">
            <v>TĐ005</v>
          </cell>
          <cell r="I104" t="str">
            <v>Bác sĩ (hạng III)</v>
          </cell>
          <cell r="J104" t="str">
            <v>Tâm thần - Thần kinh</v>
          </cell>
          <cell r="K104" t="str">
            <v>KP006</v>
          </cell>
          <cell r="N104" t="str">
            <v>Viên chức</v>
          </cell>
          <cell r="O104">
            <v>29</v>
          </cell>
          <cell r="P104">
            <v>0</v>
          </cell>
          <cell r="Q104">
            <v>35318</v>
          </cell>
          <cell r="R104" t="str">
            <v>Nùng</v>
          </cell>
          <cell r="S104" t="str">
            <v>25/1/2021</v>
          </cell>
          <cell r="T104" t="str">
            <v>020196005109</v>
          </cell>
          <cell r="U104" t="str">
            <v>Khối 3, Phường Đông Kinh, Tỉnh Lạng Sơn</v>
          </cell>
          <cell r="W104" t="str">
            <v>005495/LS-CCHN</v>
          </cell>
          <cell r="X104" t="str">
            <v>16/11/2022</v>
          </cell>
          <cell r="Z104" t="str">
            <v>Khám bệnh, chữa bệnh chuyên khoa Nội</v>
          </cell>
          <cell r="AB104">
            <v>0</v>
          </cell>
          <cell r="AC104">
            <v>375183876</v>
          </cell>
          <cell r="AD104" t="str">
            <v>Thử việc 25/01-28/02/2021, Viên chức từ 15/6/2026</v>
          </cell>
        </row>
        <row r="105">
          <cell r="B105" t="str">
            <v>BV1159</v>
          </cell>
          <cell r="C105" t="str">
            <v>Bùi Thị Thu Hà</v>
          </cell>
          <cell r="D105" t="str">
            <v>BV1159</v>
          </cell>
          <cell r="E105" t="str">
            <v>x</v>
          </cell>
          <cell r="F105" t="str">
            <v>Bác sĩ</v>
          </cell>
          <cell r="G105" t="str">
            <v>TĐ005</v>
          </cell>
          <cell r="I105" t="str">
            <v>Bác sĩ (hạng III)</v>
          </cell>
          <cell r="J105" t="str">
            <v>Tâm thần - Thần kinh</v>
          </cell>
          <cell r="K105" t="str">
            <v>KP006</v>
          </cell>
          <cell r="N105" t="str">
            <v>Viên chức</v>
          </cell>
          <cell r="O105">
            <v>31</v>
          </cell>
          <cell r="P105">
            <v>0</v>
          </cell>
          <cell r="Q105" t="str">
            <v>17/9/1994</v>
          </cell>
          <cell r="R105" t="str">
            <v>Tày</v>
          </cell>
          <cell r="S105">
            <v>44445</v>
          </cell>
          <cell r="T105" t="str">
            <v>020194011727</v>
          </cell>
          <cell r="U105" t="str">
            <v>Khu Hòa Bình, Xã Lộc Bình, Tỉnh Lạng Sơn</v>
          </cell>
          <cell r="W105" t="str">
            <v>005588/LS-CCHN</v>
          </cell>
          <cell r="X105" t="str">
            <v xml:space="preserve"> 15/05/2023</v>
          </cell>
          <cell r="Z105" t="str">
            <v>Khám bệnh, chữa bệnh chuyên khoa Nội</v>
          </cell>
          <cell r="AB105">
            <v>0</v>
          </cell>
          <cell r="AC105" t="str">
            <v>0975410857</v>
          </cell>
          <cell r="AD105" t="str">
            <v>Thử việc 6/9/2021, Viên chức từ 15/6/2026</v>
          </cell>
        </row>
        <row r="106">
          <cell r="B106" t="str">
            <v>BV1232</v>
          </cell>
          <cell r="C106" t="str">
            <v>Hoàng Thu Hoài</v>
          </cell>
          <cell r="D106" t="str">
            <v>BV1232</v>
          </cell>
          <cell r="E106" t="str">
            <v>x</v>
          </cell>
          <cell r="F106" t="str">
            <v>Bác sĩ</v>
          </cell>
          <cell r="G106" t="str">
            <v>TĐ005</v>
          </cell>
          <cell r="I106" t="str">
            <v>Bác sĩ (hạng III)</v>
          </cell>
          <cell r="J106" t="str">
            <v>Tâm thần - Thần kinh</v>
          </cell>
          <cell r="K106" t="str">
            <v>KP006</v>
          </cell>
          <cell r="N106" t="str">
            <v>Viên chức</v>
          </cell>
          <cell r="O106">
            <v>29</v>
          </cell>
          <cell r="P106">
            <v>0</v>
          </cell>
          <cell r="Q106" t="str">
            <v>06/12/1996</v>
          </cell>
          <cell r="R106" t="str">
            <v>Nùng</v>
          </cell>
          <cell r="S106">
            <v>45030</v>
          </cell>
          <cell r="T106" t="str">
            <v>020196004694</v>
          </cell>
          <cell r="U106" t="str">
            <v>Xã Tân Văn, Tỉnh Lạng Sơn</v>
          </cell>
          <cell r="V106">
            <v>45579</v>
          </cell>
          <cell r="W106" t="str">
            <v>000195/LS-GPHN</v>
          </cell>
          <cell r="X106">
            <v>45657</v>
          </cell>
          <cell r="Z106" t="str">
            <v>Nội khoa</v>
          </cell>
          <cell r="AB106">
            <v>0</v>
          </cell>
          <cell r="AC106" t="str">
            <v>0377424765</v>
          </cell>
          <cell r="AD106" t="str">
            <v>Thử việc 14/4/2023, Viên chức từ 15/6/2026</v>
          </cell>
        </row>
        <row r="107">
          <cell r="B107" t="str">
            <v>BV1051</v>
          </cell>
          <cell r="C107" t="str">
            <v>Sầm Thị Minh Thơ</v>
          </cell>
          <cell r="D107" t="str">
            <v>BV1051</v>
          </cell>
          <cell r="E107" t="str">
            <v>x</v>
          </cell>
          <cell r="F107" t="str">
            <v>Điều dưỡng ĐH</v>
          </cell>
          <cell r="G107" t="str">
            <v>TĐ011</v>
          </cell>
          <cell r="I107" t="str">
            <v>Điều dưỡng (hạng III)</v>
          </cell>
          <cell r="J107" t="str">
            <v>Tâm thần - Thần kinh</v>
          </cell>
          <cell r="K107" t="str">
            <v>KP006</v>
          </cell>
          <cell r="N107" t="str">
            <v>Viên chức</v>
          </cell>
          <cell r="O107">
            <v>39</v>
          </cell>
          <cell r="P107">
            <v>0</v>
          </cell>
          <cell r="Q107" t="str">
            <v>03/04/1987</v>
          </cell>
          <cell r="R107" t="str">
            <v>Nùng</v>
          </cell>
          <cell r="S107" t="str">
            <v>13/7/2020</v>
          </cell>
          <cell r="T107" t="str">
            <v>020187003172</v>
          </cell>
          <cell r="U107" t="str">
            <v>Xã Hoàng Văn Thụ, Tỉnh Lạng Sơn</v>
          </cell>
          <cell r="W107" t="str">
            <v>004307/LS-CCHN</v>
          </cell>
          <cell r="X107" t="str">
            <v>20/07/2021</v>
          </cell>
          <cell r="Z10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07">
            <v>0</v>
          </cell>
          <cell r="AC107" t="str">
            <v>0988109010</v>
          </cell>
          <cell r="AD107" t="str">
            <v>Thử việc từ 13/7/2020, Viên chức từ 15/6/2026</v>
          </cell>
        </row>
        <row r="108">
          <cell r="B108" t="str">
            <v>BV0102</v>
          </cell>
          <cell r="C108" t="str">
            <v>Vi Thị Hiếu</v>
          </cell>
          <cell r="D108" t="str">
            <v>BV0102</v>
          </cell>
          <cell r="E108" t="str">
            <v>x</v>
          </cell>
          <cell r="F108" t="str">
            <v>Điều dưỡng ĐH</v>
          </cell>
          <cell r="G108" t="str">
            <v>TĐ011</v>
          </cell>
          <cell r="H108" t="str">
            <v>Điều dưỡng (hạng III)</v>
          </cell>
          <cell r="I108" t="str">
            <v>Điều dưỡng (hạng III)</v>
          </cell>
          <cell r="J108" t="str">
            <v>Tâm thần - Thần kinh</v>
          </cell>
          <cell r="K108" t="str">
            <v>KP006</v>
          </cell>
          <cell r="L108" t="str">
            <v>Lãnh đạo khoa, phòng</v>
          </cell>
          <cell r="M108" t="str">
            <v>Điều dưỡng trưởng</v>
          </cell>
          <cell r="N108" t="str">
            <v>Viên chức</v>
          </cell>
          <cell r="O108">
            <v>36</v>
          </cell>
          <cell r="P108">
            <v>0</v>
          </cell>
          <cell r="Q108">
            <v>32868</v>
          </cell>
          <cell r="R108" t="str">
            <v>Tày</v>
          </cell>
          <cell r="S108" t="str">
            <v>05/6/2013</v>
          </cell>
          <cell r="T108" t="str">
            <v>020189002910</v>
          </cell>
          <cell r="U108" t="str">
            <v>Khối Khòn Khuyên, Phường Đông Kinh, Tỉnh Lạng Sơn</v>
          </cell>
          <cell r="W108" t="str">
            <v>000405/LS-CCHN</v>
          </cell>
          <cell r="X108" t="str">
            <v>11/01/2023</v>
          </cell>
          <cell r="Z10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08">
            <v>0</v>
          </cell>
          <cell r="AC108" t="str">
            <v>0396890558</v>
          </cell>
        </row>
        <row r="109">
          <cell r="B109" t="str">
            <v>BV0103</v>
          </cell>
          <cell r="C109" t="str">
            <v>Nông Văn Đào</v>
          </cell>
          <cell r="D109" t="str">
            <v>BV0103</v>
          </cell>
          <cell r="F109" t="str">
            <v>Điều dưỡng CĐ</v>
          </cell>
          <cell r="G109" t="str">
            <v>TĐ012</v>
          </cell>
          <cell r="H109" t="str">
            <v>Điều dưỡng (hạng IV)</v>
          </cell>
          <cell r="I109" t="str">
            <v>Điều dưỡng (hạng IV)</v>
          </cell>
          <cell r="J109" t="str">
            <v>Tâm thần - Thần kinh</v>
          </cell>
          <cell r="K109" t="str">
            <v>KP006</v>
          </cell>
          <cell r="L109" t="str">
            <v>Viên chức CMNV</v>
          </cell>
          <cell r="M109">
            <v>0</v>
          </cell>
          <cell r="N109" t="str">
            <v>Viên chức</v>
          </cell>
          <cell r="O109">
            <v>34</v>
          </cell>
          <cell r="P109">
            <v>33531</v>
          </cell>
          <cell r="Q109">
            <v>0</v>
          </cell>
          <cell r="R109" t="str">
            <v>Nùng</v>
          </cell>
          <cell r="S109" t="str">
            <v>01/11/2014</v>
          </cell>
          <cell r="T109" t="str">
            <v>020091005235</v>
          </cell>
          <cell r="U109" t="str">
            <v>Xã Vạn Linh, Tỉnh Lạng Sơn</v>
          </cell>
          <cell r="W109" t="str">
            <v>003320/LS-CCHN</v>
          </cell>
          <cell r="X109" t="str">
            <v>20/07/2018</v>
          </cell>
          <cell r="Z10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09">
            <v>0</v>
          </cell>
          <cell r="AC109" t="str">
            <v>0868150866</v>
          </cell>
        </row>
        <row r="110">
          <cell r="B110" t="str">
            <v>BV0868</v>
          </cell>
          <cell r="C110" t="str">
            <v>Nguyễn Thị Trang</v>
          </cell>
          <cell r="D110" t="str">
            <v>BV0868</v>
          </cell>
          <cell r="E110" t="str">
            <v>x</v>
          </cell>
          <cell r="F110" t="str">
            <v>Điều dưỡng CĐ</v>
          </cell>
          <cell r="G110" t="str">
            <v>TĐ012</v>
          </cell>
          <cell r="I110" t="str">
            <v>Điều dưỡng (hạng IV)</v>
          </cell>
          <cell r="J110" t="str">
            <v>Tâm thần - Thần kinh</v>
          </cell>
          <cell r="K110" t="str">
            <v>KP006</v>
          </cell>
          <cell r="N110" t="str">
            <v>Viên chức</v>
          </cell>
          <cell r="O110">
            <v>29</v>
          </cell>
          <cell r="P110">
            <v>0</v>
          </cell>
          <cell r="Q110">
            <v>35598</v>
          </cell>
          <cell r="R110" t="str">
            <v>Tày</v>
          </cell>
          <cell r="S110" t="str">
            <v>01/11/2018</v>
          </cell>
          <cell r="T110" t="str">
            <v>020197001187</v>
          </cell>
          <cell r="U110" t="str">
            <v>Khối 9, Phường Đông Kinh, Tỉnh Lạng Sơn</v>
          </cell>
          <cell r="W110" t="str">
            <v>003675/LS-CCHN</v>
          </cell>
          <cell r="X110" t="str">
            <v>22/01/2020</v>
          </cell>
          <cell r="Z11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10">
            <v>0</v>
          </cell>
          <cell r="AC110" t="str">
            <v>0817399280</v>
          </cell>
          <cell r="AD110" t="str">
            <v>Thử việc T11/2018; đỗ VC 20/5/2026</v>
          </cell>
        </row>
        <row r="111">
          <cell r="B111" t="str">
            <v>BV0901</v>
          </cell>
          <cell r="C111" t="str">
            <v>Hoàng Thị Khuyên</v>
          </cell>
          <cell r="D111" t="str">
            <v>BV0901</v>
          </cell>
          <cell r="E111" t="str">
            <v>x</v>
          </cell>
          <cell r="F111" t="str">
            <v>Điều dưỡng CĐ</v>
          </cell>
          <cell r="G111" t="str">
            <v>TĐ012</v>
          </cell>
          <cell r="I111" t="str">
            <v>Điều dưỡng (hạng IV)</v>
          </cell>
          <cell r="J111" t="str">
            <v>Tâm thần - Thần kinh</v>
          </cell>
          <cell r="K111" t="str">
            <v>KP006</v>
          </cell>
          <cell r="N111" t="str">
            <v>Viên chức</v>
          </cell>
          <cell r="O111">
            <v>29</v>
          </cell>
          <cell r="P111">
            <v>0</v>
          </cell>
          <cell r="Q111" t="str">
            <v>20/11/1996</v>
          </cell>
          <cell r="R111" t="str">
            <v>Tày</v>
          </cell>
          <cell r="S111" t="str">
            <v>17/4/2019</v>
          </cell>
          <cell r="T111" t="str">
            <v>020196003543</v>
          </cell>
          <cell r="U111" t="str">
            <v>Thôn Đồng Én, Phường Tam Thanh, Tỉnh Lạng Sơn</v>
          </cell>
          <cell r="W111" t="str">
            <v>004118/LS-CCHN</v>
          </cell>
          <cell r="X111" t="str">
            <v>08/02/2020</v>
          </cell>
          <cell r="Z111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11">
            <v>0</v>
          </cell>
          <cell r="AC111" t="str">
            <v>0368173921</v>
          </cell>
          <cell r="AD111" t="str">
            <v>Thử việc 17/4/2019-31/5/2019; đỗ VC 20/5/2026</v>
          </cell>
        </row>
        <row r="112">
          <cell r="B112" t="str">
            <v>BV0975</v>
          </cell>
          <cell r="C112" t="str">
            <v>Vi Thị Hoa</v>
          </cell>
          <cell r="D112" t="str">
            <v>BV0975</v>
          </cell>
          <cell r="E112" t="str">
            <v>x</v>
          </cell>
          <cell r="F112" t="str">
            <v>Điều dưỡng CĐ</v>
          </cell>
          <cell r="G112" t="str">
            <v>TĐ012</v>
          </cell>
          <cell r="I112" t="str">
            <v>Điều dưỡng (hạng IV)</v>
          </cell>
          <cell r="J112" t="str">
            <v>Tâm thần - Thần kinh</v>
          </cell>
          <cell r="K112" t="str">
            <v>KP006</v>
          </cell>
          <cell r="N112" t="str">
            <v>Viên chức</v>
          </cell>
          <cell r="O112">
            <v>28</v>
          </cell>
          <cell r="P112">
            <v>0</v>
          </cell>
          <cell r="Q112" t="str">
            <v>14/10/1997</v>
          </cell>
          <cell r="R112" t="str">
            <v>Nùng</v>
          </cell>
          <cell r="S112" t="str">
            <v>02/12/2019</v>
          </cell>
          <cell r="T112" t="str">
            <v>020197005891</v>
          </cell>
          <cell r="U112" t="str">
            <v>Thôn Ngọc Quyến, Xã Bình Gia, Tỉnh Lạng Sơn</v>
          </cell>
          <cell r="W112" t="str">
            <v>004156/LS-CCHN</v>
          </cell>
          <cell r="X112" t="str">
            <v>06/04/2021</v>
          </cell>
          <cell r="Z11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12">
            <v>0</v>
          </cell>
          <cell r="AD112" t="str">
            <v>Thử việc 02/12/2019, Viên chức từ 15/6/2026</v>
          </cell>
        </row>
        <row r="113">
          <cell r="B113" t="str">
            <v>BV1084</v>
          </cell>
          <cell r="C113" t="str">
            <v>Lộc Thị Chang</v>
          </cell>
          <cell r="D113" t="str">
            <v>BV1084</v>
          </cell>
          <cell r="E113" t="str">
            <v>x</v>
          </cell>
          <cell r="F113" t="str">
            <v>Điều dưỡng CĐ</v>
          </cell>
          <cell r="G113" t="str">
            <v>TĐ012</v>
          </cell>
          <cell r="I113" t="str">
            <v>Điều dưỡng (hạng IV)</v>
          </cell>
          <cell r="J113" t="str">
            <v>Tâm thần - Thần kinh</v>
          </cell>
          <cell r="K113" t="str">
            <v>KP006</v>
          </cell>
          <cell r="N113" t="str">
            <v>Viên chức</v>
          </cell>
          <cell r="O113">
            <v>37</v>
          </cell>
          <cell r="P113">
            <v>0</v>
          </cell>
          <cell r="Q113" t="str">
            <v>16/01/1989</v>
          </cell>
          <cell r="R113" t="str">
            <v>Nùng</v>
          </cell>
          <cell r="S113" t="str">
            <v>03/11/2020</v>
          </cell>
          <cell r="T113" t="str">
            <v>020189007384</v>
          </cell>
          <cell r="U113" t="str">
            <v>Xã Lộc Bình, Tỉnh Lạng Sơn</v>
          </cell>
          <cell r="W113" t="str">
            <v>004543/LS-CCHN</v>
          </cell>
          <cell r="X113" t="str">
            <v>26/05/2022</v>
          </cell>
          <cell r="Z11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13">
            <v>0</v>
          </cell>
          <cell r="AC113" t="str">
            <v>0396816358</v>
          </cell>
          <cell r="AD113" t="str">
            <v>Thử việc 03/11/2020, Viên chức từ 15/6/2026</v>
          </cell>
        </row>
        <row r="114">
          <cell r="B114" t="str">
            <v>BV0112</v>
          </cell>
          <cell r="C114" t="str">
            <v>Hoàng Thị Mai Vân</v>
          </cell>
          <cell r="D114" t="str">
            <v>BV0112</v>
          </cell>
          <cell r="E114" t="str">
            <v>x</v>
          </cell>
          <cell r="F114" t="str">
            <v>Điều dưỡng CĐ</v>
          </cell>
          <cell r="G114" t="str">
            <v>TĐ012</v>
          </cell>
          <cell r="H114" t="str">
            <v>Điều dưỡng (hạng IV)</v>
          </cell>
          <cell r="I114" t="str">
            <v>Điều dưỡng (hạng IV)</v>
          </cell>
          <cell r="J114" t="str">
            <v>Tâm thần - Thần kinh</v>
          </cell>
          <cell r="K114" t="str">
            <v>KP006</v>
          </cell>
          <cell r="L114" t="str">
            <v>Viên chức CMNV</v>
          </cell>
          <cell r="M114">
            <v>0</v>
          </cell>
          <cell r="N114" t="str">
            <v>Viên chức</v>
          </cell>
          <cell r="O114">
            <v>42</v>
          </cell>
          <cell r="P114">
            <v>0</v>
          </cell>
          <cell r="Q114">
            <v>30547</v>
          </cell>
          <cell r="R114" t="str">
            <v>Tày</v>
          </cell>
          <cell r="S114" t="str">
            <v>01/12/2008</v>
          </cell>
          <cell r="T114" t="str">
            <v>020183010171</v>
          </cell>
          <cell r="U114" t="str">
            <v>Khối 4, Phường Đông Kinh, Tỉnh Lạng Sơn</v>
          </cell>
          <cell r="W114" t="str">
            <v>000804/LS-CCHN</v>
          </cell>
          <cell r="X114" t="str">
            <v>11/01/2023</v>
          </cell>
          <cell r="Z11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14">
            <v>0</v>
          </cell>
          <cell r="AC114" t="str">
            <v>0976840683</v>
          </cell>
        </row>
        <row r="115">
          <cell r="B115" t="str">
            <v>BV0109</v>
          </cell>
          <cell r="C115" t="str">
            <v>Đặng Thị Kiều</v>
          </cell>
          <cell r="D115" t="str">
            <v>BV0109</v>
          </cell>
          <cell r="E115" t="str">
            <v>x</v>
          </cell>
          <cell r="F115" t="str">
            <v>Điều dưỡng CĐ</v>
          </cell>
          <cell r="G115" t="str">
            <v>TĐ012</v>
          </cell>
          <cell r="H115" t="str">
            <v>Điều dưỡng (hạng IV)</v>
          </cell>
          <cell r="I115" t="str">
            <v>Điều dưỡng (hạng IV)</v>
          </cell>
          <cell r="J115" t="str">
            <v>Tâm thần - Thần kinh</v>
          </cell>
          <cell r="K115" t="str">
            <v>KP006</v>
          </cell>
          <cell r="L115" t="str">
            <v>Viên chức CMNV</v>
          </cell>
          <cell r="M115">
            <v>0</v>
          </cell>
          <cell r="N115" t="str">
            <v>Viên chức</v>
          </cell>
          <cell r="O115">
            <v>52</v>
          </cell>
          <cell r="P115">
            <v>0</v>
          </cell>
          <cell r="Q115">
            <v>27230</v>
          </cell>
          <cell r="R115" t="str">
            <v>Kinh</v>
          </cell>
          <cell r="S115" t="str">
            <v>19/01/2005</v>
          </cell>
          <cell r="T115" t="str">
            <v>033174005246</v>
          </cell>
          <cell r="U115" t="str">
            <v>Số 22, Thác Mạ 6, khối 9, Phường Đông Kinh, Tỉnh Lạng Sơn</v>
          </cell>
          <cell r="W115" t="str">
            <v>000805/LS-CCHN</v>
          </cell>
          <cell r="X115" t="str">
            <v>11/01/2023</v>
          </cell>
          <cell r="Z11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15">
            <v>0</v>
          </cell>
          <cell r="AC115" t="str">
            <v>0976328304</v>
          </cell>
        </row>
        <row r="116">
          <cell r="B116" t="str">
            <v>BV1149</v>
          </cell>
          <cell r="C116" t="str">
            <v>Toàn Thu Linh</v>
          </cell>
          <cell r="D116" t="str">
            <v>BV1149</v>
          </cell>
          <cell r="E116" t="str">
            <v>x</v>
          </cell>
          <cell r="F116" t="str">
            <v>Điều dưỡng CĐ</v>
          </cell>
          <cell r="G116" t="str">
            <v>TĐ012</v>
          </cell>
          <cell r="I116" t="str">
            <v>Điều dưỡng (hạng IV)</v>
          </cell>
          <cell r="J116" t="str">
            <v>Tâm thần - Thần kinh</v>
          </cell>
          <cell r="K116" t="str">
            <v>KP006</v>
          </cell>
          <cell r="N116" t="str">
            <v>Viên chức</v>
          </cell>
          <cell r="O116">
            <v>38</v>
          </cell>
          <cell r="P116">
            <v>0</v>
          </cell>
          <cell r="Q116" t="str">
            <v>04/3/1988</v>
          </cell>
          <cell r="R116" t="str">
            <v>Tày</v>
          </cell>
          <cell r="S116" t="str">
            <v>23/8/2021</v>
          </cell>
          <cell r="T116" t="str">
            <v>020188009130</v>
          </cell>
          <cell r="U116" t="str">
            <v>Khối 9, Phường Kỳ Lừa, Tỉnh Lạng Sơn</v>
          </cell>
          <cell r="W116" t="str">
            <v>000818/LS-CCHN</v>
          </cell>
          <cell r="X116" t="str">
            <v>11/01/2023</v>
          </cell>
          <cell r="Z11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16">
            <v>0</v>
          </cell>
          <cell r="AC116" t="str">
            <v>0985764680</v>
          </cell>
          <cell r="AD116" t="str">
            <v>Thử việc 23/8/2021, Viên chức từ 15/6/2026</v>
          </cell>
        </row>
        <row r="117">
          <cell r="B117" t="str">
            <v>BV0114</v>
          </cell>
          <cell r="C117" t="str">
            <v>Lăng Thị Huệ</v>
          </cell>
          <cell r="D117" t="str">
            <v>BV0114</v>
          </cell>
          <cell r="E117" t="str">
            <v>x</v>
          </cell>
          <cell r="F117" t="str">
            <v>Điều dưỡng CĐ</v>
          </cell>
          <cell r="G117" t="str">
            <v>TĐ012</v>
          </cell>
          <cell r="H117" t="str">
            <v>Điều dưỡng (hạng IV)</v>
          </cell>
          <cell r="I117" t="str">
            <v>Điều dưỡng (hạng IV)</v>
          </cell>
          <cell r="J117" t="str">
            <v>Tâm thần - Thần kinh</v>
          </cell>
          <cell r="K117" t="str">
            <v>KP006</v>
          </cell>
          <cell r="L117" t="str">
            <v>Viên chức CMNV</v>
          </cell>
          <cell r="M117">
            <v>0</v>
          </cell>
          <cell r="N117" t="str">
            <v>Viên chức</v>
          </cell>
          <cell r="O117">
            <v>36</v>
          </cell>
          <cell r="P117">
            <v>0</v>
          </cell>
          <cell r="Q117">
            <v>32764</v>
          </cell>
          <cell r="R117" t="str">
            <v>Tày</v>
          </cell>
          <cell r="S117" t="str">
            <v>1/12/2010</v>
          </cell>
          <cell r="T117" t="str">
            <v>020189011934</v>
          </cell>
          <cell r="U117" t="str">
            <v>Xã Điềm He, Tỉnh Lạng Sơn</v>
          </cell>
          <cell r="W117" t="str">
            <v>000813/LS-CCHN</v>
          </cell>
          <cell r="X117" t="str">
            <v>11/01/2023</v>
          </cell>
          <cell r="Z11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17">
            <v>0</v>
          </cell>
          <cell r="AC117" t="str">
            <v>0989614322</v>
          </cell>
        </row>
        <row r="118">
          <cell r="B118" t="str">
            <v>BV1010</v>
          </cell>
          <cell r="C118" t="str">
            <v>Đặng Thị Thoa</v>
          </cell>
          <cell r="D118" t="str">
            <v>BV1010</v>
          </cell>
          <cell r="E118" t="str">
            <v>x</v>
          </cell>
          <cell r="F118" t="str">
            <v>Hộ lý</v>
          </cell>
          <cell r="G118" t="str">
            <v>TĐ047</v>
          </cell>
          <cell r="I118" t="str">
            <v>Hộ lý</v>
          </cell>
          <cell r="J118" t="str">
            <v>Tâm thần - Thần kinh</v>
          </cell>
          <cell r="K118" t="str">
            <v>KP006</v>
          </cell>
          <cell r="N118" t="str">
            <v>HĐ có thời hạn</v>
          </cell>
          <cell r="O118">
            <v>53</v>
          </cell>
          <cell r="P118">
            <v>0</v>
          </cell>
          <cell r="Q118" t="str">
            <v>31/7/1973</v>
          </cell>
          <cell r="R118" t="str">
            <v>Kinh</v>
          </cell>
          <cell r="S118" t="str">
            <v>12/4/2020</v>
          </cell>
          <cell r="T118" t="str">
            <v>020173008566</v>
          </cell>
          <cell r="U118" t="str">
            <v>Khối Quán Hồ, Phường Tam Thanh, Tỉnh Lạng Sơn</v>
          </cell>
          <cell r="W118" t="str">
            <v/>
          </cell>
          <cell r="X118" t="str">
            <v/>
          </cell>
          <cell r="Z118" t="str">
            <v/>
          </cell>
          <cell r="AB118" t="str">
            <v/>
          </cell>
          <cell r="AC118" t="str">
            <v>0336366477</v>
          </cell>
          <cell r="AD118" t="str">
            <v>Hợp đồng từ 12/4/2020</v>
          </cell>
        </row>
        <row r="119">
          <cell r="B119" t="str">
            <v>BV0051</v>
          </cell>
          <cell r="C119" t="str">
            <v>Đỗ Quang Hiếu</v>
          </cell>
          <cell r="D119" t="str">
            <v>BV0051</v>
          </cell>
          <cell r="F119" t="str">
            <v>BSCKI</v>
          </cell>
          <cell r="G119" t="str">
            <v>TĐ003</v>
          </cell>
          <cell r="H119" t="str">
            <v>Bác sĩ chính (hạng II)</v>
          </cell>
          <cell r="I119" t="str">
            <v>Bác sĩ chính (hạng II)</v>
          </cell>
          <cell r="J119" t="str">
            <v>Nội Tổng hợp</v>
          </cell>
          <cell r="K119" t="str">
            <v>KP007</v>
          </cell>
          <cell r="L119" t="str">
            <v>Lãnh đạo khoa, phòng</v>
          </cell>
          <cell r="M119" t="str">
            <v>Phó trưởng khoa/giao phụ trách khoa</v>
          </cell>
          <cell r="N119" t="str">
            <v>Viên chức</v>
          </cell>
          <cell r="O119">
            <v>35</v>
          </cell>
          <cell r="P119">
            <v>33232</v>
          </cell>
          <cell r="Q119">
            <v>0</v>
          </cell>
          <cell r="R119" t="str">
            <v>Nùng</v>
          </cell>
          <cell r="S119" t="str">
            <v>01/11/2014</v>
          </cell>
          <cell r="T119" t="str">
            <v>020090004711</v>
          </cell>
          <cell r="U119" t="str">
            <v xml:space="preserve">Đường Bông Lau, Khối 14, Phường Kỳ Lừa, Tỉnh Lạng Sơn </v>
          </cell>
          <cell r="W119" t="str">
            <v>000543/LS-CCHN</v>
          </cell>
          <cell r="X119" t="str">
            <v>13/10/2016</v>
          </cell>
          <cell r="Z119" t="str">
            <v>Khám bệnh, chữa bệnh Nội khoa, Hồi sức cấp cứu</v>
          </cell>
          <cell r="AB119" t="str">
            <v>01.0174;01.0175</v>
          </cell>
          <cell r="AC119">
            <v>389908570</v>
          </cell>
        </row>
        <row r="120">
          <cell r="B120" t="str">
            <v>BV0777</v>
          </cell>
          <cell r="C120" t="str">
            <v>Bế Thị Ly La</v>
          </cell>
          <cell r="D120" t="str">
            <v>BV0777</v>
          </cell>
          <cell r="E120" t="str">
            <v>x</v>
          </cell>
          <cell r="F120" t="str">
            <v>BSCKI</v>
          </cell>
          <cell r="G120" t="str">
            <v>TĐ003</v>
          </cell>
          <cell r="H120" t="str">
            <v>Bác sĩ (hạng III)</v>
          </cell>
          <cell r="I120" t="str">
            <v>Bác sĩ (hạng III)</v>
          </cell>
          <cell r="J120" t="str">
            <v>Nội Tổng hợp</v>
          </cell>
          <cell r="K120" t="str">
            <v>KP007</v>
          </cell>
          <cell r="L120" t="str">
            <v>Viên chức CMNV</v>
          </cell>
          <cell r="M120">
            <v>0</v>
          </cell>
          <cell r="N120" t="str">
            <v>Viên chức</v>
          </cell>
          <cell r="O120">
            <v>34</v>
          </cell>
          <cell r="P120">
            <v>0</v>
          </cell>
          <cell r="Q120">
            <v>33817</v>
          </cell>
          <cell r="R120" t="str">
            <v>Nùng</v>
          </cell>
          <cell r="S120" t="str">
            <v>20/3/2018</v>
          </cell>
          <cell r="T120" t="str">
            <v>020192000497</v>
          </cell>
          <cell r="U120" t="str">
            <v>Thôn Khơ Đa, xã Hoàng Văn Thụ</v>
          </cell>
          <cell r="W120" t="str">
            <v>003440/LS-CCHN</v>
          </cell>
          <cell r="X120" t="str">
            <v>21/08/2019</v>
          </cell>
          <cell r="Z120" t="str">
            <v>Khám bệnh, chữa bệnh Nội khoa</v>
          </cell>
          <cell r="AB120" t="str">
            <v>01.0002</v>
          </cell>
          <cell r="AC120" t="str">
            <v>0388771108</v>
          </cell>
          <cell r="AD120" t="str">
            <v>HĐ 9/2017; BC 20/3/2018</v>
          </cell>
        </row>
        <row r="121">
          <cell r="B121" t="str">
            <v>BV0005</v>
          </cell>
          <cell r="C121" t="str">
            <v>Hoàng Văn Hiệp</v>
          </cell>
          <cell r="D121" t="str">
            <v>BV0005</v>
          </cell>
          <cell r="F121" t="str">
            <v>Thạc sỹ</v>
          </cell>
          <cell r="G121" t="str">
            <v>TĐ004</v>
          </cell>
          <cell r="H121" t="str">
            <v>Bác sĩ chính (hạng II)</v>
          </cell>
          <cell r="I121" t="str">
            <v>Bác sĩ chính (hạng II)</v>
          </cell>
          <cell r="J121" t="str">
            <v>Nội Tổng hợp</v>
          </cell>
          <cell r="K121" t="str">
            <v>KP007</v>
          </cell>
          <cell r="L121" t="str">
            <v>Viên chức CMNV</v>
          </cell>
          <cell r="M121">
            <v>0</v>
          </cell>
          <cell r="N121" t="str">
            <v>Viên chức</v>
          </cell>
          <cell r="O121">
            <v>58</v>
          </cell>
          <cell r="P121">
            <v>24936</v>
          </cell>
          <cell r="Q121">
            <v>0</v>
          </cell>
          <cell r="R121" t="str">
            <v>Tày</v>
          </cell>
          <cell r="S121" t="str">
            <v>29/7/1991</v>
          </cell>
          <cell r="T121" t="str">
            <v>020068001744</v>
          </cell>
          <cell r="U121" t="str">
            <v>Số 13 Lê Đại Hành phường Đông Kinh tỉnh Lạng Sơn</v>
          </cell>
          <cell r="W121" t="str">
            <v>000428/LS-CCHN</v>
          </cell>
          <cell r="X121" t="str">
            <v>11/12/2022</v>
          </cell>
          <cell r="Z121" t="str">
            <v>Khám bệnh, chữa bệnh Nội khoa</v>
          </cell>
          <cell r="AB121" t="str">
            <v>01.0002</v>
          </cell>
          <cell r="AC121">
            <v>989890533</v>
          </cell>
        </row>
        <row r="122">
          <cell r="B122" t="str">
            <v>BV0957</v>
          </cell>
          <cell r="C122" t="str">
            <v>Phương Thanh Tâm</v>
          </cell>
          <cell r="D122" t="str">
            <v>BV0957</v>
          </cell>
          <cell r="E122" t="str">
            <v>x</v>
          </cell>
          <cell r="F122" t="str">
            <v>Bác sĩ</v>
          </cell>
          <cell r="G122" t="str">
            <v>TĐ005</v>
          </cell>
          <cell r="I122" t="str">
            <v>Bác sĩ (hạng III)</v>
          </cell>
          <cell r="J122" t="str">
            <v>Nội Tổng hợp</v>
          </cell>
          <cell r="K122" t="str">
            <v>KP007</v>
          </cell>
          <cell r="N122" t="str">
            <v>HĐ có thời hạn</v>
          </cell>
          <cell r="O122">
            <v>32</v>
          </cell>
          <cell r="P122">
            <v>0</v>
          </cell>
          <cell r="Q122" t="str">
            <v>29/9/1993</v>
          </cell>
          <cell r="R122" t="str">
            <v>Nùng</v>
          </cell>
          <cell r="S122" t="str">
            <v>10/12/2019</v>
          </cell>
          <cell r="T122" t="str">
            <v>020193002197</v>
          </cell>
          <cell r="U122" t="str">
            <v xml:space="preserve">264 đường Tam Thanh tỉnh Lạng Sơn  </v>
          </cell>
          <cell r="W122" t="str">
            <v>004378/LS-CCHN</v>
          </cell>
          <cell r="X122" t="str">
            <v>05/11/2021</v>
          </cell>
          <cell r="Z122" t="str">
            <v>Khám bệnh, chữa bệnh nội khoa</v>
          </cell>
          <cell r="AB122">
            <v>0</v>
          </cell>
          <cell r="AC122">
            <v>977579948</v>
          </cell>
          <cell r="AD122" t="str">
            <v>Thử việc 10/12/2019</v>
          </cell>
        </row>
        <row r="123">
          <cell r="B123" t="str">
            <v>BV0366</v>
          </cell>
          <cell r="C123" t="str">
            <v>Hoàng Quốc Hưởng</v>
          </cell>
          <cell r="D123" t="str">
            <v>BV0366</v>
          </cell>
          <cell r="F123" t="str">
            <v>Bác sĩ</v>
          </cell>
          <cell r="G123" t="str">
            <v>TĐ005</v>
          </cell>
          <cell r="H123" t="str">
            <v>Bác sĩ (hạng III)</v>
          </cell>
          <cell r="I123" t="str">
            <v>Bác sĩ (hạng III)</v>
          </cell>
          <cell r="J123" t="str">
            <v>Nội Tổng hợp</v>
          </cell>
          <cell r="K123" t="str">
            <v>KP007</v>
          </cell>
          <cell r="L123" t="str">
            <v>Viên chức CMNV</v>
          </cell>
          <cell r="M123">
            <v>0</v>
          </cell>
          <cell r="N123" t="str">
            <v>Viên chức</v>
          </cell>
          <cell r="O123">
            <v>44</v>
          </cell>
          <cell r="P123">
            <v>30176</v>
          </cell>
          <cell r="Q123">
            <v>0</v>
          </cell>
          <cell r="R123" t="str">
            <v>Nùng</v>
          </cell>
          <cell r="S123" t="str">
            <v>15/1/2010</v>
          </cell>
          <cell r="T123" t="str">
            <v>020082001010</v>
          </cell>
          <cell r="U123" t="str">
            <v>Chi Mạc-Phường Tam Thanh - Thành Phố Lạng Sơn</v>
          </cell>
          <cell r="W123" t="str">
            <v>000044/LS-GPHN</v>
          </cell>
          <cell r="X123">
            <v>0</v>
          </cell>
          <cell r="Z123" t="str">
            <v>Chuyên khoa Nội khoa</v>
          </cell>
          <cell r="AB123">
            <v>0</v>
          </cell>
          <cell r="AC123">
            <v>988990686</v>
          </cell>
        </row>
        <row r="124">
          <cell r="B124" t="str">
            <v>BV1257</v>
          </cell>
          <cell r="C124" t="str">
            <v>Vũ Phong Toàn</v>
          </cell>
          <cell r="D124" t="str">
            <v>BV1257</v>
          </cell>
          <cell r="F124" t="str">
            <v>Bác sĩ</v>
          </cell>
          <cell r="G124" t="str">
            <v>TĐ005</v>
          </cell>
          <cell r="I124" t="str">
            <v>Bác sĩ (hạng III)</v>
          </cell>
          <cell r="J124" t="str">
            <v>Nội Tổng hợp</v>
          </cell>
          <cell r="K124" t="str">
            <v>KP007</v>
          </cell>
          <cell r="N124" t="str">
            <v>Viên chức</v>
          </cell>
          <cell r="O124">
            <v>27</v>
          </cell>
          <cell r="P124" t="str">
            <v>09/7/1999</v>
          </cell>
          <cell r="Q124">
            <v>0</v>
          </cell>
          <cell r="R124" t="str">
            <v>Kinh</v>
          </cell>
          <cell r="S124">
            <v>45260</v>
          </cell>
          <cell r="T124" t="str">
            <v>020099005502</v>
          </cell>
          <cell r="U124" t="str">
            <v>Xã Bình Gia tỉnh Lạng Sơn</v>
          </cell>
          <cell r="V124">
            <v>45807</v>
          </cell>
          <cell r="W124" t="str">
            <v>000311/LS-GPHN</v>
          </cell>
          <cell r="X124">
            <v>45876</v>
          </cell>
          <cell r="Z124" t="str">
            <v>Chuyên khoa Nội khoa</v>
          </cell>
          <cell r="AB124">
            <v>0</v>
          </cell>
          <cell r="AC124" t="str">
            <v>0329241176</v>
          </cell>
          <cell r="AD124" t="str">
            <v>Thử việc 01/12/2023, Viên chức từ 15/6/2026</v>
          </cell>
        </row>
        <row r="125">
          <cell r="B125" t="str">
            <v>BV0098</v>
          </cell>
          <cell r="C125" t="str">
            <v>Nguyễn Kim Chung</v>
          </cell>
          <cell r="D125" t="str">
            <v>BV0098</v>
          </cell>
          <cell r="E125" t="str">
            <v>x</v>
          </cell>
          <cell r="F125" t="str">
            <v>Điều dưỡng ĐH</v>
          </cell>
          <cell r="G125" t="str">
            <v>TĐ011</v>
          </cell>
          <cell r="H125" t="str">
            <v>Điều dưỡng (hạng III)</v>
          </cell>
          <cell r="I125" t="str">
            <v>Điều dưỡng (hạng III)</v>
          </cell>
          <cell r="J125" t="str">
            <v>Nội Tổng hợp</v>
          </cell>
          <cell r="K125" t="str">
            <v>KP007</v>
          </cell>
          <cell r="L125" t="str">
            <v>Viên chức CMNV</v>
          </cell>
          <cell r="M125">
            <v>0</v>
          </cell>
          <cell r="N125" t="str">
            <v>Viên chức</v>
          </cell>
          <cell r="O125">
            <v>56</v>
          </cell>
          <cell r="P125">
            <v>0</v>
          </cell>
          <cell r="Q125">
            <v>25561</v>
          </cell>
          <cell r="R125" t="str">
            <v>Kinh</v>
          </cell>
          <cell r="S125" t="str">
            <v>2/3/1992</v>
          </cell>
          <cell r="T125" t="str">
            <v>020169007770</v>
          </cell>
          <cell r="U125" t="str">
            <v>231 đường Bến Bắc phường Tam Thanh tỉnh Lạng Sơn</v>
          </cell>
          <cell r="W125" t="str">
            <v>000809/LS-CCHN</v>
          </cell>
          <cell r="X125" t="str">
            <v>24/06/2013</v>
          </cell>
          <cell r="Z125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125">
            <v>0</v>
          </cell>
          <cell r="AC125" t="str">
            <v>0987894398</v>
          </cell>
        </row>
        <row r="126">
          <cell r="B126" t="str">
            <v>BV0343</v>
          </cell>
          <cell r="C126" t="str">
            <v>Đoàn Thị Thanh Thúy</v>
          </cell>
          <cell r="D126" t="str">
            <v>BV0343</v>
          </cell>
          <cell r="E126" t="str">
            <v>x</v>
          </cell>
          <cell r="F126" t="str">
            <v>Điều dưỡng ĐH</v>
          </cell>
          <cell r="G126" t="str">
            <v>TĐ011</v>
          </cell>
          <cell r="H126" t="str">
            <v>Điều dưỡng (hạng III)</v>
          </cell>
          <cell r="I126" t="str">
            <v>Điều dưỡng (hạng III)</v>
          </cell>
          <cell r="J126" t="str">
            <v>Nội Tổng hợp</v>
          </cell>
          <cell r="K126" t="str">
            <v>KP007</v>
          </cell>
          <cell r="L126" t="str">
            <v>Lãnh đạo khoa, phòng</v>
          </cell>
          <cell r="M126" t="str">
            <v>Điều dưỡng trưởng</v>
          </cell>
          <cell r="N126" t="str">
            <v>Viên chức</v>
          </cell>
          <cell r="O126">
            <v>46</v>
          </cell>
          <cell r="P126">
            <v>0</v>
          </cell>
          <cell r="Q126">
            <v>29132</v>
          </cell>
          <cell r="R126" t="str">
            <v>Kinh</v>
          </cell>
          <cell r="S126" t="str">
            <v>19/01/2005</v>
          </cell>
          <cell r="T126" t="str">
            <v>037179008631</v>
          </cell>
          <cell r="U126" t="str">
            <v>Khối Văn Miếu- phường Lương Văn Tri</v>
          </cell>
          <cell r="W126" t="str">
            <v>001234/LS-CCHN</v>
          </cell>
          <cell r="X126" t="str">
            <v>19/07/2013</v>
          </cell>
          <cell r="Z126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126">
            <v>0</v>
          </cell>
          <cell r="AC126">
            <v>948097266</v>
          </cell>
        </row>
        <row r="127">
          <cell r="B127" t="str">
            <v>BV0101</v>
          </cell>
          <cell r="C127" t="str">
            <v>Đàm Thùy Mai</v>
          </cell>
          <cell r="D127" t="str">
            <v>BV0101</v>
          </cell>
          <cell r="E127" t="str">
            <v>x</v>
          </cell>
          <cell r="F127" t="str">
            <v>Điều dưỡng ĐH</v>
          </cell>
          <cell r="G127" t="str">
            <v>TĐ011</v>
          </cell>
          <cell r="H127" t="str">
            <v>Điều dưỡng (hạng III)</v>
          </cell>
          <cell r="I127" t="str">
            <v>Điều dưỡng (hạng III)</v>
          </cell>
          <cell r="J127" t="str">
            <v>Nội Tổng hợp</v>
          </cell>
          <cell r="K127" t="str">
            <v>KP007</v>
          </cell>
          <cell r="L127" t="str">
            <v>Viên chức CMNV</v>
          </cell>
          <cell r="M127">
            <v>0</v>
          </cell>
          <cell r="N127" t="str">
            <v>Viên chức</v>
          </cell>
          <cell r="O127">
            <v>34</v>
          </cell>
          <cell r="P127">
            <v>0</v>
          </cell>
          <cell r="Q127">
            <v>33552</v>
          </cell>
          <cell r="R127" t="str">
            <v>Nùng</v>
          </cell>
          <cell r="S127" t="str">
            <v>05/6/2013</v>
          </cell>
          <cell r="T127" t="str">
            <v>020191012426</v>
          </cell>
          <cell r="U127" t="str">
            <v xml:space="preserve">Tổ 3, khối 27, phường Kỳ Lừa tỉnh Lạng Sơn </v>
          </cell>
          <cell r="W127" t="str">
            <v>000116/LS-GPHN</v>
          </cell>
          <cell r="X127">
            <v>45511</v>
          </cell>
          <cell r="Z127" t="str">
            <v>Điều dưỡng</v>
          </cell>
          <cell r="AB127">
            <v>0</v>
          </cell>
          <cell r="AC127" t="str">
            <v>0356249126</v>
          </cell>
        </row>
        <row r="128">
          <cell r="B128" t="str">
            <v>BV0977</v>
          </cell>
          <cell r="C128" t="str">
            <v>Hoàng Kim Tuyến</v>
          </cell>
          <cell r="D128" t="str">
            <v>BV0977</v>
          </cell>
          <cell r="E128" t="str">
            <v>x</v>
          </cell>
          <cell r="F128" t="str">
            <v>Điều dưỡng CĐ</v>
          </cell>
          <cell r="G128" t="str">
            <v>TĐ012</v>
          </cell>
          <cell r="I128" t="str">
            <v>Điều dưỡng (hạng IV)</v>
          </cell>
          <cell r="J128" t="str">
            <v>Nội Tổng hợp</v>
          </cell>
          <cell r="K128" t="str">
            <v>KP007</v>
          </cell>
          <cell r="N128" t="str">
            <v>HĐ có thời hạn</v>
          </cell>
          <cell r="O128">
            <v>28</v>
          </cell>
          <cell r="P128">
            <v>0</v>
          </cell>
          <cell r="Q128" t="str">
            <v>07/09/1997</v>
          </cell>
          <cell r="R128" t="str">
            <v>Nung</v>
          </cell>
          <cell r="S128" t="str">
            <v>02/12/2019</v>
          </cell>
          <cell r="T128" t="str">
            <v>020197005550</v>
          </cell>
          <cell r="U128" t="str">
            <v>rọ phải phường đông kinh </v>
          </cell>
          <cell r="W128" t="str">
            <v>004306/LS-CCHN</v>
          </cell>
          <cell r="X128" t="str">
            <v>20/07/2021</v>
          </cell>
          <cell r="Z12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28">
            <v>0</v>
          </cell>
          <cell r="AD128" t="str">
            <v>Thử việc 02/12/2019</v>
          </cell>
        </row>
        <row r="129">
          <cell r="B129" t="str">
            <v>BV0117</v>
          </cell>
          <cell r="C129" t="str">
            <v>Ba Thị Quyên</v>
          </cell>
          <cell r="D129" t="str">
            <v>BV0117</v>
          </cell>
          <cell r="E129" t="str">
            <v>x</v>
          </cell>
          <cell r="F129" t="str">
            <v>Điều dưỡng CĐ</v>
          </cell>
          <cell r="G129" t="str">
            <v>TĐ012</v>
          </cell>
          <cell r="H129" t="str">
            <v>Điều dưỡng (hạng IV)</v>
          </cell>
          <cell r="I129" t="str">
            <v>Điều dưỡng (hạng IV)</v>
          </cell>
          <cell r="J129" t="str">
            <v>Nội Tổng hợp</v>
          </cell>
          <cell r="K129" t="str">
            <v>KP007</v>
          </cell>
          <cell r="L129" t="str">
            <v>Viên chức CMNV</v>
          </cell>
          <cell r="M129">
            <v>0</v>
          </cell>
          <cell r="N129" t="str">
            <v>Viên chức</v>
          </cell>
          <cell r="O129">
            <v>40</v>
          </cell>
          <cell r="P129">
            <v>0</v>
          </cell>
          <cell r="Q129">
            <v>31630</v>
          </cell>
          <cell r="R129" t="str">
            <v>Nùng</v>
          </cell>
          <cell r="S129" t="str">
            <v>25/12/2008</v>
          </cell>
          <cell r="T129" t="str">
            <v>020186009139</v>
          </cell>
          <cell r="U129" t="str">
            <v>Số 02 Phai Vệ phường Đông Kinh tỉnh Lạng Sơn</v>
          </cell>
          <cell r="W129" t="str">
            <v>001347/LS-CCHN</v>
          </cell>
          <cell r="X129" t="str">
            <v>11/01/2023</v>
          </cell>
          <cell r="Z12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29">
            <v>0</v>
          </cell>
          <cell r="AC129" t="str">
            <v>0974676475</v>
          </cell>
        </row>
        <row r="130">
          <cell r="B130" t="str">
            <v>BV0782</v>
          </cell>
          <cell r="C130" t="str">
            <v>Chu Thị Phượng</v>
          </cell>
          <cell r="D130" t="str">
            <v>BV0782</v>
          </cell>
          <cell r="E130" t="str">
            <v>x</v>
          </cell>
          <cell r="F130" t="str">
            <v>Điều dưỡng CĐ</v>
          </cell>
          <cell r="G130" t="str">
            <v>TĐ012</v>
          </cell>
          <cell r="I130" t="str">
            <v>Điều dưỡng (hạng IV)</v>
          </cell>
          <cell r="J130" t="str">
            <v>Nội Tổng hợp</v>
          </cell>
          <cell r="K130" t="str">
            <v>KP007</v>
          </cell>
          <cell r="N130" t="str">
            <v>Viên chức</v>
          </cell>
          <cell r="O130">
            <v>31</v>
          </cell>
          <cell r="P130">
            <v>0</v>
          </cell>
          <cell r="Q130" t="str">
            <v>14/11/1994</v>
          </cell>
          <cell r="R130" t="str">
            <v>Tày</v>
          </cell>
          <cell r="S130" t="str">
            <v xml:space="preserve"> 02/10/2017</v>
          </cell>
          <cell r="T130" t="str">
            <v>020194007387</v>
          </cell>
          <cell r="U130" t="str">
            <v xml:space="preserve">Khu 5A xã Na Dương tỉnh Lạng Sơn </v>
          </cell>
          <cell r="W130" t="str">
            <v>003377/LS-CCHN</v>
          </cell>
          <cell r="X130" t="str">
            <v>17/10/2018</v>
          </cell>
          <cell r="Z13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30">
            <v>0</v>
          </cell>
          <cell r="AC130">
            <v>978073820</v>
          </cell>
          <cell r="AD130" t="str">
            <v>HĐ 02/10/2017; Đỗ VC 20/5/2026</v>
          </cell>
        </row>
        <row r="131">
          <cell r="B131" t="str">
            <v>BV0980</v>
          </cell>
          <cell r="C131" t="str">
            <v>Chu Đức Thịnh</v>
          </cell>
          <cell r="D131" t="str">
            <v>BV0980</v>
          </cell>
          <cell r="F131" t="str">
            <v>Điều dưỡng CĐ</v>
          </cell>
          <cell r="G131" t="str">
            <v>TĐ012</v>
          </cell>
          <cell r="I131" t="str">
            <v>Điều dưỡng (hạng IV)</v>
          </cell>
          <cell r="J131" t="str">
            <v>Nội Tổng hợp</v>
          </cell>
          <cell r="K131" t="str">
            <v>KP007</v>
          </cell>
          <cell r="N131" t="str">
            <v>Viên chức</v>
          </cell>
          <cell r="O131">
            <v>29</v>
          </cell>
          <cell r="P131" t="str">
            <v>23/2/1997</v>
          </cell>
          <cell r="Q131">
            <v>0</v>
          </cell>
          <cell r="R131" t="str">
            <v>Nùng</v>
          </cell>
          <cell r="S131" t="str">
            <v>02/12/2019</v>
          </cell>
          <cell r="T131" t="str">
            <v>020097001294</v>
          </cell>
          <cell r="U131" t="str">
            <v>Thôn Đồi Chè phường Tam Thanh tỉnh Lạng Sơn</v>
          </cell>
          <cell r="W131" t="str">
            <v>004312/LS-CCHN</v>
          </cell>
          <cell r="X131" t="str">
            <v>20/07/2021</v>
          </cell>
          <cell r="Z131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31">
            <v>0</v>
          </cell>
          <cell r="AD131" t="str">
            <v>Thử việc 02/12/2019; đỗ VC 20/5/2026</v>
          </cell>
        </row>
        <row r="132">
          <cell r="B132" t="str">
            <v>BV0020</v>
          </cell>
          <cell r="C132" t="str">
            <v>Nguyễn Thị Hiền</v>
          </cell>
          <cell r="D132" t="str">
            <v>BV0020</v>
          </cell>
          <cell r="E132" t="str">
            <v>x</v>
          </cell>
          <cell r="F132" t="str">
            <v>Điều dưỡng CĐ</v>
          </cell>
          <cell r="G132" t="str">
            <v>TĐ012</v>
          </cell>
          <cell r="H132" t="str">
            <v>Điều dưỡng (hạng IV)</v>
          </cell>
          <cell r="I132" t="str">
            <v>Điều dưỡng (hạng IV)</v>
          </cell>
          <cell r="J132" t="str">
            <v>Nội Tổng hợp</v>
          </cell>
          <cell r="K132" t="str">
            <v>KP007</v>
          </cell>
          <cell r="L132" t="str">
            <v>Viên chức CMNV</v>
          </cell>
          <cell r="M132">
            <v>0</v>
          </cell>
          <cell r="N132" t="str">
            <v>Viên chức</v>
          </cell>
          <cell r="O132">
            <v>41</v>
          </cell>
          <cell r="P132">
            <v>0</v>
          </cell>
          <cell r="Q132">
            <v>31033</v>
          </cell>
          <cell r="R132" t="str">
            <v>Tày</v>
          </cell>
          <cell r="S132" t="str">
            <v>1/12/2008</v>
          </cell>
          <cell r="T132" t="str">
            <v>020184009125</v>
          </cell>
          <cell r="U132" t="str">
            <v xml:space="preserve">Khối 18 phường Đông Kinh Tỉnh Lạng Sơn </v>
          </cell>
          <cell r="W132" t="str">
            <v>000746/LS-CCHN</v>
          </cell>
          <cell r="X132" t="str">
            <v>11/01/2023</v>
          </cell>
          <cell r="Z13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32">
            <v>0</v>
          </cell>
          <cell r="AC132">
            <v>364187469</v>
          </cell>
        </row>
        <row r="133">
          <cell r="B133" t="str">
            <v>BV0138</v>
          </cell>
          <cell r="C133" t="str">
            <v>Nguyễn Thị Liên</v>
          </cell>
          <cell r="D133" t="str">
            <v>BV0138</v>
          </cell>
          <cell r="E133" t="str">
            <v>x</v>
          </cell>
          <cell r="F133" t="str">
            <v>Điều dưỡng CĐ</v>
          </cell>
          <cell r="G133" t="str">
            <v>TĐ012</v>
          </cell>
          <cell r="H133" t="str">
            <v>Điều dưỡng (hạng IV)</v>
          </cell>
          <cell r="I133" t="str">
            <v>Điều dưỡng (hạng IV)</v>
          </cell>
          <cell r="J133" t="str">
            <v>Nội Tổng hợp</v>
          </cell>
          <cell r="K133" t="str">
            <v>KP007</v>
          </cell>
          <cell r="L133" t="str">
            <v>Viên chức CMNV</v>
          </cell>
          <cell r="M133">
            <v>0</v>
          </cell>
          <cell r="N133" t="str">
            <v>Viên chức</v>
          </cell>
          <cell r="O133">
            <v>39</v>
          </cell>
          <cell r="P133">
            <v>0</v>
          </cell>
          <cell r="Q133">
            <v>31752</v>
          </cell>
          <cell r="R133" t="str">
            <v>Tày</v>
          </cell>
          <cell r="S133" t="str">
            <v>1/12/2010</v>
          </cell>
          <cell r="T133" t="str">
            <v>020186011783</v>
          </cell>
          <cell r="U133" t="str">
            <v>Tổ 5, khối Hợp Thành,P. Kỳ Lừa tỉnh Lạng Sơn</v>
          </cell>
          <cell r="W133" t="str">
            <v>000835/LS-CCHN</v>
          </cell>
          <cell r="X133" t="str">
            <v>11/01/2023</v>
          </cell>
          <cell r="Z13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33">
            <v>0</v>
          </cell>
          <cell r="AC133">
            <v>914045886</v>
          </cell>
        </row>
        <row r="134">
          <cell r="B134" t="str">
            <v>BV0143</v>
          </cell>
          <cell r="C134" t="str">
            <v>Mã Thị Thu</v>
          </cell>
          <cell r="D134" t="str">
            <v>BV0143</v>
          </cell>
          <cell r="E134" t="str">
            <v>x</v>
          </cell>
          <cell r="F134" t="str">
            <v>Điều dưỡng CĐ</v>
          </cell>
          <cell r="G134" t="str">
            <v>TĐ012</v>
          </cell>
          <cell r="I134" t="str">
            <v>Điều dưỡng (hạng IV)</v>
          </cell>
          <cell r="J134" t="str">
            <v>Nội Tổng hợp</v>
          </cell>
          <cell r="K134" t="str">
            <v>KP007</v>
          </cell>
          <cell r="N134" t="str">
            <v>Viên chức</v>
          </cell>
          <cell r="O134">
            <v>39</v>
          </cell>
          <cell r="P134">
            <v>0</v>
          </cell>
          <cell r="Q134">
            <v>31919</v>
          </cell>
          <cell r="R134" t="str">
            <v>Nùng</v>
          </cell>
          <cell r="S134" t="str">
            <v>16/3/2011</v>
          </cell>
          <cell r="T134" t="str">
            <v>020187002661</v>
          </cell>
          <cell r="U134" t="str">
            <v xml:space="preserve">Khối Sa Cao phường Kỳ Lừa tỉnh Lạng Sơn </v>
          </cell>
          <cell r="W134" t="str">
            <v>000817/LS-CCHN</v>
          </cell>
          <cell r="X134" t="str">
            <v>11/01/2023</v>
          </cell>
          <cell r="Z13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34">
            <v>0</v>
          </cell>
          <cell r="AC134">
            <v>918739116</v>
          </cell>
          <cell r="AD134" t="str">
            <v>HĐ16/3/2011; Đỗ VC 20/5/2026</v>
          </cell>
        </row>
        <row r="135">
          <cell r="B135" t="str">
            <v>BV1274</v>
          </cell>
          <cell r="C135" t="str">
            <v>Phan Thị Ái Vân</v>
          </cell>
          <cell r="D135" t="str">
            <v>BV1274</v>
          </cell>
          <cell r="E135" t="str">
            <v>x</v>
          </cell>
          <cell r="F135" t="str">
            <v>Điều dưỡng CĐ</v>
          </cell>
          <cell r="G135" t="str">
            <v>TĐ012</v>
          </cell>
          <cell r="I135" t="str">
            <v>Điều dưỡng (hạng IV)</v>
          </cell>
          <cell r="J135" t="str">
            <v>Nội Tổng hợp</v>
          </cell>
          <cell r="K135" t="str">
            <v>KP007</v>
          </cell>
          <cell r="N135" t="str">
            <v>Viên chức</v>
          </cell>
          <cell r="O135">
            <v>32</v>
          </cell>
          <cell r="P135">
            <v>0</v>
          </cell>
          <cell r="Q135" t="str">
            <v>01/01/1994</v>
          </cell>
          <cell r="R135" t="str">
            <v>Tày</v>
          </cell>
          <cell r="S135">
            <v>45323</v>
          </cell>
          <cell r="T135" t="str">
            <v>020194006233</v>
          </cell>
          <cell r="U135" t="str">
            <v>Thôn 1-Xã Tân Tiến -Tinh Lạng Sơn</v>
          </cell>
          <cell r="V135">
            <v>45689</v>
          </cell>
          <cell r="W135" t="str">
            <v>000292/LS-GPHN</v>
          </cell>
          <cell r="X135">
            <v>45849</v>
          </cell>
          <cell r="Z135" t="str">
            <v>Điều dưỡng</v>
          </cell>
          <cell r="AB135">
            <v>0</v>
          </cell>
          <cell r="AC135" t="str">
            <v>0383311055</v>
          </cell>
          <cell r="AD135" t="str">
            <v>HĐ 15/02/2024, Viên chức từ 15/6/2026</v>
          </cell>
        </row>
        <row r="136">
          <cell r="B136" t="str">
            <v>BV1296</v>
          </cell>
          <cell r="C136" t="str">
            <v>Hoàng Thị Năm</v>
          </cell>
          <cell r="D136" t="str">
            <v>BV1296</v>
          </cell>
          <cell r="E136" t="str">
            <v>x</v>
          </cell>
          <cell r="F136" t="str">
            <v>Điều dưỡng CĐ</v>
          </cell>
          <cell r="G136" t="str">
            <v>TĐ012</v>
          </cell>
          <cell r="I136" t="str">
            <v>Điều dưỡng (hạng IV)</v>
          </cell>
          <cell r="J136" t="str">
            <v>Nội Tổng hợp</v>
          </cell>
          <cell r="K136" t="str">
            <v>KP007</v>
          </cell>
          <cell r="N136" t="str">
            <v>Viên chức</v>
          </cell>
          <cell r="O136">
            <v>24</v>
          </cell>
          <cell r="P136">
            <v>0</v>
          </cell>
          <cell r="Q136" t="str">
            <v>03/11/2001</v>
          </cell>
          <cell r="R136" t="str">
            <v>Nùng</v>
          </cell>
          <cell r="S136">
            <v>45597</v>
          </cell>
          <cell r="T136" t="str">
            <v>020301000202</v>
          </cell>
          <cell r="U136" t="str">
            <v xml:space="preserve">Khối Hoàng Trung phường Tam Thanh tỉnh Lạng Sơn </v>
          </cell>
          <cell r="W136" t="str">
            <v>000299/LS-GPHN</v>
          </cell>
          <cell r="X136">
            <v>45849</v>
          </cell>
          <cell r="Z136" t="str">
            <v>Điều dưỡng</v>
          </cell>
          <cell r="AB136">
            <v>0</v>
          </cell>
          <cell r="AC136" t="str">
            <v>0964092601</v>
          </cell>
          <cell r="AD136" t="str">
            <v>HĐ 01/11/2024, Viên chức từ 15/6/2026</v>
          </cell>
        </row>
        <row r="137">
          <cell r="B137" t="str">
            <v>BV1012</v>
          </cell>
          <cell r="C137" t="str">
            <v>Hoàng Thị Chuyên</v>
          </cell>
          <cell r="D137" t="str">
            <v>BV1012</v>
          </cell>
          <cell r="E137" t="str">
            <v>x</v>
          </cell>
          <cell r="F137" t="str">
            <v>Hộ lý</v>
          </cell>
          <cell r="G137" t="str">
            <v>TĐ047</v>
          </cell>
          <cell r="I137" t="str">
            <v>Hộ lý</v>
          </cell>
          <cell r="J137" t="str">
            <v>Nội Tổng hợp</v>
          </cell>
          <cell r="K137" t="str">
            <v>KP007</v>
          </cell>
          <cell r="N137" t="str">
            <v>HĐ có thời hạn</v>
          </cell>
          <cell r="O137">
            <v>44</v>
          </cell>
          <cell r="P137">
            <v>0</v>
          </cell>
          <cell r="Q137" t="str">
            <v>07/12/1981</v>
          </cell>
          <cell r="R137" t="str">
            <v>nùng</v>
          </cell>
          <cell r="S137" t="str">
            <v>12/4/2020</v>
          </cell>
          <cell r="T137" t="str">
            <v>020181000596</v>
          </cell>
          <cell r="U137" t="str">
            <v>Khối Trần Quang Khải 1 phường Lương Văn Tri tỉnh Lạng Sơn</v>
          </cell>
          <cell r="W137" t="str">
            <v/>
          </cell>
          <cell r="X137" t="str">
            <v/>
          </cell>
          <cell r="Z137" t="str">
            <v/>
          </cell>
          <cell r="AB137" t="str">
            <v/>
          </cell>
          <cell r="AC137" t="str">
            <v>0387764558</v>
          </cell>
          <cell r="AD137" t="str">
            <v>Hợp đồng từ 12/4/2020</v>
          </cell>
        </row>
        <row r="138">
          <cell r="B138" t="str">
            <v>BV1013</v>
          </cell>
          <cell r="C138" t="str">
            <v>Trần Thị Hiệp</v>
          </cell>
          <cell r="D138" t="str">
            <v>BV1013</v>
          </cell>
          <cell r="E138" t="str">
            <v>x</v>
          </cell>
          <cell r="F138" t="str">
            <v>Hộ lý</v>
          </cell>
          <cell r="G138" t="str">
            <v>TĐ047</v>
          </cell>
          <cell r="I138" t="str">
            <v>Hộ lý</v>
          </cell>
          <cell r="J138" t="str">
            <v>Nội Tổng hợp</v>
          </cell>
          <cell r="K138" t="str">
            <v>KP007</v>
          </cell>
          <cell r="N138" t="str">
            <v>HĐ có thời hạn</v>
          </cell>
          <cell r="O138">
            <v>37</v>
          </cell>
          <cell r="P138">
            <v>0</v>
          </cell>
          <cell r="Q138" t="str">
            <v>18/3/1989</v>
          </cell>
          <cell r="R138" t="str">
            <v>tày</v>
          </cell>
          <cell r="S138" t="str">
            <v>12/4/2020</v>
          </cell>
          <cell r="T138" t="str">
            <v>020189012466</v>
          </cell>
          <cell r="U138" t="str">
            <v>Thôn Pác Lạn -Xã Quốc Việt-Tỉnh Lạng Sơn</v>
          </cell>
          <cell r="W138" t="str">
            <v/>
          </cell>
          <cell r="X138" t="str">
            <v/>
          </cell>
          <cell r="Z138" t="str">
            <v/>
          </cell>
          <cell r="AB138" t="str">
            <v/>
          </cell>
          <cell r="AC138" t="str">
            <v>0346515076</v>
          </cell>
          <cell r="AD138" t="str">
            <v>Hợp đồng từ 12/4/2020</v>
          </cell>
        </row>
        <row r="139">
          <cell r="B139" t="str">
            <v>BV0162</v>
          </cell>
          <cell r="C139" t="str">
            <v>Bế Thái Hưng</v>
          </cell>
          <cell r="D139" t="str">
            <v>BV0162</v>
          </cell>
          <cell r="F139" t="str">
            <v>BSCKII</v>
          </cell>
          <cell r="G139" t="str">
            <v>TĐ001</v>
          </cell>
          <cell r="H139" t="str">
            <v>Bác sĩ chính (hạng II)</v>
          </cell>
          <cell r="I139" t="str">
            <v>Bác sĩ chính (hạng II)</v>
          </cell>
          <cell r="J139" t="str">
            <v>Nội Tiêu hóa</v>
          </cell>
          <cell r="K139" t="str">
            <v>KP008</v>
          </cell>
          <cell r="L139" t="str">
            <v>Lãnh đạo khoa, phòng</v>
          </cell>
          <cell r="M139" t="str">
            <v>Trưởng khoa</v>
          </cell>
          <cell r="N139" t="str">
            <v>Viên chức</v>
          </cell>
          <cell r="O139">
            <v>58</v>
          </cell>
          <cell r="P139">
            <v>24924</v>
          </cell>
          <cell r="Q139">
            <v>0</v>
          </cell>
          <cell r="R139" t="str">
            <v>Nùng</v>
          </cell>
          <cell r="S139" t="str">
            <v>26/4/1994</v>
          </cell>
          <cell r="T139" t="str">
            <v>020068001743</v>
          </cell>
          <cell r="U139" t="str">
            <v>P Lương Văn Tri - Lạng Sơn</v>
          </cell>
          <cell r="W139" t="str">
            <v>002911/LS-CCHN</v>
          </cell>
          <cell r="X139" t="str">
            <v>31/12/2014</v>
          </cell>
          <cell r="Z139" t="str">
            <v>Khám bệnh chữa bệnh Nội khoa</v>
          </cell>
          <cell r="AB139">
            <v>0</v>
          </cell>
          <cell r="AC139">
            <v>919536626</v>
          </cell>
        </row>
        <row r="140">
          <cell r="B140" t="str">
            <v>BV0936</v>
          </cell>
          <cell r="C140" t="str">
            <v>Lăng Thị Thảo</v>
          </cell>
          <cell r="D140" t="str">
            <v>BV0936</v>
          </cell>
          <cell r="E140" t="str">
            <v>x</v>
          </cell>
          <cell r="F140" t="str">
            <v>Bác sĩ</v>
          </cell>
          <cell r="G140" t="str">
            <v>TĐ005</v>
          </cell>
          <cell r="I140" t="str">
            <v>Bác sĩ (hạng III)</v>
          </cell>
          <cell r="J140" t="str">
            <v>Nội Tiêu hóa</v>
          </cell>
          <cell r="K140" t="str">
            <v>KP008</v>
          </cell>
          <cell r="N140" t="str">
            <v>Viên chức</v>
          </cell>
          <cell r="O140">
            <v>31</v>
          </cell>
          <cell r="P140">
            <v>0</v>
          </cell>
          <cell r="Q140" t="str">
            <v>12/5/1995</v>
          </cell>
          <cell r="R140" t="str">
            <v>Nùng</v>
          </cell>
          <cell r="S140" t="str">
            <v>15/8/2019</v>
          </cell>
          <cell r="T140" t="str">
            <v>020195009747</v>
          </cell>
          <cell r="U140" t="str">
            <v>Xã Nhân Lý, Lạng Sơn</v>
          </cell>
          <cell r="W140" t="str">
            <v>004236/LS-CCHN</v>
          </cell>
          <cell r="X140" t="str">
            <v>10/06/2021</v>
          </cell>
          <cell r="Z140" t="str">
            <v>Khám bệnh, chữa bệnh Nội khoa</v>
          </cell>
          <cell r="AB140">
            <v>0</v>
          </cell>
          <cell r="AC140" t="str">
            <v>0335667325</v>
          </cell>
          <cell r="AD140" t="str">
            <v>Thử việc 15/8/2019; đỗ VC 20/5/2026</v>
          </cell>
        </row>
        <row r="141">
          <cell r="B141" t="str">
            <v>BV0851</v>
          </cell>
          <cell r="C141" t="str">
            <v>Hoàng Thị Anh Tú</v>
          </cell>
          <cell r="D141" t="str">
            <v>BV0851</v>
          </cell>
          <cell r="E141" t="str">
            <v>x</v>
          </cell>
          <cell r="F141" t="str">
            <v>BSCKI</v>
          </cell>
          <cell r="G141" t="str">
            <v>TĐ003</v>
          </cell>
          <cell r="H141" t="str">
            <v>Bác sĩ (hạng III)</v>
          </cell>
          <cell r="I141" t="str">
            <v>Bác sĩ (hạng III)</v>
          </cell>
          <cell r="J141" t="str">
            <v>Nội Tiêu hóa</v>
          </cell>
          <cell r="K141" t="str">
            <v>KP008</v>
          </cell>
          <cell r="L141" t="str">
            <v>Viên chức CMNV</v>
          </cell>
          <cell r="M141">
            <v>0</v>
          </cell>
          <cell r="N141" t="str">
            <v>Viên chức</v>
          </cell>
          <cell r="O141">
            <v>33</v>
          </cell>
          <cell r="P141">
            <v>0</v>
          </cell>
          <cell r="Q141">
            <v>34177</v>
          </cell>
          <cell r="R141" t="str">
            <v>Tày</v>
          </cell>
          <cell r="S141" t="str">
            <v>01/11/2018</v>
          </cell>
          <cell r="T141" t="str">
            <v>020193007054</v>
          </cell>
          <cell r="U141" t="str">
            <v>P Lương Văn Tri - Lạng Sơn</v>
          </cell>
          <cell r="W141" t="str">
            <v>003983/LS-CCHN</v>
          </cell>
          <cell r="X141" t="str">
            <v>21/10/2020</v>
          </cell>
          <cell r="Z141" t="str">
            <v>Khám bệnh, chữa bệnh Nội khoa</v>
          </cell>
          <cell r="AB141">
            <v>0</v>
          </cell>
          <cell r="AC141">
            <v>978873584</v>
          </cell>
          <cell r="AD141" t="str">
            <v>BC 01/11/2018</v>
          </cell>
        </row>
        <row r="142">
          <cell r="B142" t="str">
            <v>BV1039</v>
          </cell>
          <cell r="C142" t="str">
            <v>Hoàng Thị Thêm</v>
          </cell>
          <cell r="D142" t="str">
            <v>BV1039</v>
          </cell>
          <cell r="E142" t="str">
            <v>x</v>
          </cell>
          <cell r="F142" t="str">
            <v>Bác sĩ</v>
          </cell>
          <cell r="G142" t="str">
            <v>TĐ005</v>
          </cell>
          <cell r="I142" t="str">
            <v>Bác sĩ (hạng III)</v>
          </cell>
          <cell r="J142" t="str">
            <v>Nội Tiêu hóa</v>
          </cell>
          <cell r="K142" t="str">
            <v>KP008</v>
          </cell>
          <cell r="N142" t="str">
            <v>Viên chức</v>
          </cell>
          <cell r="O142">
            <v>30</v>
          </cell>
          <cell r="P142">
            <v>0</v>
          </cell>
          <cell r="Q142" t="str">
            <v>08/9/1995</v>
          </cell>
          <cell r="R142" t="str">
            <v>Tày</v>
          </cell>
          <cell r="S142" t="str">
            <v>13/7/2020</v>
          </cell>
          <cell r="T142" t="str">
            <v>020195001872</v>
          </cell>
          <cell r="U142">
            <v>0</v>
          </cell>
          <cell r="W142" t="str">
            <v>004503/LS-CCHN</v>
          </cell>
          <cell r="X142" t="str">
            <v>06/04/2022</v>
          </cell>
          <cell r="Z142" t="str">
            <v>Khám bệnh, chữa bệnh Nội khoa</v>
          </cell>
          <cell r="AB142">
            <v>0</v>
          </cell>
          <cell r="AC142" t="str">
            <v>0372033987</v>
          </cell>
          <cell r="AD142" t="str">
            <v>Thử việc từ 13/7/2020, Viên chức từ 15/6/2026</v>
          </cell>
        </row>
        <row r="143">
          <cell r="B143" t="str">
            <v>BV1256</v>
          </cell>
          <cell r="C143" t="str">
            <v>Nông Thị Hồng Hạnh</v>
          </cell>
          <cell r="D143" t="str">
            <v>BV1256</v>
          </cell>
          <cell r="E143" t="str">
            <v>x</v>
          </cell>
          <cell r="F143" t="str">
            <v>Bác sĩ</v>
          </cell>
          <cell r="G143" t="str">
            <v>TĐ005</v>
          </cell>
          <cell r="I143" t="str">
            <v>Bác sĩ (hạng III)</v>
          </cell>
          <cell r="J143" t="str">
            <v>Nội Tiêu hóa</v>
          </cell>
          <cell r="K143" t="str">
            <v>KP008</v>
          </cell>
          <cell r="N143" t="str">
            <v>Viên chức</v>
          </cell>
          <cell r="O143">
            <v>32</v>
          </cell>
          <cell r="P143">
            <v>0</v>
          </cell>
          <cell r="Q143" t="str">
            <v>24/10/1993</v>
          </cell>
          <cell r="R143" t="str">
            <v>Nùng</v>
          </cell>
          <cell r="S143">
            <v>45260</v>
          </cell>
          <cell r="T143" t="str">
            <v>006193004260</v>
          </cell>
          <cell r="U143" t="str">
            <v>phường Đông Kinh, tỉnh Lạng Sơn</v>
          </cell>
          <cell r="V143">
            <v>45807</v>
          </cell>
          <cell r="W143" t="str">
            <v>000347/LS-GPHN</v>
          </cell>
          <cell r="X143">
            <v>45908</v>
          </cell>
          <cell r="Z143" t="str">
            <v>Chuyên khoa Nội khoa</v>
          </cell>
          <cell r="AB143">
            <v>0</v>
          </cell>
          <cell r="AC143" t="str">
            <v>0335713931</v>
          </cell>
          <cell r="AD143" t="str">
            <v>Thử việc 01/12/2023, Viên chức từ 15/6/2026</v>
          </cell>
        </row>
        <row r="144">
          <cell r="B144" t="str">
            <v>BV1280</v>
          </cell>
          <cell r="C144" t="str">
            <v>Linh Thị Diệu Hiền</v>
          </cell>
          <cell r="D144" t="str">
            <v>BV1280</v>
          </cell>
          <cell r="E144" t="str">
            <v>x</v>
          </cell>
          <cell r="F144" t="str">
            <v>Bác sĩ</v>
          </cell>
          <cell r="G144" t="str">
            <v>TĐ005</v>
          </cell>
          <cell r="H144" t="str">
            <v>Bác sĩ (hạng III)</v>
          </cell>
          <cell r="I144" t="str">
            <v>Bác sĩ (hạng III)</v>
          </cell>
          <cell r="J144" t="str">
            <v>Tai mũi họng</v>
          </cell>
          <cell r="K144" t="str">
            <v>KP022</v>
          </cell>
          <cell r="L144" t="str">
            <v>Viên chức CMNV</v>
          </cell>
          <cell r="N144" t="str">
            <v>Viên chức</v>
          </cell>
          <cell r="O144">
            <v>31</v>
          </cell>
          <cell r="P144">
            <v>0</v>
          </cell>
          <cell r="Q144" t="str">
            <v>23/4/1995</v>
          </cell>
          <cell r="R144" t="str">
            <v>Tày</v>
          </cell>
          <cell r="S144">
            <v>0</v>
          </cell>
          <cell r="T144" t="str">
            <v>020195001612</v>
          </cell>
          <cell r="U144" t="str">
            <v>Số 5/2 đường Bắc Sơn- khối 2- Phường Đông Kinh -Tỉnh Lạng Sơn</v>
          </cell>
          <cell r="V144">
            <v>45870</v>
          </cell>
          <cell r="W144" t="str">
            <v>000196/LS-GPHN</v>
          </cell>
          <cell r="X144">
            <v>45680</v>
          </cell>
          <cell r="Z144" t="str">
            <v>Nội khoa</v>
          </cell>
          <cell r="AB144">
            <v>0</v>
          </cell>
          <cell r="AD144" t="str">
            <v>Chuyển đến 15/3/2024</v>
          </cell>
        </row>
        <row r="145">
          <cell r="B145" t="str">
            <v>BV0023</v>
          </cell>
          <cell r="C145" t="str">
            <v>Nguyễn Thị Bích Ngọc</v>
          </cell>
          <cell r="D145" t="str">
            <v>BV0023</v>
          </cell>
          <cell r="E145" t="str">
            <v>x</v>
          </cell>
          <cell r="F145" t="str">
            <v>Điều dưỡng ĐH</v>
          </cell>
          <cell r="G145" t="str">
            <v>TĐ011</v>
          </cell>
          <cell r="H145" t="str">
            <v>Điều dưỡng (hạng III)</v>
          </cell>
          <cell r="I145" t="str">
            <v>Điều dưỡng (hạng III)</v>
          </cell>
          <cell r="J145" t="str">
            <v>Nội Tiêu hóa</v>
          </cell>
          <cell r="K145" t="str">
            <v>KP008</v>
          </cell>
          <cell r="L145" t="str">
            <v>Lãnh đạo khoa, phòng</v>
          </cell>
          <cell r="M145" t="str">
            <v>Điều dưỡng trưởng</v>
          </cell>
          <cell r="N145" t="str">
            <v>Viên chức</v>
          </cell>
          <cell r="O145">
            <v>40</v>
          </cell>
          <cell r="P145">
            <v>0</v>
          </cell>
          <cell r="Q145">
            <v>31610</v>
          </cell>
          <cell r="R145" t="str">
            <v>Kinh</v>
          </cell>
          <cell r="S145" t="str">
            <v>01/01/2009</v>
          </cell>
          <cell r="T145" t="str">
            <v>025186004751</v>
          </cell>
          <cell r="U145" t="str">
            <v>P Đông Kinh, Lạng Sơn</v>
          </cell>
          <cell r="W145" t="str">
            <v>000747/LS-CCHN</v>
          </cell>
          <cell r="X145" t="str">
            <v>11/01/2023</v>
          </cell>
          <cell r="Z14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45">
            <v>0</v>
          </cell>
          <cell r="AC145" t="str">
            <v>0916766234</v>
          </cell>
        </row>
        <row r="146">
          <cell r="B146" t="str">
            <v>BV0019</v>
          </cell>
          <cell r="C146" t="str">
            <v>Bế Thị Liễu</v>
          </cell>
          <cell r="D146" t="str">
            <v>BV0019</v>
          </cell>
          <cell r="E146" t="str">
            <v>x</v>
          </cell>
          <cell r="F146" t="str">
            <v>Điều dưỡng ĐH</v>
          </cell>
          <cell r="G146" t="str">
            <v>TĐ011</v>
          </cell>
          <cell r="H146" t="str">
            <v>Điều dưỡng (hạng III)</v>
          </cell>
          <cell r="I146" t="str">
            <v>Điều dưỡng (hạng III)</v>
          </cell>
          <cell r="J146" t="str">
            <v>Nội Tiêu hóa</v>
          </cell>
          <cell r="K146" t="str">
            <v>KP008</v>
          </cell>
          <cell r="L146" t="str">
            <v>Viên chức CMNV</v>
          </cell>
          <cell r="M146">
            <v>0</v>
          </cell>
          <cell r="N146" t="str">
            <v>Viên chức</v>
          </cell>
          <cell r="O146">
            <v>42</v>
          </cell>
          <cell r="P146">
            <v>0</v>
          </cell>
          <cell r="Q146">
            <v>30884</v>
          </cell>
          <cell r="R146" t="str">
            <v>Tày</v>
          </cell>
          <cell r="S146" t="str">
            <v>7/11/2006</v>
          </cell>
          <cell r="T146" t="str">
            <v>020184010044</v>
          </cell>
          <cell r="U146" t="str">
            <v>P Đông Kinh, Lạng Sơn</v>
          </cell>
          <cell r="W146" t="str">
            <v>000738/LS-CCHN</v>
          </cell>
          <cell r="X146" t="str">
            <v>11/01/2023</v>
          </cell>
          <cell r="Z14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46">
            <v>0</v>
          </cell>
          <cell r="AC146">
            <v>978980773</v>
          </cell>
        </row>
        <row r="147">
          <cell r="B147" t="str">
            <v>BV0131</v>
          </cell>
          <cell r="C147" t="str">
            <v>Hoàng Thị Thu</v>
          </cell>
          <cell r="D147" t="str">
            <v>BV0131</v>
          </cell>
          <cell r="E147" t="str">
            <v>x</v>
          </cell>
          <cell r="F147" t="str">
            <v>Điều dưỡng ĐH</v>
          </cell>
          <cell r="G147" t="str">
            <v>TĐ011</v>
          </cell>
          <cell r="H147" t="str">
            <v>Điều dưỡng (hạng III)</v>
          </cell>
          <cell r="I147" t="str">
            <v>Điều dưỡng (hạng III)</v>
          </cell>
          <cell r="J147" t="str">
            <v>Nội Tiêu hóa</v>
          </cell>
          <cell r="K147" t="str">
            <v>KP008</v>
          </cell>
          <cell r="L147" t="str">
            <v>Viên chức CMNV</v>
          </cell>
          <cell r="M147">
            <v>0</v>
          </cell>
          <cell r="N147" t="str">
            <v>Viên chức</v>
          </cell>
          <cell r="O147">
            <v>45</v>
          </cell>
          <cell r="P147">
            <v>0</v>
          </cell>
          <cell r="Q147">
            <v>29621</v>
          </cell>
          <cell r="R147" t="str">
            <v>Nùng</v>
          </cell>
          <cell r="S147" t="str">
            <v>6/11/2006</v>
          </cell>
          <cell r="T147" t="str">
            <v>020181004827</v>
          </cell>
          <cell r="U147" t="str">
            <v>P Đông Kinh, Lạng Sơn</v>
          </cell>
          <cell r="W147" t="str">
            <v>000826/LS-CCHN</v>
          </cell>
          <cell r="X147" t="str">
            <v>11/01/2023</v>
          </cell>
          <cell r="Z14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47">
            <v>0</v>
          </cell>
          <cell r="AC147">
            <v>362149223</v>
          </cell>
        </row>
        <row r="148">
          <cell r="B148" t="str">
            <v>BV0139</v>
          </cell>
          <cell r="C148" t="str">
            <v>Trần Thị Nhình</v>
          </cell>
          <cell r="D148" t="str">
            <v>BV0139</v>
          </cell>
          <cell r="E148" t="str">
            <v>x</v>
          </cell>
          <cell r="F148" t="str">
            <v>Điều dưỡng ĐH</v>
          </cell>
          <cell r="G148" t="str">
            <v>TĐ011</v>
          </cell>
          <cell r="H148" t="str">
            <v>Điều dưỡng (hạng III)</v>
          </cell>
          <cell r="I148" t="str">
            <v>Điều dưỡng (hạng III)</v>
          </cell>
          <cell r="J148" t="str">
            <v>Nội Tiêu hóa</v>
          </cell>
          <cell r="K148" t="str">
            <v>KP008</v>
          </cell>
          <cell r="L148" t="str">
            <v>Viên chức CMNV</v>
          </cell>
          <cell r="M148">
            <v>0</v>
          </cell>
          <cell r="N148" t="str">
            <v>Viên chức</v>
          </cell>
          <cell r="O148">
            <v>40</v>
          </cell>
          <cell r="P148">
            <v>0</v>
          </cell>
          <cell r="Q148">
            <v>31486</v>
          </cell>
          <cell r="R148" t="str">
            <v>Nùng</v>
          </cell>
          <cell r="S148" t="str">
            <v>15/1/2010</v>
          </cell>
          <cell r="T148" t="str">
            <v>020186005566</v>
          </cell>
          <cell r="U148" t="str">
            <v>P Tam Thanh, Lạng Sơn</v>
          </cell>
          <cell r="W148" t="str">
            <v>000833/LS-CCHN</v>
          </cell>
          <cell r="X148" t="str">
            <v>11/01/2023</v>
          </cell>
          <cell r="Z14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48">
            <v>0</v>
          </cell>
          <cell r="AC148">
            <v>384861635</v>
          </cell>
        </row>
        <row r="149">
          <cell r="B149" t="str">
            <v>BV0086</v>
          </cell>
          <cell r="C149" t="str">
            <v>Triệu Thị Thanh Hòa</v>
          </cell>
          <cell r="D149" t="str">
            <v>BV0086</v>
          </cell>
          <cell r="E149" t="str">
            <v>x</v>
          </cell>
          <cell r="F149" t="str">
            <v>Điều dưỡng CĐ</v>
          </cell>
          <cell r="G149" t="str">
            <v>TĐ012</v>
          </cell>
          <cell r="H149" t="str">
            <v>Điều dưỡng (hạng IV)</v>
          </cell>
          <cell r="I149" t="str">
            <v>Điều dưỡng (hạng IV)</v>
          </cell>
          <cell r="J149" t="str">
            <v>Nội Tiêu hóa</v>
          </cell>
          <cell r="K149" t="str">
            <v>KP008</v>
          </cell>
          <cell r="L149" t="str">
            <v>Viên chức CMNV</v>
          </cell>
          <cell r="M149">
            <v>0</v>
          </cell>
          <cell r="N149" t="str">
            <v>Viên chức</v>
          </cell>
          <cell r="O149">
            <v>39</v>
          </cell>
          <cell r="P149">
            <v>0</v>
          </cell>
          <cell r="Q149">
            <v>31713</v>
          </cell>
          <cell r="R149" t="str">
            <v>Nùng</v>
          </cell>
          <cell r="S149" t="str">
            <v>8/12/2008</v>
          </cell>
          <cell r="T149" t="str">
            <v>020186009648</v>
          </cell>
          <cell r="U149" t="str">
            <v>P Lương Văn Tri, Lạng Sơn</v>
          </cell>
          <cell r="W149" t="str">
            <v>000895/LS-CCHN</v>
          </cell>
          <cell r="X149" t="str">
            <v>24/06/2013</v>
          </cell>
          <cell r="Z149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149">
            <v>0</v>
          </cell>
          <cell r="AC149">
            <v>962329956</v>
          </cell>
        </row>
        <row r="150">
          <cell r="B150" t="str">
            <v>BV0723</v>
          </cell>
          <cell r="C150" t="str">
            <v>Hoàng Thị Mai Hồng</v>
          </cell>
          <cell r="D150" t="str">
            <v>BV0723</v>
          </cell>
          <cell r="E150" t="str">
            <v>x</v>
          </cell>
          <cell r="F150" t="str">
            <v>Điều dưỡng CĐ</v>
          </cell>
          <cell r="G150" t="str">
            <v>TĐ012</v>
          </cell>
          <cell r="I150" t="str">
            <v>Điều dưỡng (hạng IV)</v>
          </cell>
          <cell r="J150" t="str">
            <v>Nội Tiêu hóa</v>
          </cell>
          <cell r="K150" t="str">
            <v>KP008</v>
          </cell>
          <cell r="N150" t="str">
            <v>Viên chức</v>
          </cell>
          <cell r="O150">
            <v>32</v>
          </cell>
          <cell r="P150">
            <v>0</v>
          </cell>
          <cell r="Q150" t="str">
            <v>14/8/1993</v>
          </cell>
          <cell r="R150" t="str">
            <v>Nùng</v>
          </cell>
          <cell r="S150" t="str">
            <v xml:space="preserve"> 29/8/2016</v>
          </cell>
          <cell r="T150" t="str">
            <v>020193006895</v>
          </cell>
          <cell r="U150" t="str">
            <v>Xã Điềm He, Lạng Sơn</v>
          </cell>
          <cell r="W150" t="str">
            <v>003303/LS-CCHN</v>
          </cell>
          <cell r="X150" t="str">
            <v>28/06/2018</v>
          </cell>
          <cell r="Z15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50">
            <v>0</v>
          </cell>
          <cell r="AC150">
            <v>977716129</v>
          </cell>
          <cell r="AD150" t="str">
            <v>HĐ 29/8/2016; Đỗ VC 20/5/2026</v>
          </cell>
        </row>
        <row r="151">
          <cell r="B151" t="str">
            <v>BV0902</v>
          </cell>
          <cell r="C151" t="str">
            <v>Vi Ngọc Anh</v>
          </cell>
          <cell r="D151" t="str">
            <v>BV0902</v>
          </cell>
          <cell r="E151" t="str">
            <v>x</v>
          </cell>
          <cell r="F151" t="str">
            <v>Điều dưỡng CĐ</v>
          </cell>
          <cell r="G151" t="str">
            <v>TĐ012</v>
          </cell>
          <cell r="I151" t="str">
            <v>Điều dưỡng (hạng IV)</v>
          </cell>
          <cell r="J151" t="str">
            <v>Nội Tiêu hóa</v>
          </cell>
          <cell r="K151" t="str">
            <v>KP008</v>
          </cell>
          <cell r="N151" t="str">
            <v>Viên chức</v>
          </cell>
          <cell r="O151">
            <v>32</v>
          </cell>
          <cell r="P151">
            <v>0</v>
          </cell>
          <cell r="Q151" t="str">
            <v>22/01/1994</v>
          </cell>
          <cell r="R151" t="str">
            <v>Tày</v>
          </cell>
          <cell r="S151" t="str">
            <v>17/4/2019</v>
          </cell>
          <cell r="T151" t="str">
            <v>020194006155</v>
          </cell>
          <cell r="U151" t="str">
            <v>P Tam Thanh, Lạng Sơn</v>
          </cell>
          <cell r="W151" t="str">
            <v>003712/LS-CCHN</v>
          </cell>
          <cell r="X151" t="str">
            <v>17/04/2020</v>
          </cell>
          <cell r="Z151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51">
            <v>0</v>
          </cell>
          <cell r="AC151">
            <v>848678158</v>
          </cell>
          <cell r="AD151" t="str">
            <v>Thử việc 17/4/2019-31/5/2019; đỗ VC 20/5/2026</v>
          </cell>
        </row>
        <row r="152">
          <cell r="B152" t="str">
            <v>BV0903</v>
          </cell>
          <cell r="C152" t="str">
            <v>Chu Văn Thưởng</v>
          </cell>
          <cell r="D152" t="str">
            <v>BV0903</v>
          </cell>
          <cell r="F152" t="str">
            <v>Điều dưỡng CĐ</v>
          </cell>
          <cell r="G152" t="str">
            <v>TĐ012</v>
          </cell>
          <cell r="I152" t="str">
            <v>Điều dưỡng (hạng IV)</v>
          </cell>
          <cell r="J152" t="str">
            <v>Nội Tiêu hóa</v>
          </cell>
          <cell r="K152" t="str">
            <v>KP008</v>
          </cell>
          <cell r="N152" t="str">
            <v>Viên chức</v>
          </cell>
          <cell r="O152">
            <v>30</v>
          </cell>
          <cell r="P152" t="str">
            <v>28/01/1996</v>
          </cell>
          <cell r="Q152">
            <v>0</v>
          </cell>
          <cell r="R152" t="str">
            <v>Nùng</v>
          </cell>
          <cell r="S152" t="str">
            <v>17/4/2019</v>
          </cell>
          <cell r="T152" t="str">
            <v>020096009521</v>
          </cell>
          <cell r="U152" t="str">
            <v>Nà Sla - Cao Lộc - Lạng Sơn</v>
          </cell>
          <cell r="W152" t="str">
            <v>003802/LS-CCHN</v>
          </cell>
          <cell r="X152" t="str">
            <v>21/07/2020</v>
          </cell>
          <cell r="Z15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52">
            <v>0</v>
          </cell>
          <cell r="AC152">
            <v>357256307</v>
          </cell>
          <cell r="AD152" t="str">
            <v>Thử việc 17/4/2019-31/5/2019; đỗ VC 20/5/2026</v>
          </cell>
        </row>
        <row r="153">
          <cell r="B153" t="str">
            <v>BV0904</v>
          </cell>
          <cell r="C153" t="str">
            <v>Vy Thị Nga</v>
          </cell>
          <cell r="D153" t="str">
            <v>BV0904</v>
          </cell>
          <cell r="E153" t="str">
            <v>x</v>
          </cell>
          <cell r="F153" t="str">
            <v>Điều dưỡng CĐ</v>
          </cell>
          <cell r="G153" t="str">
            <v>TĐ012</v>
          </cell>
          <cell r="I153" t="str">
            <v>Điều dưỡng (hạng IV)</v>
          </cell>
          <cell r="J153" t="str">
            <v>Nội Tiêu hóa</v>
          </cell>
          <cell r="K153" t="str">
            <v>KP008</v>
          </cell>
          <cell r="N153" t="str">
            <v>Viên chức</v>
          </cell>
          <cell r="O153">
            <v>29</v>
          </cell>
          <cell r="P153">
            <v>0</v>
          </cell>
          <cell r="Q153" t="str">
            <v>20/05/1997</v>
          </cell>
          <cell r="R153" t="str">
            <v>Tày</v>
          </cell>
          <cell r="S153" t="str">
            <v>17/4/2019</v>
          </cell>
          <cell r="T153" t="str">
            <v>020197007885</v>
          </cell>
          <cell r="U153" t="str">
            <v>Xã Vũ Lăng, Lạng Sơn</v>
          </cell>
          <cell r="W153" t="str">
            <v>003713/LS-CCHN</v>
          </cell>
          <cell r="X153" t="str">
            <v>17/04/2020</v>
          </cell>
          <cell r="Z15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53">
            <v>0</v>
          </cell>
          <cell r="AC153">
            <v>388630958</v>
          </cell>
          <cell r="AD153" t="str">
            <v>Thử việc 17/4/2019-31/5/2019; đỗ VC 20/5/2026</v>
          </cell>
        </row>
        <row r="154">
          <cell r="B154" t="str">
            <v>BV0345</v>
          </cell>
          <cell r="C154" t="str">
            <v>Lâm Lệ Thu</v>
          </cell>
          <cell r="D154" t="str">
            <v>BV0345</v>
          </cell>
          <cell r="E154" t="str">
            <v>x</v>
          </cell>
          <cell r="F154" t="str">
            <v>Điều dưỡng CĐ</v>
          </cell>
          <cell r="G154" t="str">
            <v>TĐ012</v>
          </cell>
          <cell r="H154" t="str">
            <v>Điều dưỡng (hạng IV)</v>
          </cell>
          <cell r="I154" t="str">
            <v>Điều dưỡng (hạng IV)</v>
          </cell>
          <cell r="J154" t="str">
            <v>Nội Tiêu hóa</v>
          </cell>
          <cell r="K154" t="str">
            <v>KP008</v>
          </cell>
          <cell r="L154" t="str">
            <v>Viên chức CMNV</v>
          </cell>
          <cell r="M154">
            <v>0</v>
          </cell>
          <cell r="N154" t="str">
            <v>Viên chức</v>
          </cell>
          <cell r="O154">
            <v>48</v>
          </cell>
          <cell r="P154">
            <v>0</v>
          </cell>
          <cell r="Q154">
            <v>28432</v>
          </cell>
          <cell r="R154" t="str">
            <v>Nùng</v>
          </cell>
          <cell r="S154" t="str">
            <v>16/2/2005</v>
          </cell>
          <cell r="T154" t="str">
            <v>020177004799</v>
          </cell>
          <cell r="U154" t="str">
            <v>P Lương Văn Tri, Lạng Sơn</v>
          </cell>
          <cell r="W154" t="str">
            <v>000881/LS-CCHN</v>
          </cell>
          <cell r="X154" t="str">
            <v>11/01/2023</v>
          </cell>
          <cell r="Z15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54">
            <v>0</v>
          </cell>
          <cell r="AC154">
            <v>979640396</v>
          </cell>
        </row>
        <row r="155">
          <cell r="B155" t="str">
            <v>BV1082</v>
          </cell>
          <cell r="C155" t="str">
            <v>Hoàng Thị Vinh</v>
          </cell>
          <cell r="D155" t="str">
            <v>BV1082</v>
          </cell>
          <cell r="E155" t="str">
            <v>x</v>
          </cell>
          <cell r="F155" t="str">
            <v>Điều dưỡng CĐ</v>
          </cell>
          <cell r="G155" t="str">
            <v>TĐ012</v>
          </cell>
          <cell r="I155" t="str">
            <v>Điều dưỡng (hạng IV)</v>
          </cell>
          <cell r="J155" t="str">
            <v>Nội Tiêu hóa</v>
          </cell>
          <cell r="K155" t="str">
            <v>KP008</v>
          </cell>
          <cell r="N155" t="str">
            <v>Viên chức</v>
          </cell>
          <cell r="O155">
            <v>31</v>
          </cell>
          <cell r="P155">
            <v>0</v>
          </cell>
          <cell r="Q155" t="str">
            <v>09/3/1995</v>
          </cell>
          <cell r="R155" t="str">
            <v>Tày</v>
          </cell>
          <cell r="S155" t="str">
            <v>09/11/2020</v>
          </cell>
          <cell r="T155" t="str">
            <v>020195000999</v>
          </cell>
          <cell r="U155" t="str">
            <v>P Đông Kinh, Lạng Sơn</v>
          </cell>
          <cell r="W155" t="str">
            <v>004492/LS-CCHN</v>
          </cell>
          <cell r="X155" t="str">
            <v>06/04/2022</v>
          </cell>
          <cell r="Z155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55">
            <v>0</v>
          </cell>
          <cell r="AC155" t="str">
            <v>0385542891</v>
          </cell>
          <cell r="AD155" t="str">
            <v>Thử việc 03/11/2020, Viên chức từ 15/6/2026</v>
          </cell>
        </row>
        <row r="156">
          <cell r="B156" t="str">
            <v>BV1295</v>
          </cell>
          <cell r="C156" t="str">
            <v>Hoàng Thị Mai</v>
          </cell>
          <cell r="D156" t="str">
            <v>BV1295</v>
          </cell>
          <cell r="E156" t="str">
            <v>x</v>
          </cell>
          <cell r="F156" t="str">
            <v>Điều dưỡng CĐ</v>
          </cell>
          <cell r="G156" t="str">
            <v>TĐ012</v>
          </cell>
          <cell r="I156" t="str">
            <v>Điều dưỡng (hạng IV)</v>
          </cell>
          <cell r="J156" t="str">
            <v>Nội Tiêu hóa</v>
          </cell>
          <cell r="K156" t="str">
            <v>KP008</v>
          </cell>
          <cell r="N156" t="str">
            <v>Viên chức</v>
          </cell>
          <cell r="O156">
            <v>34</v>
          </cell>
          <cell r="P156">
            <v>0</v>
          </cell>
          <cell r="Q156" t="str">
            <v>07/10/1991</v>
          </cell>
          <cell r="R156" t="str">
            <v>Tày</v>
          </cell>
          <cell r="S156">
            <v>45597</v>
          </cell>
          <cell r="T156" t="str">
            <v>020191008463</v>
          </cell>
          <cell r="U156" t="str">
            <v>Lợi Bác, Lạng Sơn</v>
          </cell>
          <cell r="W156" t="str">
            <v>000268/LS-GPHN</v>
          </cell>
          <cell r="X156">
            <v>45796</v>
          </cell>
          <cell r="Z156" t="str">
            <v>Điều dưỡng</v>
          </cell>
          <cell r="AB156">
            <v>0</v>
          </cell>
          <cell r="AC156" t="str">
            <v>0399168550</v>
          </cell>
          <cell r="AD156" t="str">
            <v>HĐ 01/11/2024, Viên chức từ 15/6/2026</v>
          </cell>
        </row>
        <row r="157">
          <cell r="B157" t="str">
            <v>BV1312</v>
          </cell>
          <cell r="C157" t="str">
            <v>Dương Thị Duyên</v>
          </cell>
          <cell r="D157" t="str">
            <v>BV1312</v>
          </cell>
          <cell r="E157" t="str">
            <v>x</v>
          </cell>
          <cell r="F157" t="str">
            <v>Điều dưỡng CĐ</v>
          </cell>
          <cell r="G157" t="str">
            <v>TĐ012</v>
          </cell>
          <cell r="I157" t="str">
            <v>Điều dưỡng (hạng IV)</v>
          </cell>
          <cell r="J157" t="str">
            <v>Nội Tiêu hóa</v>
          </cell>
          <cell r="K157" t="str">
            <v>KP008</v>
          </cell>
          <cell r="N157" t="str">
            <v>Viên chức</v>
          </cell>
          <cell r="O157">
            <v>23</v>
          </cell>
          <cell r="P157">
            <v>0</v>
          </cell>
          <cell r="Q157" t="str">
            <v>19/02/2003</v>
          </cell>
          <cell r="R157" t="str">
            <v>Tày</v>
          </cell>
          <cell r="S157">
            <v>45783</v>
          </cell>
          <cell r="T157" t="str">
            <v>020303001535</v>
          </cell>
          <cell r="U157" t="str">
            <v>Xã Vũ Lăng, Lạng Sơn</v>
          </cell>
          <cell r="W157" t="str">
            <v>000461/LS-GPHN</v>
          </cell>
          <cell r="X157">
            <v>46044</v>
          </cell>
          <cell r="Z157" t="str">
            <v>Điều dưỡng</v>
          </cell>
          <cell r="AB157">
            <v>0</v>
          </cell>
          <cell r="AC157" t="str">
            <v>0856116398</v>
          </cell>
          <cell r="AD157" t="str">
            <v>HĐ 06/05/2025, Viên chức từ 15/6/2026</v>
          </cell>
        </row>
        <row r="158">
          <cell r="B158" t="str">
            <v>BV0882</v>
          </cell>
          <cell r="C158" t="str">
            <v>Hoàng Thị Bích</v>
          </cell>
          <cell r="D158" t="str">
            <v>BV0882</v>
          </cell>
          <cell r="E158" t="str">
            <v>x</v>
          </cell>
          <cell r="F158" t="str">
            <v>Hộ lý</v>
          </cell>
          <cell r="G158" t="str">
            <v>TĐ047</v>
          </cell>
          <cell r="I158" t="str">
            <v>Hộ lý</v>
          </cell>
          <cell r="J158" t="str">
            <v>Nội Tiêu hóa</v>
          </cell>
          <cell r="K158" t="str">
            <v>KP008</v>
          </cell>
          <cell r="N158" t="str">
            <v>HĐ có thời hạn</v>
          </cell>
          <cell r="O158">
            <v>36</v>
          </cell>
          <cell r="P158">
            <v>0</v>
          </cell>
          <cell r="Q158" t="str">
            <v>24/11/1989</v>
          </cell>
          <cell r="R158" t="str">
            <v>Nùng</v>
          </cell>
          <cell r="S158" t="str">
            <v>02/01/2019</v>
          </cell>
          <cell r="T158" t="str">
            <v>020189008386</v>
          </cell>
          <cell r="U158" t="str">
            <v>P Đông Kinh, Lạng Sơn</v>
          </cell>
          <cell r="W158" t="str">
            <v/>
          </cell>
          <cell r="X158" t="str">
            <v/>
          </cell>
          <cell r="Z158" t="str">
            <v/>
          </cell>
          <cell r="AB158" t="str">
            <v/>
          </cell>
          <cell r="AC158">
            <v>365003750</v>
          </cell>
          <cell r="AD158" t="str">
            <v>HĐ 02/01/2019</v>
          </cell>
        </row>
        <row r="159">
          <cell r="B159" t="str">
            <v>BV0145</v>
          </cell>
          <cell r="C159" t="str">
            <v>Tạ Văn Hùng</v>
          </cell>
          <cell r="D159" t="str">
            <v>BV0145</v>
          </cell>
          <cell r="F159" t="str">
            <v>BSCKI</v>
          </cell>
          <cell r="G159" t="str">
            <v>TĐ003</v>
          </cell>
          <cell r="H159" t="str">
            <v>Bác sĩ chính (hạng II)</v>
          </cell>
          <cell r="I159" t="str">
            <v>Bác sĩ chính (hạng II)</v>
          </cell>
          <cell r="J159" t="str">
            <v>Nội Thận-TN-LM</v>
          </cell>
          <cell r="K159" t="str">
            <v>KP009</v>
          </cell>
          <cell r="L159" t="str">
            <v>Lãnh đạo khoa, phòng</v>
          </cell>
          <cell r="M159" t="str">
            <v>Trưởng khoa</v>
          </cell>
          <cell r="N159" t="str">
            <v>Viên chức</v>
          </cell>
          <cell r="O159">
            <v>44</v>
          </cell>
          <cell r="P159">
            <v>30015</v>
          </cell>
          <cell r="Q159">
            <v>0</v>
          </cell>
          <cell r="R159" t="str">
            <v>kinh</v>
          </cell>
          <cell r="S159" t="str">
            <v>01/12/2008</v>
          </cell>
          <cell r="T159" t="str">
            <v>027082004220</v>
          </cell>
          <cell r="U159" t="str">
            <v>Tam Sơn, Bắc Ninh</v>
          </cell>
          <cell r="W159" t="str">
            <v>000840/LS-CCHN</v>
          </cell>
          <cell r="X159" t="str">
            <v>24/06/2013</v>
          </cell>
          <cell r="Z159" t="str">
            <v>Khám bệnh chữa bệnh Nội khoa</v>
          </cell>
          <cell r="AB159" t="str">
            <v>01C.1;01.0191;02.0226;01.0172;01.0349;01.0002</v>
          </cell>
          <cell r="AC159" t="str">
            <v>0989939838</v>
          </cell>
        </row>
        <row r="160">
          <cell r="B160" t="str">
            <v>BV0146</v>
          </cell>
          <cell r="C160" t="str">
            <v>Hà Long Sơn</v>
          </cell>
          <cell r="D160" t="str">
            <v>BV0146</v>
          </cell>
          <cell r="F160" t="str">
            <v>BSCKI</v>
          </cell>
          <cell r="G160" t="str">
            <v>TĐ003</v>
          </cell>
          <cell r="H160" t="str">
            <v>Bác sĩ (hạng III)</v>
          </cell>
          <cell r="I160" t="str">
            <v>Bác sĩ (hạng III)</v>
          </cell>
          <cell r="J160" t="str">
            <v>Nội Thận-TN-LM</v>
          </cell>
          <cell r="K160" t="str">
            <v>KP009</v>
          </cell>
          <cell r="L160" t="str">
            <v>Lãnh đạo khoa, phòng</v>
          </cell>
          <cell r="M160" t="str">
            <v>Phó trưởng khoa</v>
          </cell>
          <cell r="N160" t="str">
            <v>Viên chức</v>
          </cell>
          <cell r="O160">
            <v>43</v>
          </cell>
          <cell r="P160">
            <v>30519</v>
          </cell>
          <cell r="Q160">
            <v>0</v>
          </cell>
          <cell r="R160" t="str">
            <v>Tày</v>
          </cell>
          <cell r="S160" t="str">
            <v>15/1/2010</v>
          </cell>
          <cell r="T160" t="str">
            <v>020083002550</v>
          </cell>
          <cell r="U160" t="str">
            <v>Tam Thanh., Lạng Sơn</v>
          </cell>
          <cell r="W160" t="str">
            <v>000732/LS-CCHN</v>
          </cell>
          <cell r="X160" t="str">
            <v>24/06/2013</v>
          </cell>
          <cell r="Z160" t="str">
            <v>Khám bệnh chữa bệnh Nội khoa</v>
          </cell>
          <cell r="AB160" t="str">
            <v>01C.1;01.0191;02.0226;01.0172;01.0349;03.0035</v>
          </cell>
          <cell r="AC160" t="str">
            <v>0912553353</v>
          </cell>
        </row>
        <row r="161">
          <cell r="B161" t="str">
            <v>BV0845</v>
          </cell>
          <cell r="C161" t="str">
            <v>Dương Thị Huyền Trang</v>
          </cell>
          <cell r="D161" t="str">
            <v>BV0845</v>
          </cell>
          <cell r="E161" t="str">
            <v>x</v>
          </cell>
          <cell r="F161" t="str">
            <v>BSCKI</v>
          </cell>
          <cell r="G161" t="str">
            <v>TĐ003</v>
          </cell>
          <cell r="H161" t="str">
            <v>Bác sĩ (hạng III)</v>
          </cell>
          <cell r="I161" t="str">
            <v>Bác sĩ (hạng III)</v>
          </cell>
          <cell r="J161" t="str">
            <v>Nội Thận-TN-LM</v>
          </cell>
          <cell r="K161" t="str">
            <v>KP009</v>
          </cell>
          <cell r="L161" t="str">
            <v>Viên chức CMNV</v>
          </cell>
          <cell r="M161">
            <v>0</v>
          </cell>
          <cell r="N161" t="str">
            <v>Viên chức</v>
          </cell>
          <cell r="O161">
            <v>35</v>
          </cell>
          <cell r="P161">
            <v>0</v>
          </cell>
          <cell r="Q161" t="str">
            <v>09/6/1991</v>
          </cell>
          <cell r="R161" t="str">
            <v>Tày</v>
          </cell>
          <cell r="S161" t="str">
            <v>01/02/2017</v>
          </cell>
          <cell r="T161" t="str">
            <v>020191011819</v>
          </cell>
          <cell r="U161" t="str">
            <v>P Đông kinh, Lạng Sơn</v>
          </cell>
          <cell r="W161" t="str">
            <v>003678/LS-CCHN</v>
          </cell>
          <cell r="X161" t="str">
            <v>22/01/2020</v>
          </cell>
          <cell r="Z161" t="str">
            <v>Khám bệnh chữa bệnh Nội khoa</v>
          </cell>
          <cell r="AB161" t="str">
            <v>01C.1;01.0191;02.0226;01.0172;01.0349;03.0035</v>
          </cell>
          <cell r="AC161" t="str">
            <v>0866482882</v>
          </cell>
          <cell r="AD161" t="str">
            <v>Chuyển đến 20/3/2018; nghỉ TS; Đi làm 02/7/2018</v>
          </cell>
        </row>
        <row r="162">
          <cell r="B162" t="str">
            <v>BV0681</v>
          </cell>
          <cell r="C162" t="str">
            <v>Hoàng Thị Thoa</v>
          </cell>
          <cell r="D162" t="str">
            <v>BV0681</v>
          </cell>
          <cell r="E162" t="str">
            <v>x</v>
          </cell>
          <cell r="F162" t="str">
            <v>BSCKI</v>
          </cell>
          <cell r="G162" t="str">
            <v>TĐ003</v>
          </cell>
          <cell r="H162" t="str">
            <v>Bác sĩ (hạng III)</v>
          </cell>
          <cell r="I162" t="str">
            <v>Bác sĩ (hạng III)</v>
          </cell>
          <cell r="J162" t="str">
            <v>Nội Thận-TN-LM</v>
          </cell>
          <cell r="K162" t="str">
            <v>KP009</v>
          </cell>
          <cell r="L162" t="str">
            <v>Viên chức CMNV</v>
          </cell>
          <cell r="M162">
            <v>0</v>
          </cell>
          <cell r="N162" t="str">
            <v>Viên chức</v>
          </cell>
          <cell r="O162">
            <v>37</v>
          </cell>
          <cell r="P162">
            <v>0</v>
          </cell>
          <cell r="Q162" t="str">
            <v>10/5/1989</v>
          </cell>
          <cell r="R162" t="str">
            <v>Nùng</v>
          </cell>
          <cell r="S162" t="str">
            <v>10/01/2016</v>
          </cell>
          <cell r="T162" t="str">
            <v>020189003593</v>
          </cell>
          <cell r="U162" t="str">
            <v>P Đông kinh, Lạng Sơn</v>
          </cell>
          <cell r="W162" t="str">
            <v>002149/LS-CCHN</v>
          </cell>
          <cell r="X162">
            <v>43070</v>
          </cell>
          <cell r="Z162" t="str">
            <v>Khám bệnh chữa bệnh Nội khoa</v>
          </cell>
          <cell r="AB162" t="str">
            <v>01C.1;01.0191;02.0226;01.0172;01.0349;03.0035</v>
          </cell>
          <cell r="AC162" t="str">
            <v>0374677757</v>
          </cell>
        </row>
        <row r="163">
          <cell r="B163" t="str">
            <v>BV0938</v>
          </cell>
          <cell r="C163" t="str">
            <v>Hoàng Thị Phương Linh</v>
          </cell>
          <cell r="D163" t="str">
            <v>BV0938</v>
          </cell>
          <cell r="E163" t="str">
            <v>x</v>
          </cell>
          <cell r="F163" t="str">
            <v>Bác sĩ</v>
          </cell>
          <cell r="G163" t="str">
            <v>TĐ005</v>
          </cell>
          <cell r="I163" t="str">
            <v>Bác sĩ (hạng III)</v>
          </cell>
          <cell r="J163" t="str">
            <v>Nội Thận-TN-LM</v>
          </cell>
          <cell r="K163" t="str">
            <v>KP009</v>
          </cell>
          <cell r="N163" t="str">
            <v>Viên chức</v>
          </cell>
          <cell r="O163">
            <v>31</v>
          </cell>
          <cell r="P163">
            <v>0</v>
          </cell>
          <cell r="Q163" t="str">
            <v>26/11/1994</v>
          </cell>
          <cell r="R163" t="str">
            <v>Tày</v>
          </cell>
          <cell r="S163" t="str">
            <v>15/8/2019</v>
          </cell>
          <cell r="T163" t="str">
            <v>020194000253</v>
          </cell>
          <cell r="U163" t="str">
            <v>165 trần hưng đạo, P lương văn tri, Lạng Sơn</v>
          </cell>
          <cell r="W163" t="str">
            <v>004178/LS-CCHN</v>
          </cell>
          <cell r="X163" t="str">
            <v>23/04/2021</v>
          </cell>
          <cell r="Z163" t="str">
            <v>Khám bệnh chữa bệnh Nội khoa</v>
          </cell>
          <cell r="AB163" t="str">
            <v>01C.1;01.0191;02.0226;01.0172;01.0349;03.0035</v>
          </cell>
          <cell r="AC163" t="str">
            <v>0982912232</v>
          </cell>
          <cell r="AD163" t="str">
            <v>Thử việc 15/8/2019; đỗ VC 20/5/2026</v>
          </cell>
        </row>
        <row r="164">
          <cell r="B164" t="str">
            <v>BV1233</v>
          </cell>
          <cell r="C164" t="str">
            <v>Lê Thị Lệ</v>
          </cell>
          <cell r="D164" t="str">
            <v>BV1233</v>
          </cell>
          <cell r="E164" t="str">
            <v>x</v>
          </cell>
          <cell r="F164" t="str">
            <v>Bác sĩ</v>
          </cell>
          <cell r="G164" t="str">
            <v>TĐ005</v>
          </cell>
          <cell r="I164" t="str">
            <v>Bác sĩ (hạng III)</v>
          </cell>
          <cell r="J164" t="str">
            <v>Cấp Cứu</v>
          </cell>
          <cell r="K164" t="str">
            <v>KP002</v>
          </cell>
          <cell r="N164" t="str">
            <v>Viên chức</v>
          </cell>
          <cell r="O164">
            <v>28</v>
          </cell>
          <cell r="P164">
            <v>0</v>
          </cell>
          <cell r="Q164" t="str">
            <v>13/04/1998</v>
          </cell>
          <cell r="R164" t="str">
            <v>Tày</v>
          </cell>
          <cell r="S164">
            <v>45030</v>
          </cell>
          <cell r="T164" t="str">
            <v>020198005331</v>
          </cell>
          <cell r="U164" t="str">
            <v>Thôn Chi Mạc - phường Tam Thanh - tỉnh Lạng Sơn</v>
          </cell>
          <cell r="V164">
            <v>45579</v>
          </cell>
          <cell r="W164" t="str">
            <v>000067/LS-GPHN</v>
          </cell>
          <cell r="X164">
            <v>45472</v>
          </cell>
          <cell r="Z164" t="str">
            <v>Chuyên khoa Nội khoa</v>
          </cell>
          <cell r="AB164">
            <v>0</v>
          </cell>
          <cell r="AC164" t="str">
            <v>0392083636</v>
          </cell>
          <cell r="AD164" t="str">
            <v>Thử việc 14/4/2023, Viên chức từ 15/6/2026</v>
          </cell>
        </row>
        <row r="165">
          <cell r="B165" t="str">
            <v>BV1258</v>
          </cell>
          <cell r="C165" t="str">
            <v>Đường Ngọc Trang</v>
          </cell>
          <cell r="D165" t="str">
            <v>BV1258</v>
          </cell>
          <cell r="E165" t="str">
            <v>x</v>
          </cell>
          <cell r="F165" t="str">
            <v>Bác sĩ</v>
          </cell>
          <cell r="G165" t="str">
            <v>TĐ005</v>
          </cell>
          <cell r="I165" t="str">
            <v>Bác sĩ (hạng III)</v>
          </cell>
          <cell r="J165" t="str">
            <v>Nội Thận-TN-LM</v>
          </cell>
          <cell r="K165" t="str">
            <v>KP009</v>
          </cell>
          <cell r="N165" t="str">
            <v>Viên chức</v>
          </cell>
          <cell r="O165">
            <v>29</v>
          </cell>
          <cell r="P165">
            <v>0</v>
          </cell>
          <cell r="Q165" t="str">
            <v>21/11/1996</v>
          </cell>
          <cell r="R165" t="str">
            <v>Tày</v>
          </cell>
          <cell r="S165">
            <v>45243</v>
          </cell>
          <cell r="T165" t="str">
            <v>020196005171</v>
          </cell>
          <cell r="U165" t="str">
            <v>P Đông kinh, Lạng Sơn</v>
          </cell>
          <cell r="W165" t="str">
            <v>005596/LS-CCHN</v>
          </cell>
          <cell r="X165" t="str">
            <v>23/05/2023</v>
          </cell>
          <cell r="Z165" t="str">
            <v>Khám bệnh, chữa bệnh chuyên khoa Nội</v>
          </cell>
          <cell r="AB165">
            <v>0</v>
          </cell>
          <cell r="AC165" t="str">
            <v>0388063430</v>
          </cell>
          <cell r="AD165" t="str">
            <v>Hợp đồng từ 13/11/2023, Viên chức từ 15/6/2026</v>
          </cell>
        </row>
        <row r="166">
          <cell r="B166" t="str">
            <v>BV1266</v>
          </cell>
          <cell r="C166" t="str">
            <v>Nguyễn Thị Vân Anh</v>
          </cell>
          <cell r="D166" t="str">
            <v>BV1266</v>
          </cell>
          <cell r="E166" t="str">
            <v>x</v>
          </cell>
          <cell r="F166" t="str">
            <v>Bác sĩ</v>
          </cell>
          <cell r="G166" t="str">
            <v>TĐ005</v>
          </cell>
          <cell r="I166" t="str">
            <v>Bác sĩ (hạng III)</v>
          </cell>
          <cell r="J166" t="str">
            <v>Cấp Cứu</v>
          </cell>
          <cell r="K166" t="str">
            <v>KP002</v>
          </cell>
          <cell r="N166" t="str">
            <v>Viên chức</v>
          </cell>
          <cell r="O166">
            <v>26</v>
          </cell>
          <cell r="P166">
            <v>0</v>
          </cell>
          <cell r="Q166" t="str">
            <v>8/10/1999</v>
          </cell>
          <cell r="R166" t="str">
            <v>Nùng</v>
          </cell>
          <cell r="S166">
            <v>45252</v>
          </cell>
          <cell r="T166" t="str">
            <v>020199003406</v>
          </cell>
          <cell r="U166">
            <v>0</v>
          </cell>
          <cell r="V166">
            <v>45799</v>
          </cell>
          <cell r="W166" t="str">
            <v>000519/LS-GPHN</v>
          </cell>
          <cell r="X166">
            <v>46126</v>
          </cell>
          <cell r="Z166" t="str">
            <v>Y khoa</v>
          </cell>
          <cell r="AB166" t="str">
            <v/>
          </cell>
          <cell r="AC166" t="str">
            <v>0879112351</v>
          </cell>
          <cell r="AD166" t="str">
            <v>Thử việc 20/11/2023, Viên chức từ 15/6/2026</v>
          </cell>
        </row>
        <row r="167">
          <cell r="B167" t="str">
            <v>BV0147</v>
          </cell>
          <cell r="C167" t="str">
            <v>Đinh Thị Nghĩa</v>
          </cell>
          <cell r="D167" t="str">
            <v>BV0147</v>
          </cell>
          <cell r="E167" t="str">
            <v>x</v>
          </cell>
          <cell r="F167" t="str">
            <v>Điều dưỡng ĐH</v>
          </cell>
          <cell r="G167" t="str">
            <v>TĐ011</v>
          </cell>
          <cell r="H167" t="str">
            <v>Điều dưỡng (hạng III)</v>
          </cell>
          <cell r="I167" t="str">
            <v>Điều dưỡng (hạng III)</v>
          </cell>
          <cell r="J167" t="str">
            <v>Nội Thận-TN-LM</v>
          </cell>
          <cell r="K167" t="str">
            <v>KP009</v>
          </cell>
          <cell r="L167" t="str">
            <v>Viên chức CMNV</v>
          </cell>
          <cell r="M167">
            <v>0</v>
          </cell>
          <cell r="N167" t="str">
            <v>Viên chức</v>
          </cell>
          <cell r="O167">
            <v>36</v>
          </cell>
          <cell r="P167">
            <v>0</v>
          </cell>
          <cell r="Q167">
            <v>32879</v>
          </cell>
          <cell r="R167" t="str">
            <v>kinh</v>
          </cell>
          <cell r="S167" t="str">
            <v>10/6/2013</v>
          </cell>
          <cell r="T167" t="str">
            <v>037190012646</v>
          </cell>
          <cell r="U167" t="str">
            <v>Tam Thanh., Lạng Sơn</v>
          </cell>
          <cell r="W167" t="str">
            <v>000394/LS-CCHN</v>
          </cell>
          <cell r="X167" t="str">
            <v>01/06/2016</v>
          </cell>
          <cell r="Z16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67">
            <v>0</v>
          </cell>
          <cell r="AC167" t="str">
            <v>0389956504</v>
          </cell>
        </row>
        <row r="168">
          <cell r="B168" t="str">
            <v>BV0150</v>
          </cell>
          <cell r="C168" t="str">
            <v>Nông Thị Ngọc</v>
          </cell>
          <cell r="D168" t="str">
            <v>BV0150</v>
          </cell>
          <cell r="E168" t="str">
            <v>x</v>
          </cell>
          <cell r="F168" t="str">
            <v>Điều dưỡng ĐH</v>
          </cell>
          <cell r="G168" t="str">
            <v>TĐ011</v>
          </cell>
          <cell r="H168" t="str">
            <v>Điều dưỡng (hạng III)</v>
          </cell>
          <cell r="I168" t="str">
            <v>Điều dưỡng (hạng III)</v>
          </cell>
          <cell r="J168" t="str">
            <v>Răng Hàm Mặt</v>
          </cell>
          <cell r="K168" t="str">
            <v>KP024</v>
          </cell>
          <cell r="L168" t="str">
            <v>Viên chức CMNV</v>
          </cell>
          <cell r="M168">
            <v>0</v>
          </cell>
          <cell r="N168" t="str">
            <v>Viên chức</v>
          </cell>
          <cell r="O168">
            <v>43</v>
          </cell>
          <cell r="P168">
            <v>0</v>
          </cell>
          <cell r="Q168">
            <v>30198</v>
          </cell>
          <cell r="R168" t="str">
            <v>Nùng</v>
          </cell>
          <cell r="S168" t="str">
            <v>29/12/2008</v>
          </cell>
          <cell r="T168" t="str">
            <v>020182002807</v>
          </cell>
          <cell r="U168" t="str">
            <v>Số 5, ngõ 255, khối 10, Nhị ThanhTam Thanh.</v>
          </cell>
          <cell r="W168" t="str">
            <v>000844/LS-CCHN</v>
          </cell>
          <cell r="X168" t="str">
            <v>11/01/2023</v>
          </cell>
          <cell r="Z16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68">
            <v>0</v>
          </cell>
          <cell r="AC168" t="str">
            <v>0963766853</v>
          </cell>
        </row>
        <row r="169">
          <cell r="B169" t="str">
            <v>BV0151</v>
          </cell>
          <cell r="C169" t="str">
            <v>Thi Văn Hiển</v>
          </cell>
          <cell r="D169" t="str">
            <v>BV0151</v>
          </cell>
          <cell r="F169" t="str">
            <v>Điều dưỡng ĐH</v>
          </cell>
          <cell r="G169" t="str">
            <v>TĐ011</v>
          </cell>
          <cell r="H169" t="str">
            <v>Điều dưỡng (hạng III)</v>
          </cell>
          <cell r="I169" t="str">
            <v>Điều dưỡng (hạng III)</v>
          </cell>
          <cell r="J169" t="str">
            <v>Nội Thận-TN-LM</v>
          </cell>
          <cell r="K169" t="str">
            <v>KP009</v>
          </cell>
          <cell r="L169" t="str">
            <v>Viên chức CMNV</v>
          </cell>
          <cell r="M169">
            <v>0</v>
          </cell>
          <cell r="N169" t="str">
            <v>Viên chức</v>
          </cell>
          <cell r="O169">
            <v>47</v>
          </cell>
          <cell r="P169">
            <v>29028</v>
          </cell>
          <cell r="Q169">
            <v>0</v>
          </cell>
          <cell r="R169" t="str">
            <v>Tày</v>
          </cell>
          <cell r="S169" t="str">
            <v>7/11/2006</v>
          </cell>
          <cell r="T169" t="str">
            <v>020079001584</v>
          </cell>
          <cell r="U169" t="str">
            <v>P, kỳ lừa, Lạng Sơn</v>
          </cell>
          <cell r="W169" t="str">
            <v>000397/LS-CCHN</v>
          </cell>
          <cell r="X169" t="str">
            <v>11/01/2023</v>
          </cell>
          <cell r="Z16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69">
            <v>0</v>
          </cell>
          <cell r="AC169" t="str">
            <v>0977803493</v>
          </cell>
        </row>
        <row r="170">
          <cell r="B170" t="str">
            <v>BV0223</v>
          </cell>
          <cell r="C170" t="str">
            <v>Nguyễn Thị Phương</v>
          </cell>
          <cell r="D170" t="str">
            <v>BV0223</v>
          </cell>
          <cell r="E170" t="str">
            <v>x</v>
          </cell>
          <cell r="F170" t="str">
            <v>Điều dưỡng ĐH</v>
          </cell>
          <cell r="G170" t="str">
            <v>TĐ011</v>
          </cell>
          <cell r="H170" t="str">
            <v>Điều dưỡng (hạng III)</v>
          </cell>
          <cell r="I170" t="str">
            <v>Điều dưỡng (hạng III)</v>
          </cell>
          <cell r="J170" t="str">
            <v>Nội Thận-TN-LM</v>
          </cell>
          <cell r="K170" t="str">
            <v>KP009</v>
          </cell>
          <cell r="L170" t="str">
            <v>Lãnh đạo khoa, phòng</v>
          </cell>
          <cell r="M170" t="str">
            <v>Điều dưỡng trưởng</v>
          </cell>
          <cell r="N170" t="str">
            <v>Viên chức</v>
          </cell>
          <cell r="O170">
            <v>40</v>
          </cell>
          <cell r="P170">
            <v>0</v>
          </cell>
          <cell r="Q170">
            <v>31606</v>
          </cell>
          <cell r="R170" t="str">
            <v>Nùng</v>
          </cell>
          <cell r="S170" t="str">
            <v>1/12/2008</v>
          </cell>
          <cell r="T170" t="str">
            <v>020186009733</v>
          </cell>
          <cell r="U170" t="str">
            <v>Tam Thanh., Lạng Sơn</v>
          </cell>
          <cell r="W170" t="str">
            <v>000937/LS-CCHN</v>
          </cell>
          <cell r="X170" t="str">
            <v>11/01/2023</v>
          </cell>
          <cell r="Z170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70">
            <v>0</v>
          </cell>
          <cell r="AC170" t="str">
            <v>0915995058</v>
          </cell>
        </row>
        <row r="171">
          <cell r="B171" t="str">
            <v>BV0784</v>
          </cell>
          <cell r="C171" t="str">
            <v>Phạm Thu Thùy</v>
          </cell>
          <cell r="D171" t="str">
            <v>BV0784</v>
          </cell>
          <cell r="E171" t="str">
            <v>x</v>
          </cell>
          <cell r="F171" t="str">
            <v>Điều dưỡng CĐ</v>
          </cell>
          <cell r="G171" t="str">
            <v>TĐ012</v>
          </cell>
          <cell r="I171" t="str">
            <v>Điều dưỡng (hạng IV)</v>
          </cell>
          <cell r="J171" t="str">
            <v>Nội Thận-TN-LM</v>
          </cell>
          <cell r="K171" t="str">
            <v>KP009</v>
          </cell>
          <cell r="N171" t="str">
            <v>Viên chức</v>
          </cell>
          <cell r="O171">
            <v>32</v>
          </cell>
          <cell r="P171">
            <v>0</v>
          </cell>
          <cell r="Q171" t="str">
            <v>20/8/1993</v>
          </cell>
          <cell r="R171" t="str">
            <v>kinh</v>
          </cell>
          <cell r="S171" t="str">
            <v xml:space="preserve"> 02/10/2017</v>
          </cell>
          <cell r="T171" t="str">
            <v>020193002544</v>
          </cell>
          <cell r="U171" t="str">
            <v>P, lương văn tri ,Lạng Sơn</v>
          </cell>
          <cell r="W171" t="str">
            <v>003335/LS-CCHN</v>
          </cell>
          <cell r="X171" t="str">
            <v>17/08/2018</v>
          </cell>
          <cell r="Z171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71">
            <v>0</v>
          </cell>
          <cell r="AC171" t="str">
            <v>0943924900</v>
          </cell>
          <cell r="AD171" t="str">
            <v xml:space="preserve"> HĐ 01/08/2017; đỗ VC 20/5/2026</v>
          </cell>
        </row>
        <row r="172">
          <cell r="B172" t="str">
            <v>BV0906</v>
          </cell>
          <cell r="C172" t="str">
            <v>Đinh Việt Nghĩa</v>
          </cell>
          <cell r="D172" t="str">
            <v>BV0906</v>
          </cell>
          <cell r="F172" t="str">
            <v>Điều dưỡng CĐ</v>
          </cell>
          <cell r="G172" t="str">
            <v>TĐ012</v>
          </cell>
          <cell r="I172" t="str">
            <v>Điều dưỡng (hạng IV)</v>
          </cell>
          <cell r="J172" t="str">
            <v>Nội Thận-TN-LM</v>
          </cell>
          <cell r="K172" t="str">
            <v>KP009</v>
          </cell>
          <cell r="N172" t="str">
            <v>HĐ có thời hạn</v>
          </cell>
          <cell r="O172">
            <v>33</v>
          </cell>
          <cell r="P172" t="str">
            <v>07/04/1993</v>
          </cell>
          <cell r="Q172">
            <v>0</v>
          </cell>
          <cell r="R172" t="str">
            <v>tày</v>
          </cell>
          <cell r="S172" t="str">
            <v>17/4/2019</v>
          </cell>
          <cell r="T172" t="str">
            <v>020093009760</v>
          </cell>
          <cell r="U172" t="str">
            <v>Tam Thanh., Lạng Sơn</v>
          </cell>
          <cell r="W172" t="str">
            <v>005574/LS-CCHN</v>
          </cell>
          <cell r="X172" t="str">
            <v>27/04/2023</v>
          </cell>
          <cell r="Z17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72">
            <v>0</v>
          </cell>
          <cell r="AC172" t="str">
            <v>0912070493</v>
          </cell>
          <cell r="AD172" t="str">
            <v>Thử việc 17/4/2019-31/5/2019</v>
          </cell>
        </row>
        <row r="173">
          <cell r="B173" t="str">
            <v>BV0907</v>
          </cell>
          <cell r="C173" t="str">
            <v>Hoàng Tuấn Hưởng</v>
          </cell>
          <cell r="D173" t="str">
            <v>BV0907</v>
          </cell>
          <cell r="F173" t="str">
            <v>Điều dưỡng CĐ</v>
          </cell>
          <cell r="G173" t="str">
            <v>TĐ012</v>
          </cell>
          <cell r="I173" t="str">
            <v>Điều dưỡng (hạng IV)</v>
          </cell>
          <cell r="J173" t="str">
            <v>Nội Thận-TN-LM</v>
          </cell>
          <cell r="K173" t="str">
            <v>KP009</v>
          </cell>
          <cell r="N173" t="str">
            <v>Viên chức</v>
          </cell>
          <cell r="O173">
            <v>31</v>
          </cell>
          <cell r="P173" t="str">
            <v>15/11/1994</v>
          </cell>
          <cell r="Q173">
            <v>0</v>
          </cell>
          <cell r="R173" t="str">
            <v>Tày</v>
          </cell>
          <cell r="S173" t="str">
            <v>17/4/2019</v>
          </cell>
          <cell r="T173" t="str">
            <v>020094011125</v>
          </cell>
          <cell r="U173" t="str">
            <v>xã điềm he, tỉnh lạng sơn</v>
          </cell>
          <cell r="W173" t="str">
            <v>003726/LS-CCHN</v>
          </cell>
          <cell r="X173" t="str">
            <v>22/05/2020</v>
          </cell>
          <cell r="Z17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73">
            <v>0</v>
          </cell>
          <cell r="AC173" t="str">
            <v>0988846010</v>
          </cell>
          <cell r="AD173" t="str">
            <v>Thử việc 17/4/2019-31/5/2019; đỗ VC 20/5/2026</v>
          </cell>
        </row>
        <row r="174">
          <cell r="B174" t="str">
            <v>BV0981</v>
          </cell>
          <cell r="C174" t="str">
            <v>Vi Thị Duyên</v>
          </cell>
          <cell r="D174" t="str">
            <v>BV0981</v>
          </cell>
          <cell r="E174" t="str">
            <v>x</v>
          </cell>
          <cell r="F174" t="str">
            <v>Điều dưỡng CĐ</v>
          </cell>
          <cell r="G174" t="str">
            <v>TĐ012</v>
          </cell>
          <cell r="I174" t="str">
            <v>Điều dưỡng (hạng IV)</v>
          </cell>
          <cell r="J174" t="str">
            <v>Nội Thận-TN-LM</v>
          </cell>
          <cell r="K174" t="str">
            <v>KP009</v>
          </cell>
          <cell r="N174" t="str">
            <v>HĐ có thời hạn</v>
          </cell>
          <cell r="O174">
            <v>28</v>
          </cell>
          <cell r="P174">
            <v>0</v>
          </cell>
          <cell r="Q174" t="str">
            <v>16/11/1997</v>
          </cell>
          <cell r="R174" t="str">
            <v>Nùng</v>
          </cell>
          <cell r="S174" t="str">
            <v>02/12/2019</v>
          </cell>
          <cell r="T174" t="str">
            <v>020197008661</v>
          </cell>
          <cell r="U174" t="str">
            <v>Xã Tân tri, Lạng Sơn</v>
          </cell>
          <cell r="W174" t="str">
            <v>004330/LS-CCHN</v>
          </cell>
          <cell r="X174" t="str">
            <v>20/07/2021</v>
          </cell>
          <cell r="Z17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74">
            <v>0</v>
          </cell>
          <cell r="AD174" t="str">
            <v>Thử việc 02/12/2019</v>
          </cell>
        </row>
        <row r="175">
          <cell r="B175" t="str">
            <v>BV0157</v>
          </cell>
          <cell r="C175" t="str">
            <v>Hoàng Thị Lý</v>
          </cell>
          <cell r="D175" t="str">
            <v>BV0157</v>
          </cell>
          <cell r="E175" t="str">
            <v>x</v>
          </cell>
          <cell r="F175" t="str">
            <v>Điều dưỡng CĐ</v>
          </cell>
          <cell r="G175" t="str">
            <v>TĐ012</v>
          </cell>
          <cell r="H175" t="str">
            <v>Điều dưỡng (hạng IV)</v>
          </cell>
          <cell r="I175" t="str">
            <v>Điều dưỡng (hạng IV)</v>
          </cell>
          <cell r="J175" t="str">
            <v>Nội Thận-TN-LM</v>
          </cell>
          <cell r="K175" t="str">
            <v>KP009</v>
          </cell>
          <cell r="L175" t="str">
            <v>Viên chức CMNV</v>
          </cell>
          <cell r="M175">
            <v>0</v>
          </cell>
          <cell r="N175" t="str">
            <v>Viên chức</v>
          </cell>
          <cell r="O175">
            <v>41</v>
          </cell>
          <cell r="P175">
            <v>0</v>
          </cell>
          <cell r="Q175">
            <v>31186</v>
          </cell>
          <cell r="R175" t="str">
            <v>Nùng</v>
          </cell>
          <cell r="S175" t="str">
            <v>8/12/2008</v>
          </cell>
          <cell r="T175" t="str">
            <v>020185005333</v>
          </cell>
          <cell r="U175" t="str">
            <v>P. Đông Kinh, Lạng Sơn</v>
          </cell>
          <cell r="W175" t="str">
            <v>000842/LS-CCHN</v>
          </cell>
          <cell r="X175" t="str">
            <v>11/01/2023</v>
          </cell>
          <cell r="Z17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75">
            <v>0</v>
          </cell>
          <cell r="AC175" t="str">
            <v>0962606195</v>
          </cell>
        </row>
        <row r="176">
          <cell r="B176" t="str">
            <v>BV1054</v>
          </cell>
          <cell r="C176" t="str">
            <v>Lâm Thị Hằng</v>
          </cell>
          <cell r="D176" t="str">
            <v>BV1054</v>
          </cell>
          <cell r="E176" t="str">
            <v>x</v>
          </cell>
          <cell r="F176" t="str">
            <v>Điều dưỡng CĐ</v>
          </cell>
          <cell r="G176" t="str">
            <v>TĐ012</v>
          </cell>
          <cell r="I176" t="str">
            <v>Điều dưỡng (hạng IV)</v>
          </cell>
          <cell r="J176" t="str">
            <v>Nội Thận-TN-LM</v>
          </cell>
          <cell r="K176" t="str">
            <v>KP009</v>
          </cell>
          <cell r="N176" t="str">
            <v>HĐ có thời hạn</v>
          </cell>
          <cell r="O176">
            <v>30</v>
          </cell>
          <cell r="P176">
            <v>0</v>
          </cell>
          <cell r="Q176" t="str">
            <v>01/6/1996</v>
          </cell>
          <cell r="R176" t="str">
            <v>Nùng</v>
          </cell>
          <cell r="S176" t="str">
            <v>13/7/2020</v>
          </cell>
          <cell r="T176" t="str">
            <v>020196007845</v>
          </cell>
          <cell r="U176" t="str">
            <v>xã Thống Nhất, Lạng Sơn</v>
          </cell>
          <cell r="W176" t="str">
            <v>005497/LS-CCHN</v>
          </cell>
          <cell r="X176" t="str">
            <v>16/11/2022</v>
          </cell>
          <cell r="Z176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76">
            <v>0</v>
          </cell>
          <cell r="AC176" t="str">
            <v>0385714497</v>
          </cell>
          <cell r="AD176" t="str">
            <v>Thử việc từ 13/7/2020</v>
          </cell>
        </row>
        <row r="177">
          <cell r="B177" t="str">
            <v>BV1083</v>
          </cell>
          <cell r="C177" t="str">
            <v>Lục Thị Mì</v>
          </cell>
          <cell r="D177" t="str">
            <v>BV1083</v>
          </cell>
          <cell r="E177" t="str">
            <v>x</v>
          </cell>
          <cell r="F177" t="str">
            <v>Điều dưỡng CĐ</v>
          </cell>
          <cell r="G177" t="str">
            <v>TĐ012</v>
          </cell>
          <cell r="I177" t="str">
            <v>Điều dưỡng (hạng IV)</v>
          </cell>
          <cell r="J177" t="str">
            <v>Nội Thận-TN-LM</v>
          </cell>
          <cell r="K177" t="str">
            <v>KP009</v>
          </cell>
          <cell r="N177" t="str">
            <v>Viên chức</v>
          </cell>
          <cell r="O177">
            <v>33</v>
          </cell>
          <cell r="P177">
            <v>0</v>
          </cell>
          <cell r="Q177" t="str">
            <v>08/01/1993</v>
          </cell>
          <cell r="R177" t="str">
            <v>Nùng</v>
          </cell>
          <cell r="S177" t="str">
            <v>03/11/2020</v>
          </cell>
          <cell r="T177" t="str">
            <v>020193005692</v>
          </cell>
          <cell r="U177" t="str">
            <v>Lợi Bác, Lạng Sơn</v>
          </cell>
          <cell r="W177" t="str">
            <v>004487/LS-CCHN</v>
          </cell>
          <cell r="X177" t="str">
            <v>14/03/2022</v>
          </cell>
          <cell r="Z17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77">
            <v>0</v>
          </cell>
          <cell r="AC177" t="str">
            <v>0966877226</v>
          </cell>
          <cell r="AD177" t="str">
            <v>Thử việc 03/11/2020, Viên chức từ 15/6/2026</v>
          </cell>
        </row>
        <row r="178">
          <cell r="B178" t="str">
            <v>BV0152</v>
          </cell>
          <cell r="C178" t="str">
            <v>Hoàng Thị Thắm</v>
          </cell>
          <cell r="D178" t="str">
            <v>BV0152</v>
          </cell>
          <cell r="E178" t="str">
            <v>x</v>
          </cell>
          <cell r="F178" t="str">
            <v>Điều dưỡng CĐ</v>
          </cell>
          <cell r="G178" t="str">
            <v>TĐ012</v>
          </cell>
          <cell r="H178" t="str">
            <v>Điều dưỡng (hạng IV)</v>
          </cell>
          <cell r="I178" t="str">
            <v>Điều dưỡng (hạng IV)</v>
          </cell>
          <cell r="J178" t="str">
            <v>Nội Thận-TN-LM</v>
          </cell>
          <cell r="K178" t="str">
            <v>KP009</v>
          </cell>
          <cell r="L178" t="str">
            <v>Viên chức CMNV</v>
          </cell>
          <cell r="M178">
            <v>0</v>
          </cell>
          <cell r="N178" t="str">
            <v>Viên chức</v>
          </cell>
          <cell r="O178">
            <v>40</v>
          </cell>
          <cell r="P178">
            <v>0</v>
          </cell>
          <cell r="Q178">
            <v>31493</v>
          </cell>
          <cell r="R178" t="str">
            <v>Tày</v>
          </cell>
          <cell r="S178" t="str">
            <v>15/1/2010</v>
          </cell>
          <cell r="T178" t="str">
            <v>020186007434</v>
          </cell>
          <cell r="U178" t="str">
            <v>P. Đông Kinh, Lạng Sơn</v>
          </cell>
          <cell r="W178" t="str">
            <v>000843/LS-CCHN</v>
          </cell>
          <cell r="X178" t="str">
            <v>11/01/2023</v>
          </cell>
          <cell r="Z17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78">
            <v>0</v>
          </cell>
          <cell r="AC178" t="str">
            <v>0962204859</v>
          </cell>
        </row>
        <row r="179">
          <cell r="B179" t="str">
            <v>BV0156</v>
          </cell>
          <cell r="C179" t="str">
            <v>Nông Công Trọng</v>
          </cell>
          <cell r="D179" t="str">
            <v>BV0156</v>
          </cell>
          <cell r="F179" t="str">
            <v>Điều dưỡng CĐ</v>
          </cell>
          <cell r="G179" t="str">
            <v>TĐ012</v>
          </cell>
          <cell r="H179" t="str">
            <v>Điều dưỡng (hạng IV)</v>
          </cell>
          <cell r="I179" t="str">
            <v>Điều dưỡng (hạng IV)</v>
          </cell>
          <cell r="J179" t="str">
            <v>Nội Thận-TN-LM</v>
          </cell>
          <cell r="K179" t="str">
            <v>KP009</v>
          </cell>
          <cell r="L179" t="str">
            <v>Viên chức CMNV</v>
          </cell>
          <cell r="M179">
            <v>0</v>
          </cell>
          <cell r="N179" t="str">
            <v>Viên chức</v>
          </cell>
          <cell r="O179">
            <v>42</v>
          </cell>
          <cell r="P179">
            <v>30829</v>
          </cell>
          <cell r="Q179">
            <v>0</v>
          </cell>
          <cell r="R179" t="str">
            <v>Tày</v>
          </cell>
          <cell r="S179" t="str">
            <v>1/12/2010</v>
          </cell>
          <cell r="T179" t="str">
            <v>020084001194</v>
          </cell>
          <cell r="U179" t="str">
            <v>Xã Na Sầm, tỉnh Lạng Sơn</v>
          </cell>
          <cell r="W179" t="str">
            <v>000847/LS-CCHN</v>
          </cell>
          <cell r="X179" t="str">
            <v>11/01/2023</v>
          </cell>
          <cell r="Z17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79">
            <v>0</v>
          </cell>
          <cell r="AC179" t="str">
            <v>0827313888</v>
          </cell>
        </row>
        <row r="180">
          <cell r="B180" t="str">
            <v>BV1142</v>
          </cell>
          <cell r="C180" t="str">
            <v>Nông Hải Yến</v>
          </cell>
          <cell r="D180" t="str">
            <v>BV1142</v>
          </cell>
          <cell r="E180" t="str">
            <v>x</v>
          </cell>
          <cell r="F180" t="str">
            <v>Điều dưỡng CĐ</v>
          </cell>
          <cell r="G180" t="str">
            <v>TĐ012</v>
          </cell>
          <cell r="I180" t="str">
            <v>Điều dưỡng (hạng IV)</v>
          </cell>
          <cell r="J180" t="str">
            <v>Nội Thận-TN-LM</v>
          </cell>
          <cell r="K180" t="str">
            <v>KP009</v>
          </cell>
          <cell r="N180" t="str">
            <v>Viên chức</v>
          </cell>
          <cell r="O180">
            <v>33</v>
          </cell>
          <cell r="P180">
            <v>0</v>
          </cell>
          <cell r="Q180" t="str">
            <v>26/9/1992</v>
          </cell>
          <cell r="R180" t="str">
            <v>Tày</v>
          </cell>
          <cell r="S180" t="str">
            <v>23/8/2021</v>
          </cell>
          <cell r="T180" t="str">
            <v>020192002657</v>
          </cell>
          <cell r="U180" t="str">
            <v>P. Đông Kinh, Lạng Sơn</v>
          </cell>
          <cell r="W180" t="str">
            <v>000342/LS-CCHN</v>
          </cell>
          <cell r="X180" t="str">
            <v>11/01/2023</v>
          </cell>
          <cell r="Z180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80">
            <v>0</v>
          </cell>
          <cell r="AC180" t="str">
            <v>0913390545</v>
          </cell>
          <cell r="AD180" t="str">
            <v>Thử việc 23/8/2021, Viên chức từ 15/6/2026</v>
          </cell>
        </row>
        <row r="181">
          <cell r="B181" t="str">
            <v>BV0111</v>
          </cell>
          <cell r="C181" t="str">
            <v>Vương Quỳnh Chi</v>
          </cell>
          <cell r="D181" t="str">
            <v>BV0111</v>
          </cell>
          <cell r="E181" t="str">
            <v>x</v>
          </cell>
          <cell r="F181" t="str">
            <v>Điều dưỡng CĐ</v>
          </cell>
          <cell r="G181" t="str">
            <v>TĐ012</v>
          </cell>
          <cell r="H181" t="str">
            <v>Điều dưỡng (hạng IV)</v>
          </cell>
          <cell r="I181" t="str">
            <v>Điều dưỡng (hạng IV)</v>
          </cell>
          <cell r="J181" t="str">
            <v>Nội Thận-TN-LM</v>
          </cell>
          <cell r="K181" t="str">
            <v>KP009</v>
          </cell>
          <cell r="L181" t="str">
            <v>Viên chức CMNV</v>
          </cell>
          <cell r="M181">
            <v>0</v>
          </cell>
          <cell r="N181" t="str">
            <v>Viên chức</v>
          </cell>
          <cell r="O181">
            <v>40</v>
          </cell>
          <cell r="P181">
            <v>0</v>
          </cell>
          <cell r="Q181">
            <v>31315</v>
          </cell>
          <cell r="R181" t="str">
            <v>Nùng</v>
          </cell>
          <cell r="S181" t="str">
            <v>1/12/2008</v>
          </cell>
          <cell r="T181" t="str">
            <v>020185002828</v>
          </cell>
          <cell r="U181" t="str">
            <v>P. Đông Kinh, Lạng Sơn</v>
          </cell>
          <cell r="W181" t="str">
            <v>000807/LS-CCHN</v>
          </cell>
          <cell r="X181" t="str">
            <v>11/01/2023</v>
          </cell>
          <cell r="Z18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81">
            <v>0</v>
          </cell>
          <cell r="AC181" t="str">
            <v>0916057756</v>
          </cell>
        </row>
        <row r="182">
          <cell r="B182" t="str">
            <v>BV0085</v>
          </cell>
          <cell r="C182" t="str">
            <v>Lương Thị Thu Hương</v>
          </cell>
          <cell r="D182" t="str">
            <v>BV0085</v>
          </cell>
          <cell r="E182" t="str">
            <v>x</v>
          </cell>
          <cell r="F182" t="str">
            <v>Điều dưỡng CĐ</v>
          </cell>
          <cell r="G182" t="str">
            <v>TĐ012</v>
          </cell>
          <cell r="H182" t="str">
            <v>Điều dưỡng (hạng IV)</v>
          </cell>
          <cell r="I182" t="str">
            <v>Điều dưỡng (hạng IV)</v>
          </cell>
          <cell r="J182" t="str">
            <v>Nội Thận-TN-LM</v>
          </cell>
          <cell r="K182" t="str">
            <v>KP009</v>
          </cell>
          <cell r="L182" t="str">
            <v>Viên chức CMNV</v>
          </cell>
          <cell r="M182">
            <v>0</v>
          </cell>
          <cell r="N182" t="str">
            <v>Viên chức</v>
          </cell>
          <cell r="O182">
            <v>41</v>
          </cell>
          <cell r="P182">
            <v>0</v>
          </cell>
          <cell r="Q182">
            <v>31128</v>
          </cell>
          <cell r="R182" t="str">
            <v>nùng</v>
          </cell>
          <cell r="S182" t="str">
            <v>15/01/2010</v>
          </cell>
          <cell r="T182" t="str">
            <v>020185009234</v>
          </cell>
          <cell r="U182" t="str">
            <v>P. Đông Kinh, Lạng Sơn</v>
          </cell>
          <cell r="W182" t="str">
            <v>000271/LS-GPHN</v>
          </cell>
          <cell r="X182" t="str">
            <v>19/5/2025</v>
          </cell>
          <cell r="Z182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182">
            <v>0</v>
          </cell>
          <cell r="AC182" t="str">
            <v>0983223985</v>
          </cell>
        </row>
        <row r="183">
          <cell r="B183" t="str">
            <v>BV0158</v>
          </cell>
          <cell r="C183" t="str">
            <v>Ma Thị Nhung</v>
          </cell>
          <cell r="D183" t="str">
            <v>BV0158</v>
          </cell>
          <cell r="E183" t="str">
            <v>x</v>
          </cell>
          <cell r="F183" t="str">
            <v>Điều dưỡng CĐ</v>
          </cell>
          <cell r="G183" t="str">
            <v>TĐ012</v>
          </cell>
          <cell r="H183" t="str">
            <v>Điều dưỡng (hạng IV)</v>
          </cell>
          <cell r="I183" t="str">
            <v>Điều dưỡng (hạng IV)</v>
          </cell>
          <cell r="J183" t="str">
            <v>Nội Thận-TN-LM</v>
          </cell>
          <cell r="K183" t="str">
            <v>KP009</v>
          </cell>
          <cell r="L183" t="str">
            <v>Viên chức CMNV</v>
          </cell>
          <cell r="M183">
            <v>0</v>
          </cell>
          <cell r="N183" t="str">
            <v>Viên chức</v>
          </cell>
          <cell r="O183">
            <v>40</v>
          </cell>
          <cell r="P183">
            <v>0</v>
          </cell>
          <cell r="Q183">
            <v>31619</v>
          </cell>
          <cell r="R183" t="str">
            <v>Nùng</v>
          </cell>
          <cell r="S183" t="str">
            <v>25/12/2008</v>
          </cell>
          <cell r="T183" t="str">
            <v>020186007494</v>
          </cell>
          <cell r="U183" t="str">
            <v>P, lương văn tri ,Lạng Sơn</v>
          </cell>
          <cell r="W183" t="str">
            <v>000849/LS-CCHN</v>
          </cell>
          <cell r="X183" t="str">
            <v>24/06/2013</v>
          </cell>
          <cell r="Z183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183">
            <v>0</v>
          </cell>
          <cell r="AC183" t="str">
            <v>0388517430</v>
          </cell>
        </row>
        <row r="184">
          <cell r="B184" t="str">
            <v>BV0192</v>
          </cell>
          <cell r="C184" t="str">
            <v>Phạm Thị Bình</v>
          </cell>
          <cell r="D184" t="str">
            <v>BV0192</v>
          </cell>
          <cell r="E184" t="str">
            <v>x</v>
          </cell>
          <cell r="F184" t="str">
            <v>Điều dưỡng CĐ</v>
          </cell>
          <cell r="G184" t="str">
            <v>TĐ012</v>
          </cell>
          <cell r="H184" t="str">
            <v>Điều dưỡng (hạng IV)</v>
          </cell>
          <cell r="I184" t="str">
            <v>Điều dưỡng (hạng IV)</v>
          </cell>
          <cell r="J184" t="str">
            <v>Nội Thận-TN-LM</v>
          </cell>
          <cell r="K184" t="str">
            <v>KP009</v>
          </cell>
          <cell r="L184" t="str">
            <v>Viên chức CMNV</v>
          </cell>
          <cell r="M184">
            <v>0</v>
          </cell>
          <cell r="N184" t="str">
            <v>Viên chức</v>
          </cell>
          <cell r="O184">
            <v>43</v>
          </cell>
          <cell r="P184">
            <v>0</v>
          </cell>
          <cell r="Q184">
            <v>30494</v>
          </cell>
          <cell r="R184" t="str">
            <v>kinh</v>
          </cell>
          <cell r="S184" t="str">
            <v>05/6/2013</v>
          </cell>
          <cell r="T184" t="str">
            <v>020183009298</v>
          </cell>
          <cell r="U184" t="str">
            <v>P. Đông Kinh, Lạng Sơn</v>
          </cell>
          <cell r="W184" t="str">
            <v>000925/LS-CCHN</v>
          </cell>
          <cell r="X184" t="str">
            <v>11/01/2023</v>
          </cell>
          <cell r="Z18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84">
            <v>0</v>
          </cell>
          <cell r="AC184" t="str">
            <v>0384487048</v>
          </cell>
        </row>
        <row r="185">
          <cell r="B185" t="str">
            <v>BV1059</v>
          </cell>
          <cell r="C185" t="str">
            <v>Hoàng Thị Xuyến</v>
          </cell>
          <cell r="D185" t="str">
            <v>BV1059</v>
          </cell>
          <cell r="E185" t="str">
            <v>x</v>
          </cell>
          <cell r="F185" t="str">
            <v>Hộ lý</v>
          </cell>
          <cell r="G185" t="str">
            <v>TĐ047</v>
          </cell>
          <cell r="I185" t="str">
            <v>Hộ lý</v>
          </cell>
          <cell r="J185" t="str">
            <v>Nội Thận-TN-LM</v>
          </cell>
          <cell r="K185" t="str">
            <v>KP009</v>
          </cell>
          <cell r="N185" t="str">
            <v>HĐ có thời hạn</v>
          </cell>
          <cell r="O185">
            <v>44</v>
          </cell>
          <cell r="P185">
            <v>0</v>
          </cell>
          <cell r="Q185" t="str">
            <v>01/02/1982</v>
          </cell>
          <cell r="R185" t="str">
            <v>Tày</v>
          </cell>
          <cell r="S185" t="str">
            <v>13/7/2020</v>
          </cell>
          <cell r="U185" t="str">
            <v>Tam Thanh., Lạng Sơn</v>
          </cell>
          <cell r="W185" t="str">
            <v/>
          </cell>
          <cell r="X185" t="str">
            <v/>
          </cell>
          <cell r="Z185" t="str">
            <v/>
          </cell>
          <cell r="AB185" t="str">
            <v/>
          </cell>
          <cell r="AC185" t="str">
            <v>0358026151</v>
          </cell>
          <cell r="AD185" t="str">
            <v>Thử việc từ 13/7/2020</v>
          </cell>
        </row>
        <row r="186">
          <cell r="B186" t="str">
            <v>BV0092</v>
          </cell>
          <cell r="C186" t="str">
            <v>Hà Đình Nghị</v>
          </cell>
          <cell r="D186" t="str">
            <v>BV0092</v>
          </cell>
          <cell r="F186" t="str">
            <v>BSCKI</v>
          </cell>
          <cell r="G186" t="str">
            <v>TĐ003</v>
          </cell>
          <cell r="H186" t="str">
            <v>Bác sĩ chính (hạng II)</v>
          </cell>
          <cell r="I186" t="str">
            <v>Bác sĩ chính (hạng II)</v>
          </cell>
          <cell r="J186" t="str">
            <v>Nội TM</v>
          </cell>
          <cell r="K186" t="str">
            <v>KP010</v>
          </cell>
          <cell r="L186" t="str">
            <v>Lãnh đạo khoa, phòng</v>
          </cell>
          <cell r="M186" t="str">
            <v>Trưởng khoa</v>
          </cell>
          <cell r="N186" t="str">
            <v>Viên chức</v>
          </cell>
          <cell r="O186">
            <v>52</v>
          </cell>
          <cell r="P186">
            <v>27225</v>
          </cell>
          <cell r="Q186">
            <v>0</v>
          </cell>
          <cell r="R186" t="str">
            <v>Nùng</v>
          </cell>
          <cell r="S186" t="str">
            <v>19/01/2005</v>
          </cell>
          <cell r="T186" t="str">
            <v>020074001330</v>
          </cell>
          <cell r="U186" t="str">
            <v>Phường Kỳ Lừa, tỉnh Lạng Sơn</v>
          </cell>
          <cell r="W186" t="str">
            <v>001782/LS-CCHN</v>
          </cell>
          <cell r="X186" t="str">
            <v>26/12/2013</v>
          </cell>
          <cell r="Z186" t="str">
            <v>Khám bệnh chữa bệnh Nội khoa</v>
          </cell>
          <cell r="AB186" t="str">
            <v>01.0019;01.0002;02.0077;02.0085;02.0095;02.0101;02.0109;02.0112;02.0113;02.0315;02.0316;02.0437;02.0452;02.0453;03.0019;03.0043;03.0044;03.2266;03.2290;03.4248;03.4249;18.0023;18.0024;18.0029;18.0045;18.0046;18.0047;18.0049;18.0050;18.0052;18.0669;18.0670;21.0007;21.0008;21.0012;21.0014</v>
          </cell>
          <cell r="AC186" t="str">
            <v>0945999686</v>
          </cell>
        </row>
        <row r="187">
          <cell r="B187" t="str">
            <v>BV0094</v>
          </cell>
          <cell r="C187" t="str">
            <v>Nguyễn Ngọc Bình</v>
          </cell>
          <cell r="D187" t="str">
            <v>BV0094</v>
          </cell>
          <cell r="F187" t="str">
            <v>BSCKI</v>
          </cell>
          <cell r="G187" t="str">
            <v>TĐ003</v>
          </cell>
          <cell r="H187" t="str">
            <v>Bác sĩ chính (hạng II)</v>
          </cell>
          <cell r="I187" t="str">
            <v>Bác sĩ chính (hạng II)</v>
          </cell>
          <cell r="J187" t="str">
            <v>Nội TM</v>
          </cell>
          <cell r="K187" t="str">
            <v>KP010</v>
          </cell>
          <cell r="L187" t="str">
            <v>Lãnh đạo khoa, phòng</v>
          </cell>
          <cell r="M187" t="str">
            <v>Phó trưởng khoa</v>
          </cell>
          <cell r="N187" t="str">
            <v>Viên chức</v>
          </cell>
          <cell r="O187">
            <v>38</v>
          </cell>
          <cell r="P187">
            <v>32260</v>
          </cell>
          <cell r="Q187">
            <v>0</v>
          </cell>
          <cell r="R187" t="str">
            <v>Kinh</v>
          </cell>
          <cell r="S187" t="str">
            <v>01/11/2014</v>
          </cell>
          <cell r="T187" t="str">
            <v>012088000188</v>
          </cell>
          <cell r="U187" t="str">
            <v xml:space="preserve">Phường Tam Thanh, tinh Lạng Sơn </v>
          </cell>
          <cell r="W187" t="str">
            <v>000403/LS-CCHN</v>
          </cell>
          <cell r="X187" t="str">
            <v>06/01/2016</v>
          </cell>
          <cell r="Z187" t="str">
            <v>Khám bệnh, chữa bệnh chuyên khoa Nội</v>
          </cell>
          <cell r="AB187" t="str">
            <v>02.0101</v>
          </cell>
          <cell r="AC187" t="str">
            <v>0979255790</v>
          </cell>
        </row>
        <row r="188">
          <cell r="B188" t="str">
            <v>BV0122</v>
          </cell>
          <cell r="C188" t="str">
            <v>Trần Thị Quy</v>
          </cell>
          <cell r="D188" t="str">
            <v>BV0122</v>
          </cell>
          <cell r="E188" t="str">
            <v>x</v>
          </cell>
          <cell r="F188" t="str">
            <v>BSCKI</v>
          </cell>
          <cell r="G188" t="str">
            <v>TĐ003</v>
          </cell>
          <cell r="H188" t="str">
            <v>Bác sĩ (hạng III)</v>
          </cell>
          <cell r="I188" t="str">
            <v>Bác sĩ (hạng III)</v>
          </cell>
          <cell r="J188" t="str">
            <v>Nội TM</v>
          </cell>
          <cell r="K188" t="str">
            <v>KP010</v>
          </cell>
          <cell r="L188" t="str">
            <v>Viên chức CMNV</v>
          </cell>
          <cell r="M188">
            <v>0</v>
          </cell>
          <cell r="N188" t="str">
            <v>Viên chức</v>
          </cell>
          <cell r="O188">
            <v>38</v>
          </cell>
          <cell r="P188">
            <v>0</v>
          </cell>
          <cell r="Q188">
            <v>32233</v>
          </cell>
          <cell r="R188" t="str">
            <v>Tày</v>
          </cell>
          <cell r="S188" t="str">
            <v>01/11/2014</v>
          </cell>
          <cell r="T188" t="str">
            <v>020188001354</v>
          </cell>
          <cell r="U188" t="str">
            <v xml:space="preserve">Phường lương Văn Tri , tỉnh Lạng Sơn </v>
          </cell>
          <cell r="W188" t="str">
            <v>000503/LS-CCHN</v>
          </cell>
          <cell r="X188" t="str">
            <v>24/08/2016</v>
          </cell>
          <cell r="Z188" t="str">
            <v>Khám bệnh chữa bệnh Nội khoa</v>
          </cell>
          <cell r="AB188" t="str">
            <v>01.0002</v>
          </cell>
          <cell r="AC188">
            <v>389203898</v>
          </cell>
        </row>
        <row r="189">
          <cell r="B189" t="str">
            <v>BV0837</v>
          </cell>
          <cell r="C189" t="str">
            <v>Hoàng Thị Bèn</v>
          </cell>
          <cell r="D189" t="str">
            <v>BV0837</v>
          </cell>
          <cell r="E189" t="str">
            <v>x</v>
          </cell>
          <cell r="F189" t="str">
            <v>BSCKI</v>
          </cell>
          <cell r="G189" t="str">
            <v>TĐ003</v>
          </cell>
          <cell r="H189" t="str">
            <v>Bác sĩ (hạng III)</v>
          </cell>
          <cell r="I189" t="str">
            <v>Bác sĩ (hạng III)</v>
          </cell>
          <cell r="J189" t="str">
            <v>Nội TM</v>
          </cell>
          <cell r="K189" t="str">
            <v>KP010</v>
          </cell>
          <cell r="L189" t="str">
            <v>Viên chức CMNV</v>
          </cell>
          <cell r="M189">
            <v>0</v>
          </cell>
          <cell r="N189" t="str">
            <v>Viên chức</v>
          </cell>
          <cell r="O189">
            <v>35</v>
          </cell>
          <cell r="P189">
            <v>0</v>
          </cell>
          <cell r="Q189">
            <v>33330</v>
          </cell>
          <cell r="R189" t="str">
            <v xml:space="preserve">Tày </v>
          </cell>
          <cell r="S189" t="str">
            <v>20/3/2018</v>
          </cell>
          <cell r="T189" t="str">
            <v>020191002544</v>
          </cell>
          <cell r="U189" t="str">
            <v xml:space="preserve">Phường đông kinh, tỉnh Lạng Sơn </v>
          </cell>
          <cell r="W189" t="str">
            <v>003355/LS-CCHN</v>
          </cell>
          <cell r="X189" t="str">
            <v>17/09/2018</v>
          </cell>
          <cell r="Z189" t="str">
            <v>Khám bệnh, chữa bệnh Nội khoa</v>
          </cell>
          <cell r="AB189" t="str">
            <v>01.0002;02.0113;18.0052;02.0095;21.0012;02.0085;21.0014</v>
          </cell>
          <cell r="AC189" t="str">
            <v>0969811904</v>
          </cell>
          <cell r="AD189" t="str">
            <v>BC 20/3/2018</v>
          </cell>
        </row>
        <row r="190">
          <cell r="B190" t="str">
            <v>BV1025</v>
          </cell>
          <cell r="C190" t="str">
            <v>Trương Trung Nghĩa</v>
          </cell>
          <cell r="D190" t="str">
            <v>BV1025</v>
          </cell>
          <cell r="F190" t="str">
            <v>Bác sĩ</v>
          </cell>
          <cell r="G190" t="str">
            <v>TĐ005</v>
          </cell>
          <cell r="I190" t="str">
            <v>Bác sĩ (hạng III)</v>
          </cell>
          <cell r="J190" t="str">
            <v>Nội TM</v>
          </cell>
          <cell r="K190" t="str">
            <v>KP010</v>
          </cell>
          <cell r="N190" t="str">
            <v>HĐ có thời hạn</v>
          </cell>
          <cell r="O190">
            <v>33</v>
          </cell>
          <cell r="P190" t="str">
            <v>04/8/1993</v>
          </cell>
          <cell r="Q190">
            <v>0</v>
          </cell>
          <cell r="R190" t="str">
            <v xml:space="preserve">Kinh </v>
          </cell>
          <cell r="S190" t="str">
            <v>04/5/2020</v>
          </cell>
          <cell r="T190" t="str">
            <v>020093001249</v>
          </cell>
          <cell r="U190" t="str">
            <v xml:space="preserve">Phường đông kinh, tỉnh Lạng Sơn </v>
          </cell>
          <cell r="W190" t="str">
            <v>004480/LS-CCHN</v>
          </cell>
          <cell r="X190" t="str">
            <v>14/03/2022</v>
          </cell>
          <cell r="Z190" t="str">
            <v>Khám bệnh, chữa bệnh Nội khoa</v>
          </cell>
          <cell r="AB190">
            <v>0</v>
          </cell>
          <cell r="AD190" t="str">
            <v>Thử việc từ 04/5/2020</v>
          </cell>
        </row>
        <row r="191">
          <cell r="B191" t="str">
            <v>BV1029</v>
          </cell>
          <cell r="C191" t="str">
            <v>Đào Thị Ngọc Huyền</v>
          </cell>
          <cell r="D191" t="str">
            <v>BV1029</v>
          </cell>
          <cell r="E191" t="str">
            <v>x</v>
          </cell>
          <cell r="F191" t="str">
            <v>Bác sĩ</v>
          </cell>
          <cell r="G191" t="str">
            <v>TĐ005</v>
          </cell>
          <cell r="H191" t="str">
            <v>Bác sĩ (hạng III)</v>
          </cell>
          <cell r="I191" t="str">
            <v>Bác sĩ (hạng III)</v>
          </cell>
          <cell r="J191" t="str">
            <v>Nội TM</v>
          </cell>
          <cell r="K191" t="str">
            <v>KP010</v>
          </cell>
          <cell r="L191" t="str">
            <v>Viên chức CMNV</v>
          </cell>
          <cell r="M191">
            <v>0</v>
          </cell>
          <cell r="N191" t="str">
            <v>Viên chức</v>
          </cell>
          <cell r="O191">
            <v>37</v>
          </cell>
          <cell r="P191">
            <v>0</v>
          </cell>
          <cell r="Q191">
            <v>32473</v>
          </cell>
          <cell r="R191" t="str">
            <v>Kinh</v>
          </cell>
          <cell r="S191" t="str">
            <v>20/3/2018</v>
          </cell>
          <cell r="T191" t="str">
            <v>020188005576</v>
          </cell>
          <cell r="U191" t="str">
            <v xml:space="preserve">Phường đông kinh, tỉnh Lạng Sơn </v>
          </cell>
          <cell r="W191" t="str">
            <v>003569/LS-CCHN</v>
          </cell>
          <cell r="X191" t="str">
            <v>20/09/2019</v>
          </cell>
          <cell r="Z191" t="str">
            <v>Khám bệnh, chữa bệnh Nội khoa</v>
          </cell>
          <cell r="AB191">
            <v>0</v>
          </cell>
          <cell r="AD191" t="str">
            <v>Chuyển đến 18/5/2020</v>
          </cell>
        </row>
        <row r="192">
          <cell r="B192" t="str">
            <v>BV0932</v>
          </cell>
          <cell r="C192" t="str">
            <v>Hứa Minh Huyền</v>
          </cell>
          <cell r="D192" t="str">
            <v>BV0932</v>
          </cell>
          <cell r="E192" t="str">
            <v>x</v>
          </cell>
          <cell r="F192" t="str">
            <v>Bác sĩ</v>
          </cell>
          <cell r="G192" t="str">
            <v>TĐ005</v>
          </cell>
          <cell r="I192" t="str">
            <v>Bác sĩ (hạng III)</v>
          </cell>
          <cell r="J192" t="str">
            <v>Nội TM</v>
          </cell>
          <cell r="K192" t="str">
            <v>KP010</v>
          </cell>
          <cell r="N192" t="str">
            <v>Viên chức</v>
          </cell>
          <cell r="O192">
            <v>31</v>
          </cell>
          <cell r="P192">
            <v>0</v>
          </cell>
          <cell r="Q192" t="str">
            <v>02/8/1995</v>
          </cell>
          <cell r="R192" t="str">
            <v>Nùng</v>
          </cell>
          <cell r="S192" t="str">
            <v>19/8/2019</v>
          </cell>
          <cell r="T192" t="str">
            <v>020195005088</v>
          </cell>
          <cell r="U192" t="str">
            <v xml:space="preserve">Phường đông kinh, tỉnh Lạng Sơn </v>
          </cell>
          <cell r="W192" t="str">
            <v>004213/LS-CCHN</v>
          </cell>
          <cell r="X192" t="str">
            <v>12/05/2021</v>
          </cell>
          <cell r="Z192" t="str">
            <v>Khám bệnh chữa bệnh Nội khoa</v>
          </cell>
          <cell r="AB192" t="str">
            <v>01.0002</v>
          </cell>
          <cell r="AC192" t="str">
            <v>0973378538</v>
          </cell>
          <cell r="AD192" t="str">
            <v>Thử việc 19/8/2019; đỗ VC 20/5/2026</v>
          </cell>
        </row>
        <row r="193">
          <cell r="B193" t="str">
            <v>BV1153</v>
          </cell>
          <cell r="C193" t="str">
            <v>Đàm Quang Diệu</v>
          </cell>
          <cell r="D193" t="str">
            <v>BV1153</v>
          </cell>
          <cell r="F193" t="str">
            <v>Bác sĩ</v>
          </cell>
          <cell r="G193" t="str">
            <v>TĐ005</v>
          </cell>
          <cell r="I193" t="str">
            <v>Bác sĩ (hạng III)</v>
          </cell>
          <cell r="J193" t="str">
            <v>Nội TM</v>
          </cell>
          <cell r="K193" t="str">
            <v>KP010</v>
          </cell>
          <cell r="N193" t="str">
            <v>Viên chức</v>
          </cell>
          <cell r="O193">
            <v>31</v>
          </cell>
          <cell r="P193">
            <v>0</v>
          </cell>
          <cell r="Q193" t="str">
            <v>14/5/1995</v>
          </cell>
          <cell r="R193" t="str">
            <v>Nùng</v>
          </cell>
          <cell r="S193">
            <v>44445</v>
          </cell>
          <cell r="T193" t="str">
            <v>020095001919</v>
          </cell>
          <cell r="U193" t="str">
            <v xml:space="preserve">Phường đông kinh, tỉnh Lạng Sơn </v>
          </cell>
          <cell r="W193" t="str">
            <v>005652/LS-CCHN</v>
          </cell>
          <cell r="X193" t="str">
            <v>27/07/2023</v>
          </cell>
          <cell r="Z193" t="str">
            <v>Khám bệnh, chữa bệnh chuyên khoa Nội</v>
          </cell>
          <cell r="AB193">
            <v>0</v>
          </cell>
          <cell r="AC193" t="str">
            <v>0967273334</v>
          </cell>
          <cell r="AD193" t="str">
            <v>Thử việc 6/9/2021, Viên chức từ 15/6/2026</v>
          </cell>
        </row>
        <row r="194">
          <cell r="B194" t="str">
            <v>BV0079</v>
          </cell>
          <cell r="C194" t="str">
            <v>Nguyễn Văn Hưng</v>
          </cell>
          <cell r="D194" t="str">
            <v>BV0079</v>
          </cell>
          <cell r="F194" t="str">
            <v>Điều dưỡng ĐH</v>
          </cell>
          <cell r="G194" t="str">
            <v>TĐ011</v>
          </cell>
          <cell r="H194" t="str">
            <v>Điều dưỡng (hạng III)</v>
          </cell>
          <cell r="I194" t="str">
            <v>Điều dưỡng (hạng III)</v>
          </cell>
          <cell r="J194" t="str">
            <v>Nội TM</v>
          </cell>
          <cell r="K194" t="str">
            <v>KP010</v>
          </cell>
          <cell r="L194" t="str">
            <v>Viên chức CMNV</v>
          </cell>
          <cell r="M194">
            <v>0</v>
          </cell>
          <cell r="N194" t="str">
            <v>Viên chức</v>
          </cell>
          <cell r="O194">
            <v>43</v>
          </cell>
          <cell r="P194">
            <v>30423</v>
          </cell>
          <cell r="Q194">
            <v>0</v>
          </cell>
          <cell r="R194" t="str">
            <v>Tày</v>
          </cell>
          <cell r="S194" t="str">
            <v>05/6/2013</v>
          </cell>
          <cell r="T194" t="str">
            <v>020083003106</v>
          </cell>
          <cell r="U194" t="str">
            <v xml:space="preserve">Phường Đông Kinh, tỉnh Lạng Sơn </v>
          </cell>
          <cell r="W194" t="str">
            <v>004375/LS-CCHN</v>
          </cell>
          <cell r="X194" t="str">
            <v>05/11/2021</v>
          </cell>
          <cell r="Z19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94">
            <v>0</v>
          </cell>
          <cell r="AC194" t="str">
            <v>0836816839</v>
          </cell>
        </row>
        <row r="195">
          <cell r="B195" t="str">
            <v>BV0306</v>
          </cell>
          <cell r="C195" t="str">
            <v>Lý Thị Thủy</v>
          </cell>
          <cell r="D195" t="str">
            <v>BV0306</v>
          </cell>
          <cell r="E195" t="str">
            <v>x</v>
          </cell>
          <cell r="F195" t="str">
            <v>Điều dưỡng ĐH</v>
          </cell>
          <cell r="G195" t="str">
            <v>TĐ011</v>
          </cell>
          <cell r="H195" t="str">
            <v>Điều dưỡng (hạng III)</v>
          </cell>
          <cell r="I195" t="str">
            <v>Điều dưỡng (hạng III)</v>
          </cell>
          <cell r="J195" t="str">
            <v>Nội TM</v>
          </cell>
          <cell r="K195" t="str">
            <v>KP010</v>
          </cell>
          <cell r="L195" t="str">
            <v>Lãnh đạo khoa, phòng</v>
          </cell>
          <cell r="M195" t="str">
            <v>Điều dưỡng trưởng</v>
          </cell>
          <cell r="N195" t="str">
            <v>Viên chức</v>
          </cell>
          <cell r="O195">
            <v>43</v>
          </cell>
          <cell r="P195">
            <v>0</v>
          </cell>
          <cell r="Q195">
            <v>30519</v>
          </cell>
          <cell r="R195" t="str">
            <v>Nùng</v>
          </cell>
          <cell r="S195" t="str">
            <v>7/11/2006</v>
          </cell>
          <cell r="T195" t="str">
            <v>020183007867</v>
          </cell>
          <cell r="U195" t="str">
            <v xml:space="preserve">Phường lương Văn Tri , tỉnh Lạng Sơn </v>
          </cell>
          <cell r="W195" t="str">
            <v>000856/LS-CCHN</v>
          </cell>
          <cell r="X195" t="str">
            <v>11/01/2023</v>
          </cell>
          <cell r="Z19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95">
            <v>0</v>
          </cell>
          <cell r="AC195">
            <v>986678676</v>
          </cell>
        </row>
        <row r="196">
          <cell r="B196" t="str">
            <v>BV0030</v>
          </cell>
          <cell r="C196" t="str">
            <v>Trương Thị Theo</v>
          </cell>
          <cell r="D196" t="str">
            <v>BV0030</v>
          </cell>
          <cell r="E196" t="str">
            <v>x</v>
          </cell>
          <cell r="F196" t="str">
            <v>Điều dưỡng ĐH</v>
          </cell>
          <cell r="G196" t="str">
            <v>TĐ011</v>
          </cell>
          <cell r="H196" t="str">
            <v>Điều dưỡng (hạng III)</v>
          </cell>
          <cell r="I196" t="str">
            <v>Điều dưỡng (hạng III)</v>
          </cell>
          <cell r="J196" t="str">
            <v>Nội TM</v>
          </cell>
          <cell r="K196" t="str">
            <v>KP010</v>
          </cell>
          <cell r="L196" t="str">
            <v>Viên chức CMNV</v>
          </cell>
          <cell r="M196">
            <v>0</v>
          </cell>
          <cell r="N196" t="str">
            <v>Viên chức</v>
          </cell>
          <cell r="O196">
            <v>37</v>
          </cell>
          <cell r="P196">
            <v>0</v>
          </cell>
          <cell r="Q196">
            <v>32522</v>
          </cell>
          <cell r="R196" t="str">
            <v>Nùng</v>
          </cell>
          <cell r="S196" t="str">
            <v>10/6/2013</v>
          </cell>
          <cell r="T196" t="str">
            <v>020189005052</v>
          </cell>
          <cell r="U196" t="str">
            <v xml:space="preserve">Phường Đông Kinh, tỉnh Lạng Sơn </v>
          </cell>
          <cell r="W196" t="str">
            <v>000762/LS-CCHN</v>
          </cell>
          <cell r="X196" t="str">
            <v>11/01/2023</v>
          </cell>
          <cell r="Z19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196">
            <v>0</v>
          </cell>
          <cell r="AC196" t="str">
            <v>0396859363</v>
          </cell>
        </row>
        <row r="197">
          <cell r="B197" t="str">
            <v>BV0780</v>
          </cell>
          <cell r="C197" t="str">
            <v>Nguyễn Thị Hường</v>
          </cell>
          <cell r="D197" t="str">
            <v>BV0780</v>
          </cell>
          <cell r="E197" t="str">
            <v>x</v>
          </cell>
          <cell r="F197" t="str">
            <v>Điều dưỡng CĐ</v>
          </cell>
          <cell r="G197" t="str">
            <v>TĐ012</v>
          </cell>
          <cell r="I197" t="str">
            <v>Điều dưỡng (hạng IV)</v>
          </cell>
          <cell r="J197" t="str">
            <v>Nội TM</v>
          </cell>
          <cell r="K197" t="str">
            <v>KP010</v>
          </cell>
          <cell r="N197" t="str">
            <v>Viên chức</v>
          </cell>
          <cell r="O197">
            <v>32</v>
          </cell>
          <cell r="P197">
            <v>0</v>
          </cell>
          <cell r="Q197" t="str">
            <v>28/8/1993</v>
          </cell>
          <cell r="R197" t="str">
            <v>Kinh</v>
          </cell>
          <cell r="S197" t="str">
            <v xml:space="preserve"> 02/10/2017</v>
          </cell>
          <cell r="T197" t="str">
            <v>020193000513</v>
          </cell>
          <cell r="U197" t="str">
            <v>Phường Tam Thanh, tỉnh Lạng Sơn</v>
          </cell>
          <cell r="W197" t="str">
            <v>003387/LS-CCHN</v>
          </cell>
          <cell r="X197" t="str">
            <v>21/11/2018</v>
          </cell>
          <cell r="Z19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97">
            <v>0</v>
          </cell>
          <cell r="AC197" t="str">
            <v>0388600691</v>
          </cell>
          <cell r="AD197" t="str">
            <v>HĐ 02/10/2017; Đỗ VC 20/5/2026</v>
          </cell>
        </row>
        <row r="198">
          <cell r="B198" t="str">
            <v>BV0873</v>
          </cell>
          <cell r="C198" t="str">
            <v>Triệu Thị Xuân</v>
          </cell>
          <cell r="D198" t="str">
            <v>BV0873</v>
          </cell>
          <cell r="E198" t="str">
            <v>x</v>
          </cell>
          <cell r="F198" t="str">
            <v>Điều dưỡng CĐ</v>
          </cell>
          <cell r="G198" t="str">
            <v>TĐ012</v>
          </cell>
          <cell r="I198" t="str">
            <v>Điều dưỡng (hạng IV)</v>
          </cell>
          <cell r="J198" t="str">
            <v>Nội TM</v>
          </cell>
          <cell r="K198" t="str">
            <v>KP010</v>
          </cell>
          <cell r="N198" t="str">
            <v>Viên chức</v>
          </cell>
          <cell r="O198">
            <v>28</v>
          </cell>
          <cell r="P198">
            <v>0</v>
          </cell>
          <cell r="Q198">
            <v>35765</v>
          </cell>
          <cell r="R198" t="str">
            <v>Dao</v>
          </cell>
          <cell r="S198" t="str">
            <v>01/11/2018</v>
          </cell>
          <cell r="T198" t="str">
            <v>020197007773</v>
          </cell>
          <cell r="U198" t="str">
            <v>Phường Tam Thanh, tỉnh Lạng Sơn</v>
          </cell>
          <cell r="W198" t="str">
            <v>003714/LS-CCHN</v>
          </cell>
          <cell r="X198" t="str">
            <v>22/05/2020</v>
          </cell>
          <cell r="Z19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98">
            <v>0</v>
          </cell>
          <cell r="AC198" t="str">
            <v>0338826571</v>
          </cell>
          <cell r="AD198" t="str">
            <v>Thử việc T11/2018; đỗ VC 20/5/2026</v>
          </cell>
        </row>
        <row r="199">
          <cell r="B199" t="str">
            <v>BV0908</v>
          </cell>
          <cell r="C199" t="str">
            <v>Vi Thị Mĩ Linh</v>
          </cell>
          <cell r="D199" t="str">
            <v>BV0908</v>
          </cell>
          <cell r="E199" t="str">
            <v>x</v>
          </cell>
          <cell r="F199" t="str">
            <v>Điều dưỡng CĐ</v>
          </cell>
          <cell r="G199" t="str">
            <v>TĐ012</v>
          </cell>
          <cell r="I199" t="str">
            <v>Điều dưỡng (hạng IV)</v>
          </cell>
          <cell r="J199" t="str">
            <v>Nội TM</v>
          </cell>
          <cell r="K199" t="str">
            <v>KP010</v>
          </cell>
          <cell r="N199" t="str">
            <v>Viên chức</v>
          </cell>
          <cell r="O199">
            <v>29</v>
          </cell>
          <cell r="P199">
            <v>0</v>
          </cell>
          <cell r="Q199" t="str">
            <v>18/10/1996</v>
          </cell>
          <cell r="R199" t="str">
            <v xml:space="preserve">Tày </v>
          </cell>
          <cell r="S199" t="str">
            <v>17/4/2019</v>
          </cell>
          <cell r="T199" t="str">
            <v>020196008799</v>
          </cell>
          <cell r="U199" t="str">
            <v>Xã Công Sơn, tỉnh Lạng Sơn</v>
          </cell>
          <cell r="W199" t="str">
            <v>003715/LS-CCHN</v>
          </cell>
          <cell r="X199" t="str">
            <v>22/05/2020</v>
          </cell>
          <cell r="Z19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199">
            <v>0</v>
          </cell>
          <cell r="AC199" t="str">
            <v>0966237637</v>
          </cell>
          <cell r="AD199" t="str">
            <v>Thử việc 17/4/2019-31/5/2019; đỗ VC 20/5/2026</v>
          </cell>
        </row>
        <row r="200">
          <cell r="B200" t="str">
            <v>BV0984</v>
          </cell>
          <cell r="C200" t="str">
            <v>Dương Thị Yên</v>
          </cell>
          <cell r="D200" t="str">
            <v>BV0984</v>
          </cell>
          <cell r="E200" t="str">
            <v>x</v>
          </cell>
          <cell r="F200" t="str">
            <v>Điều dưỡng CĐ</v>
          </cell>
          <cell r="G200" t="str">
            <v>TĐ012</v>
          </cell>
          <cell r="I200" t="str">
            <v>Điều dưỡng (hạng IV)</v>
          </cell>
          <cell r="J200" t="str">
            <v>Nội TM</v>
          </cell>
          <cell r="K200" t="str">
            <v>KP010</v>
          </cell>
          <cell r="N200" t="str">
            <v>Viên chức</v>
          </cell>
          <cell r="O200">
            <v>27</v>
          </cell>
          <cell r="P200">
            <v>0</v>
          </cell>
          <cell r="Q200" t="str">
            <v>18/9/1998</v>
          </cell>
          <cell r="R200" t="str">
            <v>Tày</v>
          </cell>
          <cell r="S200" t="str">
            <v>02/12/2019</v>
          </cell>
          <cell r="T200" t="str">
            <v>020198006758</v>
          </cell>
          <cell r="U200" t="str">
            <v xml:space="preserve">Phường Đông Kinh, tỉnh Lạng Sơn </v>
          </cell>
          <cell r="W200" t="str">
            <v>004340/LS-CCHN</v>
          </cell>
          <cell r="X200" t="str">
            <v>17/08/2021</v>
          </cell>
          <cell r="Z20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00">
            <v>0</v>
          </cell>
          <cell r="AD200" t="str">
            <v>Thử việc 02/12/2019, Viên chức từ 15/6/2026</v>
          </cell>
        </row>
        <row r="201">
          <cell r="B201" t="str">
            <v>BV0915</v>
          </cell>
          <cell r="C201" t="str">
            <v>Chu Mạnh Dũng</v>
          </cell>
          <cell r="D201" t="str">
            <v>BV0915</v>
          </cell>
          <cell r="F201" t="str">
            <v>Điều dưỡng CĐ</v>
          </cell>
          <cell r="G201" t="str">
            <v>TĐ012</v>
          </cell>
          <cell r="I201" t="str">
            <v>Điều dưỡng (hạng IV)</v>
          </cell>
          <cell r="J201" t="str">
            <v>Nội TM</v>
          </cell>
          <cell r="K201" t="str">
            <v>KP010</v>
          </cell>
          <cell r="N201" t="str">
            <v>Viên chức</v>
          </cell>
          <cell r="O201">
            <v>34</v>
          </cell>
          <cell r="P201" t="str">
            <v>09/07/1992</v>
          </cell>
          <cell r="Q201">
            <v>0</v>
          </cell>
          <cell r="R201" t="str">
            <v xml:space="preserve">Tày </v>
          </cell>
          <cell r="S201" t="str">
            <v>17/4/2019</v>
          </cell>
          <cell r="T201" t="str">
            <v>020092002324</v>
          </cell>
          <cell r="U201" t="str">
            <v>Xã Hoàng Văn Thuh, tỉnh Lạng Sơn</v>
          </cell>
          <cell r="W201" t="str">
            <v>005685/LS-CCHN</v>
          </cell>
          <cell r="X201" t="str">
            <v>18/09/2023</v>
          </cell>
          <cell r="Z20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01">
            <v>0</v>
          </cell>
          <cell r="AC201" t="str">
            <v>0362849292</v>
          </cell>
          <cell r="AD201" t="str">
            <v>Thử việc 17/4/2019-31/5/2019; đỗ VC 20/5/2026</v>
          </cell>
        </row>
        <row r="202">
          <cell r="B202" t="str">
            <v>BV0710</v>
          </cell>
          <cell r="C202" t="str">
            <v>Đàm Thị Ánh</v>
          </cell>
          <cell r="D202" t="str">
            <v>BV0710</v>
          </cell>
          <cell r="E202" t="str">
            <v>x</v>
          </cell>
          <cell r="F202" t="str">
            <v>Điều dưỡng CĐ</v>
          </cell>
          <cell r="G202" t="str">
            <v>TĐ012</v>
          </cell>
          <cell r="I202" t="str">
            <v>Điều dưỡng (hạng IV)</v>
          </cell>
          <cell r="J202" t="str">
            <v>Nội TM</v>
          </cell>
          <cell r="K202" t="str">
            <v>KP010</v>
          </cell>
          <cell r="N202" t="str">
            <v>Viên chức</v>
          </cell>
          <cell r="O202">
            <v>33</v>
          </cell>
          <cell r="P202">
            <v>0</v>
          </cell>
          <cell r="Q202" t="str">
            <v>16/3/1993</v>
          </cell>
          <cell r="R202" t="str">
            <v>Nùng</v>
          </cell>
          <cell r="S202" t="str">
            <v xml:space="preserve"> 29/8/2016</v>
          </cell>
          <cell r="T202" t="str">
            <v>020193011019</v>
          </cell>
          <cell r="U202" t="str">
            <v>Phường Tam Thanh, tỉnh Lạng Sơn</v>
          </cell>
          <cell r="W202" t="str">
            <v>002165/LS-CCHN</v>
          </cell>
          <cell r="X202" t="str">
            <v>17/07/2019</v>
          </cell>
          <cell r="Z20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02">
            <v>0</v>
          </cell>
          <cell r="AC202" t="str">
            <v>0357974695</v>
          </cell>
          <cell r="AD202" t="str">
            <v>HĐ 29/8/2016; Đỗ VC 20/5/2026</v>
          </cell>
        </row>
        <row r="203">
          <cell r="B203" t="str">
            <v>BV1080</v>
          </cell>
          <cell r="C203" t="str">
            <v>Lăng Thị Ly</v>
          </cell>
          <cell r="D203" t="str">
            <v>BV1080</v>
          </cell>
          <cell r="E203" t="str">
            <v>x</v>
          </cell>
          <cell r="F203" t="str">
            <v>Điều dưỡng CĐ</v>
          </cell>
          <cell r="G203" t="str">
            <v>TĐ012</v>
          </cell>
          <cell r="I203" t="str">
            <v>Điều dưỡng (hạng IV)</v>
          </cell>
          <cell r="J203" t="str">
            <v>Nội TM</v>
          </cell>
          <cell r="K203" t="str">
            <v>KP010</v>
          </cell>
          <cell r="N203" t="str">
            <v>Viên chức</v>
          </cell>
          <cell r="O203">
            <v>34</v>
          </cell>
          <cell r="P203">
            <v>0</v>
          </cell>
          <cell r="Q203" t="str">
            <v>15/5/1992</v>
          </cell>
          <cell r="R203" t="str">
            <v>Nùng</v>
          </cell>
          <cell r="S203" t="str">
            <v>03/11/2020</v>
          </cell>
          <cell r="T203" t="str">
            <v>020192001966</v>
          </cell>
          <cell r="U203" t="str">
            <v>Phường Tam Thanh, tỉnh Lạng Sơn</v>
          </cell>
          <cell r="W203" t="str">
            <v>004535/LS-CCHN</v>
          </cell>
          <cell r="X203" t="str">
            <v>26/05/2022</v>
          </cell>
          <cell r="Z20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03">
            <v>0</v>
          </cell>
          <cell r="AC203" t="str">
            <v>0988278511</v>
          </cell>
          <cell r="AD203" t="str">
            <v>Thử việc 03/11/2020, Viên chức từ 15/6/2026</v>
          </cell>
        </row>
        <row r="204">
          <cell r="B204" t="str">
            <v>BV0032</v>
          </cell>
          <cell r="C204" t="str">
            <v>Nguyễn Huyền Trang</v>
          </cell>
          <cell r="D204" t="str">
            <v>BV0032</v>
          </cell>
          <cell r="E204" t="str">
            <v>x</v>
          </cell>
          <cell r="F204" t="str">
            <v>Điều dưỡng CĐ</v>
          </cell>
          <cell r="G204" t="str">
            <v>TĐ012</v>
          </cell>
          <cell r="H204" t="str">
            <v>Điều dưỡng (hạng IV)</v>
          </cell>
          <cell r="I204" t="str">
            <v>Điều dưỡng (hạng IV)</v>
          </cell>
          <cell r="J204" t="str">
            <v>Nội TM</v>
          </cell>
          <cell r="K204" t="str">
            <v>KP010</v>
          </cell>
          <cell r="L204" t="str">
            <v>Viên chức CMNV</v>
          </cell>
          <cell r="M204">
            <v>0</v>
          </cell>
          <cell r="N204" t="str">
            <v>Viên chức</v>
          </cell>
          <cell r="O204">
            <v>35</v>
          </cell>
          <cell r="P204">
            <v>0</v>
          </cell>
          <cell r="Q204">
            <v>33260</v>
          </cell>
          <cell r="R204" t="str">
            <v>Kinh</v>
          </cell>
          <cell r="S204" t="str">
            <v>05/6/2013</v>
          </cell>
          <cell r="T204" t="str">
            <v>030191013549</v>
          </cell>
          <cell r="U204" t="str">
            <v xml:space="preserve">Phường lương Văn Tri , tỉnh Lạng Sơn </v>
          </cell>
          <cell r="W204" t="str">
            <v>000391/LS-CCHN</v>
          </cell>
          <cell r="X204" t="str">
            <v>01/06/2016</v>
          </cell>
          <cell r="Z20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04">
            <v>0</v>
          </cell>
          <cell r="AC204" t="str">
            <v>0963824866</v>
          </cell>
        </row>
        <row r="205">
          <cell r="B205" t="str">
            <v>BV0116</v>
          </cell>
          <cell r="C205" t="str">
            <v>Lương Thị Lê</v>
          </cell>
          <cell r="D205" t="str">
            <v>BV0116</v>
          </cell>
          <cell r="E205" t="str">
            <v>x</v>
          </cell>
          <cell r="F205" t="str">
            <v>Điều dưỡng CĐ</v>
          </cell>
          <cell r="G205" t="str">
            <v>TĐ012</v>
          </cell>
          <cell r="H205" t="str">
            <v>Điều dưỡng (hạng IV)</v>
          </cell>
          <cell r="I205" t="str">
            <v>Điều dưỡng (hạng IV)</v>
          </cell>
          <cell r="J205" t="str">
            <v>Nội TM</v>
          </cell>
          <cell r="K205" t="str">
            <v>KP010</v>
          </cell>
          <cell r="L205" t="str">
            <v>Viên chức CMNV</v>
          </cell>
          <cell r="M205">
            <v>0</v>
          </cell>
          <cell r="N205" t="str">
            <v>Viên chức</v>
          </cell>
          <cell r="O205">
            <v>40</v>
          </cell>
          <cell r="P205">
            <v>0</v>
          </cell>
          <cell r="Q205">
            <v>31451</v>
          </cell>
          <cell r="R205" t="str">
            <v>Nùng</v>
          </cell>
          <cell r="S205" t="str">
            <v>01/12/2008</v>
          </cell>
          <cell r="T205" t="str">
            <v>020186010789</v>
          </cell>
          <cell r="U205" t="str">
            <v xml:space="preserve">Xã Thanh Miện, tỉnh Hải Phòng </v>
          </cell>
          <cell r="W205" t="str">
            <v>001501/LS-CCHN</v>
          </cell>
          <cell r="X205" t="str">
            <v>11/01/2023</v>
          </cell>
          <cell r="Z20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05">
            <v>0</v>
          </cell>
          <cell r="AC205" t="str">
            <v>0385705733</v>
          </cell>
        </row>
        <row r="206">
          <cell r="B206" t="str">
            <v>BV1028</v>
          </cell>
          <cell r="C206" t="str">
            <v>Đỗ Thị Ngọc</v>
          </cell>
          <cell r="D206" t="str">
            <v>BV1028</v>
          </cell>
          <cell r="E206" t="str">
            <v>x</v>
          </cell>
          <cell r="F206" t="str">
            <v>Hộ lý</v>
          </cell>
          <cell r="G206" t="str">
            <v>TĐ047</v>
          </cell>
          <cell r="I206" t="str">
            <v>Hộ lý</v>
          </cell>
          <cell r="J206" t="str">
            <v>Nội TM</v>
          </cell>
          <cell r="K206" t="str">
            <v>KP010</v>
          </cell>
          <cell r="N206" t="str">
            <v>HĐ có thời hạn</v>
          </cell>
          <cell r="O206">
            <v>45</v>
          </cell>
          <cell r="P206">
            <v>0</v>
          </cell>
          <cell r="Q206" t="str">
            <v>21/12/1980</v>
          </cell>
          <cell r="R206" t="str">
            <v>Kinh</v>
          </cell>
          <cell r="S206" t="str">
            <v>11/5/2020</v>
          </cell>
          <cell r="T206" t="str">
            <v>0201800005510</v>
          </cell>
          <cell r="U206" t="str">
            <v>Phường Đông Kinh, tỉnh Lạng Sơn</v>
          </cell>
          <cell r="W206" t="str">
            <v/>
          </cell>
          <cell r="X206" t="str">
            <v/>
          </cell>
          <cell r="Z206" t="str">
            <v/>
          </cell>
          <cell r="AB206" t="str">
            <v/>
          </cell>
          <cell r="AD206" t="str">
            <v>Hợp đồng 11/5/2020</v>
          </cell>
        </row>
        <row r="207">
          <cell r="B207" t="str">
            <v>BV0163</v>
          </cell>
          <cell r="C207" t="str">
            <v>Lăng Văn Lâm</v>
          </cell>
          <cell r="D207" t="str">
            <v>BV0163</v>
          </cell>
          <cell r="F207" t="str">
            <v>BSCKI</v>
          </cell>
          <cell r="G207" t="str">
            <v>TĐ003</v>
          </cell>
          <cell r="H207" t="str">
            <v>Bác sĩ chính (hạng II)</v>
          </cell>
          <cell r="I207" t="str">
            <v>Bác sĩ chính (hạng II)</v>
          </cell>
          <cell r="J207" t="str">
            <v>UB-YHHN</v>
          </cell>
          <cell r="K207" t="str">
            <v>KP011</v>
          </cell>
          <cell r="L207" t="str">
            <v>Lãnh đạo khoa, phòng</v>
          </cell>
          <cell r="M207" t="str">
            <v>Trưởng khoa</v>
          </cell>
          <cell r="N207" t="str">
            <v>Viên chức</v>
          </cell>
          <cell r="O207">
            <v>58</v>
          </cell>
          <cell r="P207">
            <v>24816</v>
          </cell>
          <cell r="Q207">
            <v>0</v>
          </cell>
          <cell r="R207" t="str">
            <v>Nùng</v>
          </cell>
          <cell r="S207" t="str">
            <v>1/2/1996</v>
          </cell>
          <cell r="T207" t="str">
            <v>020067005025</v>
          </cell>
          <cell r="U207" t="str">
            <v>Khối 7, phường Đông kinh, lạng sơn</v>
          </cell>
          <cell r="W207" t="str">
            <v>001047/LS-CCHN</v>
          </cell>
          <cell r="X207" t="str">
            <v>24/06/2013</v>
          </cell>
          <cell r="Z207" t="str">
            <v>Khám bệnh, chữa bệnh chuyên khoa Ung bướu; Khám bệnh, chữa bệnh nội khoa</v>
          </cell>
          <cell r="AB207">
            <v>0</v>
          </cell>
          <cell r="AC207" t="str">
            <v>0912192238</v>
          </cell>
        </row>
        <row r="208">
          <cell r="B208" t="str">
            <v>BV1032</v>
          </cell>
          <cell r="C208" t="str">
            <v>Triệu Thị Khách</v>
          </cell>
          <cell r="D208" t="str">
            <v>BV1032</v>
          </cell>
          <cell r="E208" t="str">
            <v>x</v>
          </cell>
          <cell r="F208" t="str">
            <v>BSCKI</v>
          </cell>
          <cell r="G208" t="str">
            <v>TĐ003</v>
          </cell>
          <cell r="H208" t="str">
            <v>Bác sĩ (hạng III)</v>
          </cell>
          <cell r="I208" t="str">
            <v>Bác sĩ (hạng III)</v>
          </cell>
          <cell r="J208" t="str">
            <v>UB-YHHN</v>
          </cell>
          <cell r="K208" t="str">
            <v>KP011</v>
          </cell>
          <cell r="L208" t="str">
            <v>Viên chức CMNV</v>
          </cell>
          <cell r="M208">
            <v>0</v>
          </cell>
          <cell r="N208" t="str">
            <v>Viên chức</v>
          </cell>
          <cell r="O208">
            <v>37</v>
          </cell>
          <cell r="P208">
            <v>0</v>
          </cell>
          <cell r="Q208" t="str">
            <v>03/08/1989</v>
          </cell>
          <cell r="R208" t="str">
            <v>Dao</v>
          </cell>
          <cell r="S208" t="str">
            <v>01/11/2014</v>
          </cell>
          <cell r="T208" t="str">
            <v>020189009265</v>
          </cell>
          <cell r="U208">
            <v>0</v>
          </cell>
          <cell r="W208" t="str">
            <v>002073/LS-CCHN</v>
          </cell>
          <cell r="X208" t="str">
            <v>29/08/2017</v>
          </cell>
          <cell r="Z208" t="str">
            <v>Khám bệnh, chữa bệnh đa khoa, Ung thư</v>
          </cell>
          <cell r="AB208">
            <v>0</v>
          </cell>
          <cell r="AC208">
            <v>943018168</v>
          </cell>
          <cell r="AD208" t="str">
            <v>Chuyển đến 04/5/2020</v>
          </cell>
        </row>
        <row r="209">
          <cell r="B209" t="str">
            <v>BV0683</v>
          </cell>
          <cell r="C209" t="str">
            <v>Lý Thị Hoàng Hạnh</v>
          </cell>
          <cell r="D209" t="str">
            <v>BV0683</v>
          </cell>
          <cell r="E209" t="str">
            <v>x</v>
          </cell>
          <cell r="F209" t="str">
            <v>Bác sĩ</v>
          </cell>
          <cell r="G209" t="str">
            <v>TĐ005</v>
          </cell>
          <cell r="H209" t="str">
            <v>Bác sĩ (hạng III)</v>
          </cell>
          <cell r="I209" t="str">
            <v>Bác sĩ (hạng III)</v>
          </cell>
          <cell r="J209" t="str">
            <v>UB-YHHN</v>
          </cell>
          <cell r="K209" t="str">
            <v>KP011</v>
          </cell>
          <cell r="L209" t="str">
            <v>Viên chức CMNV</v>
          </cell>
          <cell r="M209">
            <v>0</v>
          </cell>
          <cell r="N209" t="str">
            <v>Viên chức</v>
          </cell>
          <cell r="O209">
            <v>36</v>
          </cell>
          <cell r="P209">
            <v>0</v>
          </cell>
          <cell r="Q209" t="str">
            <v>06/01/1990</v>
          </cell>
          <cell r="R209" t="str">
            <v>Nùng</v>
          </cell>
          <cell r="S209" t="str">
            <v>10/01/2016</v>
          </cell>
          <cell r="T209" t="str">
            <v>020190003135</v>
          </cell>
          <cell r="U209">
            <v>0</v>
          </cell>
          <cell r="W209" t="str">
            <v>002174/LS-CCHN</v>
          </cell>
          <cell r="X209" t="str">
            <v>29/12/2017</v>
          </cell>
          <cell r="Z209" t="str">
            <v>Khám bệnh chữa bệnh Nội khoa; Khám bệnh chữa bệnh chuyên khoa Ung thư.</v>
          </cell>
          <cell r="AB209">
            <v>0</v>
          </cell>
          <cell r="AC209" t="str">
            <v>0396939484</v>
          </cell>
        </row>
        <row r="210">
          <cell r="B210" t="str">
            <v>BV0546</v>
          </cell>
          <cell r="C210" t="str">
            <v>Nguyễn An Hải</v>
          </cell>
          <cell r="D210" t="str">
            <v>BV0546</v>
          </cell>
          <cell r="E210" t="str">
            <v>x</v>
          </cell>
          <cell r="F210" t="str">
            <v>BSCKI</v>
          </cell>
          <cell r="G210" t="str">
            <v>TĐ003</v>
          </cell>
          <cell r="H210" t="str">
            <v>Bác sĩ (hạng III)</v>
          </cell>
          <cell r="I210" t="str">
            <v>Bác sĩ (hạng III)</v>
          </cell>
          <cell r="J210" t="str">
            <v>UB-YHHN</v>
          </cell>
          <cell r="K210" t="str">
            <v>KP011</v>
          </cell>
          <cell r="L210" t="str">
            <v>Viên chức CMNV</v>
          </cell>
          <cell r="M210">
            <v>0</v>
          </cell>
          <cell r="N210" t="str">
            <v>Viên chức</v>
          </cell>
          <cell r="O210">
            <v>41</v>
          </cell>
          <cell r="P210">
            <v>0</v>
          </cell>
          <cell r="Q210">
            <v>31105</v>
          </cell>
          <cell r="R210" t="str">
            <v>Tày</v>
          </cell>
          <cell r="S210" t="str">
            <v>1/12/2008</v>
          </cell>
          <cell r="T210" t="str">
            <v>004185009967</v>
          </cell>
          <cell r="U210">
            <v>0</v>
          </cell>
          <cell r="W210" t="str">
            <v>001090/LS-CCHN</v>
          </cell>
          <cell r="X210" t="str">
            <v>24/06/2013</v>
          </cell>
          <cell r="Z210" t="str">
            <v>Khám bệnh chữa bệnh Nội khoa; Ung thư</v>
          </cell>
          <cell r="AB210">
            <v>0</v>
          </cell>
          <cell r="AC210">
            <v>912199066</v>
          </cell>
        </row>
        <row r="211">
          <cell r="B211" t="str">
            <v>BV0826</v>
          </cell>
          <cell r="C211" t="str">
            <v>Triệu Văn Tú</v>
          </cell>
          <cell r="D211" t="str">
            <v>BV0826</v>
          </cell>
          <cell r="F211" t="str">
            <v>Bác sĩ</v>
          </cell>
          <cell r="G211" t="str">
            <v>TĐ005</v>
          </cell>
          <cell r="H211" t="str">
            <v>Bác sĩ (hạng III)</v>
          </cell>
          <cell r="I211" t="str">
            <v>Bác sĩ (hạng III)</v>
          </cell>
          <cell r="J211" t="str">
            <v>UB-YHHN</v>
          </cell>
          <cell r="K211" t="str">
            <v>KP011</v>
          </cell>
          <cell r="L211" t="str">
            <v>Viên chức CMNV</v>
          </cell>
          <cell r="M211">
            <v>0</v>
          </cell>
          <cell r="N211" t="str">
            <v>Viên chức</v>
          </cell>
          <cell r="O211">
            <v>37</v>
          </cell>
          <cell r="P211" t="str">
            <v>30/01/1989</v>
          </cell>
          <cell r="Q211">
            <v>0</v>
          </cell>
          <cell r="R211" t="str">
            <v>Tày</v>
          </cell>
          <cell r="S211" t="str">
            <v>01/11/2014</v>
          </cell>
          <cell r="T211" t="str">
            <v>020089004618</v>
          </cell>
          <cell r="U211">
            <v>0</v>
          </cell>
          <cell r="W211" t="str">
            <v>003656/LS-CCHN</v>
          </cell>
          <cell r="X211" t="str">
            <v>27/12/2019</v>
          </cell>
          <cell r="Z211" t="str">
            <v>Khám bệnh, chữa bệnh Nội khoa</v>
          </cell>
          <cell r="AB211">
            <v>0</v>
          </cell>
          <cell r="AC211" t="str">
            <v>0972656116</v>
          </cell>
          <cell r="AD211" t="str">
            <v>Chuyển đến 19/3/2018</v>
          </cell>
        </row>
        <row r="212">
          <cell r="B212" t="str">
            <v>BV1246</v>
          </cell>
          <cell r="C212" t="str">
            <v>Nông Thị Phượng</v>
          </cell>
          <cell r="D212" t="str">
            <v>BV1246</v>
          </cell>
          <cell r="E212" t="str">
            <v>x</v>
          </cell>
          <cell r="F212" t="str">
            <v>Bác sĩ</v>
          </cell>
          <cell r="G212" t="str">
            <v>TĐ005</v>
          </cell>
          <cell r="H212" t="str">
            <v>Bác sĩ (hạng III)</v>
          </cell>
          <cell r="I212" t="str">
            <v>Bác sĩ (hạng III)</v>
          </cell>
          <cell r="J212" t="str">
            <v>UB-YHHN</v>
          </cell>
          <cell r="K212" t="str">
            <v>KP011</v>
          </cell>
          <cell r="L212" t="str">
            <v>Viên chức CMNV</v>
          </cell>
          <cell r="N212" t="str">
            <v>Viên chức</v>
          </cell>
          <cell r="O212">
            <v>0</v>
          </cell>
          <cell r="P212">
            <v>0</v>
          </cell>
          <cell r="Q212">
            <v>35783</v>
          </cell>
          <cell r="R212" t="str">
            <v>Tày</v>
          </cell>
          <cell r="S212">
            <v>44562</v>
          </cell>
          <cell r="T212" t="str">
            <v>020197003799</v>
          </cell>
          <cell r="U212">
            <v>0</v>
          </cell>
          <cell r="V212">
            <v>45566</v>
          </cell>
          <cell r="W212" t="str">
            <v>000180/LS-GPHN</v>
          </cell>
          <cell r="X212">
            <v>45633</v>
          </cell>
          <cell r="Z212" t="str">
            <v>Chuyên khoa Nội khoa</v>
          </cell>
          <cell r="AB212">
            <v>0</v>
          </cell>
          <cell r="AC212" t="str">
            <v>0964309896</v>
          </cell>
          <cell r="AD212" t="str">
            <v>Chuyển đến 01/4/2023</v>
          </cell>
        </row>
        <row r="213">
          <cell r="B213" t="str">
            <v>BV0065</v>
          </cell>
          <cell r="C213" t="str">
            <v>Lý Văn Mạnh</v>
          </cell>
          <cell r="D213" t="str">
            <v>BV0065</v>
          </cell>
          <cell r="F213" t="str">
            <v>Điều dưỡng ĐH</v>
          </cell>
          <cell r="G213" t="str">
            <v>TĐ011</v>
          </cell>
          <cell r="H213" t="str">
            <v>Điều dưỡng (hạng III)</v>
          </cell>
          <cell r="I213" t="str">
            <v>Điều dưỡng (hạng III)</v>
          </cell>
          <cell r="J213" t="str">
            <v>UB-YHHN</v>
          </cell>
          <cell r="K213" t="str">
            <v>KP011</v>
          </cell>
          <cell r="L213" t="str">
            <v>Viên chức CMNV</v>
          </cell>
          <cell r="M213" t="str">
            <v>Phụ trách điều dưỡng</v>
          </cell>
          <cell r="N213" t="str">
            <v>Viên chức</v>
          </cell>
          <cell r="O213">
            <v>40</v>
          </cell>
          <cell r="P213">
            <v>31391</v>
          </cell>
          <cell r="Q213">
            <v>0</v>
          </cell>
          <cell r="R213" t="str">
            <v>Nùng</v>
          </cell>
          <cell r="S213" t="str">
            <v>15/1/2010</v>
          </cell>
          <cell r="T213" t="str">
            <v>020085011286</v>
          </cell>
          <cell r="U213">
            <v>0</v>
          </cell>
          <cell r="W213" t="str">
            <v>000785/LS-CCHN</v>
          </cell>
          <cell r="X213" t="str">
            <v>11/01/2023</v>
          </cell>
          <cell r="Z21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13">
            <v>0</v>
          </cell>
          <cell r="AC213">
            <v>976389965</v>
          </cell>
        </row>
        <row r="214">
          <cell r="B214" t="str">
            <v>BV0168</v>
          </cell>
          <cell r="C214" t="str">
            <v>Vi Thị Hường</v>
          </cell>
          <cell r="D214" t="str">
            <v>BV0168</v>
          </cell>
          <cell r="E214" t="str">
            <v>x</v>
          </cell>
          <cell r="F214" t="str">
            <v>Điều dưỡng ĐH</v>
          </cell>
          <cell r="G214" t="str">
            <v>TĐ011</v>
          </cell>
          <cell r="H214" t="str">
            <v>Điều dưỡng (hạng III)</v>
          </cell>
          <cell r="I214" t="str">
            <v>Điều dưỡng (hạng III)</v>
          </cell>
          <cell r="J214" t="str">
            <v>UB-YHHN</v>
          </cell>
          <cell r="K214" t="str">
            <v>KP011</v>
          </cell>
          <cell r="L214" t="str">
            <v>Viên chức CMNV</v>
          </cell>
          <cell r="N214" t="str">
            <v>Viên chức</v>
          </cell>
          <cell r="O214">
            <v>41</v>
          </cell>
          <cell r="P214">
            <v>0</v>
          </cell>
          <cell r="Q214">
            <v>31042</v>
          </cell>
          <cell r="R214" t="str">
            <v>Nùng</v>
          </cell>
          <cell r="S214" t="str">
            <v>1/12/2008</v>
          </cell>
          <cell r="T214" t="str">
            <v>020184037241</v>
          </cell>
          <cell r="U214">
            <v>0</v>
          </cell>
          <cell r="W214" t="str">
            <v>001051/LS-CCHN</v>
          </cell>
          <cell r="X214" t="str">
            <v>11/01/2023</v>
          </cell>
          <cell r="Z21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14">
            <v>0</v>
          </cell>
          <cell r="AC214" t="str">
            <v>0976086379</v>
          </cell>
        </row>
        <row r="215">
          <cell r="B215" t="str">
            <v>BV0123</v>
          </cell>
          <cell r="C215" t="str">
            <v>Lộc Thị Nhớ</v>
          </cell>
          <cell r="D215" t="str">
            <v>BV0123</v>
          </cell>
          <cell r="E215" t="str">
            <v>x</v>
          </cell>
          <cell r="F215" t="str">
            <v>Điều dưỡng ĐH</v>
          </cell>
          <cell r="G215" t="str">
            <v>TĐ011</v>
          </cell>
          <cell r="H215" t="str">
            <v>Điều dưỡng (hạng III)</v>
          </cell>
          <cell r="I215" t="str">
            <v>Điều dưỡng (hạng III)</v>
          </cell>
          <cell r="J215" t="str">
            <v>UB-YHHN</v>
          </cell>
          <cell r="K215" t="str">
            <v>KP011</v>
          </cell>
          <cell r="L215" t="str">
            <v>Viên chức CMNV</v>
          </cell>
          <cell r="M215">
            <v>0</v>
          </cell>
          <cell r="N215" t="str">
            <v>Viên chức</v>
          </cell>
          <cell r="O215">
            <v>51</v>
          </cell>
          <cell r="P215">
            <v>0</v>
          </cell>
          <cell r="Q215">
            <v>27397</v>
          </cell>
          <cell r="R215" t="str">
            <v>Tày</v>
          </cell>
          <cell r="S215" t="str">
            <v>1/1/2003</v>
          </cell>
          <cell r="T215" t="str">
            <v>020175001865</v>
          </cell>
          <cell r="U215">
            <v>0</v>
          </cell>
          <cell r="W215" t="str">
            <v>000770/LS-CCHN</v>
          </cell>
          <cell r="X215" t="str">
            <v>11/01/2023</v>
          </cell>
          <cell r="Z21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15">
            <v>0</v>
          </cell>
          <cell r="AC215" t="str">
            <v>0973494586</v>
          </cell>
        </row>
        <row r="216">
          <cell r="B216" t="str">
            <v>BV0107</v>
          </cell>
          <cell r="C216" t="str">
            <v>Đoàn Thị Hường</v>
          </cell>
          <cell r="D216" t="str">
            <v>BV0107</v>
          </cell>
          <cell r="E216" t="str">
            <v>x</v>
          </cell>
          <cell r="F216" t="str">
            <v>Điều dưỡng CĐ</v>
          </cell>
          <cell r="G216" t="str">
            <v>TĐ012</v>
          </cell>
          <cell r="H216" t="str">
            <v>Điều dưỡng (hạng IV)</v>
          </cell>
          <cell r="I216" t="str">
            <v>Điều dưỡng (hạng IV)</v>
          </cell>
          <cell r="J216" t="str">
            <v>UB-YHHN</v>
          </cell>
          <cell r="K216" t="str">
            <v>KP011</v>
          </cell>
          <cell r="L216" t="str">
            <v>Viên chức CMNV</v>
          </cell>
          <cell r="M216">
            <v>0</v>
          </cell>
          <cell r="N216" t="str">
            <v>Viên chức</v>
          </cell>
          <cell r="O216">
            <v>52</v>
          </cell>
          <cell r="P216">
            <v>0</v>
          </cell>
          <cell r="Q216">
            <v>26976</v>
          </cell>
          <cell r="R216" t="str">
            <v>Tày</v>
          </cell>
          <cell r="S216" t="str">
            <v>21/4/1997</v>
          </cell>
          <cell r="T216" t="str">
            <v>020173005603</v>
          </cell>
          <cell r="U216">
            <v>0</v>
          </cell>
          <cell r="W216" t="str">
            <v>000810/LS-CCHN</v>
          </cell>
          <cell r="X216" t="str">
            <v>11/01/2023</v>
          </cell>
          <cell r="Z21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16">
            <v>0</v>
          </cell>
          <cell r="AC216" t="str">
            <v>0397184388</v>
          </cell>
        </row>
        <row r="217">
          <cell r="B217" t="str">
            <v>BV0875</v>
          </cell>
          <cell r="C217" t="str">
            <v>Nguyễn Thu Trang</v>
          </cell>
          <cell r="D217" t="str">
            <v>BV0875</v>
          </cell>
          <cell r="E217" t="str">
            <v>x</v>
          </cell>
          <cell r="F217" t="str">
            <v>Điều dưỡng CĐ</v>
          </cell>
          <cell r="G217" t="str">
            <v>TĐ012</v>
          </cell>
          <cell r="I217" t="str">
            <v>Điều dưỡng (hạng IV)</v>
          </cell>
          <cell r="J217" t="str">
            <v>UB-YHHN</v>
          </cell>
          <cell r="K217" t="str">
            <v>KP011</v>
          </cell>
          <cell r="N217" t="str">
            <v>Viên chức</v>
          </cell>
          <cell r="O217">
            <v>29</v>
          </cell>
          <cell r="P217">
            <v>0</v>
          </cell>
          <cell r="Q217" t="str">
            <v>04/12/1996</v>
          </cell>
          <cell r="R217" t="str">
            <v>Tày</v>
          </cell>
          <cell r="S217" t="str">
            <v>01/11/2018</v>
          </cell>
          <cell r="T217" t="str">
            <v>020196000362</v>
          </cell>
          <cell r="U217">
            <v>0</v>
          </cell>
          <cell r="W217" t="str">
            <v>004326/LS-CCHN</v>
          </cell>
          <cell r="X217" t="str">
            <v>21/07/2020</v>
          </cell>
          <cell r="Z21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17">
            <v>0</v>
          </cell>
          <cell r="AC217" t="str">
            <v>0979727106</v>
          </cell>
          <cell r="AD217" t="str">
            <v>Thử việc T11/2018; đỗ VC 20/5/2026</v>
          </cell>
        </row>
        <row r="218">
          <cell r="B218" t="str">
            <v>BV0025</v>
          </cell>
          <cell r="C218" t="str">
            <v>Hoàng Thị Thược</v>
          </cell>
          <cell r="D218" t="str">
            <v>BV0025</v>
          </cell>
          <cell r="E218" t="str">
            <v>x</v>
          </cell>
          <cell r="F218" t="str">
            <v>Điều dưỡng CĐ</v>
          </cell>
          <cell r="G218" t="str">
            <v>TĐ012</v>
          </cell>
          <cell r="H218" t="str">
            <v>Điều dưỡng (hạng IV)</v>
          </cell>
          <cell r="I218" t="str">
            <v>Điều dưỡng (hạng IV)</v>
          </cell>
          <cell r="J218" t="str">
            <v>UB-YHHN</v>
          </cell>
          <cell r="K218" t="str">
            <v>KP011</v>
          </cell>
          <cell r="L218" t="str">
            <v>Viên chức CMNV</v>
          </cell>
          <cell r="M218">
            <v>0</v>
          </cell>
          <cell r="N218" t="str">
            <v>Viên chức</v>
          </cell>
          <cell r="O218">
            <v>38</v>
          </cell>
          <cell r="P218">
            <v>0</v>
          </cell>
          <cell r="Q218">
            <v>32162</v>
          </cell>
          <cell r="R218" t="str">
            <v>Tày</v>
          </cell>
          <cell r="S218" t="str">
            <v>15/01/2010</v>
          </cell>
          <cell r="T218" t="str">
            <v>020188006550</v>
          </cell>
          <cell r="U218">
            <v>0</v>
          </cell>
          <cell r="W218" t="str">
            <v>000752/LS-CCHN</v>
          </cell>
          <cell r="X218" t="str">
            <v>11/01/2023</v>
          </cell>
          <cell r="Z21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18">
            <v>0</v>
          </cell>
          <cell r="AC218" t="str">
            <v>0919110366</v>
          </cell>
        </row>
        <row r="219">
          <cell r="B219" t="str">
            <v>BV0166</v>
          </cell>
          <cell r="C219" t="str">
            <v>Triệu Văn Khiêm</v>
          </cell>
          <cell r="D219" t="str">
            <v>BV0166</v>
          </cell>
          <cell r="F219" t="str">
            <v>Điều dưỡng CĐ</v>
          </cell>
          <cell r="G219" t="str">
            <v>TĐ012</v>
          </cell>
          <cell r="H219" t="str">
            <v>Điều dưỡng (hạng IV)</v>
          </cell>
          <cell r="I219" t="str">
            <v>Điều dưỡng (hạng IV)</v>
          </cell>
          <cell r="J219" t="str">
            <v>UB-YHHN</v>
          </cell>
          <cell r="K219" t="str">
            <v>KP011</v>
          </cell>
          <cell r="L219" t="str">
            <v>Viên chức CMNV</v>
          </cell>
          <cell r="M219">
            <v>0</v>
          </cell>
          <cell r="N219" t="str">
            <v>Viên chức</v>
          </cell>
          <cell r="O219">
            <v>41</v>
          </cell>
          <cell r="P219">
            <v>30942</v>
          </cell>
          <cell r="Q219">
            <v>0</v>
          </cell>
          <cell r="R219" t="str">
            <v>Nùng</v>
          </cell>
          <cell r="S219" t="str">
            <v>1/12/2008</v>
          </cell>
          <cell r="T219" t="str">
            <v>020084005353</v>
          </cell>
          <cell r="U219">
            <v>0</v>
          </cell>
          <cell r="W219" t="str">
            <v>001049/LS-CCHN</v>
          </cell>
          <cell r="X219" t="str">
            <v>11/01/2023</v>
          </cell>
          <cell r="Z21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19">
            <v>0</v>
          </cell>
          <cell r="AC219" t="str">
            <v>0838218556</v>
          </cell>
        </row>
        <row r="220">
          <cell r="B220" t="str">
            <v>BV0193</v>
          </cell>
          <cell r="C220" t="str">
            <v>Hoàng Thị Xuân</v>
          </cell>
          <cell r="D220" t="str">
            <v>BV0193</v>
          </cell>
          <cell r="E220" t="str">
            <v>x</v>
          </cell>
          <cell r="F220" t="str">
            <v>Điều dưỡng CĐ</v>
          </cell>
          <cell r="G220" t="str">
            <v>TĐ012</v>
          </cell>
          <cell r="H220" t="str">
            <v>Điều dưỡng (hạng IV)</v>
          </cell>
          <cell r="I220" t="str">
            <v>Điều dưỡng (hạng IV)</v>
          </cell>
          <cell r="J220" t="str">
            <v>UB-YHHN</v>
          </cell>
          <cell r="K220" t="str">
            <v>KP011</v>
          </cell>
          <cell r="L220" t="str">
            <v>Viên chức CMNV</v>
          </cell>
          <cell r="M220">
            <v>0</v>
          </cell>
          <cell r="N220" t="str">
            <v>Viên chức</v>
          </cell>
          <cell r="O220">
            <v>42</v>
          </cell>
          <cell r="P220">
            <v>0</v>
          </cell>
          <cell r="Q220">
            <v>30768</v>
          </cell>
          <cell r="R220" t="str">
            <v>Nùng</v>
          </cell>
          <cell r="S220" t="str">
            <v>15/1/2010</v>
          </cell>
          <cell r="T220" t="str">
            <v>020184037318</v>
          </cell>
          <cell r="U220">
            <v>0</v>
          </cell>
          <cell r="W220" t="str">
            <v>000917/LS-CCHN</v>
          </cell>
          <cell r="X220" t="str">
            <v>11/01/2023</v>
          </cell>
          <cell r="Z220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20">
            <v>0</v>
          </cell>
          <cell r="AC220" t="str">
            <v>0965036398</v>
          </cell>
        </row>
        <row r="221">
          <cell r="B221" t="str">
            <v>BV0230</v>
          </cell>
          <cell r="C221" t="str">
            <v>Lê Mạnh Toàn</v>
          </cell>
          <cell r="D221" t="str">
            <v>BV0230</v>
          </cell>
          <cell r="F221" t="str">
            <v>Điều dưỡng CĐ</v>
          </cell>
          <cell r="G221" t="str">
            <v>TĐ012</v>
          </cell>
          <cell r="H221" t="str">
            <v>Điều dưỡng (hạng IV)</v>
          </cell>
          <cell r="I221" t="str">
            <v>Điều dưỡng (hạng IV)</v>
          </cell>
          <cell r="J221" t="str">
            <v>UB-YHHN</v>
          </cell>
          <cell r="K221" t="str">
            <v>KP011</v>
          </cell>
          <cell r="L221" t="str">
            <v>Viên chức CMNV</v>
          </cell>
          <cell r="M221">
            <v>0</v>
          </cell>
          <cell r="N221" t="str">
            <v>Viên chức</v>
          </cell>
          <cell r="O221">
            <v>47</v>
          </cell>
          <cell r="P221">
            <v>28728</v>
          </cell>
          <cell r="Q221">
            <v>0</v>
          </cell>
          <cell r="R221" t="str">
            <v>Tày</v>
          </cell>
          <cell r="S221" t="str">
            <v>1/12/2010</v>
          </cell>
          <cell r="T221" t="str">
            <v>086078000755</v>
          </cell>
          <cell r="U221" t="str">
            <v>Khối 24, Phường kỳ lừa, lạng sơn</v>
          </cell>
          <cell r="W221" t="str">
            <v>000944/LS-CCHN</v>
          </cell>
          <cell r="X221" t="str">
            <v>24/06/2013</v>
          </cell>
          <cell r="Z221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221">
            <v>0</v>
          </cell>
          <cell r="AC221" t="str">
            <v>0985704067</v>
          </cell>
        </row>
        <row r="222">
          <cell r="B222" t="str">
            <v>BV0748</v>
          </cell>
          <cell r="C222" t="str">
            <v>Đào Thị Trà</v>
          </cell>
          <cell r="D222" t="str">
            <v>BV0748</v>
          </cell>
          <cell r="E222" t="str">
            <v>x</v>
          </cell>
          <cell r="F222" t="str">
            <v>Điều dưỡng CĐ</v>
          </cell>
          <cell r="G222" t="str">
            <v>TĐ012</v>
          </cell>
          <cell r="I222" t="str">
            <v>Điều dưỡng (hạng IV)</v>
          </cell>
          <cell r="J222" t="str">
            <v>CĐHA</v>
          </cell>
          <cell r="K222" t="str">
            <v>KP034</v>
          </cell>
          <cell r="N222" t="str">
            <v>Viên chức</v>
          </cell>
          <cell r="O222">
            <v>35</v>
          </cell>
          <cell r="P222">
            <v>0</v>
          </cell>
          <cell r="Q222" t="str">
            <v>09/03/1991</v>
          </cell>
          <cell r="R222" t="str">
            <v>Kinh</v>
          </cell>
          <cell r="S222" t="str">
            <v>01/01/2017</v>
          </cell>
          <cell r="T222" t="str">
            <v>024191003663</v>
          </cell>
          <cell r="U222">
            <v>0</v>
          </cell>
          <cell r="W222" t="str">
            <v xml:space="preserve">003406/LS-CCHN </v>
          </cell>
          <cell r="X222">
            <v>0</v>
          </cell>
          <cell r="Z22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22" t="str">
            <v/>
          </cell>
          <cell r="AC222" t="str">
            <v>0961486170</v>
          </cell>
          <cell r="AD222" t="str">
            <v>HĐ01/01/2017; Đỗ VC 20/5/2026</v>
          </cell>
        </row>
        <row r="223">
          <cell r="B223" t="str">
            <v>BV0771</v>
          </cell>
          <cell r="C223" t="str">
            <v>Hoàng Thị Thảo</v>
          </cell>
          <cell r="D223" t="str">
            <v>BV0771</v>
          </cell>
          <cell r="E223" t="str">
            <v>x</v>
          </cell>
          <cell r="F223" t="str">
            <v>Hộ lý</v>
          </cell>
          <cell r="G223" t="str">
            <v>TĐ047</v>
          </cell>
          <cell r="I223" t="str">
            <v>Hộ lý</v>
          </cell>
          <cell r="J223" t="str">
            <v>UB-YHHN</v>
          </cell>
          <cell r="K223" t="str">
            <v>KP011</v>
          </cell>
          <cell r="N223" t="str">
            <v>HĐ có thời hạn</v>
          </cell>
          <cell r="O223">
            <v>43</v>
          </cell>
          <cell r="P223">
            <v>0</v>
          </cell>
          <cell r="Q223">
            <v>30233</v>
          </cell>
          <cell r="R223" t="str">
            <v>Tày</v>
          </cell>
          <cell r="S223" t="str">
            <v>01/02/2016</v>
          </cell>
          <cell r="T223" t="str">
            <v>020182006816</v>
          </cell>
          <cell r="U223" t="str">
            <v>Khối yên thành, phường đông kinh, lạng sơn</v>
          </cell>
          <cell r="W223" t="str">
            <v/>
          </cell>
          <cell r="X223" t="str">
            <v/>
          </cell>
          <cell r="Z223" t="str">
            <v/>
          </cell>
          <cell r="AB223" t="str">
            <v/>
          </cell>
          <cell r="AC223" t="str">
            <v>0974426110</v>
          </cell>
        </row>
        <row r="224">
          <cell r="B224" t="str">
            <v>BV0175</v>
          </cell>
          <cell r="C224" t="str">
            <v>Phan Chí Dũng</v>
          </cell>
          <cell r="D224" t="str">
            <v>BV0175</v>
          </cell>
          <cell r="F224" t="str">
            <v>BSCKII</v>
          </cell>
          <cell r="G224" t="str">
            <v>TĐ001</v>
          </cell>
          <cell r="H224" t="str">
            <v>Bác sĩ chính (hạng II)</v>
          </cell>
          <cell r="I224" t="str">
            <v>Bác sĩ chính (hạng II)</v>
          </cell>
          <cell r="J224" t="str">
            <v>Ngoại Thận - Tiết niệu</v>
          </cell>
          <cell r="K224" t="str">
            <v>KP012</v>
          </cell>
          <cell r="L224" t="str">
            <v>Lãnh đạo khoa, phòng</v>
          </cell>
          <cell r="M224" t="str">
            <v>Trưởng khoa</v>
          </cell>
          <cell r="N224" t="str">
            <v>Viên chức</v>
          </cell>
          <cell r="O224">
            <v>58</v>
          </cell>
          <cell r="P224">
            <v>25024</v>
          </cell>
          <cell r="Q224">
            <v>0</v>
          </cell>
          <cell r="R224" t="str">
            <v>Kinh</v>
          </cell>
          <cell r="S224" t="str">
            <v>1/11/1994</v>
          </cell>
          <cell r="T224" t="str">
            <v>020068004332</v>
          </cell>
          <cell r="U224" t="str">
            <v>166 Trần Hưng Đạo, P. Lương Văn Tri, tỉnh Lạng Sơn</v>
          </cell>
          <cell r="W224" t="str">
            <v>000429/LS-CCHN</v>
          </cell>
          <cell r="X224">
            <v>42569</v>
          </cell>
          <cell r="Z224" t="str">
            <v>Khám bệnh, chữa bệnh Ngoại khoa</v>
          </cell>
          <cell r="AB224">
            <v>0</v>
          </cell>
          <cell r="AC224" t="str">
            <v>0902226888</v>
          </cell>
        </row>
        <row r="225">
          <cell r="B225" t="str">
            <v>BV0177</v>
          </cell>
          <cell r="C225" t="str">
            <v>Hà Thanh Bình</v>
          </cell>
          <cell r="D225" t="str">
            <v>BV0177</v>
          </cell>
          <cell r="F225" t="str">
            <v>BSCKI</v>
          </cell>
          <cell r="G225" t="str">
            <v>TĐ003</v>
          </cell>
          <cell r="H225" t="str">
            <v>Bác sĩ chính (hạng II)</v>
          </cell>
          <cell r="I225" t="str">
            <v>Bác sĩ chính (hạng II)</v>
          </cell>
          <cell r="J225" t="str">
            <v>Ngoại Thận - Tiết niệu</v>
          </cell>
          <cell r="K225" t="str">
            <v>KP012</v>
          </cell>
          <cell r="L225" t="str">
            <v>Lãnh đạo khoa, phòng</v>
          </cell>
          <cell r="M225" t="str">
            <v>Phó trưởng khoa</v>
          </cell>
          <cell r="N225" t="str">
            <v>Viên chức</v>
          </cell>
          <cell r="O225">
            <v>43</v>
          </cell>
          <cell r="P225">
            <v>30360</v>
          </cell>
          <cell r="Q225">
            <v>0</v>
          </cell>
          <cell r="R225" t="str">
            <v>Kinh</v>
          </cell>
          <cell r="S225" t="str">
            <v>1/1/2008</v>
          </cell>
          <cell r="T225" t="str">
            <v>020083008176</v>
          </cell>
          <cell r="U225">
            <v>0</v>
          </cell>
          <cell r="W225" t="str">
            <v>000905/LS-CCHN</v>
          </cell>
          <cell r="X225" t="str">
            <v>24/06/2013</v>
          </cell>
          <cell r="Z225" t="str">
            <v>Khám bệnh, chữa bệnh Ngoại khoa</v>
          </cell>
          <cell r="AB225">
            <v>0</v>
          </cell>
          <cell r="AC225">
            <v>985138438</v>
          </cell>
        </row>
        <row r="226">
          <cell r="B226" t="str">
            <v>BV0179</v>
          </cell>
          <cell r="C226" t="str">
            <v>Vũ Tuấn Minh</v>
          </cell>
          <cell r="D226" t="str">
            <v>BV0179</v>
          </cell>
          <cell r="F226" t="str">
            <v>BSCKI</v>
          </cell>
          <cell r="G226" t="str">
            <v>TĐ003</v>
          </cell>
          <cell r="H226" t="str">
            <v>Bác sĩ (hạng III)</v>
          </cell>
          <cell r="I226" t="str">
            <v>Bác sĩ (hạng III)</v>
          </cell>
          <cell r="J226" t="str">
            <v>Ngoại Thận - Tiết niệu</v>
          </cell>
          <cell r="K226" t="str">
            <v>KP012</v>
          </cell>
          <cell r="L226" t="str">
            <v>Viên chức CMNV</v>
          </cell>
          <cell r="M226">
            <v>0</v>
          </cell>
          <cell r="N226" t="str">
            <v>Viên chức</v>
          </cell>
          <cell r="O226">
            <v>39</v>
          </cell>
          <cell r="P226">
            <v>31936</v>
          </cell>
          <cell r="Q226">
            <v>0</v>
          </cell>
          <cell r="R226" t="str">
            <v>Kinh</v>
          </cell>
          <cell r="S226" t="str">
            <v>1/6/2012</v>
          </cell>
          <cell r="T226" t="str">
            <v>020087000029</v>
          </cell>
          <cell r="U226" t="str">
            <v>Khối 9, P.Tam Thanh, tỉnh Lạng Sơn</v>
          </cell>
          <cell r="W226" t="str">
            <v>000498/LS-CCHN</v>
          </cell>
          <cell r="X226" t="str">
            <v>24/08/2016</v>
          </cell>
          <cell r="Z226" t="str">
            <v>Khám bệnh, chữa bệnh Ngoại khoa</v>
          </cell>
          <cell r="AB226">
            <v>0</v>
          </cell>
          <cell r="AC226">
            <v>915705666</v>
          </cell>
          <cell r="AD226" t="str">
            <v>Nghỉ ko lương 01/7/2021-30/6/2022</v>
          </cell>
        </row>
        <row r="227">
          <cell r="B227" t="str">
            <v>BV0944</v>
          </cell>
          <cell r="C227" t="str">
            <v>Hoàng Minh Trang</v>
          </cell>
          <cell r="D227" t="str">
            <v>BV0944</v>
          </cell>
          <cell r="E227" t="str">
            <v>x</v>
          </cell>
          <cell r="F227" t="str">
            <v>Bác sĩ</v>
          </cell>
          <cell r="G227" t="str">
            <v>TĐ005</v>
          </cell>
          <cell r="I227" t="str">
            <v>Bác sĩ (hạng III)</v>
          </cell>
          <cell r="J227" t="str">
            <v>Ngoại Thận - Tiết niệu</v>
          </cell>
          <cell r="K227" t="str">
            <v>KP012</v>
          </cell>
          <cell r="N227" t="str">
            <v>Viên chức</v>
          </cell>
          <cell r="O227">
            <v>30</v>
          </cell>
          <cell r="P227">
            <v>0</v>
          </cell>
          <cell r="Q227" t="str">
            <v>27/8/1995</v>
          </cell>
          <cell r="R227" t="str">
            <v>Nùng</v>
          </cell>
          <cell r="S227" t="str">
            <v>15/8/2019</v>
          </cell>
          <cell r="T227" t="str">
            <v>020195010519</v>
          </cell>
          <cell r="U227">
            <v>0</v>
          </cell>
          <cell r="W227" t="str">
            <v>004292/LS-CCHN</v>
          </cell>
          <cell r="X227" t="str">
            <v>02/07/2021</v>
          </cell>
          <cell r="Z227" t="str">
            <v>Khám bệnh chữa bệnh Ngoại khoa</v>
          </cell>
          <cell r="AB227">
            <v>0</v>
          </cell>
          <cell r="AC227" t="str">
            <v>0335777575</v>
          </cell>
          <cell r="AD227" t="str">
            <v>Thử việc 15/8/2019; đỗ VC 20/5/2026</v>
          </cell>
        </row>
        <row r="228">
          <cell r="B228" t="str">
            <v>BV1168</v>
          </cell>
          <cell r="C228" t="str">
            <v>Hoàng Tuấn Hưng</v>
          </cell>
          <cell r="D228" t="str">
            <v>BV1168</v>
          </cell>
          <cell r="F228" t="str">
            <v>Bác sĩ</v>
          </cell>
          <cell r="G228" t="str">
            <v>TĐ005</v>
          </cell>
          <cell r="H228" t="str">
            <v>Bác sĩ (hạng III)</v>
          </cell>
          <cell r="I228" t="str">
            <v>Bác sĩ (hạng III)</v>
          </cell>
          <cell r="J228" t="str">
            <v>Ngoại Thận - Tiết niệu</v>
          </cell>
          <cell r="K228" t="str">
            <v>KP012</v>
          </cell>
          <cell r="L228" t="str">
            <v>Viên chức CMNV</v>
          </cell>
          <cell r="N228" t="str">
            <v>Viên chức</v>
          </cell>
          <cell r="O228">
            <v>29</v>
          </cell>
          <cell r="P228">
            <v>35592</v>
          </cell>
          <cell r="Q228">
            <v>0</v>
          </cell>
          <cell r="R228" t="str">
            <v>Tày</v>
          </cell>
          <cell r="S228" t="str">
            <v>15/11/2021</v>
          </cell>
          <cell r="T228" t="str">
            <v>020097006783</v>
          </cell>
          <cell r="U228" t="str">
            <v>Khối 5, P. Kỳ Lừa, tỉnh Lạng Sơn</v>
          </cell>
          <cell r="W228" t="str">
            <v>005639/LS-CCHN</v>
          </cell>
          <cell r="X228" t="str">
            <v>14/07/2023</v>
          </cell>
          <cell r="Z228" t="str">
            <v>Khám bệnh, chữa bệnh chuyên khoa Ngoại</v>
          </cell>
          <cell r="AB228">
            <v>0</v>
          </cell>
          <cell r="AC228">
            <v>333206321</v>
          </cell>
          <cell r="AD228" t="str">
            <v>Chuyển công tác đến 01/11/2023</v>
          </cell>
        </row>
        <row r="229">
          <cell r="B229" t="str">
            <v>BV0148</v>
          </cell>
          <cell r="C229" t="str">
            <v>Nguyễn Thị Oanh</v>
          </cell>
          <cell r="D229" t="str">
            <v>BV0148</v>
          </cell>
          <cell r="E229" t="str">
            <v>x</v>
          </cell>
          <cell r="F229" t="str">
            <v>Điều dưỡng ĐH</v>
          </cell>
          <cell r="G229" t="str">
            <v>TĐ011</v>
          </cell>
          <cell r="H229" t="str">
            <v>Điều dưỡng (hạng III)</v>
          </cell>
          <cell r="I229" t="str">
            <v>Điều dưỡng (hạng III)</v>
          </cell>
          <cell r="J229" t="str">
            <v>Ngoại Thận - Tiết niệu</v>
          </cell>
          <cell r="K229" t="str">
            <v>KP012</v>
          </cell>
          <cell r="L229" t="str">
            <v>Lãnh đạo khoa, phòng</v>
          </cell>
          <cell r="M229" t="str">
            <v>Điều dưỡng trưởng</v>
          </cell>
          <cell r="N229" t="str">
            <v>Viên chức</v>
          </cell>
          <cell r="O229">
            <v>38</v>
          </cell>
          <cell r="P229">
            <v>0</v>
          </cell>
          <cell r="Q229">
            <v>32278</v>
          </cell>
          <cell r="R229" t="str">
            <v>Kinh</v>
          </cell>
          <cell r="S229" t="str">
            <v>15/1/2010</v>
          </cell>
          <cell r="T229" t="str">
            <v>015188000845</v>
          </cell>
          <cell r="U229" t="str">
            <v>Khối 22, P.Kỳ Lừa, tỉnh Lạng Sơn</v>
          </cell>
          <cell r="W229" t="str">
            <v>000815/LS-CCHN</v>
          </cell>
          <cell r="X229">
            <v>44937</v>
          </cell>
          <cell r="Z22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29">
            <v>0</v>
          </cell>
          <cell r="AC229" t="str">
            <v>0364000388</v>
          </cell>
        </row>
        <row r="230">
          <cell r="B230" t="str">
            <v>BV1288</v>
          </cell>
          <cell r="C230" t="str">
            <v>Hoàng Thùy Ngân</v>
          </cell>
          <cell r="D230" t="str">
            <v>BV1288</v>
          </cell>
          <cell r="E230" t="str">
            <v>x</v>
          </cell>
          <cell r="F230" t="str">
            <v>Điều dưỡng ĐH</v>
          </cell>
          <cell r="G230" t="str">
            <v>TĐ011</v>
          </cell>
          <cell r="I230" t="str">
            <v>Điều dưỡng (hạng III)</v>
          </cell>
          <cell r="J230" t="str">
            <v>Ngoại Thận - Tiết niệu</v>
          </cell>
          <cell r="K230" t="str">
            <v>KP012</v>
          </cell>
          <cell r="N230" t="str">
            <v>Viên chức</v>
          </cell>
          <cell r="O230">
            <v>25</v>
          </cell>
          <cell r="P230">
            <v>0</v>
          </cell>
          <cell r="Q230" t="str">
            <v>26/10/2000</v>
          </cell>
          <cell r="R230" t="str">
            <v>Tày</v>
          </cell>
          <cell r="S230">
            <v>45540</v>
          </cell>
          <cell r="T230" t="str">
            <v>020300005186</v>
          </cell>
          <cell r="U230" t="str">
            <v>Nà Rào, Bắc sơn, Lạng Sơn</v>
          </cell>
          <cell r="W230" t="str">
            <v>000039/LS-CPHN</v>
          </cell>
          <cell r="X230">
            <v>45457</v>
          </cell>
          <cell r="Z230" t="str">
            <v>Điều dưỡng</v>
          </cell>
          <cell r="AB230">
            <v>0</v>
          </cell>
          <cell r="AD230" t="str">
            <v>HĐ 05/9/2024, Viên chức từ 15/6/2026</v>
          </cell>
        </row>
        <row r="231">
          <cell r="B231" t="str">
            <v>BV0028</v>
          </cell>
          <cell r="C231" t="str">
            <v>Hoàng Văn Thiện</v>
          </cell>
          <cell r="D231" t="str">
            <v>BV0028</v>
          </cell>
          <cell r="F231" t="str">
            <v>Điều dưỡng CĐ</v>
          </cell>
          <cell r="G231" t="str">
            <v>TĐ012</v>
          </cell>
          <cell r="H231" t="str">
            <v>Điều dưỡng (hạng IV)</v>
          </cell>
          <cell r="I231" t="str">
            <v>Điều dưỡng (hạng IV)</v>
          </cell>
          <cell r="J231" t="str">
            <v>Ngoại Thận - Tiết niệu</v>
          </cell>
          <cell r="K231" t="str">
            <v>KP012</v>
          </cell>
          <cell r="L231" t="str">
            <v>Viên chức CMNV</v>
          </cell>
          <cell r="M231">
            <v>0</v>
          </cell>
          <cell r="N231" t="str">
            <v>Viên chức</v>
          </cell>
          <cell r="O231">
            <v>43</v>
          </cell>
          <cell r="P231">
            <v>30447</v>
          </cell>
          <cell r="Q231">
            <v>0</v>
          </cell>
          <cell r="R231" t="str">
            <v>Nùng</v>
          </cell>
          <cell r="S231" t="str">
            <v>1/12/2010</v>
          </cell>
          <cell r="T231" t="str">
            <v>020083002540</v>
          </cell>
          <cell r="U231" t="str">
            <v>Quan Thanh, Chi Lăng, Lạng Sơn</v>
          </cell>
          <cell r="W231" t="str">
            <v>000758/LS-CCHN</v>
          </cell>
          <cell r="X231" t="str">
            <v>11/12/2022</v>
          </cell>
          <cell r="Z231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31">
            <v>0</v>
          </cell>
          <cell r="AC231" t="str">
            <v>0988719916</v>
          </cell>
        </row>
        <row r="232">
          <cell r="B232" t="str">
            <v>BV0336</v>
          </cell>
          <cell r="C232" t="str">
            <v>Hứa Văn Quỳnh</v>
          </cell>
          <cell r="D232" t="str">
            <v>BV0336</v>
          </cell>
          <cell r="F232" t="str">
            <v>Điều dưỡng CĐ</v>
          </cell>
          <cell r="G232" t="str">
            <v>TĐ012</v>
          </cell>
          <cell r="H232" t="str">
            <v>Điều dưỡng (hạng IV)</v>
          </cell>
          <cell r="I232" t="str">
            <v>Điều dưỡng (hạng IV)</v>
          </cell>
          <cell r="J232" t="str">
            <v>Ngoại Thận - Tiết niệu</v>
          </cell>
          <cell r="K232" t="str">
            <v>KP012</v>
          </cell>
          <cell r="L232" t="str">
            <v>Viên chức CMNV</v>
          </cell>
          <cell r="M232">
            <v>0</v>
          </cell>
          <cell r="N232" t="str">
            <v>Viên chức</v>
          </cell>
          <cell r="O232">
            <v>44</v>
          </cell>
          <cell r="P232">
            <v>29967</v>
          </cell>
          <cell r="Q232">
            <v>0</v>
          </cell>
          <cell r="R232">
            <v>0</v>
          </cell>
          <cell r="S232" t="str">
            <v>1/12/2010</v>
          </cell>
          <cell r="T232" t="str">
            <v>020082002601</v>
          </cell>
          <cell r="U232">
            <v>0</v>
          </cell>
          <cell r="W232" t="str">
            <v>000878/LS-CCHN</v>
          </cell>
          <cell r="X232" t="str">
            <v>11/01/2023</v>
          </cell>
          <cell r="Z23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32">
            <v>0</v>
          </cell>
          <cell r="AC232">
            <v>972120288</v>
          </cell>
        </row>
        <row r="233">
          <cell r="B233" t="str">
            <v>BV1088</v>
          </cell>
          <cell r="C233" t="str">
            <v>Hoàng Thị Hảo</v>
          </cell>
          <cell r="D233" t="str">
            <v>BV1088</v>
          </cell>
          <cell r="E233" t="str">
            <v>x</v>
          </cell>
          <cell r="F233" t="str">
            <v>Điều dưỡng CĐ</v>
          </cell>
          <cell r="G233" t="str">
            <v>TĐ012</v>
          </cell>
          <cell r="I233" t="str">
            <v>Điều dưỡng (hạng IV)</v>
          </cell>
          <cell r="J233" t="str">
            <v>Ngoại Thận - Tiết niệu</v>
          </cell>
          <cell r="K233" t="str">
            <v>KP012</v>
          </cell>
          <cell r="N233" t="str">
            <v>Viên chức</v>
          </cell>
          <cell r="O233">
            <v>26</v>
          </cell>
          <cell r="P233">
            <v>0</v>
          </cell>
          <cell r="Q233" t="str">
            <v>09/10/1999</v>
          </cell>
          <cell r="R233" t="str">
            <v>Kinh</v>
          </cell>
          <cell r="S233" t="str">
            <v>03/11/2020</v>
          </cell>
          <cell r="T233" t="str">
            <v>020199000942</v>
          </cell>
          <cell r="U233">
            <v>0</v>
          </cell>
          <cell r="W233" t="str">
            <v>004568/LS-CCHN</v>
          </cell>
          <cell r="X233" t="str">
            <v>29/08/2022</v>
          </cell>
          <cell r="Z23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33">
            <v>0</v>
          </cell>
          <cell r="AC233" t="str">
            <v>0857020416</v>
          </cell>
          <cell r="AD233" t="str">
            <v>Thử việc 03/11/2020, Viên chức từ 15/6/2026</v>
          </cell>
        </row>
        <row r="234">
          <cell r="B234" t="str">
            <v>BV0918</v>
          </cell>
          <cell r="C234" t="str">
            <v>Hoàng Mai Anh</v>
          </cell>
          <cell r="D234" t="str">
            <v>BV0918</v>
          </cell>
          <cell r="E234" t="str">
            <v>x</v>
          </cell>
          <cell r="F234" t="str">
            <v>Điều dưỡng CĐ</v>
          </cell>
          <cell r="G234" t="str">
            <v>TĐ012</v>
          </cell>
          <cell r="I234" t="str">
            <v>Điều dưỡng (hạng IV)</v>
          </cell>
          <cell r="J234" t="str">
            <v>Ngoại Thận - Tiết niệu</v>
          </cell>
          <cell r="K234" t="str">
            <v>KP012</v>
          </cell>
          <cell r="N234" t="str">
            <v>Viên chức</v>
          </cell>
          <cell r="O234">
            <v>31</v>
          </cell>
          <cell r="P234">
            <v>0</v>
          </cell>
          <cell r="Q234" t="str">
            <v>07/05/1995</v>
          </cell>
          <cell r="R234" t="str">
            <v>Nùng</v>
          </cell>
          <cell r="S234" t="str">
            <v>17/4/2019</v>
          </cell>
          <cell r="T234" t="str">
            <v>020195001881</v>
          </cell>
          <cell r="U234" t="str">
            <v xml:space="preserve">Khối Bắc Đông II, P.Kỳ Lừa </v>
          </cell>
          <cell r="W234" t="str">
            <v>003799/LS-CCHN</v>
          </cell>
          <cell r="X234" t="str">
            <v>21/07/2020</v>
          </cell>
          <cell r="Z23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34">
            <v>0</v>
          </cell>
          <cell r="AC234">
            <v>977736483</v>
          </cell>
          <cell r="AD234" t="str">
            <v>Thử việc 17/4/2019-31/5/2019; đỗ VC 20/5/2026</v>
          </cell>
        </row>
        <row r="235">
          <cell r="B235" t="str">
            <v>BV1193</v>
          </cell>
          <cell r="C235" t="str">
            <v>Hoàng Thị Ngọc Bích</v>
          </cell>
          <cell r="D235" t="str">
            <v>BV1193</v>
          </cell>
          <cell r="E235" t="str">
            <v>x</v>
          </cell>
          <cell r="F235" t="str">
            <v>Điều dưỡng CĐ</v>
          </cell>
          <cell r="G235" t="str">
            <v>TĐ012</v>
          </cell>
          <cell r="I235" t="str">
            <v>Điều dưỡng (hạng IV)</v>
          </cell>
          <cell r="J235" t="str">
            <v>Ngoại Thận - Tiết niệu</v>
          </cell>
          <cell r="K235" t="str">
            <v>KP012</v>
          </cell>
          <cell r="N235" t="str">
            <v>Viên chức</v>
          </cell>
          <cell r="O235">
            <v>35</v>
          </cell>
          <cell r="P235">
            <v>0</v>
          </cell>
          <cell r="Q235" t="str">
            <v>18/10/1990</v>
          </cell>
          <cell r="R235">
            <v>0</v>
          </cell>
          <cell r="S235">
            <v>44837</v>
          </cell>
          <cell r="T235" t="str">
            <v>020190009660</v>
          </cell>
          <cell r="U235">
            <v>0</v>
          </cell>
          <cell r="W235" t="str">
            <v>004350/LS-CCHN</v>
          </cell>
          <cell r="X235" t="str">
            <v>10/09/2021</v>
          </cell>
          <cell r="Z235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35">
            <v>0</v>
          </cell>
          <cell r="AC235" t="str">
            <v>0973477713</v>
          </cell>
          <cell r="AD235" t="str">
            <v>Thử việc 03/10/2022, Viên chức từ 15/6/2026</v>
          </cell>
        </row>
        <row r="236">
          <cell r="B236" t="str">
            <v>BV1196</v>
          </cell>
          <cell r="C236" t="str">
            <v>Lý Thị Hoa</v>
          </cell>
          <cell r="D236" t="str">
            <v>BV1196</v>
          </cell>
          <cell r="E236" t="str">
            <v>x</v>
          </cell>
          <cell r="F236" t="str">
            <v>Điều dưỡng CĐ</v>
          </cell>
          <cell r="G236" t="str">
            <v>TĐ012</v>
          </cell>
          <cell r="I236" t="str">
            <v>Điều dưỡng (hạng IV)</v>
          </cell>
          <cell r="J236" t="str">
            <v>Ngoại Thận - Tiết niệu</v>
          </cell>
          <cell r="K236" t="str">
            <v>KP012</v>
          </cell>
          <cell r="N236" t="str">
            <v>Viên chức</v>
          </cell>
          <cell r="O236">
            <v>25</v>
          </cell>
          <cell r="P236">
            <v>0</v>
          </cell>
          <cell r="Q236" t="str">
            <v>24/6/2001</v>
          </cell>
          <cell r="R236" t="str">
            <v>Tày</v>
          </cell>
          <cell r="S236">
            <v>44837</v>
          </cell>
          <cell r="T236" t="str">
            <v>020301006409</v>
          </cell>
          <cell r="U236">
            <v>0</v>
          </cell>
          <cell r="V236">
            <v>45110</v>
          </cell>
          <cell r="W236" t="str">
            <v>000163/LS-GPHN</v>
          </cell>
          <cell r="X236">
            <v>45581</v>
          </cell>
          <cell r="Z236" t="str">
            <v>Điều dưỡng</v>
          </cell>
          <cell r="AB236">
            <v>0</v>
          </cell>
          <cell r="AC236" t="str">
            <v>0344693246</v>
          </cell>
          <cell r="AD236" t="str">
            <v>Thử việc 03/10/2022, Viên chức từ 15/6/2026</v>
          </cell>
        </row>
        <row r="237">
          <cell r="B237" t="str">
            <v>BV0187</v>
          </cell>
          <cell r="C237" t="str">
            <v>Hoàng Trung Sơn</v>
          </cell>
          <cell r="D237" t="str">
            <v>BV0187</v>
          </cell>
          <cell r="F237" t="str">
            <v>Điều dưỡng CĐ</v>
          </cell>
          <cell r="G237" t="str">
            <v>TĐ012</v>
          </cell>
          <cell r="H237" t="str">
            <v>Điều dưỡng (hạng IV)</v>
          </cell>
          <cell r="I237" t="str">
            <v>Điều dưỡng (hạng IV)</v>
          </cell>
          <cell r="J237" t="str">
            <v>Ngoại Thận - Tiết niệu</v>
          </cell>
          <cell r="K237" t="str">
            <v>KP012</v>
          </cell>
          <cell r="L237" t="str">
            <v>Viên chức CMNV</v>
          </cell>
          <cell r="M237">
            <v>0</v>
          </cell>
          <cell r="N237" t="str">
            <v>Viên chức</v>
          </cell>
          <cell r="O237">
            <v>43</v>
          </cell>
          <cell r="P237">
            <v>30456</v>
          </cell>
          <cell r="Q237">
            <v>0</v>
          </cell>
          <cell r="R237" t="str">
            <v>Tày</v>
          </cell>
          <cell r="S237" t="str">
            <v>19/01/2005</v>
          </cell>
          <cell r="T237" t="str">
            <v>020083005724</v>
          </cell>
          <cell r="U237">
            <v>0</v>
          </cell>
          <cell r="W237" t="str">
            <v>003332/LS-CCHN</v>
          </cell>
          <cell r="X237" t="str">
            <v>11/01/2023</v>
          </cell>
          <cell r="Z23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37">
            <v>0</v>
          </cell>
          <cell r="AC237" t="str">
            <v>0915997612</v>
          </cell>
        </row>
        <row r="238">
          <cell r="B238" t="str">
            <v>BV0404</v>
          </cell>
          <cell r="C238" t="str">
            <v>Dương Thị Hoa</v>
          </cell>
          <cell r="D238" t="str">
            <v>BV0404</v>
          </cell>
          <cell r="E238" t="str">
            <v>x</v>
          </cell>
          <cell r="F238" t="str">
            <v>Điều dưỡng CĐ</v>
          </cell>
          <cell r="G238" t="str">
            <v>TĐ012</v>
          </cell>
          <cell r="H238" t="str">
            <v>Điều dưỡng (hạng IV)</v>
          </cell>
          <cell r="I238" t="str">
            <v>Điều dưỡng (hạng IV)</v>
          </cell>
          <cell r="J238" t="str">
            <v>Ngoại Thận - Tiết niệu</v>
          </cell>
          <cell r="K238" t="str">
            <v>KP012</v>
          </cell>
          <cell r="L238" t="str">
            <v>Viên chức CMNV</v>
          </cell>
          <cell r="M238">
            <v>0</v>
          </cell>
          <cell r="N238" t="str">
            <v>Viên chức</v>
          </cell>
          <cell r="O238">
            <v>51</v>
          </cell>
          <cell r="P238">
            <v>0</v>
          </cell>
          <cell r="Q238">
            <v>27280</v>
          </cell>
          <cell r="R238">
            <v>0</v>
          </cell>
          <cell r="S238" t="str">
            <v>6/11/2006</v>
          </cell>
          <cell r="T238" t="str">
            <v>020174004821</v>
          </cell>
          <cell r="U238" t="str">
            <v>Ngõ 566 Hòng Thượng, P.Tam Thanh</v>
          </cell>
          <cell r="W238" t="str">
            <v>001008/LS-CCHN</v>
          </cell>
          <cell r="X238" t="str">
            <v>11/01/2023</v>
          </cell>
          <cell r="Z23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38">
            <v>0</v>
          </cell>
          <cell r="AC238" t="str">
            <v>0345240797</v>
          </cell>
        </row>
        <row r="239">
          <cell r="B239" t="str">
            <v>BV0725</v>
          </cell>
          <cell r="C239" t="str">
            <v>Tô Thị Mơ</v>
          </cell>
          <cell r="D239" t="str">
            <v>BV0725</v>
          </cell>
          <cell r="E239" t="str">
            <v>x</v>
          </cell>
          <cell r="F239" t="str">
            <v>Điều dưỡng CĐ</v>
          </cell>
          <cell r="G239" t="str">
            <v>TĐ012</v>
          </cell>
          <cell r="H239" t="str">
            <v>Điều dưỡng (hạng IV)</v>
          </cell>
          <cell r="I239" t="str">
            <v>Điều dưỡng (hạng IV)</v>
          </cell>
          <cell r="J239" t="str">
            <v>Ngoại Thận - Tiết niệu</v>
          </cell>
          <cell r="K239" t="str">
            <v>KP012</v>
          </cell>
          <cell r="L239" t="str">
            <v>Viên chức CMNV</v>
          </cell>
          <cell r="N239" t="str">
            <v>Viên chức</v>
          </cell>
          <cell r="O239">
            <v>35</v>
          </cell>
          <cell r="P239">
            <v>0</v>
          </cell>
          <cell r="Q239">
            <v>33425</v>
          </cell>
          <cell r="R239" t="str">
            <v>Tày</v>
          </cell>
          <cell r="S239" t="str">
            <v>29/8/2016</v>
          </cell>
          <cell r="T239" t="str">
            <v>020191002433</v>
          </cell>
          <cell r="U239" t="str">
            <v>Pò Khoang, Lộc Bình, Lạng Sơn</v>
          </cell>
          <cell r="W239" t="str">
            <v>003233/LS-CCHN</v>
          </cell>
          <cell r="X239" t="str">
            <v>09/05/2018</v>
          </cell>
          <cell r="Z23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39">
            <v>0</v>
          </cell>
          <cell r="AC239" t="str">
            <v>0356249302</v>
          </cell>
          <cell r="AD239" t="str">
            <v>Chuyển đến 18/8/2023</v>
          </cell>
        </row>
        <row r="240">
          <cell r="B240" t="str">
            <v>BV1263</v>
          </cell>
          <cell r="C240" t="str">
            <v>Nông Thị Hồng</v>
          </cell>
          <cell r="D240" t="str">
            <v>BV1263</v>
          </cell>
          <cell r="E240" t="str">
            <v>x</v>
          </cell>
          <cell r="F240" t="str">
            <v>Điều dưỡng CĐ</v>
          </cell>
          <cell r="G240" t="str">
            <v>TĐ012</v>
          </cell>
          <cell r="I240" t="str">
            <v>Điều dưỡng (hạng IV)</v>
          </cell>
          <cell r="J240" t="str">
            <v>Ngoại Thận - Tiết niệu</v>
          </cell>
          <cell r="K240" t="str">
            <v>KP012</v>
          </cell>
          <cell r="N240" t="str">
            <v>HĐ có thời hạn</v>
          </cell>
          <cell r="O240">
            <v>23</v>
          </cell>
          <cell r="P240">
            <v>0</v>
          </cell>
          <cell r="Q240" t="str">
            <v>01/11/2002</v>
          </cell>
          <cell r="R240" t="str">
            <v>Tày</v>
          </cell>
          <cell r="S240">
            <v>45250</v>
          </cell>
          <cell r="T240" t="str">
            <v>020302004841</v>
          </cell>
          <cell r="U240">
            <v>0</v>
          </cell>
          <cell r="V240">
            <v>45524</v>
          </cell>
          <cell r="W240" t="str">
            <v>000239/LS-GPHN</v>
          </cell>
          <cell r="X240">
            <v>45747</v>
          </cell>
          <cell r="Z240" t="str">
            <v>Điều dưỡng</v>
          </cell>
          <cell r="AB240">
            <v>0</v>
          </cell>
          <cell r="AC240" t="str">
            <v>0373138330</v>
          </cell>
          <cell r="AD240" t="str">
            <v>Thử việc 20/11/2023</v>
          </cell>
        </row>
        <row r="241">
          <cell r="B241" t="str">
            <v>BV1289</v>
          </cell>
          <cell r="C241" t="str">
            <v>Nguyễn Nhật Hạ</v>
          </cell>
          <cell r="D241" t="str">
            <v>BV1289</v>
          </cell>
          <cell r="E241" t="str">
            <v>x</v>
          </cell>
          <cell r="F241" t="str">
            <v>Điều dưỡng CĐ</v>
          </cell>
          <cell r="G241" t="str">
            <v>TĐ012</v>
          </cell>
          <cell r="I241" t="str">
            <v>Điều dưỡng (hạng IV)</v>
          </cell>
          <cell r="J241" t="str">
            <v>Lão - CXK</v>
          </cell>
          <cell r="K241" t="str">
            <v>KP004</v>
          </cell>
          <cell r="N241" t="str">
            <v>Viên chức</v>
          </cell>
          <cell r="O241">
            <v>23</v>
          </cell>
          <cell r="P241">
            <v>0</v>
          </cell>
          <cell r="Q241" t="str">
            <v>28/8/2002</v>
          </cell>
          <cell r="R241" t="str">
            <v>Tày</v>
          </cell>
          <cell r="S241">
            <v>45580</v>
          </cell>
          <cell r="T241" t="str">
            <v>020302000473</v>
          </cell>
          <cell r="U241" t="str">
            <v>Xã Bình gia - Lạng Sơn</v>
          </cell>
          <cell r="W241" t="str">
            <v>000263/LS-GPHN</v>
          </cell>
          <cell r="X241">
            <v>45796</v>
          </cell>
          <cell r="Z241" t="str">
            <v>Điều dưỡng</v>
          </cell>
          <cell r="AB241" t="str">
            <v/>
          </cell>
          <cell r="AC241">
            <v>332808422</v>
          </cell>
          <cell r="AD241" t="str">
            <v>HĐ 15/10/2024, Viên chức từ 15/6/2026</v>
          </cell>
        </row>
        <row r="242">
          <cell r="B242" t="str">
            <v>BV1321</v>
          </cell>
          <cell r="C242" t="str">
            <v>Nguyễn Thị Hồng</v>
          </cell>
          <cell r="D242" t="str">
            <v>BV1321</v>
          </cell>
          <cell r="E242" t="str">
            <v>x</v>
          </cell>
          <cell r="F242" t="str">
            <v>Điều dưỡng CĐ</v>
          </cell>
          <cell r="G242" t="str">
            <v>TĐ012</v>
          </cell>
          <cell r="I242" t="str">
            <v>Điều dưỡng (hạng IV)</v>
          </cell>
          <cell r="J242" t="str">
            <v>Ngoại Thận - Tiết niệu</v>
          </cell>
          <cell r="K242" t="str">
            <v>KP012</v>
          </cell>
          <cell r="N242" t="str">
            <v>HĐ có thời hạn</v>
          </cell>
          <cell r="O242">
            <v>26</v>
          </cell>
          <cell r="P242">
            <v>0</v>
          </cell>
          <cell r="Q242" t="str">
            <v>26/01/2000</v>
          </cell>
          <cell r="R242" t="str">
            <v>Tày</v>
          </cell>
          <cell r="S242">
            <v>45810</v>
          </cell>
          <cell r="T242" t="str">
            <v>020300007395</v>
          </cell>
          <cell r="U242" t="str">
            <v>Khau Đắng, Khánh Khê, Lạng Sơn</v>
          </cell>
          <cell r="W242" t="str">
            <v/>
          </cell>
          <cell r="X242" t="str">
            <v/>
          </cell>
          <cell r="Z242" t="str">
            <v/>
          </cell>
          <cell r="AB242" t="str">
            <v/>
          </cell>
          <cell r="AC242" t="str">
            <v>0388517593</v>
          </cell>
          <cell r="AD242" t="str">
            <v>HĐ 02/6/2025</v>
          </cell>
        </row>
        <row r="243">
          <cell r="B243" t="str">
            <v>BV1309</v>
          </cell>
          <cell r="C243" t="str">
            <v>Hoàng Thị Hương</v>
          </cell>
          <cell r="D243" t="str">
            <v>BV1309</v>
          </cell>
          <cell r="E243" t="str">
            <v>x</v>
          </cell>
          <cell r="F243" t="str">
            <v>Hộ lý</v>
          </cell>
          <cell r="G243" t="str">
            <v>TĐ047</v>
          </cell>
          <cell r="I243" t="str">
            <v>Hộ lý</v>
          </cell>
          <cell r="J243" t="str">
            <v>Ngoại Thận - Tiết niệu</v>
          </cell>
          <cell r="K243" t="str">
            <v>KP012</v>
          </cell>
          <cell r="N243" t="str">
            <v>HĐ có thời hạn</v>
          </cell>
          <cell r="O243">
            <v>51</v>
          </cell>
          <cell r="P243">
            <v>0</v>
          </cell>
          <cell r="Q243" t="str">
            <v>16/6/1975</v>
          </cell>
          <cell r="R243" t="str">
            <v>Tày</v>
          </cell>
          <cell r="S243">
            <v>45748</v>
          </cell>
          <cell r="T243" t="str">
            <v>020175000553</v>
          </cell>
          <cell r="U243">
            <v>0</v>
          </cell>
          <cell r="W243" t="str">
            <v/>
          </cell>
          <cell r="X243" t="str">
            <v/>
          </cell>
          <cell r="Z243" t="str">
            <v/>
          </cell>
          <cell r="AB243" t="str">
            <v/>
          </cell>
          <cell r="AD243" t="str">
            <v>Thử việc 01/4/2025</v>
          </cell>
        </row>
        <row r="244">
          <cell r="B244" t="str">
            <v>BV0002</v>
          </cell>
          <cell r="C244" t="str">
            <v>Chu Đức Quang</v>
          </cell>
          <cell r="D244" t="str">
            <v>BV0002</v>
          </cell>
          <cell r="F244" t="str">
            <v>BSCKII</v>
          </cell>
          <cell r="G244" t="str">
            <v>TĐ001</v>
          </cell>
          <cell r="H244" t="str">
            <v>Bác sĩ chính (hạng II)</v>
          </cell>
          <cell r="I244" t="str">
            <v>Bác sĩ chính (hạng II)</v>
          </cell>
          <cell r="J244" t="str">
            <v>Ngoại Tiêu hóa</v>
          </cell>
          <cell r="K244" t="str">
            <v>KP013</v>
          </cell>
          <cell r="L244" t="str">
            <v>Viên chức CMNV</v>
          </cell>
          <cell r="M244">
            <v>0</v>
          </cell>
          <cell r="N244" t="str">
            <v>Viên chức</v>
          </cell>
          <cell r="O244">
            <v>44</v>
          </cell>
          <cell r="P244">
            <v>29884</v>
          </cell>
          <cell r="Q244">
            <v>0</v>
          </cell>
          <cell r="R244" t="str">
            <v>Nùng</v>
          </cell>
          <cell r="S244" t="str">
            <v>19/01/2005</v>
          </cell>
          <cell r="T244" t="str">
            <v>020081007693</v>
          </cell>
          <cell r="U244" t="str">
            <v>Số 8/615, Bà Triệu, Phường Đông Kinh, Tỉnh Lạng Sơn</v>
          </cell>
          <cell r="W244" t="str">
            <v>000904/LS-CCHN</v>
          </cell>
          <cell r="X244" t="str">
            <v>24/06/2013</v>
          </cell>
          <cell r="Z244" t="str">
            <v>Khám bệnh, chữa bệnh Ngoại khoa</v>
          </cell>
          <cell r="AB244">
            <v>0</v>
          </cell>
          <cell r="AC244" t="str">
            <v>0912115347</v>
          </cell>
        </row>
        <row r="245">
          <cell r="B245" t="str">
            <v>BV0174</v>
          </cell>
          <cell r="C245" t="str">
            <v>Trần Mậu Việt</v>
          </cell>
          <cell r="D245" t="str">
            <v>BV0174</v>
          </cell>
          <cell r="F245" t="str">
            <v>BSCKII</v>
          </cell>
          <cell r="G245" t="str">
            <v>TĐ001</v>
          </cell>
          <cell r="H245" t="str">
            <v>Bác sĩ chính (hạng II)</v>
          </cell>
          <cell r="I245" t="str">
            <v>Bác sĩ chính (hạng II)</v>
          </cell>
          <cell r="J245" t="str">
            <v>Ngoại Tiêu hóa</v>
          </cell>
          <cell r="K245" t="str">
            <v>KP013</v>
          </cell>
          <cell r="L245" t="str">
            <v>Lãnh đạo đơn vị</v>
          </cell>
          <cell r="M245" t="str">
            <v>Phó giám đốc/phụ trách khoa</v>
          </cell>
          <cell r="N245" t="str">
            <v>Viên chức</v>
          </cell>
          <cell r="O245">
            <v>50</v>
          </cell>
          <cell r="P245">
            <v>27755</v>
          </cell>
          <cell r="Q245">
            <v>0</v>
          </cell>
          <cell r="R245" t="str">
            <v>Nùng</v>
          </cell>
          <cell r="S245" t="str">
            <v>1/1/2003</v>
          </cell>
          <cell r="T245" t="str">
            <v>020075001796</v>
          </cell>
          <cell r="U245" t="str">
            <v>17 Thác Mạ 4, Khối 19,Phường Đông Kinh, Tỉnh Lạng Sơn</v>
          </cell>
          <cell r="W245" t="str">
            <v>000903/LS-CCHN</v>
          </cell>
          <cell r="X245" t="str">
            <v>11/01/2023</v>
          </cell>
          <cell r="Z245" t="str">
            <v>Khám bệnh chữa bệnh ngoại khoa</v>
          </cell>
          <cell r="AB245">
            <v>0</v>
          </cell>
          <cell r="AC245">
            <v>982718646</v>
          </cell>
        </row>
        <row r="246">
          <cell r="B246" t="str">
            <v>BV0737</v>
          </cell>
          <cell r="C246" t="str">
            <v>Nguyễn Trọng Đức</v>
          </cell>
          <cell r="D246" t="str">
            <v>BV0737</v>
          </cell>
          <cell r="F246" t="str">
            <v>BSCKII</v>
          </cell>
          <cell r="G246" t="str">
            <v>TĐ001</v>
          </cell>
          <cell r="H246" t="str">
            <v>Bác sĩ chính (hạng II)</v>
          </cell>
          <cell r="I246" t="str">
            <v>Bác sĩ chính (hạng II)</v>
          </cell>
          <cell r="J246" t="str">
            <v>Ngoại Tiêu hóa</v>
          </cell>
          <cell r="K246" t="str">
            <v>KP013</v>
          </cell>
          <cell r="L246" t="str">
            <v>Viên chức CMNV</v>
          </cell>
          <cell r="M246">
            <v>0</v>
          </cell>
          <cell r="N246" t="str">
            <v>Viên chức</v>
          </cell>
          <cell r="O246">
            <v>47</v>
          </cell>
          <cell r="P246" t="str">
            <v>16/7/1979</v>
          </cell>
          <cell r="Q246">
            <v>0</v>
          </cell>
          <cell r="R246" t="str">
            <v>Kinh</v>
          </cell>
          <cell r="S246" t="str">
            <v>01/02/2005</v>
          </cell>
          <cell r="T246" t="str">
            <v>020079002285</v>
          </cell>
          <cell r="U246">
            <v>0</v>
          </cell>
          <cell r="W246" t="str">
            <v>001787/LS-CCHN</v>
          </cell>
          <cell r="X246" t="str">
            <v>26/12/2013</v>
          </cell>
          <cell r="Z246" t="str">
            <v>Khám bệnh chữa bệnh Nội khoa; Ngoại khoa</v>
          </cell>
          <cell r="AB246">
            <v>0</v>
          </cell>
          <cell r="AC246" t="str">
            <v>0912578070</v>
          </cell>
        </row>
        <row r="247">
          <cell r="B247" t="str">
            <v>BV0176</v>
          </cell>
          <cell r="C247" t="str">
            <v>Dương Văn Ái</v>
          </cell>
          <cell r="D247" t="str">
            <v>BV0176</v>
          </cell>
          <cell r="F247" t="str">
            <v>BSCKI</v>
          </cell>
          <cell r="G247" t="str">
            <v>TĐ003</v>
          </cell>
          <cell r="H247" t="str">
            <v>Bác sĩ chính (hạng II)</v>
          </cell>
          <cell r="I247" t="str">
            <v>Bác sĩ chính (hạng II)</v>
          </cell>
          <cell r="J247" t="str">
            <v>Ngoại Tiêu hóa</v>
          </cell>
          <cell r="K247" t="str">
            <v>KP013</v>
          </cell>
          <cell r="L247" t="str">
            <v>Lãnh đạo khoa, phòng</v>
          </cell>
          <cell r="M247" t="str">
            <v>Phó trưởng khoa</v>
          </cell>
          <cell r="N247" t="str">
            <v>Viên chức</v>
          </cell>
          <cell r="O247">
            <v>49</v>
          </cell>
          <cell r="P247">
            <v>28217</v>
          </cell>
          <cell r="Q247">
            <v>0</v>
          </cell>
          <cell r="R247" t="str">
            <v>Kinh</v>
          </cell>
          <cell r="S247" t="str">
            <v>5/12/2006</v>
          </cell>
          <cell r="T247" t="str">
            <v>024077017144</v>
          </cell>
          <cell r="U247" t="str">
            <v>Thôn Khòn Pịt, Phường Tam Thanh, Tỉnh Lạng Sơn</v>
          </cell>
          <cell r="W247" t="str">
            <v>000497/LS-CCHN</v>
          </cell>
          <cell r="X247" t="str">
            <v>10/08/2012</v>
          </cell>
          <cell r="Z247" t="str">
            <v>Khám bệnh, chữa bệnh Ngoại khoa</v>
          </cell>
          <cell r="AB247">
            <v>0</v>
          </cell>
          <cell r="AC247" t="str">
            <v>0978240323</v>
          </cell>
        </row>
        <row r="248">
          <cell r="B248" t="str">
            <v>BV0835</v>
          </cell>
          <cell r="C248" t="str">
            <v>Nguyễn Đình Trọng Nghĩa</v>
          </cell>
          <cell r="D248" t="str">
            <v>BV0835</v>
          </cell>
          <cell r="F248" t="str">
            <v>BSCKI</v>
          </cell>
          <cell r="G248" t="str">
            <v>TĐ003</v>
          </cell>
          <cell r="H248" t="str">
            <v>Bác sĩ (hạng III)</v>
          </cell>
          <cell r="I248" t="str">
            <v>Bác sĩ (hạng III)</v>
          </cell>
          <cell r="J248" t="str">
            <v>Ngoại Tiêu hóa</v>
          </cell>
          <cell r="K248" t="str">
            <v>KP013</v>
          </cell>
          <cell r="L248" t="str">
            <v>Viên chức CMNV</v>
          </cell>
          <cell r="M248">
            <v>0</v>
          </cell>
          <cell r="N248" t="str">
            <v>Viên chức</v>
          </cell>
          <cell r="O248">
            <v>33</v>
          </cell>
          <cell r="P248" t="str">
            <v>08/01/1993</v>
          </cell>
          <cell r="Q248">
            <v>0</v>
          </cell>
          <cell r="R248" t="str">
            <v>Kinh</v>
          </cell>
          <cell r="S248" t="str">
            <v>20/3/2018</v>
          </cell>
          <cell r="T248" t="str">
            <v>020093000007</v>
          </cell>
          <cell r="U248" t="str">
            <v>43 Ngô Quyền, Phường Đông Kinh</v>
          </cell>
          <cell r="W248" t="str">
            <v>003632/LS-CCHN</v>
          </cell>
          <cell r="X248" t="str">
            <v>22/11/2019</v>
          </cell>
          <cell r="Z248" t="str">
            <v>Khám bệnh, chữa bệnh Ngoại khoa</v>
          </cell>
          <cell r="AB248">
            <v>0</v>
          </cell>
          <cell r="AC248">
            <v>913716496</v>
          </cell>
          <cell r="AD248" t="str">
            <v>BC 20/3/2018</v>
          </cell>
        </row>
        <row r="249">
          <cell r="B249" t="str">
            <v>BV1035</v>
          </cell>
          <cell r="C249" t="str">
            <v>Hoàng Phan Hùng</v>
          </cell>
          <cell r="D249" t="str">
            <v>BV1035</v>
          </cell>
          <cell r="F249" t="str">
            <v>Bác sĩ</v>
          </cell>
          <cell r="G249" t="str">
            <v>TĐ005</v>
          </cell>
          <cell r="I249" t="str">
            <v>Bác sĩ (hạng III)</v>
          </cell>
          <cell r="J249" t="str">
            <v>Ngoại Tiêu hóa</v>
          </cell>
          <cell r="K249" t="str">
            <v>KP013</v>
          </cell>
          <cell r="N249" t="str">
            <v>Viên chức</v>
          </cell>
          <cell r="O249">
            <v>32</v>
          </cell>
          <cell r="P249" t="str">
            <v>09/7/1994</v>
          </cell>
          <cell r="Q249">
            <v>0</v>
          </cell>
          <cell r="R249" t="str">
            <v>Tày</v>
          </cell>
          <cell r="S249" t="str">
            <v>01/7/2020</v>
          </cell>
          <cell r="T249" t="str">
            <v>020094008069</v>
          </cell>
          <cell r="U249">
            <v>0</v>
          </cell>
          <cell r="W249" t="str">
            <v>004497/LS-CCHN</v>
          </cell>
          <cell r="X249" t="str">
            <v>06/04/2022</v>
          </cell>
          <cell r="Z249" t="str">
            <v>Khám bệnh, chữa bệnh Ngoại khoa</v>
          </cell>
          <cell r="AB249">
            <v>0</v>
          </cell>
          <cell r="AC249" t="str">
            <v>0398916994</v>
          </cell>
          <cell r="AD249" t="str">
            <v>Thử việc 01/7/2020, Viên chức từ 15/6/2026</v>
          </cell>
        </row>
        <row r="250">
          <cell r="B250" t="str">
            <v>BV1068</v>
          </cell>
          <cell r="C250" t="str">
            <v>Nguyễn Độ Vỹ</v>
          </cell>
          <cell r="D250" t="str">
            <v>BV1068</v>
          </cell>
          <cell r="F250" t="str">
            <v>Bác sĩ</v>
          </cell>
          <cell r="G250" t="str">
            <v>TĐ005</v>
          </cell>
          <cell r="I250" t="str">
            <v>Bác sĩ (hạng III)</v>
          </cell>
          <cell r="J250" t="str">
            <v>Ngoại Tiêu hóa</v>
          </cell>
          <cell r="K250" t="str">
            <v>KP013</v>
          </cell>
          <cell r="N250" t="str">
            <v>HĐ có thời hạn</v>
          </cell>
          <cell r="O250">
            <v>30</v>
          </cell>
          <cell r="P250">
            <v>35030</v>
          </cell>
          <cell r="Q250">
            <v>0</v>
          </cell>
          <cell r="R250" t="str">
            <v>Kinh</v>
          </cell>
          <cell r="S250">
            <v>44105</v>
          </cell>
          <cell r="T250" t="str">
            <v>020095001785</v>
          </cell>
          <cell r="U250" t="str">
            <v>Phường Đông Kinh, Tỉnh Lạng Sơn</v>
          </cell>
          <cell r="W250" t="str">
            <v>004570/LS-CCHN</v>
          </cell>
          <cell r="X250" t="str">
            <v>26/08/2022</v>
          </cell>
          <cell r="Z250" t="str">
            <v>Khám bệnh, chữa bệnh chuyên khoa Ngoại</v>
          </cell>
          <cell r="AB250">
            <v>0</v>
          </cell>
          <cell r="AD250" t="str">
            <v>Thử việc 01/10/2020</v>
          </cell>
        </row>
        <row r="251">
          <cell r="B251" t="str">
            <v>BV1210</v>
          </cell>
          <cell r="C251" t="str">
            <v>Đinh Tuấn Bình</v>
          </cell>
          <cell r="D251" t="str">
            <v>BV1210</v>
          </cell>
          <cell r="F251" t="str">
            <v>Bác sĩ</v>
          </cell>
          <cell r="G251" t="str">
            <v>TĐ005</v>
          </cell>
          <cell r="I251" t="str">
            <v>Bác sĩ (hạng III)</v>
          </cell>
          <cell r="J251" t="str">
            <v>Ngoại Tiêu hóa</v>
          </cell>
          <cell r="K251" t="str">
            <v>KP013</v>
          </cell>
          <cell r="N251" t="str">
            <v>Viên chức</v>
          </cell>
          <cell r="O251">
            <v>27</v>
          </cell>
          <cell r="P251" t="str">
            <v>16/09/1998</v>
          </cell>
          <cell r="Q251">
            <v>0</v>
          </cell>
          <cell r="R251" t="str">
            <v>Nùng</v>
          </cell>
          <cell r="S251">
            <v>44844</v>
          </cell>
          <cell r="T251" t="str">
            <v>020098005953</v>
          </cell>
          <cell r="U251" t="str">
            <v>118B, Tông Đản, Phường Kỳ Lừa, Tinh Lạng Sơn</v>
          </cell>
          <cell r="V251">
            <v>45392</v>
          </cell>
          <cell r="W251" t="str">
            <v>000131/LS-GPHN</v>
          </cell>
          <cell r="X251" t="str">
            <v>11/9/2024</v>
          </cell>
          <cell r="Z251" t="str">
            <v>Chuyên khoa Ngoại khoa</v>
          </cell>
          <cell r="AB251">
            <v>0</v>
          </cell>
          <cell r="AC251" t="str">
            <v>0352466699</v>
          </cell>
          <cell r="AD251" t="str">
            <v>Thử việc 10/10/2022, Viên chức từ 15/6/2026</v>
          </cell>
        </row>
        <row r="252">
          <cell r="B252" t="str">
            <v>BV1281</v>
          </cell>
          <cell r="C252" t="str">
            <v>Hoàng Việt Hưng</v>
          </cell>
          <cell r="D252" t="str">
            <v>BV1281</v>
          </cell>
          <cell r="F252" t="str">
            <v>Bác sĩ</v>
          </cell>
          <cell r="G252" t="str">
            <v>TĐ005</v>
          </cell>
          <cell r="I252" t="str">
            <v>Bác sĩ (hạng III)</v>
          </cell>
          <cell r="J252" t="str">
            <v>Mắt</v>
          </cell>
          <cell r="K252" t="str">
            <v>KP023</v>
          </cell>
          <cell r="N252" t="str">
            <v>Viên chức</v>
          </cell>
          <cell r="O252">
            <v>27</v>
          </cell>
          <cell r="P252" t="str">
            <v>13/6/1999</v>
          </cell>
          <cell r="Q252">
            <v>0</v>
          </cell>
          <cell r="R252" t="str">
            <v>Tày</v>
          </cell>
          <cell r="S252" t="str">
            <v>01/7/2024</v>
          </cell>
          <cell r="T252" t="str">
            <v>020099003830</v>
          </cell>
          <cell r="U252">
            <v>0</v>
          </cell>
          <cell r="V252">
            <v>45870</v>
          </cell>
          <cell r="W252" t="str">
            <v>000361/LS-GPHN</v>
          </cell>
          <cell r="X252">
            <v>47743</v>
          </cell>
          <cell r="Z252" t="str">
            <v>Y khoa</v>
          </cell>
          <cell r="AB252">
            <v>0</v>
          </cell>
          <cell r="AC252" t="str">
            <v>0964157360</v>
          </cell>
          <cell r="AD252" t="str">
            <v>HĐ 01/7/2024, Viên chức từ 15/6/2026</v>
          </cell>
        </row>
        <row r="253">
          <cell r="B253" t="str">
            <v>BV0910</v>
          </cell>
          <cell r="C253" t="str">
            <v>Vi Văn Kim</v>
          </cell>
          <cell r="D253" t="str">
            <v>BV0910</v>
          </cell>
          <cell r="F253" t="str">
            <v>Điều dưỡng ĐH</v>
          </cell>
          <cell r="G253" t="str">
            <v>TĐ011</v>
          </cell>
          <cell r="I253" t="str">
            <v>Điều dưỡng (hạng III)</v>
          </cell>
          <cell r="J253" t="str">
            <v>Ngoại Tiêu hóa</v>
          </cell>
          <cell r="K253" t="str">
            <v>KP013</v>
          </cell>
          <cell r="N253" t="str">
            <v>Viên chức</v>
          </cell>
          <cell r="O253">
            <v>31</v>
          </cell>
          <cell r="P253" t="str">
            <v>30/03/1995</v>
          </cell>
          <cell r="Q253">
            <v>0</v>
          </cell>
          <cell r="R253" t="str">
            <v>Tày</v>
          </cell>
          <cell r="S253" t="str">
            <v>17/4/2019</v>
          </cell>
          <cell r="T253" t="str">
            <v>020095010099</v>
          </cell>
          <cell r="U253" t="str">
            <v>Thôn Khau Đắng, Xã Khánh Khê, Tỉnh Lạng Sơn</v>
          </cell>
          <cell r="W253" t="str">
            <v>003738/LS-CCHN</v>
          </cell>
          <cell r="X253" t="str">
            <v>26/06/2020</v>
          </cell>
          <cell r="Z25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53">
            <v>0</v>
          </cell>
          <cell r="AC253" t="str">
            <v>0969536918</v>
          </cell>
          <cell r="AD253" t="str">
            <v>Thử việc 17/4/2019-31/5/2019; đỗ VC 20/5/2026</v>
          </cell>
        </row>
        <row r="254">
          <cell r="B254" t="str">
            <v>BV0189</v>
          </cell>
          <cell r="C254" t="str">
            <v>Vy Hoàng Vương</v>
          </cell>
          <cell r="D254" t="str">
            <v>BV0189</v>
          </cell>
          <cell r="F254" t="str">
            <v>Điều dưỡng ĐH</v>
          </cell>
          <cell r="G254" t="str">
            <v>TĐ011</v>
          </cell>
          <cell r="H254" t="str">
            <v>Điều dưỡng (hạng III)</v>
          </cell>
          <cell r="I254" t="str">
            <v>Điều dưỡng (hạng III)</v>
          </cell>
          <cell r="J254" t="str">
            <v>Ngoại Tiêu hóa</v>
          </cell>
          <cell r="K254" t="str">
            <v>KP013</v>
          </cell>
          <cell r="L254" t="str">
            <v>Viên chức CMNV</v>
          </cell>
          <cell r="M254">
            <v>0</v>
          </cell>
          <cell r="N254" t="str">
            <v>Viên chức</v>
          </cell>
          <cell r="O254">
            <v>42</v>
          </cell>
          <cell r="P254">
            <v>30664</v>
          </cell>
          <cell r="Q254">
            <v>0</v>
          </cell>
          <cell r="R254" t="str">
            <v>Tày</v>
          </cell>
          <cell r="S254" t="str">
            <v>6/11/2006</v>
          </cell>
          <cell r="T254" t="str">
            <v>020083000744</v>
          </cell>
          <cell r="U254" t="str">
            <v>Khối Kéo Tào, Phường Kỳ Lừa, Tỉnh Lạng Sơn</v>
          </cell>
          <cell r="W254" t="str">
            <v>000913/LS-CCHN</v>
          </cell>
          <cell r="X254" t="str">
            <v>24/06/2013</v>
          </cell>
          <cell r="Z254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254">
            <v>0</v>
          </cell>
          <cell r="AC254">
            <v>978818363</v>
          </cell>
        </row>
        <row r="255">
          <cell r="B255" t="str">
            <v>BV0063</v>
          </cell>
          <cell r="C255" t="str">
            <v>Đường Thị Lan Anh</v>
          </cell>
          <cell r="D255" t="str">
            <v>BV0063</v>
          </cell>
          <cell r="E255" t="str">
            <v>x</v>
          </cell>
          <cell r="F255" t="str">
            <v>Điều dưỡng ĐH</v>
          </cell>
          <cell r="G255" t="str">
            <v>TĐ011</v>
          </cell>
          <cell r="H255" t="str">
            <v>Điều dưỡng (hạng III)</v>
          </cell>
          <cell r="I255" t="str">
            <v>Điều dưỡng (hạng III)</v>
          </cell>
          <cell r="J255" t="str">
            <v>Ngoại Tiêu hóa</v>
          </cell>
          <cell r="K255" t="str">
            <v>KP013</v>
          </cell>
          <cell r="L255" t="str">
            <v>Lãnh đạo khoa, phòng</v>
          </cell>
          <cell r="M255" t="str">
            <v>Điều dưỡng trưởng</v>
          </cell>
          <cell r="N255" t="str">
            <v>Viên chức</v>
          </cell>
          <cell r="O255">
            <v>39</v>
          </cell>
          <cell r="P255">
            <v>0</v>
          </cell>
          <cell r="Q255">
            <v>31898</v>
          </cell>
          <cell r="R255" t="str">
            <v>Tày</v>
          </cell>
          <cell r="S255" t="str">
            <v>1/1/2009</v>
          </cell>
          <cell r="T255" t="str">
            <v>020187007430</v>
          </cell>
          <cell r="U255">
            <v>0</v>
          </cell>
          <cell r="W255" t="str">
            <v>000782/LS-CCHN</v>
          </cell>
          <cell r="X255">
            <v>41449</v>
          </cell>
          <cell r="Z255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255">
            <v>0</v>
          </cell>
          <cell r="AC255" t="str">
            <v>0919461366</v>
          </cell>
        </row>
        <row r="256">
          <cell r="B256" t="str">
            <v>BV1300</v>
          </cell>
          <cell r="C256" t="str">
            <v>Phan Thị Xuân</v>
          </cell>
          <cell r="D256" t="str">
            <v>BV1300</v>
          </cell>
          <cell r="E256" t="str">
            <v>x</v>
          </cell>
          <cell r="F256" t="str">
            <v>Điều dưỡng ĐH</v>
          </cell>
          <cell r="G256" t="str">
            <v>TĐ011</v>
          </cell>
          <cell r="I256" t="str">
            <v>Điều dưỡng (hạng III)</v>
          </cell>
          <cell r="J256" t="str">
            <v>Ngoại Tiêu hóa</v>
          </cell>
          <cell r="K256" t="str">
            <v>KP013</v>
          </cell>
          <cell r="N256" t="str">
            <v>HĐ có thời hạn</v>
          </cell>
          <cell r="O256">
            <v>27</v>
          </cell>
          <cell r="P256">
            <v>0</v>
          </cell>
          <cell r="Q256" t="str">
            <v>21/5/1999</v>
          </cell>
          <cell r="R256" t="str">
            <v>Tày</v>
          </cell>
          <cell r="S256">
            <v>45698</v>
          </cell>
          <cell r="T256" t="str">
            <v>020199005155</v>
          </cell>
          <cell r="U256" t="str">
            <v>Khối Kéo Tào, Phường Kỳ Lừa, Tỉnh Lạng Sơn</v>
          </cell>
          <cell r="W256" t="str">
            <v>000023/LS-GPHN</v>
          </cell>
          <cell r="X256">
            <v>45450</v>
          </cell>
          <cell r="Z256" t="str">
            <v>Điều dưỡng</v>
          </cell>
          <cell r="AB256">
            <v>0</v>
          </cell>
          <cell r="AD256" t="str">
            <v>Thử việc 10/02/2025</v>
          </cell>
        </row>
        <row r="257">
          <cell r="B257" t="str">
            <v>BV0905</v>
          </cell>
          <cell r="C257" t="str">
            <v>Ngô Thế Vinh</v>
          </cell>
          <cell r="D257" t="str">
            <v>BV0905</v>
          </cell>
          <cell r="F257" t="str">
            <v>Điều dưỡng CĐ</v>
          </cell>
          <cell r="G257" t="str">
            <v>TĐ012</v>
          </cell>
          <cell r="I257" t="str">
            <v>Điều dưỡng (hạng IV)</v>
          </cell>
          <cell r="J257" t="str">
            <v>Ngoại Tiêu hóa</v>
          </cell>
          <cell r="K257" t="str">
            <v>KP013</v>
          </cell>
          <cell r="N257" t="str">
            <v>Viên chức</v>
          </cell>
          <cell r="O257">
            <v>36</v>
          </cell>
          <cell r="P257" t="str">
            <v>31/07/1990</v>
          </cell>
          <cell r="Q257">
            <v>0</v>
          </cell>
          <cell r="R257" t="str">
            <v>Tày</v>
          </cell>
          <cell r="S257" t="str">
            <v>17/4/2019</v>
          </cell>
          <cell r="T257" t="str">
            <v>020090002779</v>
          </cell>
          <cell r="U257" t="str">
            <v>Khối Kéo Tào, Phường Kỳ Lừa, Tỉnh Lạng Sơn</v>
          </cell>
          <cell r="W257" t="str">
            <v>008681/LS-CCHN</v>
          </cell>
          <cell r="X257" t="str">
            <v>21/08/2023</v>
          </cell>
          <cell r="Z25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57">
            <v>0</v>
          </cell>
          <cell r="AC257">
            <v>374356402</v>
          </cell>
          <cell r="AD257" t="str">
            <v>Thử việc 17/4/2019-31/5/2019; đỗ VC 20/5/2026</v>
          </cell>
        </row>
        <row r="258">
          <cell r="B258" t="str">
            <v>BV0876</v>
          </cell>
          <cell r="C258" t="str">
            <v>Lục Thị Kim Oanh</v>
          </cell>
          <cell r="D258" t="str">
            <v>BV0876</v>
          </cell>
          <cell r="E258" t="str">
            <v>x</v>
          </cell>
          <cell r="F258" t="str">
            <v>Điều dưỡng CĐ</v>
          </cell>
          <cell r="G258" t="str">
            <v>TĐ012</v>
          </cell>
          <cell r="I258" t="str">
            <v>Điều dưỡng (hạng IV)</v>
          </cell>
          <cell r="J258" t="str">
            <v>Ngoại TK-LN</v>
          </cell>
          <cell r="K258" t="str">
            <v>KP015</v>
          </cell>
          <cell r="N258" t="str">
            <v>Viên chức</v>
          </cell>
          <cell r="O258">
            <v>35</v>
          </cell>
          <cell r="P258">
            <v>0</v>
          </cell>
          <cell r="Q258">
            <v>33315</v>
          </cell>
          <cell r="R258" t="str">
            <v>Nùng</v>
          </cell>
          <cell r="S258" t="str">
            <v>01/11/2018</v>
          </cell>
          <cell r="T258" t="str">
            <v>020191002540</v>
          </cell>
          <cell r="U258">
            <v>0</v>
          </cell>
          <cell r="W258" t="str">
            <v>003800/LS-CCHN</v>
          </cell>
          <cell r="X258" t="str">
            <v>21/07/2020</v>
          </cell>
          <cell r="Z25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58">
            <v>0</v>
          </cell>
          <cell r="AC258" t="str">
            <v>0356538536</v>
          </cell>
          <cell r="AD258" t="str">
            <v>Thử việc T11/2018; đỗ VC 20/5/2026</v>
          </cell>
        </row>
        <row r="259">
          <cell r="B259" t="str">
            <v>BV0989</v>
          </cell>
          <cell r="C259" t="str">
            <v>Dương Thị Ngọc Anh</v>
          </cell>
          <cell r="D259" t="str">
            <v>BV0989</v>
          </cell>
          <cell r="E259" t="str">
            <v>x</v>
          </cell>
          <cell r="F259" t="str">
            <v>Điều dưỡng CĐ</v>
          </cell>
          <cell r="G259" t="str">
            <v>TĐ012</v>
          </cell>
          <cell r="I259" t="str">
            <v>Điều dưỡng (hạng IV)</v>
          </cell>
          <cell r="J259" t="str">
            <v>Ngoại Tiêu hóa</v>
          </cell>
          <cell r="K259" t="str">
            <v>KP013</v>
          </cell>
          <cell r="N259" t="str">
            <v>Viên chức</v>
          </cell>
          <cell r="O259">
            <v>27</v>
          </cell>
          <cell r="P259">
            <v>0</v>
          </cell>
          <cell r="Q259" t="str">
            <v>16/9/1998</v>
          </cell>
          <cell r="R259" t="str">
            <v>Tày</v>
          </cell>
          <cell r="S259" t="str">
            <v>02/12/2019</v>
          </cell>
          <cell r="T259" t="str">
            <v>020198004934</v>
          </cell>
          <cell r="U259">
            <v>0</v>
          </cell>
          <cell r="V259">
            <v>44076</v>
          </cell>
          <cell r="W259" t="str">
            <v/>
          </cell>
          <cell r="X259" t="str">
            <v/>
          </cell>
          <cell r="Z259" t="str">
            <v/>
          </cell>
          <cell r="AB259" t="str">
            <v/>
          </cell>
          <cell r="AD259" t="str">
            <v>Thử việc 02/12/2019, Viên chức từ 15/6/2026</v>
          </cell>
        </row>
        <row r="260">
          <cell r="B260" t="str">
            <v>BV0990</v>
          </cell>
          <cell r="C260" t="str">
            <v>Lục Tuấn Anh</v>
          </cell>
          <cell r="D260" t="str">
            <v>BV0990</v>
          </cell>
          <cell r="F260" t="str">
            <v>Điều dưỡng CĐ</v>
          </cell>
          <cell r="G260" t="str">
            <v>TĐ012</v>
          </cell>
          <cell r="I260" t="str">
            <v>Điều dưỡng (hạng IV)</v>
          </cell>
          <cell r="J260" t="str">
            <v>Ngoại Tiêu hóa</v>
          </cell>
          <cell r="K260" t="str">
            <v>KP013</v>
          </cell>
          <cell r="N260" t="str">
            <v>HĐ có thời hạn</v>
          </cell>
          <cell r="O260">
            <v>30</v>
          </cell>
          <cell r="P260" t="str">
            <v>03/02/1996</v>
          </cell>
          <cell r="Q260">
            <v>0</v>
          </cell>
          <cell r="R260" t="str">
            <v>Nùng</v>
          </cell>
          <cell r="S260" t="str">
            <v>02/12/2019</v>
          </cell>
          <cell r="T260" t="str">
            <v>020096009358</v>
          </cell>
          <cell r="U260" t="str">
            <v>Thôn Bình Đãng A, Xã Yên Phúc, Tỉnh Lạng Sơn</v>
          </cell>
          <cell r="W260" t="str">
            <v>005536/LS-CCHN</v>
          </cell>
          <cell r="X260" t="str">
            <v>11/01/2023</v>
          </cell>
          <cell r="Z260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60">
            <v>0</v>
          </cell>
          <cell r="AD260" t="str">
            <v>Thử việc 02/12/2019</v>
          </cell>
        </row>
        <row r="261">
          <cell r="B261" t="str">
            <v>BV1046</v>
          </cell>
          <cell r="C261" t="str">
            <v>Hoàng Văn Mơ</v>
          </cell>
          <cell r="D261" t="str">
            <v>BV1046</v>
          </cell>
          <cell r="F261" t="str">
            <v>Điều dưỡng CĐ</v>
          </cell>
          <cell r="G261" t="str">
            <v>TĐ012</v>
          </cell>
          <cell r="I261" t="str">
            <v>Điều dưỡng (hạng IV)</v>
          </cell>
          <cell r="J261" t="str">
            <v>Ngoại Tiêu hóa</v>
          </cell>
          <cell r="K261" t="str">
            <v>KP013</v>
          </cell>
          <cell r="N261" t="str">
            <v>Viên chức</v>
          </cell>
          <cell r="O261">
            <v>33</v>
          </cell>
          <cell r="P261" t="str">
            <v>29/3/1993</v>
          </cell>
          <cell r="Q261">
            <v>0</v>
          </cell>
          <cell r="R261" t="str">
            <v>Tày</v>
          </cell>
          <cell r="S261" t="str">
            <v>13/7/2020</v>
          </cell>
          <cell r="T261" t="str">
            <v>020093011448</v>
          </cell>
          <cell r="U261" t="str">
            <v>Nà chuông- Đông kinh</v>
          </cell>
          <cell r="W261" t="str">
            <v>005537/LS-CCHN</v>
          </cell>
          <cell r="X261" t="str">
            <v>11/01/2023</v>
          </cell>
          <cell r="Z26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61">
            <v>0</v>
          </cell>
          <cell r="AC261" t="str">
            <v>0366121888</v>
          </cell>
          <cell r="AD261" t="str">
            <v>Thử việc từ 13/7/2020, Viên chức từ 15/6/2026</v>
          </cell>
        </row>
        <row r="262">
          <cell r="B262" t="str">
            <v>BV1047</v>
          </cell>
          <cell r="C262" t="str">
            <v>Hà Thị Thu Phương</v>
          </cell>
          <cell r="D262" t="str">
            <v>BV1047</v>
          </cell>
          <cell r="E262" t="str">
            <v>x</v>
          </cell>
          <cell r="F262" t="str">
            <v>Điều dưỡng CĐ</v>
          </cell>
          <cell r="G262" t="str">
            <v>TĐ012</v>
          </cell>
          <cell r="I262" t="str">
            <v>Điều dưỡng (hạng IV)</v>
          </cell>
          <cell r="J262" t="str">
            <v>Ngoại Tiêu hóa</v>
          </cell>
          <cell r="K262" t="str">
            <v>KP013</v>
          </cell>
          <cell r="N262" t="str">
            <v>Viên chức</v>
          </cell>
          <cell r="O262">
            <v>28</v>
          </cell>
          <cell r="P262">
            <v>0</v>
          </cell>
          <cell r="Q262" t="str">
            <v>11/01/1998</v>
          </cell>
          <cell r="R262" t="str">
            <v>Tày</v>
          </cell>
          <cell r="S262" t="str">
            <v>13/7/2020</v>
          </cell>
          <cell r="T262" t="str">
            <v>020198000573</v>
          </cell>
          <cell r="U262">
            <v>0</v>
          </cell>
          <cell r="W262" t="str">
            <v>004528/LS-CCHN</v>
          </cell>
          <cell r="X262" t="str">
            <v>12/05/2022</v>
          </cell>
          <cell r="Z26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62">
            <v>0</v>
          </cell>
          <cell r="AC262" t="str">
            <v>0376321916</v>
          </cell>
          <cell r="AD262" t="str">
            <v>Thử việc từ 13/7/2020, Viên chức từ 15/6/2026</v>
          </cell>
        </row>
        <row r="263">
          <cell r="B263" t="str">
            <v>BV1092</v>
          </cell>
          <cell r="C263" t="str">
            <v>Nông Thị Diệu Linh</v>
          </cell>
          <cell r="D263" t="str">
            <v>BV1092</v>
          </cell>
          <cell r="E263" t="str">
            <v>x</v>
          </cell>
          <cell r="F263" t="str">
            <v>Điều dưỡng CĐ</v>
          </cell>
          <cell r="G263" t="str">
            <v>TĐ012</v>
          </cell>
          <cell r="I263" t="str">
            <v>Điều dưỡng (hạng IV)</v>
          </cell>
          <cell r="J263" t="str">
            <v>Ngoại Tiêu hóa</v>
          </cell>
          <cell r="K263" t="str">
            <v>KP013</v>
          </cell>
          <cell r="N263" t="str">
            <v>Viên chức</v>
          </cell>
          <cell r="O263">
            <v>28</v>
          </cell>
          <cell r="P263">
            <v>0</v>
          </cell>
          <cell r="Q263" t="str">
            <v>03/02/1998</v>
          </cell>
          <cell r="R263" t="str">
            <v>Nùng</v>
          </cell>
          <cell r="S263" t="str">
            <v>03/11/2020</v>
          </cell>
          <cell r="T263" t="str">
            <v>020198001117</v>
          </cell>
          <cell r="U263">
            <v>0</v>
          </cell>
          <cell r="W263" t="str">
            <v>004526/LS-CCHN</v>
          </cell>
          <cell r="X263" t="str">
            <v>12/05/2022</v>
          </cell>
          <cell r="Z26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63">
            <v>0</v>
          </cell>
          <cell r="AC263" t="str">
            <v>0332751592</v>
          </cell>
          <cell r="AD263" t="str">
            <v>Thử việc 03/11/2020, Viên chức từ 15/6/2026</v>
          </cell>
        </row>
        <row r="264">
          <cell r="B264" t="str">
            <v>BV1147</v>
          </cell>
          <cell r="C264" t="str">
            <v>Hà Quang Tỉnh</v>
          </cell>
          <cell r="D264" t="str">
            <v>BV1147</v>
          </cell>
          <cell r="F264" t="str">
            <v>Điều dưỡng CĐ</v>
          </cell>
          <cell r="G264" t="str">
            <v>TĐ012</v>
          </cell>
          <cell r="I264" t="str">
            <v>Điều dưỡng (hạng IV)</v>
          </cell>
          <cell r="J264" t="str">
            <v>Ngoại Tiêu hóa</v>
          </cell>
          <cell r="K264" t="str">
            <v>KP013</v>
          </cell>
          <cell r="N264" t="str">
            <v>HĐ có thời hạn</v>
          </cell>
          <cell r="O264">
            <v>30</v>
          </cell>
          <cell r="P264" t="str">
            <v>30/5/1996</v>
          </cell>
          <cell r="Q264">
            <v>0</v>
          </cell>
          <cell r="R264" t="str">
            <v>Tày</v>
          </cell>
          <cell r="S264" t="str">
            <v>23/8/2021</v>
          </cell>
          <cell r="T264" t="str">
            <v>020096000732</v>
          </cell>
          <cell r="U264" t="str">
            <v>Thôn Khòn Khẻ, Xã Yên Phúc, Tỉnh Lạng Sơn</v>
          </cell>
          <cell r="W264" t="str">
            <v>005510/LS-CCHN</v>
          </cell>
          <cell r="X264" t="str">
            <v>06/12/2022</v>
          </cell>
          <cell r="Z26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64">
            <v>0</v>
          </cell>
          <cell r="AC264" t="str">
            <v>0389336682</v>
          </cell>
          <cell r="AD264" t="str">
            <v>Thử việc 23/8/2021</v>
          </cell>
        </row>
        <row r="265">
          <cell r="B265" t="str">
            <v>BV0783</v>
          </cell>
          <cell r="C265" t="str">
            <v>Lý Thị Hoài</v>
          </cell>
          <cell r="D265" t="str">
            <v>BV0783</v>
          </cell>
          <cell r="E265" t="str">
            <v>x</v>
          </cell>
          <cell r="F265" t="str">
            <v>Điều dưỡng CĐ</v>
          </cell>
          <cell r="G265" t="str">
            <v>TĐ012</v>
          </cell>
          <cell r="I265" t="str">
            <v>Điều dưỡng (hạng IV)</v>
          </cell>
          <cell r="J265" t="str">
            <v>Ngoại Tiêu hóa</v>
          </cell>
          <cell r="K265" t="str">
            <v>KP013</v>
          </cell>
          <cell r="N265" t="str">
            <v>Viên chức</v>
          </cell>
          <cell r="O265">
            <v>34</v>
          </cell>
          <cell r="P265">
            <v>0</v>
          </cell>
          <cell r="Q265" t="str">
            <v>28/5/1992</v>
          </cell>
          <cell r="R265" t="str">
            <v>Nùng</v>
          </cell>
          <cell r="S265" t="str">
            <v xml:space="preserve"> 02/10/2017</v>
          </cell>
          <cell r="T265" t="str">
            <v>020192008430</v>
          </cell>
          <cell r="U265">
            <v>0</v>
          </cell>
          <cell r="W265" t="str">
            <v>003376/LS-CCHN</v>
          </cell>
          <cell r="X265" t="str">
            <v>17/10/2018</v>
          </cell>
          <cell r="Z265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65">
            <v>0</v>
          </cell>
          <cell r="AC265" t="str">
            <v>0398869423</v>
          </cell>
          <cell r="AD265" t="str">
            <v>HĐ 02/10/2017; Đỗ VC 20/5/2026</v>
          </cell>
        </row>
        <row r="266">
          <cell r="B266" t="str">
            <v>BV0199</v>
          </cell>
          <cell r="C266" t="str">
            <v>Dương Thị Toan</v>
          </cell>
          <cell r="D266" t="str">
            <v>BV0199</v>
          </cell>
          <cell r="E266" t="str">
            <v>x</v>
          </cell>
          <cell r="F266" t="str">
            <v>Điều dưỡng CĐ</v>
          </cell>
          <cell r="G266" t="str">
            <v>TĐ012</v>
          </cell>
          <cell r="H266" t="str">
            <v>Điều dưỡng (hạng IV)</v>
          </cell>
          <cell r="I266" t="str">
            <v>Điều dưỡng (hạng IV)</v>
          </cell>
          <cell r="J266" t="str">
            <v>Ngoại Tiêu hóa</v>
          </cell>
          <cell r="K266" t="str">
            <v>KP013</v>
          </cell>
          <cell r="L266" t="str">
            <v>Viên chức CMNV</v>
          </cell>
          <cell r="M266">
            <v>0</v>
          </cell>
          <cell r="N266" t="str">
            <v>Viên chức</v>
          </cell>
          <cell r="O266">
            <v>41</v>
          </cell>
          <cell r="P266">
            <v>0</v>
          </cell>
          <cell r="Q266">
            <v>30953</v>
          </cell>
          <cell r="R266" t="str">
            <v>Tày</v>
          </cell>
          <cell r="S266" t="str">
            <v>30/10/2006</v>
          </cell>
          <cell r="T266" t="str">
            <v>020184002850</v>
          </cell>
          <cell r="U266" t="str">
            <v>Thôn Nà Sèn, Phường Tam Thanh, Tỉnh Lạng Sơn</v>
          </cell>
          <cell r="W266" t="str">
            <v>000923/LS-CCHN</v>
          </cell>
          <cell r="X266" t="str">
            <v>24/06/2013</v>
          </cell>
          <cell r="Z266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266">
            <v>0</v>
          </cell>
          <cell r="AC266" t="str">
            <v>0949275687</v>
          </cell>
        </row>
        <row r="267">
          <cell r="B267" t="str">
            <v>BV1093</v>
          </cell>
          <cell r="C267" t="str">
            <v>Triệu Thị Liễu</v>
          </cell>
          <cell r="D267" t="str">
            <v>BV1093</v>
          </cell>
          <cell r="E267" t="str">
            <v>x</v>
          </cell>
          <cell r="F267" t="str">
            <v>Điều dưỡng CĐ</v>
          </cell>
          <cell r="G267" t="str">
            <v>TĐ012</v>
          </cell>
          <cell r="I267" t="str">
            <v>Điều dưỡng (hạng IV)</v>
          </cell>
          <cell r="J267" t="str">
            <v>Ngoại Tiêu hóa</v>
          </cell>
          <cell r="K267" t="str">
            <v>KP013</v>
          </cell>
          <cell r="N267" t="str">
            <v>Viên chức</v>
          </cell>
          <cell r="O267">
            <v>27</v>
          </cell>
          <cell r="P267">
            <v>0</v>
          </cell>
          <cell r="Q267" t="str">
            <v>04/11/1998</v>
          </cell>
          <cell r="R267" t="str">
            <v>Dao</v>
          </cell>
          <cell r="S267" t="str">
            <v>11/3/2024</v>
          </cell>
          <cell r="T267" t="str">
            <v>020198001129</v>
          </cell>
          <cell r="U267">
            <v>0</v>
          </cell>
          <cell r="W267" t="str">
            <v>005578/LS-CCHN</v>
          </cell>
          <cell r="X267" t="str">
            <v>27/04/2023</v>
          </cell>
          <cell r="Z26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67">
            <v>0</v>
          </cell>
          <cell r="AC267" t="str">
            <v>0385989651</v>
          </cell>
          <cell r="AD267" t="str">
            <v>Thử việc 03/11/2020; nghỉ 01/12/2023; đi làm lại 11/3/2024, Viên chức từ 15/6/2026</v>
          </cell>
        </row>
        <row r="268">
          <cell r="B268" t="str">
            <v>BV1294</v>
          </cell>
          <cell r="C268" t="str">
            <v>Nông Hoa Cúc</v>
          </cell>
          <cell r="D268" t="str">
            <v>BV1294</v>
          </cell>
          <cell r="E268" t="str">
            <v>x</v>
          </cell>
          <cell r="F268" t="str">
            <v>Điều dưỡng CĐ</v>
          </cell>
          <cell r="G268" t="str">
            <v>TĐ012</v>
          </cell>
          <cell r="I268" t="str">
            <v>Điều dưỡng (hạng IV)</v>
          </cell>
          <cell r="J268" t="str">
            <v>Ngoại Tiêu hóa</v>
          </cell>
          <cell r="K268" t="str">
            <v>KP013</v>
          </cell>
          <cell r="N268" t="str">
            <v>HĐ có thời hạn</v>
          </cell>
          <cell r="O268">
            <v>22</v>
          </cell>
          <cell r="P268">
            <v>0</v>
          </cell>
          <cell r="Q268" t="str">
            <v>28/10/2003</v>
          </cell>
          <cell r="R268" t="str">
            <v>Nùng</v>
          </cell>
          <cell r="S268">
            <v>45597</v>
          </cell>
          <cell r="T268" t="str">
            <v>020303002040</v>
          </cell>
          <cell r="U268" t="str">
            <v>Thôn điềm he 2, xã điềm he</v>
          </cell>
          <cell r="W268" t="str">
            <v>000260/LS-GPHN</v>
          </cell>
          <cell r="X268">
            <v>45796</v>
          </cell>
          <cell r="Z268" t="str">
            <v>Điều dưỡng</v>
          </cell>
          <cell r="AB268">
            <v>0</v>
          </cell>
          <cell r="AC268" t="str">
            <v>0336282253</v>
          </cell>
          <cell r="AD268" t="str">
            <v>HĐ 01/11/2024</v>
          </cell>
        </row>
        <row r="269">
          <cell r="B269" t="str">
            <v>BV1301</v>
          </cell>
          <cell r="C269" t="str">
            <v>Hoàng Mùi Nảy</v>
          </cell>
          <cell r="D269" t="str">
            <v>BV1301</v>
          </cell>
          <cell r="E269" t="str">
            <v>x</v>
          </cell>
          <cell r="F269" t="str">
            <v>Điều dưỡng CĐ</v>
          </cell>
          <cell r="G269" t="str">
            <v>TĐ012</v>
          </cell>
          <cell r="I269" t="str">
            <v>Điều dưỡng (hạng IV)</v>
          </cell>
          <cell r="J269" t="str">
            <v>Ngoại Tiêu hóa</v>
          </cell>
          <cell r="K269" t="str">
            <v>KP013</v>
          </cell>
          <cell r="N269" t="str">
            <v>HĐ có thời hạn</v>
          </cell>
          <cell r="O269">
            <v>26</v>
          </cell>
          <cell r="P269">
            <v>0</v>
          </cell>
          <cell r="Q269" t="str">
            <v>20/02/2000</v>
          </cell>
          <cell r="R269" t="str">
            <v>Dao</v>
          </cell>
          <cell r="S269">
            <v>45673</v>
          </cell>
          <cell r="T269" t="str">
            <v>020300003798</v>
          </cell>
          <cell r="U269" t="str">
            <v>Thôn Ngàn Pặc, Xã Công Sơn, Tỉnh Lạng Sơn</v>
          </cell>
          <cell r="W269" t="str">
            <v/>
          </cell>
          <cell r="X269" t="str">
            <v/>
          </cell>
          <cell r="Z269" t="str">
            <v/>
          </cell>
          <cell r="AB269" t="str">
            <v/>
          </cell>
          <cell r="AC269">
            <v>358173297</v>
          </cell>
          <cell r="AD269" t="str">
            <v>Thử việc 02/01/2025</v>
          </cell>
        </row>
        <row r="270">
          <cell r="B270" t="str">
            <v>BV1008</v>
          </cell>
          <cell r="C270" t="str">
            <v>Vy Thị Xung</v>
          </cell>
          <cell r="D270" t="str">
            <v>BV1008</v>
          </cell>
          <cell r="E270" t="str">
            <v>x</v>
          </cell>
          <cell r="F270" t="str">
            <v>Hộ lý</v>
          </cell>
          <cell r="G270" t="str">
            <v>TĐ047</v>
          </cell>
          <cell r="I270" t="str">
            <v>Hộ lý</v>
          </cell>
          <cell r="J270" t="str">
            <v>Ngoại Tiêu hóa</v>
          </cell>
          <cell r="K270" t="str">
            <v>KP013</v>
          </cell>
          <cell r="N270" t="str">
            <v>HĐ có thời hạn</v>
          </cell>
          <cell r="O270">
            <v>40</v>
          </cell>
          <cell r="P270">
            <v>0</v>
          </cell>
          <cell r="Q270" t="str">
            <v>10/01/1986</v>
          </cell>
          <cell r="R270" t="str">
            <v>Tày</v>
          </cell>
          <cell r="S270" t="str">
            <v>12/4/2020</v>
          </cell>
          <cell r="T270" t="str">
            <v>020186000821</v>
          </cell>
          <cell r="U270">
            <v>0</v>
          </cell>
          <cell r="W270" t="str">
            <v/>
          </cell>
          <cell r="X270" t="str">
            <v/>
          </cell>
          <cell r="Z270" t="str">
            <v/>
          </cell>
          <cell r="AB270" t="str">
            <v/>
          </cell>
          <cell r="AC270" t="str">
            <v>0385989651</v>
          </cell>
          <cell r="AD270" t="str">
            <v>Hợp đồng từ 12/4/2020</v>
          </cell>
        </row>
        <row r="271">
          <cell r="B271" t="str">
            <v>BV1027</v>
          </cell>
          <cell r="C271" t="str">
            <v>Đoàn Vân Hòa</v>
          </cell>
          <cell r="D271" t="str">
            <v>BV1027</v>
          </cell>
          <cell r="E271" t="str">
            <v>x</v>
          </cell>
          <cell r="F271" t="str">
            <v>Hộ lý</v>
          </cell>
          <cell r="G271" t="str">
            <v>TĐ047</v>
          </cell>
          <cell r="I271" t="str">
            <v>Hộ lý</v>
          </cell>
          <cell r="J271" t="str">
            <v>Ngoại Tiêu hóa</v>
          </cell>
          <cell r="K271" t="str">
            <v>KP013</v>
          </cell>
          <cell r="N271" t="str">
            <v>HĐ có thời hạn</v>
          </cell>
          <cell r="O271">
            <v>40</v>
          </cell>
          <cell r="P271">
            <v>0</v>
          </cell>
          <cell r="Q271" t="str">
            <v>01/3/1986</v>
          </cell>
          <cell r="R271" t="str">
            <v>Tày</v>
          </cell>
          <cell r="S271" t="str">
            <v>11/5/2020</v>
          </cell>
          <cell r="T271" t="str">
            <v>020186000445</v>
          </cell>
          <cell r="U271">
            <v>0</v>
          </cell>
          <cell r="W271" t="str">
            <v/>
          </cell>
          <cell r="X271" t="str">
            <v/>
          </cell>
          <cell r="Z271" t="str">
            <v/>
          </cell>
          <cell r="AB271" t="str">
            <v/>
          </cell>
          <cell r="AC271" t="str">
            <v>0369720134</v>
          </cell>
          <cell r="AD271" t="str">
            <v>Hợp đồng 11/5/2020</v>
          </cell>
        </row>
        <row r="272">
          <cell r="B272" t="str">
            <v>BV0207</v>
          </cell>
          <cell r="C272" t="str">
            <v>Nhữ Văn Vinh</v>
          </cell>
          <cell r="D272" t="str">
            <v>BV0207</v>
          </cell>
          <cell r="F272" t="str">
            <v>BSCKII</v>
          </cell>
          <cell r="G272" t="str">
            <v>TĐ001</v>
          </cell>
          <cell r="H272" t="str">
            <v>Bác sĩ chính (hạng II)</v>
          </cell>
          <cell r="I272" t="str">
            <v>Bác sĩ chính (hạng II)</v>
          </cell>
          <cell r="J272" t="str">
            <v>Chấn thương - Bỏng</v>
          </cell>
          <cell r="K272" t="str">
            <v>KP014</v>
          </cell>
          <cell r="L272" t="str">
            <v>Lãnh đạo khoa, phòng</v>
          </cell>
          <cell r="M272" t="str">
            <v>Trưởng khoa</v>
          </cell>
          <cell r="N272" t="str">
            <v>Viên chức</v>
          </cell>
          <cell r="O272">
            <v>58</v>
          </cell>
          <cell r="P272">
            <v>24906</v>
          </cell>
          <cell r="Q272">
            <v>0</v>
          </cell>
          <cell r="R272" t="str">
            <v>Tày</v>
          </cell>
          <cell r="S272" t="str">
            <v>22/4/1995</v>
          </cell>
          <cell r="T272" t="str">
            <v>022068004114</v>
          </cell>
          <cell r="U272" t="str">
            <v>số 6 Phai Vệ Phường Đông kinh, Lạng Sơn</v>
          </cell>
          <cell r="W272" t="str">
            <v>000927/LS-CCHN</v>
          </cell>
          <cell r="X272" t="str">
            <v>24/06/2013</v>
          </cell>
          <cell r="Z272" t="str">
            <v>Khám bệnh, chữa bệnh Ngoại khoa</v>
          </cell>
          <cell r="AB272" t="str">
            <v>10.0929;10.0930;27.0439;27.0440;27.0444;27.0447;27.0449;27.0451;27.0452;27.0458;27.0460;27.0463;27.0473;27.0479;27.0481;27.0482;27.0483;27.0486;27.0503;27.0504</v>
          </cell>
          <cell r="AC272" t="str">
            <v>0912271090</v>
          </cell>
        </row>
        <row r="273">
          <cell r="B273" t="str">
            <v>BV0206</v>
          </cell>
          <cell r="C273" t="str">
            <v>Trần Tuấn Việt</v>
          </cell>
          <cell r="D273" t="str">
            <v>BV0206</v>
          </cell>
          <cell r="F273" t="str">
            <v>BSCKII</v>
          </cell>
          <cell r="G273" t="str">
            <v>TĐ001</v>
          </cell>
          <cell r="H273" t="str">
            <v>Bác sĩ chính (hạng II)</v>
          </cell>
          <cell r="I273" t="str">
            <v>Bác sĩ chính (hạng II)</v>
          </cell>
          <cell r="J273" t="str">
            <v>Chấn thương - Bỏng</v>
          </cell>
          <cell r="K273" t="str">
            <v>KP014</v>
          </cell>
          <cell r="L273" t="str">
            <v>Lãnh đạo khoa, phòng</v>
          </cell>
          <cell r="M273" t="str">
            <v>Phó trưởng khoa</v>
          </cell>
          <cell r="N273" t="str">
            <v>Viên chức</v>
          </cell>
          <cell r="O273">
            <v>46</v>
          </cell>
          <cell r="P273">
            <v>29403</v>
          </cell>
          <cell r="Q273">
            <v>0</v>
          </cell>
          <cell r="R273" t="str">
            <v>Nùng</v>
          </cell>
          <cell r="S273" t="str">
            <v>16/2/2005</v>
          </cell>
          <cell r="T273" t="str">
            <v>020080007236</v>
          </cell>
          <cell r="U273" t="str">
            <v>số 351 Đường Bắc Sơn, Khối 15, Phường Kỳ Lừa,Tỉnh lạng Sơn</v>
          </cell>
          <cell r="W273" t="str">
            <v>000928/LS-CCHN</v>
          </cell>
          <cell r="X273" t="str">
            <v>24/06/2013</v>
          </cell>
          <cell r="Z273" t="str">
            <v>Khám bệnh, chữa bệnh Ngoại khoa; Khám bệnh, chữa bệnh chuyên khoa Phẫu thuật tạo hình, thẩm mỹ</v>
          </cell>
          <cell r="AB273">
            <v>0</v>
          </cell>
          <cell r="AC273" t="str">
            <v>0972229968</v>
          </cell>
        </row>
        <row r="274">
          <cell r="B274" t="str">
            <v>BV0677</v>
          </cell>
          <cell r="C274" t="str">
            <v>Hoàng Thị Hòa</v>
          </cell>
          <cell r="D274" t="str">
            <v>BV0677</v>
          </cell>
          <cell r="E274" t="str">
            <v>x</v>
          </cell>
          <cell r="F274" t="str">
            <v>BSCKI</v>
          </cell>
          <cell r="G274" t="str">
            <v>TĐ003</v>
          </cell>
          <cell r="H274" t="str">
            <v>Bác sĩ (hạng III)</v>
          </cell>
          <cell r="I274" t="str">
            <v>Bác sĩ (hạng III)</v>
          </cell>
          <cell r="J274" t="str">
            <v>Chấn thương - Bỏng</v>
          </cell>
          <cell r="K274" t="str">
            <v>KP014</v>
          </cell>
          <cell r="L274" t="str">
            <v>Viên chức CMNV</v>
          </cell>
          <cell r="M274">
            <v>0</v>
          </cell>
          <cell r="N274" t="str">
            <v>Viên chức</v>
          </cell>
          <cell r="O274">
            <v>37</v>
          </cell>
          <cell r="P274">
            <v>0</v>
          </cell>
          <cell r="Q274" t="str">
            <v>22/01/1989</v>
          </cell>
          <cell r="R274" t="str">
            <v>Tày</v>
          </cell>
          <cell r="S274" t="str">
            <v>10/01/2016</v>
          </cell>
          <cell r="T274" t="str">
            <v>020189005497</v>
          </cell>
          <cell r="U274" t="str">
            <v>Xã Hưng Vũ,Tỉnh Lạng Sơn</v>
          </cell>
          <cell r="W274" t="str">
            <v>002133/LS-CCHN</v>
          </cell>
          <cell r="X274" t="str">
            <v>01/12/2017</v>
          </cell>
          <cell r="Z274" t="str">
            <v>Khám bệnh, chữa bệnh Ngoại khoa; Khám bệnh, chữa bệnh chuyên khoa Tạo hình - Thẩm mỹ</v>
          </cell>
          <cell r="AB274">
            <v>0</v>
          </cell>
          <cell r="AC274" t="str">
            <v>0396964258</v>
          </cell>
        </row>
        <row r="275">
          <cell r="B275" t="str">
            <v>BV0810</v>
          </cell>
          <cell r="C275" t="str">
            <v>Trịnh Bá Hưởng</v>
          </cell>
          <cell r="D275" t="str">
            <v>BV0810</v>
          </cell>
          <cell r="F275" t="str">
            <v>BSCKI</v>
          </cell>
          <cell r="G275" t="str">
            <v>TĐ003</v>
          </cell>
          <cell r="H275" t="str">
            <v>Bác sĩ (hạng III)</v>
          </cell>
          <cell r="I275" t="str">
            <v>Bác sĩ (hạng III)</v>
          </cell>
          <cell r="J275" t="str">
            <v>Chấn thương - Bỏng</v>
          </cell>
          <cell r="K275" t="str">
            <v>KP014</v>
          </cell>
          <cell r="L275" t="str">
            <v>Viên chức CMNV</v>
          </cell>
          <cell r="M275">
            <v>0</v>
          </cell>
          <cell r="N275" t="str">
            <v>Viên chức</v>
          </cell>
          <cell r="O275">
            <v>37</v>
          </cell>
          <cell r="P275" t="str">
            <v>11/06/1989</v>
          </cell>
          <cell r="Q275">
            <v>0</v>
          </cell>
          <cell r="R275" t="str">
            <v>Kinh</v>
          </cell>
          <cell r="S275" t="str">
            <v>20/3/2018</v>
          </cell>
          <cell r="T275" t="str">
            <v>020089001304</v>
          </cell>
          <cell r="U275" t="str">
            <v>Xã Tân Tri, Tỉnh Lạng Sơn</v>
          </cell>
          <cell r="W275" t="str">
            <v>003556/LS-CCHN</v>
          </cell>
          <cell r="X275" t="str">
            <v>21/08/2019</v>
          </cell>
          <cell r="Z275" t="str">
            <v>Khám bệnh, chữa bệnh Ngoại khoa</v>
          </cell>
          <cell r="AB275">
            <v>0</v>
          </cell>
          <cell r="AC275" t="str">
            <v>0912776289</v>
          </cell>
          <cell r="AD275" t="str">
            <v>HĐ từ 14/12/2017 ;BC 20/3/2018</v>
          </cell>
        </row>
        <row r="276">
          <cell r="B276" t="str">
            <v>BV0757</v>
          </cell>
          <cell r="C276" t="str">
            <v>Phạm Minh Hoàng</v>
          </cell>
          <cell r="D276" t="str">
            <v>BV0757</v>
          </cell>
          <cell r="F276" t="str">
            <v>BSCKI</v>
          </cell>
          <cell r="G276" t="str">
            <v>TĐ003</v>
          </cell>
          <cell r="H276" t="str">
            <v>Bác sĩ (hạng III)</v>
          </cell>
          <cell r="I276" t="str">
            <v>Bác sĩ (hạng III)</v>
          </cell>
          <cell r="J276" t="str">
            <v>Chấn thương - Bỏng</v>
          </cell>
          <cell r="K276" t="str">
            <v>KP014</v>
          </cell>
          <cell r="L276" t="str">
            <v>Viên chức CMNV</v>
          </cell>
          <cell r="M276">
            <v>0</v>
          </cell>
          <cell r="N276" t="str">
            <v>Viên chức</v>
          </cell>
          <cell r="O276">
            <v>36</v>
          </cell>
          <cell r="P276">
            <v>32991</v>
          </cell>
          <cell r="Q276">
            <v>0</v>
          </cell>
          <cell r="R276" t="str">
            <v>Kinh</v>
          </cell>
          <cell r="S276" t="str">
            <v>10/2/2017</v>
          </cell>
          <cell r="T276" t="str">
            <v>020090007183</v>
          </cell>
          <cell r="U276" t="str">
            <v>số 351 Đường Bắc Sơn, Khối 15, Phường Kỳ Lừa,Tỉnh lạng Sơn</v>
          </cell>
          <cell r="W276" t="str">
            <v>003397/LS-CCHN</v>
          </cell>
          <cell r="X276" t="str">
            <v>21/11/2019</v>
          </cell>
          <cell r="Z276" t="str">
            <v>Khám bệnh, chữa bệnh Ngoại khoa</v>
          </cell>
          <cell r="AB276">
            <v>0</v>
          </cell>
          <cell r="AC276" t="str">
            <v>0977526388</v>
          </cell>
          <cell r="AD276" t="str">
            <v>BC T2/2017</v>
          </cell>
        </row>
        <row r="277">
          <cell r="B277" t="str">
            <v>BV0760</v>
          </cell>
          <cell r="C277" t="str">
            <v>Hồ Hoàn Tuấn</v>
          </cell>
          <cell r="D277" t="str">
            <v>BV0760</v>
          </cell>
          <cell r="F277" t="str">
            <v>Thạc sỹ</v>
          </cell>
          <cell r="G277" t="str">
            <v>TĐ004</v>
          </cell>
          <cell r="H277" t="str">
            <v>Bác sĩ chính (hạng II)</v>
          </cell>
          <cell r="I277" t="str">
            <v>Bác sĩ chính (hạng II)</v>
          </cell>
          <cell r="J277" t="str">
            <v>Chấn thương - Bỏng</v>
          </cell>
          <cell r="K277" t="str">
            <v>KP014</v>
          </cell>
          <cell r="L277" t="str">
            <v>Viên chức CMNV</v>
          </cell>
          <cell r="M277">
            <v>0</v>
          </cell>
          <cell r="N277" t="str">
            <v>Viên chức</v>
          </cell>
          <cell r="O277">
            <v>55</v>
          </cell>
          <cell r="P277">
            <v>26096</v>
          </cell>
          <cell r="Q277">
            <v>0</v>
          </cell>
          <cell r="R277" t="str">
            <v>Nùng</v>
          </cell>
          <cell r="S277" t="str">
            <v>23/12/1996</v>
          </cell>
          <cell r="T277" t="str">
            <v>020071006188</v>
          </cell>
          <cell r="U277" t="str">
            <v>Khối 12, phường Đông Kinh, tỉnh Lạng Sơn</v>
          </cell>
          <cell r="W277" t="str">
            <v>000049/LS-CCHN</v>
          </cell>
          <cell r="X277" t="str">
            <v>09/05/2012</v>
          </cell>
          <cell r="Z277" t="str">
            <v>Khám bệnh, chữa bệnh chuyên khoa Ngoại; Phẫu thuật tạo hình</v>
          </cell>
          <cell r="AB277" t="str">
            <v>27.0460;27.0463;27.0479;27.0481;10.0927;10.1118;10.0929;10.0930</v>
          </cell>
          <cell r="AC277" t="str">
            <v>0913298764</v>
          </cell>
          <cell r="AD277" t="str">
            <v>chuyển đến T2/2017</v>
          </cell>
        </row>
        <row r="278">
          <cell r="B278" t="str">
            <v>BV1036</v>
          </cell>
          <cell r="C278" t="str">
            <v>Chu Việt Dũng</v>
          </cell>
          <cell r="D278" t="str">
            <v>BV1036</v>
          </cell>
          <cell r="F278" t="str">
            <v>Bác sĩ</v>
          </cell>
          <cell r="G278" t="str">
            <v>TĐ005</v>
          </cell>
          <cell r="I278" t="str">
            <v>Bác sĩ (hạng III)</v>
          </cell>
          <cell r="J278" t="str">
            <v>Chấn thương - Bỏng</v>
          </cell>
          <cell r="K278" t="str">
            <v>KP014</v>
          </cell>
          <cell r="N278" t="str">
            <v>HĐ có thời hạn</v>
          </cell>
          <cell r="O278">
            <v>32</v>
          </cell>
          <cell r="P278" t="str">
            <v>08/8/1994</v>
          </cell>
          <cell r="Q278">
            <v>0</v>
          </cell>
          <cell r="R278" t="str">
            <v>Nùng</v>
          </cell>
          <cell r="S278" t="str">
            <v>13/7/2020</v>
          </cell>
          <cell r="T278" t="str">
            <v>020094004565</v>
          </cell>
          <cell r="U278" t="str">
            <v>Số 48/82 Đường Mỹ Sơn, Khối 8,Phường Đông Kinh, Tỉnh lạng sơn</v>
          </cell>
          <cell r="W278" t="str">
            <v>004509/LS-CCHN</v>
          </cell>
          <cell r="X278" t="str">
            <v>06/04/2022</v>
          </cell>
          <cell r="Z278" t="str">
            <v>Khám bệnh, chữa bệnh Ngoại khoa</v>
          </cell>
          <cell r="AB278">
            <v>0</v>
          </cell>
          <cell r="AC278" t="str">
            <v>0343656628</v>
          </cell>
          <cell r="AD278" t="str">
            <v>Thử việc từ 13/7/2020</v>
          </cell>
        </row>
        <row r="279">
          <cell r="B279" t="str">
            <v>BV0840</v>
          </cell>
          <cell r="C279" t="str">
            <v>Lộc Huy Hiệp</v>
          </cell>
          <cell r="D279" t="str">
            <v>BV0840</v>
          </cell>
          <cell r="F279" t="str">
            <v>Bác sĩ</v>
          </cell>
          <cell r="G279" t="str">
            <v>TĐ005</v>
          </cell>
          <cell r="H279" t="str">
            <v>Bác sĩ (hạng III)</v>
          </cell>
          <cell r="I279" t="str">
            <v>Bác sĩ (hạng III)</v>
          </cell>
          <cell r="J279" t="str">
            <v>Chấn thương - Bỏng</v>
          </cell>
          <cell r="K279" t="str">
            <v>KP014</v>
          </cell>
          <cell r="L279" t="str">
            <v>Viên chức CMNV</v>
          </cell>
          <cell r="M279">
            <v>0</v>
          </cell>
          <cell r="N279" t="str">
            <v>Viên chức</v>
          </cell>
          <cell r="O279">
            <v>34</v>
          </cell>
          <cell r="P279" t="str">
            <v>02/07/1992</v>
          </cell>
          <cell r="Q279">
            <v>0</v>
          </cell>
          <cell r="R279" t="str">
            <v>Tày</v>
          </cell>
          <cell r="S279" t="str">
            <v>20/3/2018</v>
          </cell>
          <cell r="T279" t="str">
            <v>020092012322</v>
          </cell>
          <cell r="U279" t="str">
            <v>Xã lộc Bình, Tỉnh Lạng Sơn</v>
          </cell>
          <cell r="W279" t="str">
            <v>003635/LS-CCHN</v>
          </cell>
          <cell r="X279" t="str">
            <v>21/11/2019</v>
          </cell>
          <cell r="Z279" t="str">
            <v>Khám bệnh, chữa bệnh Ngoại khoa</v>
          </cell>
          <cell r="AB279">
            <v>0</v>
          </cell>
          <cell r="AC279" t="str">
            <v>0969526745</v>
          </cell>
          <cell r="AD279" t="str">
            <v>BC 20/3/2018</v>
          </cell>
        </row>
        <row r="280">
          <cell r="B280" t="str">
            <v>BV1213</v>
          </cell>
          <cell r="C280" t="str">
            <v>Triệu Quảng Đông</v>
          </cell>
          <cell r="D280" t="str">
            <v>BV1213</v>
          </cell>
          <cell r="F280" t="str">
            <v>Bác sĩ</v>
          </cell>
          <cell r="G280" t="str">
            <v>TĐ005</v>
          </cell>
          <cell r="I280" t="str">
            <v>Bác sĩ (hạng III)</v>
          </cell>
          <cell r="J280" t="str">
            <v>Chấn thương - Bỏng</v>
          </cell>
          <cell r="K280" t="str">
            <v>KP014</v>
          </cell>
          <cell r="N280" t="str">
            <v>Viên chức</v>
          </cell>
          <cell r="O280">
            <v>27</v>
          </cell>
          <cell r="P280" t="str">
            <v>02/9/1998</v>
          </cell>
          <cell r="Q280">
            <v>0</v>
          </cell>
          <cell r="R280" t="str">
            <v>Nùng</v>
          </cell>
          <cell r="S280">
            <v>44844</v>
          </cell>
          <cell r="T280" t="str">
            <v>020098007583</v>
          </cell>
          <cell r="U280" t="str">
            <v>Số 36 ngõ 1, Nguyễn Thượng Hiền, khối 15, Phường Kỳ Lừa, Tỉnh Lạng Sơn</v>
          </cell>
          <cell r="V280">
            <v>45209</v>
          </cell>
          <cell r="W280" t="str">
            <v>000035/LS-GPHN</v>
          </cell>
          <cell r="X280">
            <v>0</v>
          </cell>
          <cell r="Z280" t="str">
            <v>Chuyên khoa Ngoại khoa</v>
          </cell>
          <cell r="AB280">
            <v>0</v>
          </cell>
          <cell r="AC280" t="str">
            <v>0916502998</v>
          </cell>
          <cell r="AD280" t="str">
            <v>Thử việc 10/10/2022, Viên chức từ 15/6/2026</v>
          </cell>
        </row>
        <row r="281">
          <cell r="B281" t="str">
            <v>BV1234</v>
          </cell>
          <cell r="C281" t="str">
            <v>Vũ Hoàng Mai Linh</v>
          </cell>
          <cell r="D281" t="str">
            <v>BV1234</v>
          </cell>
          <cell r="E281" t="str">
            <v>x</v>
          </cell>
          <cell r="F281" t="str">
            <v>Bác sĩ</v>
          </cell>
          <cell r="G281" t="str">
            <v>TĐ005</v>
          </cell>
          <cell r="H281" t="str">
            <v>Bác sĩ (hạng III)</v>
          </cell>
          <cell r="I281" t="str">
            <v>Bác sĩ (hạng III)</v>
          </cell>
          <cell r="J281" t="str">
            <v>Chấn thương - Bỏng</v>
          </cell>
          <cell r="K281" t="str">
            <v>KP014</v>
          </cell>
          <cell r="L281" t="str">
            <v>Viên chức CMNV</v>
          </cell>
          <cell r="N281" t="str">
            <v>Viên chức</v>
          </cell>
          <cell r="O281">
            <v>28</v>
          </cell>
          <cell r="P281">
            <v>0</v>
          </cell>
          <cell r="Q281" t="str">
            <v>25/02/1998</v>
          </cell>
          <cell r="R281" t="str">
            <v>Tày</v>
          </cell>
          <cell r="S281">
            <v>45047</v>
          </cell>
          <cell r="T281" t="str">
            <v>020198006454</v>
          </cell>
          <cell r="U281" t="str">
            <v>91 Trần Quang Khải,Khối TQK,Phường Lương Văn Tri, Tỉnh Lạng Sơn</v>
          </cell>
          <cell r="W281" t="str">
            <v>000255/LS-GPHN</v>
          </cell>
          <cell r="X281">
            <v>45772</v>
          </cell>
          <cell r="Z281" t="str">
            <v>Chuyên khoa Ngoại khoa</v>
          </cell>
          <cell r="AB281">
            <v>0</v>
          </cell>
          <cell r="AC281" t="str">
            <v>0387136119</v>
          </cell>
          <cell r="AD281" t="str">
            <v>Thử việc 14/4/2023; Thôi việc 01/01/2024; chuyển công tác đến 26/5/2025</v>
          </cell>
        </row>
        <row r="282">
          <cell r="B282" t="str">
            <v>BV1045</v>
          </cell>
          <cell r="C282" t="str">
            <v>Nông Thị Ngọc Lan</v>
          </cell>
          <cell r="D282" t="str">
            <v>BV1045</v>
          </cell>
          <cell r="E282" t="str">
            <v>x</v>
          </cell>
          <cell r="F282" t="str">
            <v>Điều dưỡng ĐH</v>
          </cell>
          <cell r="G282" t="str">
            <v>TĐ011</v>
          </cell>
          <cell r="I282" t="str">
            <v>Điều dưỡng (hạng III)</v>
          </cell>
          <cell r="J282" t="str">
            <v>Chấn thương - Bỏng</v>
          </cell>
          <cell r="K282" t="str">
            <v>KP014</v>
          </cell>
          <cell r="N282" t="str">
            <v>Viên chức</v>
          </cell>
          <cell r="O282">
            <v>29</v>
          </cell>
          <cell r="P282">
            <v>0</v>
          </cell>
          <cell r="Q282" t="str">
            <v>14/7/1997</v>
          </cell>
          <cell r="R282" t="str">
            <v>Tày</v>
          </cell>
          <cell r="S282" t="str">
            <v>13/7/2020</v>
          </cell>
          <cell r="T282" t="str">
            <v>020197008006</v>
          </cell>
          <cell r="U282" t="str">
            <v>Thôn Bản Chang, Xã Thất Khê, tỉnh Lạng Sơn</v>
          </cell>
          <cell r="W282" t="str">
            <v>004440/LS-CCHN</v>
          </cell>
          <cell r="X282" t="str">
            <v>18/02/2022</v>
          </cell>
          <cell r="Z28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82">
            <v>0</v>
          </cell>
          <cell r="AC282" t="str">
            <v>0369445838</v>
          </cell>
          <cell r="AD282" t="str">
            <v>Thử việc từ 13/7/2020, Viên chức từ 15/6/2026</v>
          </cell>
        </row>
        <row r="283">
          <cell r="B283" t="str">
            <v>BV1140</v>
          </cell>
          <cell r="C283" t="str">
            <v>Sầm Thị Hồng</v>
          </cell>
          <cell r="D283" t="str">
            <v>BV1140</v>
          </cell>
          <cell r="E283" t="str">
            <v>x</v>
          </cell>
          <cell r="F283" t="str">
            <v>Điều dưỡng ĐH</v>
          </cell>
          <cell r="G283" t="str">
            <v>TĐ011</v>
          </cell>
          <cell r="I283" t="str">
            <v>Điều dưỡng (hạng III)</v>
          </cell>
          <cell r="J283" t="str">
            <v>Chấn thương - Bỏng</v>
          </cell>
          <cell r="K283" t="str">
            <v>KP014</v>
          </cell>
          <cell r="N283" t="str">
            <v>Viên chức</v>
          </cell>
          <cell r="O283">
            <v>31</v>
          </cell>
          <cell r="P283">
            <v>0</v>
          </cell>
          <cell r="Q283" t="str">
            <v>19/5/1995</v>
          </cell>
          <cell r="R283" t="str">
            <v>Nùng</v>
          </cell>
          <cell r="S283" t="str">
            <v>23/8/2021</v>
          </cell>
          <cell r="T283" t="str">
            <v>004195000680</v>
          </cell>
          <cell r="U283" t="str">
            <v>Số nhà 56 Tổ 1 khối 9, Phường Kỳ Lừa, Tỉnh Lạng Sơn</v>
          </cell>
          <cell r="V283">
            <v>44704</v>
          </cell>
          <cell r="W283" t="str">
            <v>000122/LS-GPHN</v>
          </cell>
          <cell r="X283">
            <v>0</v>
          </cell>
          <cell r="Z283" t="str">
            <v>Điều dưỡng</v>
          </cell>
          <cell r="AB283">
            <v>0</v>
          </cell>
          <cell r="AC283" t="str">
            <v>0962157761</v>
          </cell>
          <cell r="AD283" t="str">
            <v>Thử việc 23/8/2021, Viên chức từ 15/6/2026</v>
          </cell>
        </row>
        <row r="284">
          <cell r="B284" t="str">
            <v>BV1242</v>
          </cell>
          <cell r="C284" t="str">
            <v>Nguyễn Thúy Quỳnh</v>
          </cell>
          <cell r="D284" t="str">
            <v>BV1242</v>
          </cell>
          <cell r="E284" t="str">
            <v>x</v>
          </cell>
          <cell r="F284" t="str">
            <v>Điều dưỡng ĐH</v>
          </cell>
          <cell r="G284" t="str">
            <v>TĐ011</v>
          </cell>
          <cell r="I284" t="str">
            <v>Điều dưỡng (hạng III)</v>
          </cell>
          <cell r="J284" t="str">
            <v>Chấn thương - Bỏng</v>
          </cell>
          <cell r="K284" t="str">
            <v>KP014</v>
          </cell>
          <cell r="N284" t="str">
            <v>HĐ có thời hạn</v>
          </cell>
          <cell r="O284">
            <v>25</v>
          </cell>
          <cell r="P284">
            <v>0</v>
          </cell>
          <cell r="Q284" t="str">
            <v>30/12/2000</v>
          </cell>
          <cell r="R284" t="str">
            <v>Kinh</v>
          </cell>
          <cell r="S284">
            <v>45030</v>
          </cell>
          <cell r="T284" t="str">
            <v>020300007278</v>
          </cell>
          <cell r="U284" t="str">
            <v>khối 19, phường Đông Kinh, tỉnh Lạng Sơn</v>
          </cell>
          <cell r="V284">
            <v>45305</v>
          </cell>
          <cell r="W284" t="str">
            <v>000181/LS-GPHN</v>
          </cell>
          <cell r="X284">
            <v>45633</v>
          </cell>
          <cell r="Z284" t="str">
            <v>Điều dưỡng</v>
          </cell>
          <cell r="AB284">
            <v>0</v>
          </cell>
          <cell r="AC284" t="str">
            <v>0982495378</v>
          </cell>
          <cell r="AD284" t="str">
            <v>Thử việc 14/4/2023</v>
          </cell>
        </row>
        <row r="285">
          <cell r="B285" t="str">
            <v>BV1251</v>
          </cell>
          <cell r="C285" t="str">
            <v>Nguyễn Thị Bích Phương</v>
          </cell>
          <cell r="D285" t="str">
            <v>BV1251</v>
          </cell>
          <cell r="E285" t="str">
            <v>x</v>
          </cell>
          <cell r="F285" t="str">
            <v>Điều dưỡng ĐH</v>
          </cell>
          <cell r="G285" t="str">
            <v>TĐ011</v>
          </cell>
          <cell r="I285" t="str">
            <v>Điều dưỡng (hạng III)</v>
          </cell>
          <cell r="J285" t="str">
            <v>Chấn thương - Bỏng</v>
          </cell>
          <cell r="K285" t="str">
            <v>KP014</v>
          </cell>
          <cell r="N285" t="str">
            <v>Viên chức</v>
          </cell>
          <cell r="O285">
            <v>26</v>
          </cell>
          <cell r="P285">
            <v>0</v>
          </cell>
          <cell r="Q285" t="str">
            <v>30/01/2000</v>
          </cell>
          <cell r="R285" t="str">
            <v>Tày</v>
          </cell>
          <cell r="S285">
            <v>45260</v>
          </cell>
          <cell r="T285" t="str">
            <v>020300008106</v>
          </cell>
          <cell r="U285" t="str">
            <v>Thôn Tà Hón, Xã Đình Lập,Tỉnh Lạng Sơn</v>
          </cell>
          <cell r="V285">
            <v>45534</v>
          </cell>
          <cell r="W285" t="str">
            <v>000232/LS-GPHN</v>
          </cell>
          <cell r="X285">
            <v>45747</v>
          </cell>
          <cell r="Z285" t="str">
            <v>Điều dưỡng</v>
          </cell>
          <cell r="AB285">
            <v>0</v>
          </cell>
          <cell r="AC285" t="str">
            <v>0978054584</v>
          </cell>
          <cell r="AD285" t="str">
            <v>Thử việc 01/12/2023, Viên chức từ 15/6/2026</v>
          </cell>
        </row>
        <row r="286">
          <cell r="B286" t="str">
            <v>BV1268</v>
          </cell>
          <cell r="C286" t="str">
            <v>Nông Thị Kim Xuyến</v>
          </cell>
          <cell r="D286" t="str">
            <v>BV1268</v>
          </cell>
          <cell r="E286" t="str">
            <v>x</v>
          </cell>
          <cell r="F286" t="str">
            <v>Điều dưỡng ĐH</v>
          </cell>
          <cell r="G286" t="str">
            <v>TĐ011</v>
          </cell>
          <cell r="I286" t="str">
            <v>Điều dưỡng (hạng III)</v>
          </cell>
          <cell r="J286" t="str">
            <v>Chấn thương - Bỏng</v>
          </cell>
          <cell r="K286" t="str">
            <v>KP014</v>
          </cell>
          <cell r="N286" t="str">
            <v>HĐ có thời hạn</v>
          </cell>
          <cell r="O286">
            <v>24</v>
          </cell>
          <cell r="P286">
            <v>0</v>
          </cell>
          <cell r="Q286" t="str">
            <v>11/12/2001</v>
          </cell>
          <cell r="R286" t="str">
            <v>Tày</v>
          </cell>
          <cell r="S286">
            <v>45271</v>
          </cell>
          <cell r="T286" t="str">
            <v>020301003517</v>
          </cell>
          <cell r="U286" t="str">
            <v>Số 10 Mỹ Sơn 3, Khối 9,Phường Đông Kinh, Tỉnh Lạng Sơn</v>
          </cell>
          <cell r="V286">
            <v>45546</v>
          </cell>
          <cell r="W286" t="str">
            <v/>
          </cell>
          <cell r="X286" t="str">
            <v/>
          </cell>
          <cell r="Z286" t="str">
            <v/>
          </cell>
          <cell r="AB286">
            <v>0</v>
          </cell>
          <cell r="AC286" t="str">
            <v>0981396189</v>
          </cell>
          <cell r="AD286" t="str">
            <v>Thử việc 11/12/2023</v>
          </cell>
        </row>
        <row r="287">
          <cell r="B287" t="str">
            <v>BV0974</v>
          </cell>
          <cell r="C287" t="str">
            <v>Nông Văn Bảo</v>
          </cell>
          <cell r="D287" t="str">
            <v>BV0974</v>
          </cell>
          <cell r="F287" t="str">
            <v>Điều dưỡng CĐ</v>
          </cell>
          <cell r="G287" t="str">
            <v>TĐ012</v>
          </cell>
          <cell r="I287" t="str">
            <v>Điều dưỡng (hạng IV)</v>
          </cell>
          <cell r="J287" t="str">
            <v>Chấn thương - Bỏng</v>
          </cell>
          <cell r="K287" t="str">
            <v>KP014</v>
          </cell>
          <cell r="N287" t="str">
            <v>Viên chức</v>
          </cell>
          <cell r="O287">
            <v>30</v>
          </cell>
          <cell r="P287" t="str">
            <v>10/4/1996</v>
          </cell>
          <cell r="Q287">
            <v>0</v>
          </cell>
          <cell r="R287" t="str">
            <v>Nùng</v>
          </cell>
          <cell r="S287" t="str">
            <v>02/12/2019</v>
          </cell>
          <cell r="T287" t="str">
            <v>020096005488</v>
          </cell>
          <cell r="U287" t="str">
            <v>Thôn Hợp Thành, Xã Khuất Xá, Tỉnh Lạng Sơn</v>
          </cell>
          <cell r="W287" t="str">
            <v>004094/LS-CCHN</v>
          </cell>
          <cell r="X287" t="str">
            <v>19/01/2021</v>
          </cell>
          <cell r="Z28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87">
            <v>0</v>
          </cell>
          <cell r="AD287" t="str">
            <v>Thử việc 02/12/2019; đỗ VC 20/5/2026</v>
          </cell>
        </row>
        <row r="288">
          <cell r="B288" t="str">
            <v>BV0866</v>
          </cell>
          <cell r="C288" t="str">
            <v>Hoàng Minh Tuệ</v>
          </cell>
          <cell r="D288" t="str">
            <v>BV0866</v>
          </cell>
          <cell r="F288" t="str">
            <v>Điều dưỡng CĐ</v>
          </cell>
          <cell r="G288" t="str">
            <v>TĐ012</v>
          </cell>
          <cell r="I288" t="str">
            <v>Điều dưỡng (hạng IV)</v>
          </cell>
          <cell r="J288" t="str">
            <v>Chấn thương - Bỏng</v>
          </cell>
          <cell r="K288" t="str">
            <v>KP014</v>
          </cell>
          <cell r="N288" t="str">
            <v>HĐ có thời hạn</v>
          </cell>
          <cell r="O288">
            <v>29</v>
          </cell>
          <cell r="P288">
            <v>35610</v>
          </cell>
          <cell r="Q288">
            <v>0</v>
          </cell>
          <cell r="R288" t="str">
            <v>Tày</v>
          </cell>
          <cell r="S288" t="str">
            <v>01/11/2018</v>
          </cell>
          <cell r="T288" t="str">
            <v>020097001291</v>
          </cell>
          <cell r="U288" t="str">
            <v>Khối Khòn Pát, phường Đông Kinh, tỉnh Lạng Sơn</v>
          </cell>
          <cell r="W288" t="str">
            <v>003627/LS-CCHN</v>
          </cell>
          <cell r="X288" t="str">
            <v>21/11/2019</v>
          </cell>
          <cell r="Z28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88">
            <v>0</v>
          </cell>
          <cell r="AC288" t="str">
            <v>0867938918</v>
          </cell>
          <cell r="AD288" t="str">
            <v>Thử việc T11/2018</v>
          </cell>
        </row>
        <row r="289">
          <cell r="B289" t="str">
            <v>BV0789</v>
          </cell>
          <cell r="C289" t="str">
            <v>Nguyễn Thị Tuyền</v>
          </cell>
          <cell r="D289" t="str">
            <v>BV0789</v>
          </cell>
          <cell r="E289" t="str">
            <v>x</v>
          </cell>
          <cell r="F289" t="str">
            <v>Điều dưỡng CĐ</v>
          </cell>
          <cell r="G289" t="str">
            <v>TĐ012</v>
          </cell>
          <cell r="I289" t="str">
            <v>Điều dưỡng (hạng IV)</v>
          </cell>
          <cell r="J289" t="str">
            <v>Chấn thương - Bỏng</v>
          </cell>
          <cell r="K289" t="str">
            <v>KP014</v>
          </cell>
          <cell r="N289" t="str">
            <v>Viên chức</v>
          </cell>
          <cell r="O289">
            <v>30</v>
          </cell>
          <cell r="P289">
            <v>0</v>
          </cell>
          <cell r="Q289" t="str">
            <v>14/8/1995</v>
          </cell>
          <cell r="R289" t="str">
            <v>Kinh</v>
          </cell>
          <cell r="S289" t="str">
            <v xml:space="preserve"> 02/10/2017</v>
          </cell>
          <cell r="T289" t="str">
            <v>030195005409</v>
          </cell>
          <cell r="U289" t="str">
            <v>Phường Kỳ Lừa, tỉnh Lạng Sơn</v>
          </cell>
          <cell r="W289" t="str">
            <v>003806/LS-CCHN</v>
          </cell>
          <cell r="X289" t="str">
            <v>21/07/2020</v>
          </cell>
          <cell r="Z28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89">
            <v>0</v>
          </cell>
          <cell r="AC289" t="str">
            <v>0349044248</v>
          </cell>
          <cell r="AD289" t="str">
            <v>Thử việc 28/8/2017; HĐ 02/10; đỗ VC 20/5/2026</v>
          </cell>
        </row>
        <row r="290">
          <cell r="B290" t="str">
            <v>BV0719</v>
          </cell>
          <cell r="C290" t="str">
            <v>Nông Văn Thảo</v>
          </cell>
          <cell r="D290" t="str">
            <v>BV0719</v>
          </cell>
          <cell r="F290" t="str">
            <v>Điều dưỡng CĐ</v>
          </cell>
          <cell r="G290" t="str">
            <v>TĐ012</v>
          </cell>
          <cell r="I290" t="str">
            <v>Điều dưỡng (hạng IV)</v>
          </cell>
          <cell r="J290" t="str">
            <v>Chấn thương - Bỏng</v>
          </cell>
          <cell r="K290" t="str">
            <v>KP014</v>
          </cell>
          <cell r="N290" t="str">
            <v>Viên chức</v>
          </cell>
          <cell r="O290">
            <v>35</v>
          </cell>
          <cell r="P290" t="str">
            <v>08/01/1991</v>
          </cell>
          <cell r="Q290">
            <v>0</v>
          </cell>
          <cell r="R290" t="str">
            <v>Tày</v>
          </cell>
          <cell r="S290" t="str">
            <v xml:space="preserve"> 29/8/2016</v>
          </cell>
          <cell r="T290" t="str">
            <v>020091002288</v>
          </cell>
          <cell r="U290" t="str">
            <v>Thôn Tà Hón, Xã Đình Lập,Tỉnh Lạng Sơn</v>
          </cell>
          <cell r="W290" t="str">
            <v>003417/LS-CCHN</v>
          </cell>
          <cell r="X290" t="str">
            <v>21/01/2019</v>
          </cell>
          <cell r="Z29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90">
            <v>0</v>
          </cell>
          <cell r="AC290" t="str">
            <v>0346054312</v>
          </cell>
          <cell r="AD290" t="str">
            <v>HĐ 29/8/2016; Đỗ VC 20/5/2026</v>
          </cell>
        </row>
        <row r="291">
          <cell r="B291" t="str">
            <v>BV0857</v>
          </cell>
          <cell r="C291" t="str">
            <v>Lương Sơn Tùng</v>
          </cell>
          <cell r="D291" t="str">
            <v>BV0857</v>
          </cell>
          <cell r="F291" t="str">
            <v>Điều dưỡng CĐ</v>
          </cell>
          <cell r="G291" t="str">
            <v>TĐ012</v>
          </cell>
          <cell r="I291" t="str">
            <v>Điều dưỡng (hạng IV)</v>
          </cell>
          <cell r="J291" t="str">
            <v>Chấn thương - Bỏng</v>
          </cell>
          <cell r="K291" t="str">
            <v>KP014</v>
          </cell>
          <cell r="N291" t="str">
            <v>Viên chức</v>
          </cell>
          <cell r="O291">
            <v>29</v>
          </cell>
          <cell r="P291">
            <v>35500</v>
          </cell>
          <cell r="Q291">
            <v>0</v>
          </cell>
          <cell r="R291" t="str">
            <v>Nùng</v>
          </cell>
          <cell r="S291" t="str">
            <v>01/11/2018</v>
          </cell>
          <cell r="T291" t="str">
            <v>020097008876</v>
          </cell>
          <cell r="U291" t="str">
            <v>Pác Làng Xã Điềm He, Tỉnh Lạng Sơn</v>
          </cell>
          <cell r="W291" t="str">
            <v>003719/LS-CCHN</v>
          </cell>
          <cell r="X291" t="str">
            <v>22/05/2020</v>
          </cell>
          <cell r="Z291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91">
            <v>0</v>
          </cell>
          <cell r="AC291" t="str">
            <v>0962263414</v>
          </cell>
          <cell r="AD291" t="str">
            <v>Thử việc T11/2018; đỗ VC 20/5/2026</v>
          </cell>
        </row>
        <row r="292">
          <cell r="B292" t="str">
            <v>BV0893</v>
          </cell>
          <cell r="C292" t="str">
            <v>Mã Thị Lâm</v>
          </cell>
          <cell r="D292" t="str">
            <v>BV0893</v>
          </cell>
          <cell r="E292" t="str">
            <v>x</v>
          </cell>
          <cell r="F292" t="str">
            <v>Điều dưỡng CĐ</v>
          </cell>
          <cell r="G292" t="str">
            <v>TĐ012</v>
          </cell>
          <cell r="I292" t="str">
            <v>Điều dưỡng (hạng IV)</v>
          </cell>
          <cell r="J292" t="str">
            <v>Chấn thương - Bỏng</v>
          </cell>
          <cell r="K292" t="str">
            <v>KP014</v>
          </cell>
          <cell r="N292" t="str">
            <v>Viên chức</v>
          </cell>
          <cell r="O292">
            <v>28</v>
          </cell>
          <cell r="P292">
            <v>0</v>
          </cell>
          <cell r="Q292" t="str">
            <v>24/10/1997</v>
          </cell>
          <cell r="R292" t="str">
            <v>Nùng</v>
          </cell>
          <cell r="S292" t="str">
            <v>17/4/2019</v>
          </cell>
          <cell r="T292" t="str">
            <v>020197008489</v>
          </cell>
          <cell r="U292" t="str">
            <v>Xã Quốc Khánh Tỉnh Lạng Sơn</v>
          </cell>
          <cell r="W292" t="str">
            <v>004134/LS-CCHN</v>
          </cell>
          <cell r="X292" t="str">
            <v>08/02/2021</v>
          </cell>
          <cell r="Z29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92">
            <v>0</v>
          </cell>
          <cell r="AC292" t="str">
            <v>0368533166</v>
          </cell>
          <cell r="AD292" t="str">
            <v>Thử việc 17/4/2019-31/5/2019; đỗ VC 20/5/2026</v>
          </cell>
        </row>
        <row r="293">
          <cell r="B293" t="str">
            <v>BV0970</v>
          </cell>
          <cell r="C293" t="str">
            <v>Hoàng Thị Quy</v>
          </cell>
          <cell r="D293" t="str">
            <v>BV0970</v>
          </cell>
          <cell r="E293" t="str">
            <v>x</v>
          </cell>
          <cell r="F293" t="str">
            <v>Điều dưỡng CĐ</v>
          </cell>
          <cell r="G293" t="str">
            <v>TĐ012</v>
          </cell>
          <cell r="I293" t="str">
            <v>Điều dưỡng (hạng IV)</v>
          </cell>
          <cell r="J293" t="str">
            <v>Chấn thương - Bỏng</v>
          </cell>
          <cell r="K293" t="str">
            <v>KP014</v>
          </cell>
          <cell r="N293" t="str">
            <v>Viên chức</v>
          </cell>
          <cell r="O293">
            <v>28</v>
          </cell>
          <cell r="P293">
            <v>0</v>
          </cell>
          <cell r="Q293" t="str">
            <v>21/9/1997</v>
          </cell>
          <cell r="R293" t="str">
            <v>Tày</v>
          </cell>
          <cell r="S293" t="str">
            <v>02/12/2019</v>
          </cell>
          <cell r="T293" t="str">
            <v>020197001208</v>
          </cell>
          <cell r="U293" t="str">
            <v>Thôn Làng Thượng,Xã Vạn Linh, Tỉnh Lạng Sơn</v>
          </cell>
          <cell r="W293" t="str">
            <v>004084/LS-CCHN</v>
          </cell>
          <cell r="X293" t="str">
            <v>19/01/2021</v>
          </cell>
          <cell r="Z29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93">
            <v>0</v>
          </cell>
          <cell r="AD293" t="str">
            <v>Thử việc 02/12/2019, Viên chức từ 15/6/2026</v>
          </cell>
        </row>
        <row r="294">
          <cell r="B294" t="str">
            <v>BV0718</v>
          </cell>
          <cell r="C294" t="str">
            <v>Lâm Thị Phượng</v>
          </cell>
          <cell r="D294" t="str">
            <v>BV0718</v>
          </cell>
          <cell r="E294" t="str">
            <v>x</v>
          </cell>
          <cell r="F294" t="str">
            <v>Điều dưỡng CĐ</v>
          </cell>
          <cell r="G294" t="str">
            <v>TĐ012</v>
          </cell>
          <cell r="I294" t="str">
            <v>Điều dưỡng (hạng IV)</v>
          </cell>
          <cell r="J294" t="str">
            <v>Chấn thương - Bỏng</v>
          </cell>
          <cell r="K294" t="str">
            <v>KP014</v>
          </cell>
          <cell r="N294" t="str">
            <v>Viên chức</v>
          </cell>
          <cell r="O294">
            <v>32</v>
          </cell>
          <cell r="P294">
            <v>0</v>
          </cell>
          <cell r="Q294" t="str">
            <v>29/7/1994</v>
          </cell>
          <cell r="R294" t="str">
            <v>Nùng</v>
          </cell>
          <cell r="S294" t="str">
            <v xml:space="preserve"> 29/8/2016</v>
          </cell>
          <cell r="T294" t="str">
            <v>020194005623</v>
          </cell>
          <cell r="U294" t="str">
            <v>Thôn Xuân Lũng, Xã Khánh Khê, Tỉnh Lạng Sơn</v>
          </cell>
          <cell r="W294" t="str">
            <v>002142/LS-CCHN</v>
          </cell>
          <cell r="X294" t="str">
            <v>01/12/2017</v>
          </cell>
          <cell r="Z29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94">
            <v>0</v>
          </cell>
          <cell r="AC294" t="str">
            <v>0389338236</v>
          </cell>
          <cell r="AD294" t="str">
            <v>HĐ 29/8/2016; Đỗ VC 20/5/2026</v>
          </cell>
        </row>
        <row r="295">
          <cell r="B295" t="str">
            <v>BV1044</v>
          </cell>
          <cell r="C295" t="str">
            <v>Hoàng Thị Chuyên</v>
          </cell>
          <cell r="D295" t="str">
            <v>BV1044</v>
          </cell>
          <cell r="E295" t="str">
            <v>x</v>
          </cell>
          <cell r="F295" t="str">
            <v>Điều dưỡng CĐ</v>
          </cell>
          <cell r="G295" t="str">
            <v>TĐ012</v>
          </cell>
          <cell r="I295" t="str">
            <v>Điều dưỡng (hạng IV)</v>
          </cell>
          <cell r="J295" t="str">
            <v>Chấn thương - Bỏng</v>
          </cell>
          <cell r="K295" t="str">
            <v>KP014</v>
          </cell>
          <cell r="N295" t="str">
            <v>Viên chức</v>
          </cell>
          <cell r="O295">
            <v>31</v>
          </cell>
          <cell r="P295">
            <v>0</v>
          </cell>
          <cell r="Q295" t="str">
            <v>09/10/1994</v>
          </cell>
          <cell r="R295" t="str">
            <v>Tày</v>
          </cell>
          <cell r="S295" t="str">
            <v>13/7/2020</v>
          </cell>
          <cell r="T295" t="str">
            <v>020194000485</v>
          </cell>
          <cell r="U295" t="str">
            <v>Khối Hoàng Tâm, Phường Tam Thanh,Tỉnh Lạng Sơn</v>
          </cell>
          <cell r="W295" t="str">
            <v>004246/LS-CCHN</v>
          </cell>
          <cell r="X295" t="str">
            <v>10/06/2021</v>
          </cell>
          <cell r="Z295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95">
            <v>0</v>
          </cell>
          <cell r="AC295" t="str">
            <v>0364026171</v>
          </cell>
          <cell r="AD295" t="str">
            <v>Thử việc từ 13/7/2020, Viên chức từ 15/6/2026</v>
          </cell>
        </row>
        <row r="296">
          <cell r="B296" t="str">
            <v>BV1087</v>
          </cell>
          <cell r="C296" t="str">
            <v>Ngô Thị Ìn</v>
          </cell>
          <cell r="D296" t="str">
            <v>BV1087</v>
          </cell>
          <cell r="E296" t="str">
            <v>x</v>
          </cell>
          <cell r="F296" t="str">
            <v>Điều dưỡng CĐ</v>
          </cell>
          <cell r="G296" t="str">
            <v>TĐ012</v>
          </cell>
          <cell r="I296" t="str">
            <v>Điều dưỡng (hạng IV)</v>
          </cell>
          <cell r="J296" t="str">
            <v>Chấn thương - Bỏng</v>
          </cell>
          <cell r="K296" t="str">
            <v>KP014</v>
          </cell>
          <cell r="N296" t="str">
            <v>Viên chức</v>
          </cell>
          <cell r="O296">
            <v>28</v>
          </cell>
          <cell r="P296">
            <v>0</v>
          </cell>
          <cell r="Q296" t="str">
            <v>16/7/1998</v>
          </cell>
          <cell r="R296" t="str">
            <v>Nùng</v>
          </cell>
          <cell r="S296" t="str">
            <v>03/11/2020</v>
          </cell>
          <cell r="T296" t="str">
            <v>020198001085</v>
          </cell>
          <cell r="U296" t="str">
            <v>Khu Nà Phái, Xã Thất Khê, Tỉnh Lạng Sơn</v>
          </cell>
          <cell r="W296" t="str">
            <v>004527/LS-CCHN</v>
          </cell>
          <cell r="X296" t="str">
            <v>12/05/2022</v>
          </cell>
          <cell r="Z296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96">
            <v>0</v>
          </cell>
          <cell r="AC296" t="str">
            <v>0338592682</v>
          </cell>
          <cell r="AD296" t="str">
            <v>Thử việc 03/11/2020, Viên chức từ 15/6/2026</v>
          </cell>
        </row>
        <row r="297">
          <cell r="B297" t="str">
            <v>BV1139</v>
          </cell>
          <cell r="C297" t="str">
            <v>Hoàng Văn Cánh</v>
          </cell>
          <cell r="D297" t="str">
            <v>BV1139</v>
          </cell>
          <cell r="F297" t="str">
            <v>Điều dưỡng CĐ</v>
          </cell>
          <cell r="G297" t="str">
            <v>TĐ012</v>
          </cell>
          <cell r="I297" t="str">
            <v>Điều dưỡng (hạng IV)</v>
          </cell>
          <cell r="J297" t="str">
            <v>Chấn thương - Bỏng</v>
          </cell>
          <cell r="K297" t="str">
            <v>KP014</v>
          </cell>
          <cell r="N297" t="str">
            <v>Viên chức</v>
          </cell>
          <cell r="O297">
            <v>27</v>
          </cell>
          <cell r="P297" t="str">
            <v>26/4/1999</v>
          </cell>
          <cell r="Q297">
            <v>0</v>
          </cell>
          <cell r="R297" t="str">
            <v>Nùng</v>
          </cell>
          <cell r="S297">
            <v>44445</v>
          </cell>
          <cell r="T297" t="str">
            <v>020099001098</v>
          </cell>
          <cell r="U297" t="str">
            <v>Quảng Lộng, Xã Hội Hoan, Tỉnh Lạng Sơn</v>
          </cell>
          <cell r="V297">
            <v>44718</v>
          </cell>
          <cell r="W297" t="str">
            <v>005707/LS-CCHN</v>
          </cell>
          <cell r="X297">
            <v>0</v>
          </cell>
          <cell r="Z29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297">
            <v>0</v>
          </cell>
          <cell r="AC297" t="str">
            <v>0386500307</v>
          </cell>
          <cell r="AD297" t="str">
            <v>Thử việc 6/9/2021, Viên chức từ 15/6/2026</v>
          </cell>
        </row>
        <row r="298">
          <cell r="B298" t="str">
            <v>BV1202</v>
          </cell>
          <cell r="C298" t="str">
            <v>Luân Văn Lượng</v>
          </cell>
          <cell r="D298" t="str">
            <v>BV1202</v>
          </cell>
          <cell r="F298" t="str">
            <v>Điều dưỡng CĐ</v>
          </cell>
          <cell r="G298" t="str">
            <v>TĐ012</v>
          </cell>
          <cell r="I298" t="str">
            <v>Điều dưỡng (hạng IV)</v>
          </cell>
          <cell r="J298" t="str">
            <v>Chấn thương - Bỏng</v>
          </cell>
          <cell r="K298" t="str">
            <v>KP014</v>
          </cell>
          <cell r="N298" t="str">
            <v>Viên chức</v>
          </cell>
          <cell r="O298">
            <v>28</v>
          </cell>
          <cell r="P298" t="str">
            <v>13/12/1997</v>
          </cell>
          <cell r="Q298">
            <v>0</v>
          </cell>
          <cell r="R298" t="str">
            <v>Nùng</v>
          </cell>
          <cell r="S298">
            <v>44837</v>
          </cell>
          <cell r="T298" t="str">
            <v>020097003006</v>
          </cell>
          <cell r="U298" t="str">
            <v>Thôn Bảng Nhang, Xã Điềm He, Tỉnh lạng sơn</v>
          </cell>
          <cell r="V298">
            <v>45110</v>
          </cell>
          <cell r="W298" t="str">
            <v>000123/LS-GPHN</v>
          </cell>
          <cell r="X298">
            <v>45521</v>
          </cell>
          <cell r="Z298" t="str">
            <v>Điều dưỡng</v>
          </cell>
          <cell r="AB298">
            <v>0</v>
          </cell>
          <cell r="AC298" t="str">
            <v>0989030078</v>
          </cell>
          <cell r="AD298" t="str">
            <v>Thử việc 03/10/2022, Viên chức từ 15/6/2026</v>
          </cell>
        </row>
        <row r="299">
          <cell r="B299" t="str">
            <v>BV0224</v>
          </cell>
          <cell r="C299" t="str">
            <v>Lê Trọng Huấn</v>
          </cell>
          <cell r="D299" t="str">
            <v>BV0224</v>
          </cell>
          <cell r="F299" t="str">
            <v>Điều dưỡng ĐH</v>
          </cell>
          <cell r="G299" t="str">
            <v>TĐ011</v>
          </cell>
          <cell r="H299" t="str">
            <v>Điều dưỡng (hạng III)</v>
          </cell>
          <cell r="I299" t="str">
            <v>Điều dưỡng (hạng III)</v>
          </cell>
          <cell r="J299" t="str">
            <v>Chấn thương - Bỏng</v>
          </cell>
          <cell r="K299" t="str">
            <v>KP014</v>
          </cell>
          <cell r="L299" t="str">
            <v>Viên chức CMNV</v>
          </cell>
          <cell r="M299">
            <v>0</v>
          </cell>
          <cell r="N299" t="str">
            <v>Viên chức</v>
          </cell>
          <cell r="O299">
            <v>39</v>
          </cell>
          <cell r="P299">
            <v>31995</v>
          </cell>
          <cell r="Q299">
            <v>0</v>
          </cell>
          <cell r="R299" t="str">
            <v>Nùng</v>
          </cell>
          <cell r="S299" t="str">
            <v>15/1/2010</v>
          </cell>
          <cell r="T299" t="str">
            <v>020087004744</v>
          </cell>
          <cell r="U299" t="str">
            <v>Khối Hợp Thành, Phường Kỳ Lừa,Tỉnh Lạng Sơn</v>
          </cell>
          <cell r="W299" t="str">
            <v>000940/LS-CCHN</v>
          </cell>
          <cell r="X299" t="str">
            <v>11/01/2023</v>
          </cell>
          <cell r="Z29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299">
            <v>0</v>
          </cell>
          <cell r="AC299">
            <v>983692862</v>
          </cell>
        </row>
        <row r="300">
          <cell r="B300" t="str">
            <v>BV0229</v>
          </cell>
          <cell r="C300" t="str">
            <v>Chu Thị Huệ</v>
          </cell>
          <cell r="D300" t="str">
            <v>BV0229</v>
          </cell>
          <cell r="E300" t="str">
            <v>x</v>
          </cell>
          <cell r="F300" t="str">
            <v>Điều dưỡng CĐ</v>
          </cell>
          <cell r="G300" t="str">
            <v>TĐ012</v>
          </cell>
          <cell r="H300" t="str">
            <v>Điều dưỡng (hạng IV)</v>
          </cell>
          <cell r="I300" t="str">
            <v>Điều dưỡng (hạng IV)</v>
          </cell>
          <cell r="J300" t="str">
            <v>Chấn thương - Bỏng</v>
          </cell>
          <cell r="K300" t="str">
            <v>KP014</v>
          </cell>
          <cell r="L300" t="str">
            <v>Viên chức CMNV</v>
          </cell>
          <cell r="M300">
            <v>0</v>
          </cell>
          <cell r="N300" t="str">
            <v>Viên chức</v>
          </cell>
          <cell r="O300">
            <v>39</v>
          </cell>
          <cell r="P300">
            <v>0</v>
          </cell>
          <cell r="Q300">
            <v>31825</v>
          </cell>
          <cell r="R300" t="str">
            <v>Tày</v>
          </cell>
          <cell r="S300" t="str">
            <v>1/12/2010</v>
          </cell>
          <cell r="T300" t="str">
            <v>020187012007</v>
          </cell>
          <cell r="U300" t="str">
            <v>Thôn Mới, Xã Na Dương,Tỉnh Lạng Sơn</v>
          </cell>
          <cell r="W300" t="str">
            <v>000943/LS-CCHN</v>
          </cell>
          <cell r="X300" t="str">
            <v>11/01/2023</v>
          </cell>
          <cell r="Z300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00">
            <v>0</v>
          </cell>
          <cell r="AC300" t="str">
            <v>0359550745</v>
          </cell>
        </row>
        <row r="301">
          <cell r="B301" t="str">
            <v>BV0228</v>
          </cell>
          <cell r="C301" t="str">
            <v>Đàm Thị Na</v>
          </cell>
          <cell r="D301" t="str">
            <v>BV0228</v>
          </cell>
          <cell r="E301" t="str">
            <v>x</v>
          </cell>
          <cell r="F301" t="str">
            <v>Điều dưỡng CĐ</v>
          </cell>
          <cell r="G301" t="str">
            <v>TĐ012</v>
          </cell>
          <cell r="H301" t="str">
            <v>Điều dưỡng (hạng IV)</v>
          </cell>
          <cell r="I301" t="str">
            <v>Điều dưỡng (hạng IV)</v>
          </cell>
          <cell r="J301" t="str">
            <v>Chấn thương - Bỏng</v>
          </cell>
          <cell r="K301" t="str">
            <v>KP014</v>
          </cell>
          <cell r="L301" t="str">
            <v>Viên chức CMNV</v>
          </cell>
          <cell r="M301">
            <v>0</v>
          </cell>
          <cell r="N301" t="str">
            <v>Viên chức</v>
          </cell>
          <cell r="O301">
            <v>40</v>
          </cell>
          <cell r="P301">
            <v>0</v>
          </cell>
          <cell r="Q301">
            <v>31583</v>
          </cell>
          <cell r="R301" t="str">
            <v>Nùng</v>
          </cell>
          <cell r="S301" t="str">
            <v>1/12/2008</v>
          </cell>
          <cell r="T301" t="str">
            <v>020186002959</v>
          </cell>
          <cell r="U301" t="str">
            <v>Phường Lương Văn Tri, tỉnh Lạng Sơn</v>
          </cell>
          <cell r="W301" t="str">
            <v>000942/LS-CCHN</v>
          </cell>
          <cell r="X301" t="str">
            <v>11/01/2023</v>
          </cell>
          <cell r="Z30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01">
            <v>0</v>
          </cell>
          <cell r="AC301">
            <v>984536866</v>
          </cell>
        </row>
        <row r="302">
          <cell r="B302" t="str">
            <v>BV0026</v>
          </cell>
          <cell r="C302" t="str">
            <v>Hoàng Huy Thắng</v>
          </cell>
          <cell r="D302" t="str">
            <v>BV0026</v>
          </cell>
          <cell r="F302" t="str">
            <v>Điều dưỡng CĐ</v>
          </cell>
          <cell r="G302" t="str">
            <v>TĐ012</v>
          </cell>
          <cell r="H302" t="str">
            <v>Điều dưỡng (hạng IV)</v>
          </cell>
          <cell r="I302" t="str">
            <v>Điều dưỡng (hạng IV)</v>
          </cell>
          <cell r="J302" t="str">
            <v>Chấn thương - Bỏng</v>
          </cell>
          <cell r="K302" t="str">
            <v>KP014</v>
          </cell>
          <cell r="L302" t="str">
            <v>Viên chức CMNV</v>
          </cell>
          <cell r="M302">
            <v>0</v>
          </cell>
          <cell r="N302" t="str">
            <v>Viên chức</v>
          </cell>
          <cell r="O302">
            <v>40</v>
          </cell>
          <cell r="P302">
            <v>31476</v>
          </cell>
          <cell r="Q302">
            <v>0</v>
          </cell>
          <cell r="R302" t="str">
            <v>Tày</v>
          </cell>
          <cell r="S302" t="str">
            <v>15/1/2010</v>
          </cell>
          <cell r="T302" t="str">
            <v>020086007096</v>
          </cell>
          <cell r="U302" t="str">
            <v>Số Nhà 2 Tổ 2 khối 6, Phường kỳ lừa, Tỉnh Lạng Sơn</v>
          </cell>
          <cell r="W302" t="str">
            <v>000751/LS-CCHN</v>
          </cell>
          <cell r="X302" t="str">
            <v>11/01/2023</v>
          </cell>
          <cell r="Z30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02">
            <v>0</v>
          </cell>
          <cell r="AC302" t="str">
            <v>0916880289</v>
          </cell>
        </row>
        <row r="303">
          <cell r="B303" t="str">
            <v>BV0011</v>
          </cell>
          <cell r="C303" t="str">
            <v>Vi Văn Hải</v>
          </cell>
          <cell r="D303" t="str">
            <v>BV0011</v>
          </cell>
          <cell r="F303" t="str">
            <v>Điều dưỡng CĐ</v>
          </cell>
          <cell r="G303" t="str">
            <v>TĐ012</v>
          </cell>
          <cell r="H303" t="str">
            <v>Điều dưỡng (hạng IV)</v>
          </cell>
          <cell r="I303" t="str">
            <v>Điều dưỡng (hạng IV)</v>
          </cell>
          <cell r="J303" t="str">
            <v>Chấn thương - Bỏng</v>
          </cell>
          <cell r="K303" t="str">
            <v>KP014</v>
          </cell>
          <cell r="L303" t="str">
            <v>Viên chức CMNV</v>
          </cell>
          <cell r="M303">
            <v>0</v>
          </cell>
          <cell r="N303" t="str">
            <v>Viên chức</v>
          </cell>
          <cell r="O303">
            <v>44</v>
          </cell>
          <cell r="P303">
            <v>29849</v>
          </cell>
          <cell r="Q303">
            <v>0</v>
          </cell>
          <cell r="R303" t="str">
            <v>Kinh</v>
          </cell>
          <cell r="S303" t="str">
            <v>16/2/2005</v>
          </cell>
          <cell r="T303" t="str">
            <v>025081000976</v>
          </cell>
          <cell r="U303" t="str">
            <v>40, Bến Bắc, phường Tam Thanh, tỉnh Lạng Sơn</v>
          </cell>
          <cell r="W303" t="str">
            <v>000739/LS-CCHN</v>
          </cell>
          <cell r="X303" t="str">
            <v>11/01/2023</v>
          </cell>
          <cell r="Z30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03">
            <v>0</v>
          </cell>
          <cell r="AC303" t="str">
            <v>0983622418</v>
          </cell>
        </row>
        <row r="304">
          <cell r="B304" t="str">
            <v>BV1239</v>
          </cell>
          <cell r="C304" t="str">
            <v>Lương Thanh Huỳnh</v>
          </cell>
          <cell r="D304" t="str">
            <v>BV1239</v>
          </cell>
          <cell r="F304" t="str">
            <v>Điều dưỡng CĐ</v>
          </cell>
          <cell r="G304" t="str">
            <v>TĐ012</v>
          </cell>
          <cell r="I304" t="str">
            <v>Điều dưỡng (hạng IV)</v>
          </cell>
          <cell r="J304" t="str">
            <v>Chấn thương - Bỏng</v>
          </cell>
          <cell r="K304" t="str">
            <v>KP014</v>
          </cell>
          <cell r="N304" t="str">
            <v>Viên chức</v>
          </cell>
          <cell r="O304">
            <v>30</v>
          </cell>
          <cell r="P304" t="str">
            <v>05/01/1996</v>
          </cell>
          <cell r="Q304">
            <v>0</v>
          </cell>
          <cell r="R304" t="str">
            <v>Tày</v>
          </cell>
          <cell r="S304">
            <v>45030</v>
          </cell>
          <cell r="T304" t="str">
            <v>020096007228</v>
          </cell>
          <cell r="U304" t="str">
            <v>Thôn Trung Thành ,Xã kháng Chiến,Tỉnh Lạng Sơn</v>
          </cell>
          <cell r="W304" t="str">
            <v>002102/LS-CCHN</v>
          </cell>
          <cell r="X304" t="str">
            <v>28/09/2017</v>
          </cell>
          <cell r="Z30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04">
            <v>0</v>
          </cell>
          <cell r="AC304">
            <v>384497338</v>
          </cell>
          <cell r="AD304" t="str">
            <v>Thử việc 14/4/2023, Viên chức từ 15/6/2026</v>
          </cell>
        </row>
        <row r="305">
          <cell r="B305" t="str">
            <v>BV1291</v>
          </cell>
          <cell r="C305" t="str">
            <v>Hoàng Tiến Hùng</v>
          </cell>
          <cell r="D305" t="str">
            <v>BV1291</v>
          </cell>
          <cell r="F305" t="str">
            <v>Điều dưỡng CĐ</v>
          </cell>
          <cell r="G305" t="str">
            <v>TĐ012</v>
          </cell>
          <cell r="I305" t="str">
            <v>Điều dưỡng (hạng IV)</v>
          </cell>
          <cell r="J305" t="str">
            <v>Chấn thương - Bỏng</v>
          </cell>
          <cell r="K305" t="str">
            <v>KP014</v>
          </cell>
          <cell r="N305" t="str">
            <v>Viên chức</v>
          </cell>
          <cell r="O305">
            <v>23</v>
          </cell>
          <cell r="P305" t="str">
            <v>03/7/2003</v>
          </cell>
          <cell r="Q305">
            <v>0</v>
          </cell>
          <cell r="R305" t="str">
            <v>Nùng</v>
          </cell>
          <cell r="S305">
            <v>45597</v>
          </cell>
          <cell r="T305" t="str">
            <v>020203001990</v>
          </cell>
          <cell r="U305" t="str">
            <v>Thôn Trung Kiên, Xã Điềm He, Tỉnh Lạng Sơn</v>
          </cell>
          <cell r="W305" t="str">
            <v>000390/LS-GPHN</v>
          </cell>
          <cell r="X305">
            <v>45952</v>
          </cell>
          <cell r="Z305" t="str">
            <v>Điều dưỡng</v>
          </cell>
          <cell r="AB305">
            <v>0</v>
          </cell>
          <cell r="AC305" t="str">
            <v>0336983820</v>
          </cell>
          <cell r="AD305" t="str">
            <v>HĐ 01/11/2024, Viên chức từ 15/6/2026</v>
          </cell>
        </row>
        <row r="306">
          <cell r="B306" t="str">
            <v>BV1320</v>
          </cell>
          <cell r="C306" t="str">
            <v>Nguyễn Thị Thu</v>
          </cell>
          <cell r="D306" t="str">
            <v>BV1320</v>
          </cell>
          <cell r="E306" t="str">
            <v>x</v>
          </cell>
          <cell r="F306" t="str">
            <v>Điều dưỡng CĐ</v>
          </cell>
          <cell r="G306" t="str">
            <v>TĐ012</v>
          </cell>
          <cell r="I306" t="str">
            <v>Điều dưỡng (hạng IV)</v>
          </cell>
          <cell r="J306" t="str">
            <v>Chấn thương - Bỏng</v>
          </cell>
          <cell r="K306" t="str">
            <v>KP014</v>
          </cell>
          <cell r="N306" t="str">
            <v>Viên chức</v>
          </cell>
          <cell r="O306">
            <v>30</v>
          </cell>
          <cell r="P306">
            <v>0</v>
          </cell>
          <cell r="Q306" t="str">
            <v>10/2/1996</v>
          </cell>
          <cell r="R306" t="str">
            <v>Kinh</v>
          </cell>
          <cell r="S306">
            <v>45810</v>
          </cell>
          <cell r="T306" t="str">
            <v>027196010687</v>
          </cell>
          <cell r="U306" t="str">
            <v>Ngõ 6, Đường Văn Miếu,Khối Văn Miếu Phường Lương Văn Tri, Tỉnh Lạng Sơn</v>
          </cell>
          <cell r="W306" t="str">
            <v/>
          </cell>
          <cell r="X306" t="str">
            <v/>
          </cell>
          <cell r="Z306" t="str">
            <v/>
          </cell>
          <cell r="AB306" t="str">
            <v/>
          </cell>
          <cell r="AC306" t="str">
            <v>0399606288</v>
          </cell>
          <cell r="AD306" t="str">
            <v>HĐ 02/6/2025, Viên chức từ 15/6/2026</v>
          </cell>
        </row>
        <row r="307">
          <cell r="B307" t="str">
            <v>BV1005</v>
          </cell>
          <cell r="C307" t="str">
            <v>Đàm Thị Hợi</v>
          </cell>
          <cell r="D307" t="str">
            <v>BV1005</v>
          </cell>
          <cell r="E307" t="str">
            <v>x</v>
          </cell>
          <cell r="F307" t="str">
            <v>Hộ lý</v>
          </cell>
          <cell r="G307" t="str">
            <v>TĐ047</v>
          </cell>
          <cell r="I307" t="str">
            <v>Hộ lý</v>
          </cell>
          <cell r="J307" t="str">
            <v>Chấn thương - Bỏng</v>
          </cell>
          <cell r="K307" t="str">
            <v>KP014</v>
          </cell>
          <cell r="N307" t="str">
            <v>HĐ có thời hạn</v>
          </cell>
          <cell r="O307">
            <v>43</v>
          </cell>
          <cell r="P307">
            <v>0</v>
          </cell>
          <cell r="Q307" t="str">
            <v>04/06/1983</v>
          </cell>
          <cell r="R307" t="str">
            <v>Nùng</v>
          </cell>
          <cell r="S307" t="str">
            <v>12/4/2020</v>
          </cell>
          <cell r="T307" t="str">
            <v>020183000880</v>
          </cell>
          <cell r="U307" t="str">
            <v>Tổ 1, khối 29, phường Kỳ Lừa, tỉnh Lạng Sơn</v>
          </cell>
          <cell r="W307" t="str">
            <v/>
          </cell>
          <cell r="X307" t="str">
            <v/>
          </cell>
          <cell r="Z307" t="str">
            <v/>
          </cell>
          <cell r="AB307" t="str">
            <v/>
          </cell>
          <cell r="AC307" t="str">
            <v>0365424282</v>
          </cell>
          <cell r="AD307" t="str">
            <v>Hợp đồng từ 12/4/2020</v>
          </cell>
        </row>
        <row r="308">
          <cell r="B308" t="str">
            <v>BV1006</v>
          </cell>
          <cell r="C308" t="str">
            <v>Hoàng Thị Thêu</v>
          </cell>
          <cell r="D308" t="str">
            <v>BV1006</v>
          </cell>
          <cell r="E308" t="str">
            <v>x</v>
          </cell>
          <cell r="F308" t="str">
            <v>Hộ lý</v>
          </cell>
          <cell r="G308" t="str">
            <v>TĐ047</v>
          </cell>
          <cell r="I308" t="str">
            <v>Hộ lý</v>
          </cell>
          <cell r="J308" t="str">
            <v>Chấn thương - Bỏng</v>
          </cell>
          <cell r="K308" t="str">
            <v>KP014</v>
          </cell>
          <cell r="N308" t="str">
            <v>HĐ có thời hạn</v>
          </cell>
          <cell r="O308">
            <v>47</v>
          </cell>
          <cell r="P308">
            <v>0</v>
          </cell>
          <cell r="Q308" t="str">
            <v>05/11/1978</v>
          </cell>
          <cell r="R308" t="str">
            <v>Kinh</v>
          </cell>
          <cell r="S308" t="str">
            <v>12/4/2020</v>
          </cell>
          <cell r="T308" t="str">
            <v>020178002555</v>
          </cell>
          <cell r="U308" t="str">
            <v>khối Khòn Pát,Phường Đông Kinh, Tỉnh Lạng Sơn</v>
          </cell>
          <cell r="W308" t="str">
            <v/>
          </cell>
          <cell r="X308" t="str">
            <v/>
          </cell>
          <cell r="Z308" t="str">
            <v/>
          </cell>
          <cell r="AB308" t="str">
            <v/>
          </cell>
          <cell r="AC308" t="str">
            <v>0973206102</v>
          </cell>
          <cell r="AD308" t="str">
            <v>Hợp đồng từ 12/4/2020</v>
          </cell>
        </row>
        <row r="309">
          <cell r="B309" t="str">
            <v>BV0390</v>
          </cell>
          <cell r="C309" t="str">
            <v>Lương Thị Yêu</v>
          </cell>
          <cell r="D309" t="str">
            <v>BV0390</v>
          </cell>
          <cell r="E309" t="str">
            <v>x</v>
          </cell>
          <cell r="F309" t="str">
            <v>Hộ lý</v>
          </cell>
          <cell r="G309" t="str">
            <v>TĐ047</v>
          </cell>
          <cell r="I309" t="str">
            <v>Hộ lý</v>
          </cell>
          <cell r="J309" t="str">
            <v>Tai mũi họng</v>
          </cell>
          <cell r="K309" t="str">
            <v>KP022</v>
          </cell>
          <cell r="M309">
            <v>0</v>
          </cell>
          <cell r="N309" t="str">
            <v>HĐ theo NĐ161</v>
          </cell>
          <cell r="O309">
            <v>50</v>
          </cell>
          <cell r="P309">
            <v>0</v>
          </cell>
          <cell r="Q309">
            <v>27895</v>
          </cell>
          <cell r="R309" t="str">
            <v>Tày</v>
          </cell>
          <cell r="S309" t="str">
            <v>1/9/2005</v>
          </cell>
          <cell r="T309" t="str">
            <v>020176002269</v>
          </cell>
          <cell r="U309" t="str">
            <v>Tổ 1 khối 26 phường Kỳ Lừa, tỉnh Lạng Sơn</v>
          </cell>
          <cell r="W309" t="str">
            <v/>
          </cell>
          <cell r="X309" t="str">
            <v/>
          </cell>
          <cell r="Z309" t="str">
            <v/>
          </cell>
          <cell r="AB309" t="str">
            <v/>
          </cell>
          <cell r="AC309" t="str">
            <v>0974015844</v>
          </cell>
          <cell r="AD309" t="str">
            <v>Chuyển từ HĐ68</v>
          </cell>
        </row>
        <row r="310">
          <cell r="B310" t="str">
            <v>BV0658</v>
          </cell>
          <cell r="C310" t="str">
            <v>Vi Hồng Đức</v>
          </cell>
          <cell r="D310" t="str">
            <v>BV0658</v>
          </cell>
          <cell r="F310" t="str">
            <v>BSCKII</v>
          </cell>
          <cell r="G310" t="str">
            <v>TĐ001</v>
          </cell>
          <cell r="H310" t="str">
            <v>Bác sĩ chính (hạng II)</v>
          </cell>
          <cell r="I310" t="str">
            <v>Bác sĩ chính (hạng II)</v>
          </cell>
          <cell r="J310" t="str">
            <v>Ngoại TK-LN</v>
          </cell>
          <cell r="K310" t="str">
            <v>KP015</v>
          </cell>
          <cell r="L310" t="str">
            <v>Lãnh đạo khoa, phòng</v>
          </cell>
          <cell r="M310" t="str">
            <v>Trưởng khoa</v>
          </cell>
          <cell r="N310" t="str">
            <v>Viên chức</v>
          </cell>
          <cell r="O310">
            <v>54</v>
          </cell>
          <cell r="P310">
            <v>26285</v>
          </cell>
          <cell r="Q310">
            <v>0</v>
          </cell>
          <cell r="R310" t="str">
            <v>Nùng</v>
          </cell>
          <cell r="S310" t="str">
            <v>17/5/1997</v>
          </cell>
          <cell r="T310" t="str">
            <v>020071007997</v>
          </cell>
          <cell r="U310" t="str">
            <v>Phường: Số 178 Lương Thế Vinh- Kỳ Lừa -Lạng Sơn</v>
          </cell>
          <cell r="W310" t="str">
            <v>004200/LS-CCHN</v>
          </cell>
          <cell r="X310" t="str">
            <v>11/01/2023</v>
          </cell>
          <cell r="Z310" t="str">
            <v>Khám bệnh, chữa bệnh chuyên khoa Ngoại</v>
          </cell>
          <cell r="AB310">
            <v>0</v>
          </cell>
          <cell r="AC310">
            <v>913852688</v>
          </cell>
        </row>
        <row r="311">
          <cell r="B311" t="str">
            <v>BV0657</v>
          </cell>
          <cell r="C311" t="str">
            <v>Trương Quý Trường</v>
          </cell>
          <cell r="D311" t="str">
            <v>BV0657</v>
          </cell>
          <cell r="F311" t="str">
            <v>BSCKII</v>
          </cell>
          <cell r="G311" t="str">
            <v>TĐ001</v>
          </cell>
          <cell r="H311" t="str">
            <v>Bác sĩ chính (hạng II)</v>
          </cell>
          <cell r="I311" t="str">
            <v>Bác sĩ chính (hạng II)</v>
          </cell>
          <cell r="J311" t="str">
            <v>Ngoại TK-LN</v>
          </cell>
          <cell r="K311" t="str">
            <v>KP015</v>
          </cell>
          <cell r="L311" t="str">
            <v>Lãnh đạo đơn vị</v>
          </cell>
          <cell r="M311" t="str">
            <v>Giám đốc</v>
          </cell>
          <cell r="N311" t="str">
            <v>Viên chức</v>
          </cell>
          <cell r="O311" t="e">
            <v>#N/A</v>
          </cell>
          <cell r="P311" t="e">
            <v>#N/A</v>
          </cell>
          <cell r="Q311" t="e">
            <v>#N/A</v>
          </cell>
          <cell r="R311" t="str">
            <v>Kinh</v>
          </cell>
          <cell r="S311" t="e">
            <v>#N/A</v>
          </cell>
          <cell r="T311" t="str">
            <v>020071006013</v>
          </cell>
          <cell r="U311" t="str">
            <v>Phường Đông Kinh, TP. Lạng Sơn</v>
          </cell>
          <cell r="W311" t="str">
            <v>000926/LS-CCHN</v>
          </cell>
          <cell r="X311" t="str">
            <v>24/06/2013</v>
          </cell>
          <cell r="Z311" t="str">
            <v>Khám bệnh, chữa bệnh Ngoại khoa</v>
          </cell>
          <cell r="AB311" t="str">
            <v/>
          </cell>
          <cell r="AC311" t="str">
            <v>0912432259</v>
          </cell>
        </row>
        <row r="312">
          <cell r="B312" t="str">
            <v>BV0209</v>
          </cell>
          <cell r="C312" t="str">
            <v>Nguyễn Xuân Trường</v>
          </cell>
          <cell r="D312" t="str">
            <v>BV0209</v>
          </cell>
          <cell r="F312" t="str">
            <v>BSCKI</v>
          </cell>
          <cell r="G312" t="str">
            <v>TĐ003</v>
          </cell>
          <cell r="H312" t="str">
            <v>Bác sĩ chính (hạng II)</v>
          </cell>
          <cell r="I312" t="str">
            <v>Bác sĩ chính (hạng II)</v>
          </cell>
          <cell r="J312" t="str">
            <v>Ngoại TK-LN</v>
          </cell>
          <cell r="K312" t="str">
            <v>KP015</v>
          </cell>
          <cell r="L312" t="str">
            <v>Lãnh đạo khoa, phòng</v>
          </cell>
          <cell r="M312" t="str">
            <v>Phó trưởng khoa</v>
          </cell>
          <cell r="N312" t="str">
            <v>Viên chức</v>
          </cell>
          <cell r="O312">
            <v>40</v>
          </cell>
          <cell r="P312">
            <v>31459</v>
          </cell>
          <cell r="Q312">
            <v>0</v>
          </cell>
          <cell r="R312" t="str">
            <v>Kinh</v>
          </cell>
          <cell r="S312" t="str">
            <v>10/6/2013</v>
          </cell>
          <cell r="T312" t="str">
            <v>020086010419</v>
          </cell>
          <cell r="U312" t="str">
            <v>Số 6A Cao Thắng- Khối 12- Kỳ Lừa- Lạng Sơn.</v>
          </cell>
          <cell r="W312" t="str">
            <v>000888/LS-CCHN</v>
          </cell>
          <cell r="X312" t="str">
            <v>11/01/2023</v>
          </cell>
          <cell r="Z312" t="str">
            <v>Khám bệnh, chữa bệnh Ngoại khoa</v>
          </cell>
          <cell r="AB312">
            <v>0</v>
          </cell>
          <cell r="AC312">
            <v>916789198</v>
          </cell>
        </row>
        <row r="313">
          <cell r="B313" t="str">
            <v>BV1212</v>
          </cell>
          <cell r="C313" t="str">
            <v>Nguyễn Mạnh Cường</v>
          </cell>
          <cell r="D313" t="str">
            <v>BV1212</v>
          </cell>
          <cell r="F313" t="str">
            <v>Bác sĩ</v>
          </cell>
          <cell r="G313" t="str">
            <v>TĐ005</v>
          </cell>
          <cell r="I313" t="str">
            <v>Bác sĩ (hạng III)</v>
          </cell>
          <cell r="J313" t="str">
            <v>Ngoại TK-LN</v>
          </cell>
          <cell r="K313" t="str">
            <v>KP015</v>
          </cell>
          <cell r="N313" t="str">
            <v>Viên chức</v>
          </cell>
          <cell r="O313">
            <v>29</v>
          </cell>
          <cell r="P313" t="str">
            <v>12/8/1996</v>
          </cell>
          <cell r="Q313">
            <v>0</v>
          </cell>
          <cell r="R313" t="str">
            <v>Mường</v>
          </cell>
          <cell r="S313">
            <v>44844</v>
          </cell>
          <cell r="T313" t="str">
            <v>017096004224</v>
          </cell>
          <cell r="U313">
            <v>0</v>
          </cell>
          <cell r="V313">
            <v>45392</v>
          </cell>
          <cell r="W313" t="str">
            <v>000090/LS-GPHN</v>
          </cell>
          <cell r="X313">
            <v>0</v>
          </cell>
          <cell r="Z313" t="str">
            <v>Chuyên khoa Ngoại khoa</v>
          </cell>
          <cell r="AB313">
            <v>0</v>
          </cell>
          <cell r="AC313">
            <v>961146898</v>
          </cell>
          <cell r="AD313" t="str">
            <v>Thử việc 10/10/2022, Viên chức từ 15/6/2026</v>
          </cell>
        </row>
        <row r="314">
          <cell r="B314" t="str">
            <v>BV1259</v>
          </cell>
          <cell r="C314" t="str">
            <v>Hoàng Doãn Anh</v>
          </cell>
          <cell r="D314" t="str">
            <v>BV1259</v>
          </cell>
          <cell r="F314" t="str">
            <v>Bác sĩ</v>
          </cell>
          <cell r="G314" t="str">
            <v>TĐ005</v>
          </cell>
          <cell r="I314" t="str">
            <v>Bác sĩ (hạng III)</v>
          </cell>
          <cell r="J314" t="str">
            <v>Ngoại TK-LN</v>
          </cell>
          <cell r="K314" t="str">
            <v>KP015</v>
          </cell>
          <cell r="N314" t="str">
            <v>Viên chức</v>
          </cell>
          <cell r="O314">
            <v>27</v>
          </cell>
          <cell r="P314" t="str">
            <v>23/9/1998</v>
          </cell>
          <cell r="Q314">
            <v>0</v>
          </cell>
          <cell r="R314" t="str">
            <v>Tày</v>
          </cell>
          <cell r="S314">
            <v>45260</v>
          </cell>
          <cell r="T314" t="str">
            <v>020098007253</v>
          </cell>
          <cell r="U314">
            <v>0</v>
          </cell>
          <cell r="V314">
            <v>45807</v>
          </cell>
          <cell r="W314" t="str">
            <v>000303/LS-GPHN</v>
          </cell>
          <cell r="X314">
            <v>45849</v>
          </cell>
          <cell r="Z314" t="str">
            <v>Bác sĩ ngoại khoa</v>
          </cell>
          <cell r="AB314">
            <v>0</v>
          </cell>
          <cell r="AC314" t="str">
            <v>0383933833</v>
          </cell>
          <cell r="AD314" t="str">
            <v>Thử việc 06/11/2023, Viên chức từ 15/6/2026</v>
          </cell>
        </row>
        <row r="315">
          <cell r="B315" t="str">
            <v>BV1061</v>
          </cell>
          <cell r="C315" t="str">
            <v>Chu Hà Thành</v>
          </cell>
          <cell r="D315" t="str">
            <v>BV1061</v>
          </cell>
          <cell r="F315" t="str">
            <v>Bác sĩ</v>
          </cell>
          <cell r="G315" t="str">
            <v>TĐ005</v>
          </cell>
          <cell r="I315" t="str">
            <v>Bác sĩ (hạng III)</v>
          </cell>
          <cell r="J315" t="str">
            <v>Ngoại TK-LN</v>
          </cell>
          <cell r="K315" t="str">
            <v>KP015</v>
          </cell>
          <cell r="N315" t="str">
            <v>HĐ có thời hạn</v>
          </cell>
          <cell r="O315">
            <v>32</v>
          </cell>
          <cell r="P315">
            <v>34337</v>
          </cell>
          <cell r="Q315">
            <v>0</v>
          </cell>
          <cell r="R315" t="str">
            <v>Tày</v>
          </cell>
          <cell r="S315" t="str">
            <v>28/7/2020</v>
          </cell>
          <cell r="T315" t="str">
            <v>020094000666</v>
          </cell>
          <cell r="U315" t="str">
            <v>Số 13 Phan Huy Trú- P: Nguyễn Chi Phương- Lạng Sơn</v>
          </cell>
          <cell r="W315" t="str">
            <v>004508/LS-CCHN</v>
          </cell>
          <cell r="X315" t="str">
            <v>06/04/2022</v>
          </cell>
          <cell r="Z315" t="str">
            <v>Khám bệnh, chữa bệnh Ngoại khoa</v>
          </cell>
          <cell r="AB315">
            <v>0</v>
          </cell>
          <cell r="AC315">
            <v>332842199</v>
          </cell>
          <cell r="AD315" t="str">
            <v>Thử việc 28/7/2020</v>
          </cell>
        </row>
        <row r="316">
          <cell r="B316" t="str">
            <v>BV0034</v>
          </cell>
          <cell r="C316" t="str">
            <v>Hoàng Thanh Tiếp</v>
          </cell>
          <cell r="D316" t="str">
            <v>BV0034</v>
          </cell>
          <cell r="F316" t="str">
            <v>Điều dưỡng ĐH</v>
          </cell>
          <cell r="G316" t="str">
            <v>TĐ011</v>
          </cell>
          <cell r="H316" t="str">
            <v>Điều dưỡng (hạng III)</v>
          </cell>
          <cell r="I316" t="str">
            <v>Điều dưỡng (hạng III)</v>
          </cell>
          <cell r="J316" t="str">
            <v>Ngoại TK-LN</v>
          </cell>
          <cell r="K316" t="str">
            <v>KP015</v>
          </cell>
          <cell r="L316" t="str">
            <v>Lãnh đạo khoa, phòng</v>
          </cell>
          <cell r="M316" t="str">
            <v>Điều dưỡng trưởng</v>
          </cell>
          <cell r="N316" t="str">
            <v>Viên chức</v>
          </cell>
          <cell r="O316">
            <v>44</v>
          </cell>
          <cell r="P316">
            <v>29978</v>
          </cell>
          <cell r="Q316">
            <v>0</v>
          </cell>
          <cell r="R316" t="str">
            <v>Nùng</v>
          </cell>
          <cell r="S316" t="str">
            <v>6/11/2006</v>
          </cell>
          <cell r="T316" t="str">
            <v>020082010261</v>
          </cell>
          <cell r="U316" t="str">
            <v>Số 18N18 Lê Văn Lương- Kỳ Lừa- Lạng Sơn</v>
          </cell>
          <cell r="W316" t="str">
            <v>000932/LS-CCHN</v>
          </cell>
          <cell r="X316" t="str">
            <v>11/01/2023</v>
          </cell>
          <cell r="Z31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16">
            <v>0</v>
          </cell>
          <cell r="AC316" t="str">
            <v>0968121161</v>
          </cell>
        </row>
        <row r="317">
          <cell r="B317" t="str">
            <v>BV0555</v>
          </cell>
          <cell r="C317" t="str">
            <v>Phạm Hùng Tuấn</v>
          </cell>
          <cell r="D317" t="str">
            <v>BV0555</v>
          </cell>
          <cell r="F317" t="str">
            <v>Điều dưỡng ĐH</v>
          </cell>
          <cell r="G317" t="str">
            <v>TĐ011</v>
          </cell>
          <cell r="H317" t="str">
            <v>Điều dưỡng (hạng III)</v>
          </cell>
          <cell r="I317" t="str">
            <v>Điều dưỡng (hạng III)</v>
          </cell>
          <cell r="J317" t="str">
            <v>Ngoại TK-LN</v>
          </cell>
          <cell r="K317" t="str">
            <v>KP015</v>
          </cell>
          <cell r="L317" t="str">
            <v>Viên chức CMNV</v>
          </cell>
          <cell r="M317">
            <v>0</v>
          </cell>
          <cell r="N317" t="str">
            <v>Viên chức</v>
          </cell>
          <cell r="O317">
            <v>60</v>
          </cell>
          <cell r="P317">
            <v>24039</v>
          </cell>
          <cell r="Q317">
            <v>0</v>
          </cell>
          <cell r="R317" t="str">
            <v>Tày</v>
          </cell>
          <cell r="S317" t="str">
            <v>5/9/1988</v>
          </cell>
          <cell r="T317" t="str">
            <v>020065001568</v>
          </cell>
          <cell r="U317" t="str">
            <v>Số 225  Đương Bến Bắc- P: Tam Thanh- Lạng Sơn</v>
          </cell>
          <cell r="W317" t="str">
            <v>000906/LS-CCHN</v>
          </cell>
          <cell r="X317" t="str">
            <v>24/06/2013</v>
          </cell>
          <cell r="Z317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317">
            <v>0</v>
          </cell>
          <cell r="AC317" t="str">
            <v>0915274274</v>
          </cell>
        </row>
        <row r="318">
          <cell r="B318" t="str">
            <v>BV1271</v>
          </cell>
          <cell r="C318" t="str">
            <v>Hoàng Thu Hà</v>
          </cell>
          <cell r="D318" t="str">
            <v>BV1271</v>
          </cell>
          <cell r="E318" t="str">
            <v>x</v>
          </cell>
          <cell r="F318" t="str">
            <v>Điều dưỡng ĐH</v>
          </cell>
          <cell r="G318" t="str">
            <v>TĐ011</v>
          </cell>
          <cell r="I318" t="str">
            <v>Điều dưỡng (hạng III)</v>
          </cell>
          <cell r="J318" t="str">
            <v>Ngoại TK-LN</v>
          </cell>
          <cell r="K318" t="str">
            <v>KP015</v>
          </cell>
          <cell r="N318" t="str">
            <v>Viên chức</v>
          </cell>
          <cell r="O318">
            <v>25</v>
          </cell>
          <cell r="P318">
            <v>0</v>
          </cell>
          <cell r="Q318" t="str">
            <v>22/6/2001</v>
          </cell>
          <cell r="R318" t="str">
            <v>Nùng</v>
          </cell>
          <cell r="S318">
            <v>45293</v>
          </cell>
          <cell r="T318" t="str">
            <v>020301000225</v>
          </cell>
          <cell r="U318" t="str">
            <v>Khối phai Luông- Kỳ Lừa- Lạng Sơ.</v>
          </cell>
          <cell r="V318">
            <v>45689</v>
          </cell>
          <cell r="W318" t="str">
            <v>000298/LS-GPHN</v>
          </cell>
          <cell r="X318">
            <v>45897</v>
          </cell>
          <cell r="Z318" t="str">
            <v>Điều dưỡng</v>
          </cell>
          <cell r="AB318">
            <v>0</v>
          </cell>
          <cell r="AC318" t="str">
            <v>0834000628</v>
          </cell>
          <cell r="AD318" t="str">
            <v>HĐ 16/01/2024, Viên chức từ 15/6/2026</v>
          </cell>
        </row>
        <row r="319">
          <cell r="B319" t="str">
            <v>BV0213</v>
          </cell>
          <cell r="C319" t="str">
            <v>Dương Thị Huyền</v>
          </cell>
          <cell r="D319" t="str">
            <v>BV0213</v>
          </cell>
          <cell r="E319" t="str">
            <v>x</v>
          </cell>
          <cell r="F319" t="str">
            <v>Điều dưỡng CĐ</v>
          </cell>
          <cell r="G319" t="str">
            <v>TĐ012</v>
          </cell>
          <cell r="H319" t="str">
            <v>Điều dưỡng (hạng IV)</v>
          </cell>
          <cell r="I319" t="str">
            <v>Điều dưỡng (hạng IV)</v>
          </cell>
          <cell r="J319" t="str">
            <v>Ngoại TK-LN</v>
          </cell>
          <cell r="K319" t="str">
            <v>KP015</v>
          </cell>
          <cell r="L319" t="str">
            <v>Viên chức CMNV</v>
          </cell>
          <cell r="M319">
            <v>0</v>
          </cell>
          <cell r="N319" t="str">
            <v>Viên chức</v>
          </cell>
          <cell r="O319">
            <v>34</v>
          </cell>
          <cell r="P319">
            <v>0</v>
          </cell>
          <cell r="Q319">
            <v>33515</v>
          </cell>
          <cell r="R319" t="str">
            <v>Kinh</v>
          </cell>
          <cell r="S319" t="str">
            <v>01/11/2014</v>
          </cell>
          <cell r="T319" t="str">
            <v>024191003544</v>
          </cell>
          <cell r="U319" t="str">
            <v>Khối Pò Đứa-Đông Kinh- Lạng Sơn</v>
          </cell>
          <cell r="W319" t="str">
            <v>000459/LS-CCHN</v>
          </cell>
          <cell r="X319" t="str">
            <v>24/08/2016</v>
          </cell>
          <cell r="Z319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319">
            <v>0</v>
          </cell>
          <cell r="AC319">
            <v>396180588</v>
          </cell>
        </row>
        <row r="320">
          <cell r="B320" t="str">
            <v>BV0215</v>
          </cell>
          <cell r="C320" t="str">
            <v>Tô Thị Lan</v>
          </cell>
          <cell r="D320" t="str">
            <v>BV0215</v>
          </cell>
          <cell r="E320" t="str">
            <v>x</v>
          </cell>
          <cell r="F320" t="str">
            <v>Điều dưỡng CĐ</v>
          </cell>
          <cell r="G320" t="str">
            <v>TĐ012</v>
          </cell>
          <cell r="H320" t="str">
            <v>Điều dưỡng (hạng IV)</v>
          </cell>
          <cell r="I320" t="str">
            <v>Điều dưỡng (hạng IV)</v>
          </cell>
          <cell r="J320" t="str">
            <v>Ngoại TK-LN</v>
          </cell>
          <cell r="K320" t="str">
            <v>KP015</v>
          </cell>
          <cell r="L320" t="str">
            <v>Viên chức CMNV</v>
          </cell>
          <cell r="M320">
            <v>0</v>
          </cell>
          <cell r="N320" t="str">
            <v>Viên chức</v>
          </cell>
          <cell r="O320">
            <v>37</v>
          </cell>
          <cell r="P320">
            <v>0</v>
          </cell>
          <cell r="Q320">
            <v>32601</v>
          </cell>
          <cell r="R320" t="str">
            <v>Tày</v>
          </cell>
          <cell r="S320" t="str">
            <v>10/6/2013</v>
          </cell>
          <cell r="T320" t="str">
            <v>020189001277</v>
          </cell>
          <cell r="U320" t="str">
            <v>Số 2 Văn Vỉ -Lương Văn Chi- Lạng Sơn</v>
          </cell>
          <cell r="W320" t="str">
            <v>000455/LS-CCHN</v>
          </cell>
          <cell r="X320" t="str">
            <v>24/08/2016</v>
          </cell>
          <cell r="Z32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20">
            <v>0</v>
          </cell>
          <cell r="AC320" t="str">
            <v>0966400922</v>
          </cell>
        </row>
        <row r="321">
          <cell r="B321" t="str">
            <v>BV0834</v>
          </cell>
          <cell r="C321" t="str">
            <v>Nông Quốc Phòng</v>
          </cell>
          <cell r="D321" t="str">
            <v>BV0834</v>
          </cell>
          <cell r="F321" t="str">
            <v>Điều dưỡng CĐ</v>
          </cell>
          <cell r="G321" t="str">
            <v>TĐ012</v>
          </cell>
          <cell r="H321" t="str">
            <v>Điều dưỡng (hạng IV)</v>
          </cell>
          <cell r="I321" t="str">
            <v>Điều dưỡng (hạng IV)</v>
          </cell>
          <cell r="J321" t="str">
            <v>Ngoại TK-LN</v>
          </cell>
          <cell r="K321" t="str">
            <v>KP015</v>
          </cell>
          <cell r="L321" t="str">
            <v>Viên chức CMNV</v>
          </cell>
          <cell r="M321">
            <v>0</v>
          </cell>
          <cell r="N321" t="str">
            <v>Viên chức</v>
          </cell>
          <cell r="O321">
            <v>33</v>
          </cell>
          <cell r="P321" t="str">
            <v>22/02/1993</v>
          </cell>
          <cell r="Q321">
            <v>0</v>
          </cell>
          <cell r="R321" t="str">
            <v>Tày</v>
          </cell>
          <cell r="S321" t="str">
            <v>20/3/2018</v>
          </cell>
          <cell r="T321" t="str">
            <v>020093001832</v>
          </cell>
          <cell r="U321" t="str">
            <v>Số 269 Trần Đăng Ninh- Tam Thanh- Lạng Sơn</v>
          </cell>
          <cell r="W321" t="str">
            <v>003551/LS-CCHN</v>
          </cell>
          <cell r="X321" t="str">
            <v>17/07/2019</v>
          </cell>
          <cell r="Z321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21">
            <v>0</v>
          </cell>
          <cell r="AC321" t="str">
            <v>0982980788</v>
          </cell>
          <cell r="AD321" t="str">
            <v>BC 20/3/2018</v>
          </cell>
        </row>
        <row r="322">
          <cell r="B322" t="str">
            <v>BV0733</v>
          </cell>
          <cell r="C322" t="str">
            <v>Nguyễn Văn Thiệu</v>
          </cell>
          <cell r="D322" t="str">
            <v>BV0733</v>
          </cell>
          <cell r="F322" t="str">
            <v>Điều dưỡng CĐ</v>
          </cell>
          <cell r="G322" t="str">
            <v>TĐ012</v>
          </cell>
          <cell r="I322" t="str">
            <v>Điều dưỡng (hạng IV)</v>
          </cell>
          <cell r="J322" t="str">
            <v>Ngoại TK-LN</v>
          </cell>
          <cell r="K322" t="str">
            <v>KP015</v>
          </cell>
          <cell r="N322" t="str">
            <v>Viên chức</v>
          </cell>
          <cell r="O322">
            <v>33</v>
          </cell>
          <cell r="P322" t="str">
            <v>21/7/1993</v>
          </cell>
          <cell r="Q322">
            <v>0</v>
          </cell>
          <cell r="R322" t="str">
            <v>Kinh</v>
          </cell>
          <cell r="S322" t="str">
            <v xml:space="preserve"> 29/8/2016</v>
          </cell>
          <cell r="T322" t="str">
            <v>020093010735</v>
          </cell>
          <cell r="U322" t="str">
            <v>Xã Châu Sơn- Đình Lập - Lạng Sơn</v>
          </cell>
          <cell r="W322" t="str">
            <v>003211/LS-CCHN</v>
          </cell>
          <cell r="X322" t="str">
            <v>10/04/2018</v>
          </cell>
          <cell r="Z32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22">
            <v>0</v>
          </cell>
          <cell r="AC322" t="str">
            <v>0359155432</v>
          </cell>
          <cell r="AD322" t="str">
            <v>HĐ 29/8/2016; Đỗ VC 20/5/2026</v>
          </cell>
        </row>
        <row r="323">
          <cell r="B323" t="str">
            <v>BV0216</v>
          </cell>
          <cell r="C323" t="str">
            <v>Vi Văn Trình</v>
          </cell>
          <cell r="D323" t="str">
            <v>BV0216</v>
          </cell>
          <cell r="F323" t="str">
            <v>Điều dưỡng CĐ</v>
          </cell>
          <cell r="G323" t="str">
            <v>TĐ012</v>
          </cell>
          <cell r="H323" t="str">
            <v>Điều dưỡng (hạng IV)</v>
          </cell>
          <cell r="I323" t="str">
            <v>Điều dưỡng (hạng IV)</v>
          </cell>
          <cell r="J323" t="str">
            <v>Ngoại TK-LN</v>
          </cell>
          <cell r="K323" t="str">
            <v>KP015</v>
          </cell>
          <cell r="L323" t="str">
            <v>Viên chức CMNV</v>
          </cell>
          <cell r="M323">
            <v>0</v>
          </cell>
          <cell r="N323" t="str">
            <v>Viên chức</v>
          </cell>
          <cell r="O323">
            <v>36</v>
          </cell>
          <cell r="P323">
            <v>33011</v>
          </cell>
          <cell r="Q323">
            <v>0</v>
          </cell>
          <cell r="R323" t="str">
            <v>Nùng</v>
          </cell>
          <cell r="S323" t="str">
            <v>01/11/2014</v>
          </cell>
          <cell r="T323" t="str">
            <v>020090012632</v>
          </cell>
          <cell r="U323" t="str">
            <v>Thôn Xuân Lũng- Khánh khê -Lạng Sơn</v>
          </cell>
          <cell r="W323" t="str">
            <v>000471/LS-CCHN</v>
          </cell>
          <cell r="X323" t="str">
            <v>24/08/2016</v>
          </cell>
          <cell r="Z32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23">
            <v>0</v>
          </cell>
          <cell r="AC323" t="str">
            <v>0942708658</v>
          </cell>
        </row>
        <row r="324">
          <cell r="B324" t="str">
            <v>BV0972</v>
          </cell>
          <cell r="C324" t="str">
            <v>Long Thị Thọ</v>
          </cell>
          <cell r="D324" t="str">
            <v>BV0972</v>
          </cell>
          <cell r="E324" t="str">
            <v>x</v>
          </cell>
          <cell r="F324" t="str">
            <v>Điều dưỡng CĐ</v>
          </cell>
          <cell r="G324" t="str">
            <v>TĐ012</v>
          </cell>
          <cell r="I324" t="str">
            <v>Điều dưỡng (hạng IV)</v>
          </cell>
          <cell r="J324" t="str">
            <v>Ngoại TK-LN</v>
          </cell>
          <cell r="K324" t="str">
            <v>KP015</v>
          </cell>
          <cell r="N324" t="str">
            <v>Viên chức</v>
          </cell>
          <cell r="O324">
            <v>29</v>
          </cell>
          <cell r="P324">
            <v>0</v>
          </cell>
          <cell r="Q324" t="str">
            <v>27/9/1996</v>
          </cell>
          <cell r="R324" t="str">
            <v>Nùng</v>
          </cell>
          <cell r="S324" t="str">
            <v>02/12/2019</v>
          </cell>
          <cell r="T324" t="str">
            <v>020196001323</v>
          </cell>
          <cell r="U324" t="str">
            <v>Khối Pò Đứa-Đông Kinh- Lạng Sơn</v>
          </cell>
          <cell r="W324" t="str">
            <v>004095/LS-CCHN</v>
          </cell>
          <cell r="X324" t="str">
            <v>19/01/2021</v>
          </cell>
          <cell r="Z32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24">
            <v>0</v>
          </cell>
          <cell r="AD324" t="str">
            <v>Thử việc 02/12/2019, Viên chức từ 15/6/2026</v>
          </cell>
        </row>
        <row r="325">
          <cell r="B325" t="str">
            <v>BV0237</v>
          </cell>
          <cell r="C325" t="str">
            <v>Lâm Bích Hợp</v>
          </cell>
          <cell r="D325" t="str">
            <v>BV0237</v>
          </cell>
          <cell r="E325" t="str">
            <v>x</v>
          </cell>
          <cell r="F325" t="str">
            <v>Điều dưỡng CĐ</v>
          </cell>
          <cell r="G325" t="str">
            <v>TĐ012</v>
          </cell>
          <cell r="H325" t="str">
            <v>Điều dưỡng (hạng IV)</v>
          </cell>
          <cell r="I325" t="str">
            <v>Điều dưỡng (hạng IV)</v>
          </cell>
          <cell r="J325" t="str">
            <v>Ngoại TK-LN</v>
          </cell>
          <cell r="K325" t="str">
            <v>KP015</v>
          </cell>
          <cell r="L325" t="str">
            <v>Viên chức CMNV</v>
          </cell>
          <cell r="M325">
            <v>0</v>
          </cell>
          <cell r="N325" t="str">
            <v>Viên chức</v>
          </cell>
          <cell r="O325">
            <v>40</v>
          </cell>
          <cell r="P325">
            <v>0</v>
          </cell>
          <cell r="Q325">
            <v>31403</v>
          </cell>
          <cell r="R325" t="str">
            <v>Tay</v>
          </cell>
          <cell r="S325" t="str">
            <v>8/12/2008</v>
          </cell>
          <cell r="T325" t="str">
            <v>020185002014</v>
          </cell>
          <cell r="U325" t="str">
            <v>Khối Đồi Chè- P: Tam Thanh- Lạng Sơn</v>
          </cell>
          <cell r="W325" t="str">
            <v>001108/LS-CCHN</v>
          </cell>
          <cell r="X325" t="str">
            <v>11/01/2023</v>
          </cell>
          <cell r="Z32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25">
            <v>0</v>
          </cell>
          <cell r="AC325" t="str">
            <v>0982609661</v>
          </cell>
        </row>
        <row r="326">
          <cell r="B326" t="str">
            <v>BV0017</v>
          </cell>
          <cell r="C326" t="str">
            <v>Hoàng Thị Thanh</v>
          </cell>
          <cell r="D326" t="str">
            <v>BV0017</v>
          </cell>
          <cell r="E326" t="str">
            <v>x</v>
          </cell>
          <cell r="F326" t="str">
            <v>Điều dưỡng CĐ</v>
          </cell>
          <cell r="G326" t="str">
            <v>TĐ012</v>
          </cell>
          <cell r="H326" t="str">
            <v>Điều dưỡng (hạng IV)</v>
          </cell>
          <cell r="I326" t="str">
            <v>Điều dưỡng (hạng IV)</v>
          </cell>
          <cell r="J326" t="str">
            <v>Ngoại TK-LN</v>
          </cell>
          <cell r="K326" t="str">
            <v>KP015</v>
          </cell>
          <cell r="L326" t="str">
            <v>Viên chức CMNV</v>
          </cell>
          <cell r="M326">
            <v>0</v>
          </cell>
          <cell r="N326" t="str">
            <v>Viên chức</v>
          </cell>
          <cell r="O326">
            <v>43</v>
          </cell>
          <cell r="P326">
            <v>0</v>
          </cell>
          <cell r="Q326">
            <v>30215</v>
          </cell>
          <cell r="R326" t="str">
            <v>Nùng</v>
          </cell>
          <cell r="S326" t="str">
            <v>7/11/2006</v>
          </cell>
          <cell r="T326" t="str">
            <v>020182007592</v>
          </cell>
          <cell r="U326" t="str">
            <v>Tổ 5 Khối 19 Nguyễn ĐÌnh Chiều- Đông Kinh- Lạng Sơn</v>
          </cell>
          <cell r="W326" t="str">
            <v>000744/LS-CCHN</v>
          </cell>
          <cell r="X326" t="str">
            <v>11/01/2023</v>
          </cell>
          <cell r="Z32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26">
            <v>0</v>
          </cell>
          <cell r="AC326" t="str">
            <v>0395600296</v>
          </cell>
        </row>
        <row r="327">
          <cell r="B327" t="str">
            <v>BV1302</v>
          </cell>
          <cell r="C327" t="str">
            <v>Nguyễn Thị Thảo</v>
          </cell>
          <cell r="D327" t="str">
            <v>BV1302</v>
          </cell>
          <cell r="E327" t="str">
            <v>x</v>
          </cell>
          <cell r="F327" t="str">
            <v>Điều dưỡng CĐ</v>
          </cell>
          <cell r="G327" t="str">
            <v>TĐ012</v>
          </cell>
          <cell r="I327" t="str">
            <v>Điều dưỡng (hạng IV)</v>
          </cell>
          <cell r="J327" t="str">
            <v>Ngoại TK-LN</v>
          </cell>
          <cell r="K327" t="str">
            <v>KP015</v>
          </cell>
          <cell r="N327" t="str">
            <v>Viên chức</v>
          </cell>
          <cell r="O327">
            <v>29</v>
          </cell>
          <cell r="P327">
            <v>0</v>
          </cell>
          <cell r="Q327" t="str">
            <v>30/01/1997</v>
          </cell>
          <cell r="R327" t="str">
            <v>Tày</v>
          </cell>
          <cell r="S327">
            <v>45339</v>
          </cell>
          <cell r="T327" t="str">
            <v>020197003727</v>
          </cell>
          <cell r="U327" t="str">
            <v>Thôn CÒn Quyền-Xã Đồng Đăng- Lạng Sơn</v>
          </cell>
          <cell r="W327" t="str">
            <v>000459/LS-GPHN</v>
          </cell>
          <cell r="X327">
            <v>46044</v>
          </cell>
          <cell r="Z327" t="str">
            <v>Điều dưỡng</v>
          </cell>
          <cell r="AB327">
            <v>0</v>
          </cell>
          <cell r="AD327" t="str">
            <v>Thử  việc 17/2/2025, Viên chức từ 15/6/2026</v>
          </cell>
        </row>
        <row r="328">
          <cell r="B328" t="str">
            <v>BV0551</v>
          </cell>
          <cell r="C328" t="str">
            <v>Vũ Tiến Dũng</v>
          </cell>
          <cell r="D328" t="str">
            <v>BV0551</v>
          </cell>
          <cell r="F328" t="str">
            <v>Điều dưỡng TC</v>
          </cell>
          <cell r="G328" t="str">
            <v>TĐ013</v>
          </cell>
          <cell r="H328" t="str">
            <v>Điều dưỡng (hạng IV)</v>
          </cell>
          <cell r="I328" t="str">
            <v>Điều dưỡng (hạng IV)</v>
          </cell>
          <cell r="J328" t="str">
            <v>Ngoại TK-LN</v>
          </cell>
          <cell r="K328" t="str">
            <v>KP015</v>
          </cell>
          <cell r="L328" t="str">
            <v>Viên chức CMNV</v>
          </cell>
          <cell r="M328">
            <v>0</v>
          </cell>
          <cell r="N328" t="str">
            <v>Viên chức</v>
          </cell>
          <cell r="O328">
            <v>45</v>
          </cell>
          <cell r="P328">
            <v>29580</v>
          </cell>
          <cell r="Q328">
            <v>0</v>
          </cell>
          <cell r="R328" t="str">
            <v>Kinh</v>
          </cell>
          <cell r="S328" t="str">
            <v>1/10/2002</v>
          </cell>
          <cell r="T328" t="str">
            <v>034080016602</v>
          </cell>
          <cell r="U328" t="str">
            <v>Khối 25 .Phương Kỳ Lừa- Lạng Sơn</v>
          </cell>
          <cell r="W328" t="str">
            <v>001097/LS-CCHN</v>
          </cell>
          <cell r="X328" t="str">
            <v>24/06/2013</v>
          </cell>
          <cell r="Z328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328">
            <v>0</v>
          </cell>
          <cell r="AC328" t="str">
            <v>0985568139</v>
          </cell>
        </row>
        <row r="329">
          <cell r="B329" t="str">
            <v>BV1185</v>
          </cell>
          <cell r="C329" t="str">
            <v>Chu Thị Mây</v>
          </cell>
          <cell r="D329" t="str">
            <v>BV1185</v>
          </cell>
          <cell r="E329" t="str">
            <v>x</v>
          </cell>
          <cell r="F329" t="str">
            <v>Hộ lý</v>
          </cell>
          <cell r="G329" t="str">
            <v>TĐ047</v>
          </cell>
          <cell r="I329" t="str">
            <v>Hộ lý</v>
          </cell>
          <cell r="J329" t="str">
            <v>Ngoại TK-LN</v>
          </cell>
          <cell r="K329" t="str">
            <v>KP015</v>
          </cell>
          <cell r="N329" t="str">
            <v>HĐ có thời hạn</v>
          </cell>
          <cell r="O329">
            <v>42</v>
          </cell>
          <cell r="P329">
            <v>0</v>
          </cell>
          <cell r="Q329" t="str">
            <v>09/5/1984</v>
          </cell>
          <cell r="R329" t="str">
            <v>Tày</v>
          </cell>
          <cell r="S329" t="str">
            <v>20/6/2022</v>
          </cell>
          <cell r="T329" t="str">
            <v>020184009651</v>
          </cell>
          <cell r="U329" t="str">
            <v>Thôn Hoàng Thương- P: Tam Thanh - Lạng Sơn</v>
          </cell>
          <cell r="W329" t="str">
            <v/>
          </cell>
          <cell r="X329" t="str">
            <v/>
          </cell>
          <cell r="Z329" t="str">
            <v/>
          </cell>
          <cell r="AB329" t="str">
            <v/>
          </cell>
          <cell r="AC329" t="str">
            <v>0359822029</v>
          </cell>
          <cell r="AD329" t="str">
            <v>Hợp đồng 20/06/2022</v>
          </cell>
        </row>
        <row r="330">
          <cell r="B330" t="str">
            <v>BV0245</v>
          </cell>
          <cell r="C330" t="str">
            <v>Như Thùy Vân</v>
          </cell>
          <cell r="D330" t="str">
            <v>BV0245</v>
          </cell>
          <cell r="E330" t="str">
            <v>x</v>
          </cell>
          <cell r="F330" t="str">
            <v>BSCKII</v>
          </cell>
          <cell r="G330" t="str">
            <v>TĐ001</v>
          </cell>
          <cell r="H330" t="str">
            <v>Bác sĩ chính (hạng II)</v>
          </cell>
          <cell r="I330" t="str">
            <v>Bác sĩ chính (hạng II)</v>
          </cell>
          <cell r="J330" t="str">
            <v>Phụ sản</v>
          </cell>
          <cell r="K330" t="str">
            <v>KP016</v>
          </cell>
          <cell r="L330" t="str">
            <v>Viên chức CMNV</v>
          </cell>
          <cell r="M330">
            <v>0</v>
          </cell>
          <cell r="N330" t="str">
            <v>Viên chức</v>
          </cell>
          <cell r="O330">
            <v>41</v>
          </cell>
          <cell r="P330">
            <v>0</v>
          </cell>
          <cell r="R330" t="str">
            <v>Kinh</v>
          </cell>
          <cell r="S330" t="str">
            <v>1/12/2008</v>
          </cell>
          <cell r="T330" t="str">
            <v>020184006989</v>
          </cell>
          <cell r="U330" t="str">
            <v>2/2 Ngõ 30 A- Lê Hồng Phong- P.Tam Thanh- LS</v>
          </cell>
          <cell r="W330" t="str">
            <v>000954/LS-CCHN</v>
          </cell>
          <cell r="X330" t="str">
            <v>24/06/2013</v>
          </cell>
          <cell r="Z330" t="str">
            <v>Khám bệnh, chữa bệnh Sản khoa</v>
          </cell>
          <cell r="AB330" t="str">
            <v>18.0018;18.0020;18.0030;18.0031;18.0034;18.0035;18.0036;18.0054</v>
          </cell>
          <cell r="AC330" t="str">
            <v>0973470078</v>
          </cell>
        </row>
        <row r="331">
          <cell r="B331" t="str">
            <v>BV0242</v>
          </cell>
          <cell r="C331" t="str">
            <v>Vi Thị Việt Hà</v>
          </cell>
          <cell r="D331" t="str">
            <v>BV0242</v>
          </cell>
          <cell r="E331" t="str">
            <v>x</v>
          </cell>
          <cell r="F331" t="str">
            <v>BSCKI</v>
          </cell>
          <cell r="G331" t="str">
            <v>TĐ003</v>
          </cell>
          <cell r="H331" t="str">
            <v>Bác sĩ chính (hạng II)</v>
          </cell>
          <cell r="I331" t="str">
            <v>Bác sĩ chính (hạng II)</v>
          </cell>
          <cell r="J331" t="str">
            <v>Phụ sản</v>
          </cell>
          <cell r="K331" t="str">
            <v>KP016</v>
          </cell>
          <cell r="L331" t="str">
            <v>Viên chức CMNV</v>
          </cell>
          <cell r="M331">
            <v>0</v>
          </cell>
          <cell r="N331" t="str">
            <v>Viên chức</v>
          </cell>
          <cell r="O331">
            <v>55</v>
          </cell>
          <cell r="P331">
            <v>0</v>
          </cell>
          <cell r="Q331">
            <v>25868</v>
          </cell>
          <cell r="R331" t="str">
            <v>Tày</v>
          </cell>
          <cell r="S331" t="str">
            <v>1/10/1994</v>
          </cell>
          <cell r="T331" t="str">
            <v>019170001512</v>
          </cell>
          <cell r="U331" t="str">
            <v>Bến Bắc - Tam Thanh - LS</v>
          </cell>
          <cell r="W331" t="str">
            <v>000203/LS-CCHN</v>
          </cell>
          <cell r="X331" t="str">
            <v>11/01/2023</v>
          </cell>
          <cell r="Z331" t="str">
            <v>Khám bệnh, chữa bệnh chuyên khoa Phụ sản</v>
          </cell>
          <cell r="AB331" t="str">
            <v>18.0018;18.0020;18.0030;18.0031;18.0034;18.0035;18.0036;18.0054</v>
          </cell>
          <cell r="AC331" t="str">
            <v>0983693686</v>
          </cell>
        </row>
        <row r="332">
          <cell r="B332" t="str">
            <v>BV0003</v>
          </cell>
          <cell r="C332" t="str">
            <v>Nguyễn Thúy Vân</v>
          </cell>
          <cell r="D332" t="str">
            <v>BV0003</v>
          </cell>
          <cell r="E332" t="str">
            <v>x</v>
          </cell>
          <cell r="F332" t="str">
            <v>BSCKI</v>
          </cell>
          <cell r="G332" t="str">
            <v>TĐ003</v>
          </cell>
          <cell r="H332" t="str">
            <v>Bác sĩ chính (hạng II)</v>
          </cell>
          <cell r="I332" t="str">
            <v>Bác sĩ chính (hạng II)</v>
          </cell>
          <cell r="J332" t="str">
            <v>Phụ sản</v>
          </cell>
          <cell r="K332" t="str">
            <v>KP016</v>
          </cell>
          <cell r="L332" t="str">
            <v>Viên chức CMNV</v>
          </cell>
          <cell r="M332">
            <v>0</v>
          </cell>
          <cell r="N332" t="str">
            <v>Viên chức</v>
          </cell>
          <cell r="O332">
            <v>54</v>
          </cell>
          <cell r="P332">
            <v>0</v>
          </cell>
          <cell r="Q332">
            <v>26226</v>
          </cell>
          <cell r="R332" t="str">
            <v>Kinh</v>
          </cell>
          <cell r="S332" t="str">
            <v>15/11/1993</v>
          </cell>
          <cell r="T332" t="str">
            <v>020171000754</v>
          </cell>
          <cell r="U332" t="str">
            <v>18 Bông Lau 1- Phú Lộc 1- P. Kỳ Lừa- LS</v>
          </cell>
          <cell r="W332" t="str">
            <v>000020/LS-CCHN</v>
          </cell>
          <cell r="X332" t="str">
            <v>11/01/2023</v>
          </cell>
          <cell r="Z332" t="str">
            <v>Khám bệnh, chữa bệnh chuyên khoa Phụ sản</v>
          </cell>
          <cell r="AB332" t="str">
            <v>18.0018;18.0020;18.0030;18.0031;18.0034;18.0035;18.0036;18.0054</v>
          </cell>
          <cell r="AC332" t="str">
            <v>0988428144</v>
          </cell>
        </row>
        <row r="333">
          <cell r="B333" t="str">
            <v>BV0246</v>
          </cell>
          <cell r="C333" t="str">
            <v>Hoàng Thị Hồng Chiêm</v>
          </cell>
          <cell r="D333" t="str">
            <v>BV0246</v>
          </cell>
          <cell r="E333" t="str">
            <v>x</v>
          </cell>
          <cell r="F333" t="str">
            <v>BSCKI</v>
          </cell>
          <cell r="G333" t="str">
            <v>TĐ003</v>
          </cell>
          <cell r="H333" t="str">
            <v>Bác sĩ (hạng III)</v>
          </cell>
          <cell r="I333" t="str">
            <v>Bác sĩ (hạng III)</v>
          </cell>
          <cell r="J333" t="str">
            <v>Phụ sản</v>
          </cell>
          <cell r="K333" t="str">
            <v>KP016</v>
          </cell>
          <cell r="L333" t="str">
            <v>Viên chức CMNV</v>
          </cell>
          <cell r="M333">
            <v>0</v>
          </cell>
          <cell r="N333" t="str">
            <v>Viên chức</v>
          </cell>
          <cell r="O333">
            <v>39</v>
          </cell>
          <cell r="P333">
            <v>0</v>
          </cell>
          <cell r="Q333">
            <v>31639</v>
          </cell>
          <cell r="R333" t="str">
            <v>Nùng</v>
          </cell>
          <cell r="S333" t="str">
            <v>10/6/2013</v>
          </cell>
          <cell r="T333" t="str">
            <v>020186011848</v>
          </cell>
          <cell r="U333" t="str">
            <v>Số 39 Ngõ 2C- Khối Hoàng Thanh- LS</v>
          </cell>
          <cell r="W333" t="str">
            <v>000955/LS-CCHN</v>
          </cell>
          <cell r="X333" t="str">
            <v>11/01/2023</v>
          </cell>
          <cell r="Z333" t="str">
            <v>Khám bệnh, chữa bệnh chuyên khoa Phụ sản</v>
          </cell>
          <cell r="AB333" t="str">
            <v>18.0018;18.0020;18.0030;18.0031;18.0034;18.0035;18.0036;18.0054</v>
          </cell>
          <cell r="AC333" t="str">
            <v>0985755465</v>
          </cell>
        </row>
        <row r="334">
          <cell r="B334" t="str">
            <v>BV0248</v>
          </cell>
          <cell r="C334" t="str">
            <v>Đặng Thúy Loan</v>
          </cell>
          <cell r="D334" t="str">
            <v>BV0248</v>
          </cell>
          <cell r="E334" t="str">
            <v>x</v>
          </cell>
          <cell r="F334" t="str">
            <v>BSCKI</v>
          </cell>
          <cell r="G334" t="str">
            <v>TĐ003</v>
          </cell>
          <cell r="H334" t="str">
            <v>Bác sĩ (hạng III)</v>
          </cell>
          <cell r="I334" t="str">
            <v>Bác sĩ (hạng III)</v>
          </cell>
          <cell r="J334" t="str">
            <v>Phụ sản</v>
          </cell>
          <cell r="K334" t="str">
            <v>KP016</v>
          </cell>
          <cell r="L334" t="str">
            <v>Viên chức CMNV</v>
          </cell>
          <cell r="M334">
            <v>0</v>
          </cell>
          <cell r="N334" t="str">
            <v>Viên chức</v>
          </cell>
          <cell r="O334">
            <v>38</v>
          </cell>
          <cell r="P334">
            <v>0</v>
          </cell>
          <cell r="Q334">
            <v>32159</v>
          </cell>
          <cell r="R334" t="str">
            <v>Kinh</v>
          </cell>
          <cell r="S334" t="str">
            <v>1/1/2015</v>
          </cell>
          <cell r="T334" t="str">
            <v>002188005485</v>
          </cell>
          <cell r="U334" t="str">
            <v>Số 70 Phố Muối- P.Tam Thanh-LS</v>
          </cell>
          <cell r="W334" t="str">
            <v>003357/LS-CCHN</v>
          </cell>
          <cell r="X334" t="str">
            <v>17/09/2018</v>
          </cell>
          <cell r="Z334" t="str">
            <v>Khám bệnh, chữa bệnh sản khoa</v>
          </cell>
          <cell r="AB334" t="str">
            <v>18.0018;18.0020;18.0030;18.0031;18.0034;18.0035;18.0036;18.0054</v>
          </cell>
          <cell r="AC334" t="str">
            <v>0984736222</v>
          </cell>
        </row>
        <row r="335">
          <cell r="B335" t="str">
            <v>BV0790</v>
          </cell>
          <cell r="C335" t="str">
            <v>Dương Tuyết Nhung</v>
          </cell>
          <cell r="D335" t="str">
            <v>BV0790</v>
          </cell>
          <cell r="E335" t="str">
            <v>x</v>
          </cell>
          <cell r="F335" t="str">
            <v>BSCKI</v>
          </cell>
          <cell r="G335" t="str">
            <v>TĐ003</v>
          </cell>
          <cell r="H335" t="str">
            <v>Bác sĩ (hạng III)</v>
          </cell>
          <cell r="I335" t="str">
            <v>Bác sĩ (hạng III)</v>
          </cell>
          <cell r="J335" t="str">
            <v>Phụ sản</v>
          </cell>
          <cell r="K335" t="str">
            <v>KP016</v>
          </cell>
          <cell r="L335" t="str">
            <v>Viên chức CMNV</v>
          </cell>
          <cell r="M335">
            <v>0</v>
          </cell>
          <cell r="N335" t="str">
            <v>Viên chức</v>
          </cell>
          <cell r="O335">
            <v>33</v>
          </cell>
          <cell r="P335">
            <v>0</v>
          </cell>
          <cell r="Q335" t="str">
            <v>20/12/1992</v>
          </cell>
          <cell r="R335" t="str">
            <v>Tày</v>
          </cell>
          <cell r="S335" t="str">
            <v>20/3/2018</v>
          </cell>
          <cell r="T335" t="str">
            <v>020192007463</v>
          </cell>
          <cell r="U335" t="str">
            <v>Xã Bắc Sơn- LS</v>
          </cell>
          <cell r="W335" t="str">
            <v>003458/LS-CCHN</v>
          </cell>
          <cell r="X335" t="str">
            <v>17/05/2019</v>
          </cell>
          <cell r="Z335" t="str">
            <v>Khám bệnh, chữa bệnh Sản phụ khoa</v>
          </cell>
          <cell r="AB335" t="str">
            <v>18.0018;18.0020;18.0030;18.0031;18.0034;18.0035;18.0036;18.0054</v>
          </cell>
          <cell r="AC335" t="str">
            <v>0386738504</v>
          </cell>
          <cell r="AD335" t="str">
            <v>HĐ 09/2017; BC 20/3/2018</v>
          </cell>
        </row>
        <row r="336">
          <cell r="B336" t="str">
            <v>BV0809</v>
          </cell>
          <cell r="C336" t="str">
            <v>Bạch Khánh Vân</v>
          </cell>
          <cell r="D336" t="str">
            <v>BV0809</v>
          </cell>
          <cell r="E336" t="str">
            <v>x</v>
          </cell>
          <cell r="F336" t="str">
            <v>BSCKI</v>
          </cell>
          <cell r="G336" t="str">
            <v>TĐ003</v>
          </cell>
          <cell r="H336" t="str">
            <v>Bác sĩ (hạng III)</v>
          </cell>
          <cell r="I336" t="str">
            <v>Bác sĩ (hạng III)</v>
          </cell>
          <cell r="J336" t="str">
            <v>Phụ sản</v>
          </cell>
          <cell r="K336" t="str">
            <v>KP016</v>
          </cell>
          <cell r="L336" t="str">
            <v>Viên chức CMNV</v>
          </cell>
          <cell r="M336">
            <v>0</v>
          </cell>
          <cell r="N336" t="str">
            <v>Viên chức</v>
          </cell>
          <cell r="O336">
            <v>36</v>
          </cell>
          <cell r="P336">
            <v>0</v>
          </cell>
          <cell r="Q336" t="str">
            <v>18/5/1990</v>
          </cell>
          <cell r="R336" t="str">
            <v>Kinh</v>
          </cell>
          <cell r="S336" t="str">
            <v>10/01/2016</v>
          </cell>
          <cell r="T336" t="str">
            <v>020190012013</v>
          </cell>
          <cell r="U336" t="str">
            <v>Số 244- khối Trần Hưng Đạo- Xã Bình Gia-LS</v>
          </cell>
          <cell r="W336" t="str">
            <v>000722/LS-CCHN</v>
          </cell>
          <cell r="X336" t="str">
            <v>25/07/2017</v>
          </cell>
          <cell r="Z336" t="str">
            <v>Khám bệnh, chữa bệnh đa khoa</v>
          </cell>
          <cell r="AB336" t="str">
            <v>18.0018;18.0020;18.0030;18.0031;18.0034;18.0035;18.0036;18.0054;18.0025;18.0026;18.0032;18.0033;18.0037;18.0055</v>
          </cell>
          <cell r="AC336">
            <v>818006804</v>
          </cell>
          <cell r="AD336" t="str">
            <v>Chuyển đến 01/12/2017</v>
          </cell>
        </row>
        <row r="337">
          <cell r="B337" t="str">
            <v>BV0243</v>
          </cell>
          <cell r="C337" t="str">
            <v>Đoàn Anh Đức</v>
          </cell>
          <cell r="D337" t="str">
            <v>BV0243</v>
          </cell>
          <cell r="F337" t="str">
            <v>Thạc sỹ</v>
          </cell>
          <cell r="G337" t="str">
            <v>TĐ004</v>
          </cell>
          <cell r="H337" t="str">
            <v>Bác sĩ (hạng III)</v>
          </cell>
          <cell r="I337" t="str">
            <v>Bác sĩ (hạng III)</v>
          </cell>
          <cell r="J337" t="str">
            <v>Phụ sản</v>
          </cell>
          <cell r="K337" t="str">
            <v>KP016</v>
          </cell>
          <cell r="L337" t="str">
            <v>Lãnh đạo khoa, phòng</v>
          </cell>
          <cell r="M337" t="str">
            <v>Phó trưởng khoa</v>
          </cell>
          <cell r="N337" t="str">
            <v>Viên chức</v>
          </cell>
          <cell r="O337">
            <v>44</v>
          </cell>
          <cell r="P337">
            <v>30081</v>
          </cell>
          <cell r="Q337">
            <v>0</v>
          </cell>
          <cell r="R337" t="str">
            <v>Tày</v>
          </cell>
          <cell r="S337" t="str">
            <v>5/12/2006</v>
          </cell>
          <cell r="T337" t="str">
            <v>020082001917</v>
          </cell>
          <cell r="U337" t="str">
            <v>Số 8- Mạc Đĩnh Chi- Khối 10- P. Kỳ Lừa- LS</v>
          </cell>
          <cell r="W337" t="str">
            <v>000953/LS-CCHN</v>
          </cell>
          <cell r="X337" t="str">
            <v>11/01/2023</v>
          </cell>
          <cell r="Z337" t="str">
            <v>Khám bệnh, chữa bệnh chuyên khoa Phụ sản</v>
          </cell>
          <cell r="AB337">
            <v>0</v>
          </cell>
          <cell r="AC337">
            <v>911277889</v>
          </cell>
        </row>
        <row r="338">
          <cell r="B338" t="str">
            <v>BV1063</v>
          </cell>
          <cell r="C338" t="str">
            <v>Phạm Thị Trang</v>
          </cell>
          <cell r="D338" t="str">
            <v>BV1063</v>
          </cell>
          <cell r="E338" t="str">
            <v>x</v>
          </cell>
          <cell r="F338" t="str">
            <v>Bác sĩ</v>
          </cell>
          <cell r="G338" t="str">
            <v>TĐ005</v>
          </cell>
          <cell r="I338" t="str">
            <v>Bác sĩ (hạng III)</v>
          </cell>
          <cell r="J338" t="str">
            <v>Phụ sản</v>
          </cell>
          <cell r="K338" t="str">
            <v>KP016</v>
          </cell>
          <cell r="N338" t="str">
            <v>Viên chức</v>
          </cell>
          <cell r="O338">
            <v>30</v>
          </cell>
          <cell r="P338">
            <v>0</v>
          </cell>
          <cell r="Q338">
            <v>34926</v>
          </cell>
          <cell r="R338" t="str">
            <v>Tày</v>
          </cell>
          <cell r="S338" t="str">
            <v xml:space="preserve">11/8/2020 </v>
          </cell>
          <cell r="T338" t="str">
            <v>020195008464</v>
          </cell>
          <cell r="U338" t="str">
            <v>An Rinh 1- P.Kỳ Lừa- LS</v>
          </cell>
          <cell r="W338" t="str">
            <v>005494/LS-CCHN</v>
          </cell>
          <cell r="X338" t="str">
            <v>04/11/2022</v>
          </cell>
          <cell r="Z338" t="str">
            <v>Khám bệnh chữa bệnh Nội khoa</v>
          </cell>
          <cell r="AB338">
            <v>0</v>
          </cell>
          <cell r="AC338">
            <v>963212145</v>
          </cell>
          <cell r="AD338" t="str">
            <v>Thử việc 11/8/2020, Viên chức từ 15/6/2026</v>
          </cell>
        </row>
        <row r="339">
          <cell r="B339" t="str">
            <v>BV0841</v>
          </cell>
          <cell r="C339" t="str">
            <v>Vi Việt Chinh</v>
          </cell>
          <cell r="D339" t="str">
            <v>BV0841</v>
          </cell>
          <cell r="F339" t="str">
            <v>BSCKI</v>
          </cell>
          <cell r="G339" t="str">
            <v>TĐ003</v>
          </cell>
          <cell r="H339" t="str">
            <v>Bác sĩ (hạng III)</v>
          </cell>
          <cell r="I339" t="str">
            <v>Bác sĩ (hạng III)</v>
          </cell>
          <cell r="J339" t="str">
            <v>Phụ sản</v>
          </cell>
          <cell r="K339" t="str">
            <v>KP016</v>
          </cell>
          <cell r="L339" t="str">
            <v>Viên chức CMNV</v>
          </cell>
          <cell r="M339">
            <v>0</v>
          </cell>
          <cell r="N339" t="str">
            <v>Viên chức</v>
          </cell>
          <cell r="O339">
            <v>33</v>
          </cell>
          <cell r="P339" t="str">
            <v>15/9/1992</v>
          </cell>
          <cell r="Q339">
            <v>0</v>
          </cell>
          <cell r="R339" t="str">
            <v>Tày</v>
          </cell>
          <cell r="S339" t="str">
            <v>20/3/2018</v>
          </cell>
          <cell r="T339" t="str">
            <v>020092002124</v>
          </cell>
          <cell r="U339" t="str">
            <v>Khu Hoà Bình- Xã Lộc Bình- LS</v>
          </cell>
          <cell r="W339" t="str">
            <v>003659/LS-CCHN</v>
          </cell>
          <cell r="X339" t="str">
            <v>27/12/2019</v>
          </cell>
          <cell r="Z339" t="str">
            <v>Khám bệnh, chữa bệnh Sản phụ khoa</v>
          </cell>
          <cell r="AB339" t="str">
            <v>18.0018;18.0020;18.0030;18.0031;18.0034;18.0035;18.0036;18.0054</v>
          </cell>
          <cell r="AC339" t="str">
            <v>0349754357</v>
          </cell>
          <cell r="AD339" t="str">
            <v>BC 20/3/2018</v>
          </cell>
        </row>
        <row r="340">
          <cell r="B340" t="str">
            <v>BV0791</v>
          </cell>
          <cell r="C340" t="str">
            <v>Hoàng Ngọc Lê</v>
          </cell>
          <cell r="D340" t="str">
            <v>BV0791</v>
          </cell>
          <cell r="E340" t="str">
            <v>x</v>
          </cell>
          <cell r="F340" t="str">
            <v>Điều dưỡng ĐH</v>
          </cell>
          <cell r="G340" t="str">
            <v>TĐ011</v>
          </cell>
          <cell r="I340" t="str">
            <v>Điều dưỡng (hạng III)</v>
          </cell>
          <cell r="J340" t="str">
            <v>Phụ sản</v>
          </cell>
          <cell r="K340" t="str">
            <v>KP016</v>
          </cell>
          <cell r="N340" t="str">
            <v>Viên chức</v>
          </cell>
          <cell r="O340">
            <v>36</v>
          </cell>
          <cell r="P340">
            <v>0</v>
          </cell>
          <cell r="Q340">
            <v>32789</v>
          </cell>
          <cell r="R340" t="str">
            <v>Tày</v>
          </cell>
          <cell r="S340" t="str">
            <v xml:space="preserve"> 02/10/2017</v>
          </cell>
          <cell r="T340" t="str">
            <v>020189002999</v>
          </cell>
          <cell r="U340" t="str">
            <v>Khối 24- P.Kỳ Lừa- LS</v>
          </cell>
          <cell r="W340" t="str">
            <v>003395/LS-CCHN</v>
          </cell>
          <cell r="X340" t="str">
            <v>21/11/2018</v>
          </cell>
          <cell r="Z34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40">
            <v>0</v>
          </cell>
          <cell r="AC340" t="str">
            <v>0942024335</v>
          </cell>
          <cell r="AD340" t="str">
            <v>Viên chức từ 15/6/2026</v>
          </cell>
        </row>
        <row r="341">
          <cell r="B341" t="str">
            <v>BV0264</v>
          </cell>
          <cell r="C341" t="str">
            <v>Trần Thị Hương</v>
          </cell>
          <cell r="D341" t="str">
            <v>BV0264</v>
          </cell>
          <cell r="E341" t="str">
            <v>x</v>
          </cell>
          <cell r="F341" t="str">
            <v>Hộ sinh ĐH</v>
          </cell>
          <cell r="G341" t="str">
            <v>TĐ017</v>
          </cell>
          <cell r="H341" t="str">
            <v>Hộ sinh (hạng III)</v>
          </cell>
          <cell r="I341" t="str">
            <v>Hộ sinh (hạng III)</v>
          </cell>
          <cell r="J341" t="str">
            <v>Phụ sản</v>
          </cell>
          <cell r="K341" t="str">
            <v>KP016</v>
          </cell>
          <cell r="L341" t="str">
            <v>Viên chức CMNV</v>
          </cell>
          <cell r="M341">
            <v>0</v>
          </cell>
          <cell r="N341" t="str">
            <v>Viên chức</v>
          </cell>
          <cell r="O341">
            <v>46</v>
          </cell>
          <cell r="P341">
            <v>0</v>
          </cell>
          <cell r="Q341">
            <v>29230</v>
          </cell>
          <cell r="R341" t="str">
            <v>Kinh</v>
          </cell>
          <cell r="S341" t="str">
            <v>1/10/2002</v>
          </cell>
          <cell r="T341" t="str">
            <v>034180011929</v>
          </cell>
          <cell r="U341" t="str">
            <v>Số 35,Ngõ 35- tổ 2- Khối 10-P.Tam Thanh- LS</v>
          </cell>
          <cell r="W341" t="str">
            <v>000963/LS-CCHN</v>
          </cell>
          <cell r="X341" t="str">
            <v>11/01/2023</v>
          </cell>
          <cell r="Z34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41">
            <v>0</v>
          </cell>
          <cell r="AC341" t="str">
            <v>0976467168</v>
          </cell>
        </row>
        <row r="342">
          <cell r="B342" t="str">
            <v>BV0266</v>
          </cell>
          <cell r="C342" t="str">
            <v>Âu Thị Thủy</v>
          </cell>
          <cell r="D342" t="str">
            <v>BV0266</v>
          </cell>
          <cell r="E342" t="str">
            <v>x</v>
          </cell>
          <cell r="F342" t="str">
            <v>Hộ sinh ĐH</v>
          </cell>
          <cell r="G342" t="str">
            <v>TĐ017</v>
          </cell>
          <cell r="H342" t="str">
            <v>Hộ sinh (hạng III)</v>
          </cell>
          <cell r="I342" t="str">
            <v>Hộ sinh (hạng III)</v>
          </cell>
          <cell r="J342" t="str">
            <v>Phụ sản</v>
          </cell>
          <cell r="K342" t="str">
            <v>KP016</v>
          </cell>
          <cell r="L342" t="str">
            <v>Viên chức CMNV</v>
          </cell>
          <cell r="M342">
            <v>0</v>
          </cell>
          <cell r="N342" t="str">
            <v>Viên chức</v>
          </cell>
          <cell r="O342">
            <v>47</v>
          </cell>
          <cell r="P342">
            <v>0</v>
          </cell>
          <cell r="Q342">
            <v>28960</v>
          </cell>
          <cell r="R342" t="str">
            <v>Nùng</v>
          </cell>
          <cell r="S342" t="str">
            <v xml:space="preserve">01/11/2005 </v>
          </cell>
          <cell r="T342" t="str">
            <v>020179002513</v>
          </cell>
          <cell r="U342" t="str">
            <v>Khối 18- P. Đông Kinh-LS</v>
          </cell>
          <cell r="W342" t="str">
            <v>000967/LS-CCHN</v>
          </cell>
          <cell r="X342" t="str">
            <v>11/01/2023</v>
          </cell>
          <cell r="Z34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42">
            <v>0</v>
          </cell>
          <cell r="AC342" t="str">
            <v>0912955828</v>
          </cell>
        </row>
        <row r="343">
          <cell r="B343" t="str">
            <v>BV0252</v>
          </cell>
          <cell r="C343" t="str">
            <v>Triệu Hoàng Anh</v>
          </cell>
          <cell r="D343" t="str">
            <v>BV0252</v>
          </cell>
          <cell r="E343" t="str">
            <v>x</v>
          </cell>
          <cell r="F343" t="str">
            <v>Hộ sinh ĐH</v>
          </cell>
          <cell r="G343" t="str">
            <v>TĐ017</v>
          </cell>
          <cell r="H343" t="str">
            <v>Hộ sinh (hạng III)</v>
          </cell>
          <cell r="I343" t="str">
            <v>Hộ sinh (hạng III)</v>
          </cell>
          <cell r="J343" t="str">
            <v>Phụ sản</v>
          </cell>
          <cell r="K343" t="str">
            <v>KP016</v>
          </cell>
          <cell r="L343" t="str">
            <v>Viên chức CMNV</v>
          </cell>
          <cell r="M343">
            <v>0</v>
          </cell>
          <cell r="N343" t="str">
            <v>Viên chức</v>
          </cell>
          <cell r="O343">
            <v>48</v>
          </cell>
          <cell r="P343">
            <v>0</v>
          </cell>
          <cell r="Q343">
            <v>28569</v>
          </cell>
          <cell r="R343">
            <v>0</v>
          </cell>
          <cell r="S343" t="str">
            <v>1/2/2005</v>
          </cell>
          <cell r="T343" t="str">
            <v>004178000120</v>
          </cell>
          <cell r="U343" t="str">
            <v>Số 26, Ngõ 88-  Đường Lê Quý Đôn- P.Tam thanh- LS</v>
          </cell>
          <cell r="W343" t="str">
            <v>000961/LS-CCHN</v>
          </cell>
          <cell r="X343" t="str">
            <v>24/06/2013</v>
          </cell>
          <cell r="Z343" t="str">
            <v>Theo Quy định tại Thông tư số 12/2011/TT-BYT ngày 15/3/2011 của Bộ Y tế quy định tiêu chuẩn các ngạch viên chức hộ sinh</v>
          </cell>
          <cell r="AB343">
            <v>0</v>
          </cell>
          <cell r="AC343" t="str">
            <v>0836514388</v>
          </cell>
        </row>
        <row r="344">
          <cell r="B344" t="str">
            <v>BV0268</v>
          </cell>
          <cell r="C344" t="str">
            <v>Hoàng Thị Hưởng</v>
          </cell>
          <cell r="D344" t="str">
            <v>BV0268</v>
          </cell>
          <cell r="E344" t="str">
            <v>x</v>
          </cell>
          <cell r="F344" t="str">
            <v>Hộ sinh ĐH</v>
          </cell>
          <cell r="G344" t="str">
            <v>TĐ017</v>
          </cell>
          <cell r="H344" t="str">
            <v>Hộ sinh (hạng III)</v>
          </cell>
          <cell r="I344" t="str">
            <v>Hộ sinh (hạng III)</v>
          </cell>
          <cell r="J344" t="str">
            <v>Phụ sản</v>
          </cell>
          <cell r="K344" t="str">
            <v>KP016</v>
          </cell>
          <cell r="L344" t="str">
            <v>Viên chức CMNV</v>
          </cell>
          <cell r="M344">
            <v>0</v>
          </cell>
          <cell r="N344" t="str">
            <v>Viên chức</v>
          </cell>
          <cell r="O344">
            <v>41</v>
          </cell>
          <cell r="P344">
            <v>0</v>
          </cell>
          <cell r="Q344">
            <v>31072</v>
          </cell>
          <cell r="R344" t="str">
            <v>Tày</v>
          </cell>
          <cell r="S344" t="str">
            <v>1/1/2009</v>
          </cell>
          <cell r="T344" t="str">
            <v>020185002855</v>
          </cell>
          <cell r="U344" t="str">
            <v>Khối 15- P.Đông Kinh- LS</v>
          </cell>
          <cell r="W344" t="str">
            <v>000966/LS-CCHN</v>
          </cell>
          <cell r="X344" t="str">
            <v>11/01/2023</v>
          </cell>
          <cell r="Z34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44">
            <v>0</v>
          </cell>
          <cell r="AC344" t="str">
            <v>0982901411</v>
          </cell>
        </row>
        <row r="345">
          <cell r="B345" t="str">
            <v>BV0251</v>
          </cell>
          <cell r="C345" t="str">
            <v>Hoàng Thị Nụ</v>
          </cell>
          <cell r="D345" t="str">
            <v>BV0251</v>
          </cell>
          <cell r="E345" t="str">
            <v>x</v>
          </cell>
          <cell r="F345" t="str">
            <v>Hộ sinh ĐH</v>
          </cell>
          <cell r="G345" t="str">
            <v>TĐ017</v>
          </cell>
          <cell r="H345" t="str">
            <v>Hộ sinh (hạng III)</v>
          </cell>
          <cell r="I345" t="str">
            <v>Hộ sinh (hạng III)</v>
          </cell>
          <cell r="J345" t="str">
            <v>Phụ sản</v>
          </cell>
          <cell r="K345" t="str">
            <v>KP016</v>
          </cell>
          <cell r="L345" t="str">
            <v>Viên chức CMNV</v>
          </cell>
          <cell r="M345">
            <v>0</v>
          </cell>
          <cell r="N345" t="str">
            <v>Viên chức</v>
          </cell>
          <cell r="O345">
            <v>53</v>
          </cell>
          <cell r="P345">
            <v>0</v>
          </cell>
          <cell r="Q345">
            <v>26888</v>
          </cell>
          <cell r="R345" t="str">
            <v>Tày</v>
          </cell>
          <cell r="S345" t="str">
            <v>1/8/1995</v>
          </cell>
          <cell r="T345" t="str">
            <v>020173001765</v>
          </cell>
          <cell r="U345" t="str">
            <v>Khối 14 - P. Kỳ Lừa- LS</v>
          </cell>
          <cell r="W345" t="str">
            <v>000978/LS-CCHN</v>
          </cell>
          <cell r="X345" t="str">
            <v>24/06/2013</v>
          </cell>
          <cell r="Z345" t="str">
            <v>Theo Quy định tại Thông tư số 12/2011/TT-BYT ngày 15/3/2011 của Bộ Y tế quy định tiêu chuẩn các ngạch viên chức hộ sinh</v>
          </cell>
          <cell r="AB345">
            <v>0</v>
          </cell>
          <cell r="AC345" t="str">
            <v>0817515658</v>
          </cell>
        </row>
        <row r="346">
          <cell r="B346" t="str">
            <v>BV0253</v>
          </cell>
          <cell r="C346" t="str">
            <v>Bùi Thị Oanh</v>
          </cell>
          <cell r="D346" t="str">
            <v>BV0253</v>
          </cell>
          <cell r="E346" t="str">
            <v>x</v>
          </cell>
          <cell r="F346" t="str">
            <v>Hộ sinh ĐH</v>
          </cell>
          <cell r="G346" t="str">
            <v>TĐ017</v>
          </cell>
          <cell r="H346" t="str">
            <v>Hộ sinh (hạng III)</v>
          </cell>
          <cell r="I346" t="str">
            <v>Hộ sinh (hạng III)</v>
          </cell>
          <cell r="J346" t="str">
            <v>Phụ sản</v>
          </cell>
          <cell r="K346" t="str">
            <v>KP016</v>
          </cell>
          <cell r="L346" t="str">
            <v>Viên chức CMNV</v>
          </cell>
          <cell r="M346">
            <v>0</v>
          </cell>
          <cell r="N346" t="str">
            <v>Viên chức</v>
          </cell>
          <cell r="O346">
            <v>38</v>
          </cell>
          <cell r="P346">
            <v>0</v>
          </cell>
          <cell r="Q346">
            <v>32024</v>
          </cell>
          <cell r="R346" t="str">
            <v>Kinh</v>
          </cell>
          <cell r="S346" t="str">
            <v>01/11/2014</v>
          </cell>
          <cell r="T346" t="str">
            <v>001187037308</v>
          </cell>
          <cell r="U346" t="str">
            <v>Khối 13- P.Đông Kinh- LS</v>
          </cell>
          <cell r="W346" t="str">
            <v>000375/LS-CCHN</v>
          </cell>
          <cell r="X346" t="str">
            <v>01/06/2016</v>
          </cell>
          <cell r="Z346" t="str">
            <v>Theo Quy định tại Thông tư số 12/2011/TT-BYT ngày 15/3/2011 của Bộ Y tế quy định tiêu chuẩn các ngạch viên chức hộ sinh</v>
          </cell>
          <cell r="AB346">
            <v>0</v>
          </cell>
          <cell r="AC346" t="str">
            <v>0918311090</v>
          </cell>
        </row>
        <row r="347">
          <cell r="B347" t="str">
            <v>BV0250</v>
          </cell>
          <cell r="C347" t="str">
            <v>Lương Thị Thoa</v>
          </cell>
          <cell r="D347" t="str">
            <v>BV0250</v>
          </cell>
          <cell r="E347" t="str">
            <v>x</v>
          </cell>
          <cell r="F347" t="str">
            <v>Hộ sinh ĐH</v>
          </cell>
          <cell r="G347" t="str">
            <v>TĐ017</v>
          </cell>
          <cell r="H347" t="str">
            <v>Hộ sinh (hạng III)</v>
          </cell>
          <cell r="I347" t="str">
            <v>Hộ sinh (hạng III)</v>
          </cell>
          <cell r="J347" t="str">
            <v>Phụ sản</v>
          </cell>
          <cell r="K347" t="str">
            <v>KP016</v>
          </cell>
          <cell r="L347" t="str">
            <v>Viên chức CMNV</v>
          </cell>
          <cell r="M347">
            <v>0</v>
          </cell>
          <cell r="N347" t="str">
            <v>Viên chức</v>
          </cell>
          <cell r="O347">
            <v>47</v>
          </cell>
          <cell r="P347">
            <v>0</v>
          </cell>
          <cell r="Q347">
            <v>28983</v>
          </cell>
          <cell r="R347" t="str">
            <v>Nùng</v>
          </cell>
          <cell r="S347" t="str">
            <v>25/11/2005</v>
          </cell>
          <cell r="T347" t="str">
            <v>020179000572</v>
          </cell>
          <cell r="U347" t="str">
            <v>Khối 9- P. Đông kinh- LS</v>
          </cell>
          <cell r="W347" t="str">
            <v>000979/LS-CCHN</v>
          </cell>
          <cell r="X347" t="str">
            <v>24/06/2013</v>
          </cell>
          <cell r="Z347" t="str">
            <v>Theo Quy định tại Thông tư số 12/2011/TT-BYT ngày 15/3/2011 của Bộ Y tế quy định tiêu chuẩn các ngạch viên chức hộ sinh</v>
          </cell>
          <cell r="AB347">
            <v>0</v>
          </cell>
          <cell r="AC347" t="str">
            <v>0912430556</v>
          </cell>
        </row>
        <row r="348">
          <cell r="B348" t="str">
            <v>BV0996</v>
          </cell>
          <cell r="C348" t="str">
            <v>Hoàng Thị Thuần</v>
          </cell>
          <cell r="D348" t="str">
            <v>BV0996</v>
          </cell>
          <cell r="E348" t="str">
            <v>x</v>
          </cell>
          <cell r="F348" t="str">
            <v>Hộ sinh ĐH</v>
          </cell>
          <cell r="G348" t="str">
            <v>TĐ017</v>
          </cell>
          <cell r="H348" t="str">
            <v>Hộ sinh (hạng III)</v>
          </cell>
          <cell r="I348" t="str">
            <v>Hộ sinh (hạng III)</v>
          </cell>
          <cell r="J348" t="str">
            <v>Phụ sản</v>
          </cell>
          <cell r="K348" t="str">
            <v>KP016</v>
          </cell>
          <cell r="L348" t="str">
            <v>Viên chức CMNV</v>
          </cell>
          <cell r="M348">
            <v>0</v>
          </cell>
          <cell r="N348" t="str">
            <v>Viên chức</v>
          </cell>
          <cell r="O348">
            <v>51</v>
          </cell>
          <cell r="P348">
            <v>0</v>
          </cell>
          <cell r="Q348" t="str">
            <v>09/04/1975</v>
          </cell>
          <cell r="R348" t="str">
            <v>Nùng</v>
          </cell>
          <cell r="S348" t="str">
            <v>01/2/1997</v>
          </cell>
          <cell r="T348" t="str">
            <v>004175000163</v>
          </cell>
          <cell r="U348" t="str">
            <v xml:space="preserve">Số 8/1 - Ngõ 2 - Đường Lê Lợi - K2 -     Đông Kinh - LS </v>
          </cell>
          <cell r="W348" t="str">
            <v>001861/LS-CCHN</v>
          </cell>
          <cell r="X348" t="str">
            <v>11/01/2023</v>
          </cell>
          <cell r="Z34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48">
            <v>0</v>
          </cell>
          <cell r="AC348">
            <v>945358052</v>
          </cell>
          <cell r="AD348" t="str">
            <v>Chuyển đến 02/01/2020</v>
          </cell>
        </row>
        <row r="349">
          <cell r="B349" t="str">
            <v>BV0255</v>
          </cell>
          <cell r="C349" t="str">
            <v>Hoàng Quế Anh</v>
          </cell>
          <cell r="D349" t="str">
            <v>BV0255</v>
          </cell>
          <cell r="E349" t="str">
            <v>x</v>
          </cell>
          <cell r="F349" t="str">
            <v>Hộ sinh ĐH</v>
          </cell>
          <cell r="G349" t="str">
            <v>TĐ017</v>
          </cell>
          <cell r="H349" t="str">
            <v>Hộ sinh (hạng IV)</v>
          </cell>
          <cell r="I349" t="str">
            <v>Hộ sinh (hạng IV)</v>
          </cell>
          <cell r="J349" t="str">
            <v>Phụ sản</v>
          </cell>
          <cell r="K349" t="str">
            <v>KP016</v>
          </cell>
          <cell r="L349" t="str">
            <v>Lãnh đạo khoa, phòng</v>
          </cell>
          <cell r="M349" t="str">
            <v>Hộ sinh trưởng</v>
          </cell>
          <cell r="N349" t="str">
            <v>Viên chức</v>
          </cell>
          <cell r="O349">
            <v>51</v>
          </cell>
          <cell r="P349">
            <v>0</v>
          </cell>
          <cell r="Q349">
            <v>27326</v>
          </cell>
          <cell r="R349" t="str">
            <v>Tày</v>
          </cell>
          <cell r="S349" t="str">
            <v>15/10/1994</v>
          </cell>
          <cell r="T349" t="str">
            <v>022174005122</v>
          </cell>
          <cell r="U349" t="str">
            <v>43 Ngõ 15- Tông Đản- P.Kỳ Lừa- LS</v>
          </cell>
          <cell r="W349" t="str">
            <v>000981/LS-CCHN</v>
          </cell>
          <cell r="X349" t="str">
            <v>24/06/2013</v>
          </cell>
          <cell r="Z349" t="str">
            <v>Theo Quy định tại Thông tư số 12/2011/TT-BYT ngày 15/3/2011 của Bộ Y tế quy định tiêu chuẩn các ngạch viên chức hộ sinh</v>
          </cell>
          <cell r="AB349">
            <v>0</v>
          </cell>
          <cell r="AC349" t="str">
            <v>0912902289</v>
          </cell>
        </row>
        <row r="350">
          <cell r="B350" t="str">
            <v>BV0274</v>
          </cell>
          <cell r="C350" t="str">
            <v>Lưu Thị Thu Hằng</v>
          </cell>
          <cell r="D350" t="str">
            <v>BV0274</v>
          </cell>
          <cell r="E350" t="str">
            <v>x</v>
          </cell>
          <cell r="F350" t="str">
            <v>Hộ sinh ĐH</v>
          </cell>
          <cell r="G350" t="str">
            <v>TĐ017</v>
          </cell>
          <cell r="H350" t="str">
            <v>Hộ sinh (hạng III)</v>
          </cell>
          <cell r="I350" t="str">
            <v>Hộ sinh (hạng III)</v>
          </cell>
          <cell r="J350" t="str">
            <v>Phụ sản</v>
          </cell>
          <cell r="K350" t="str">
            <v>KP016</v>
          </cell>
          <cell r="L350" t="str">
            <v>Viên chức CMNV</v>
          </cell>
          <cell r="M350">
            <v>0</v>
          </cell>
          <cell r="N350" t="str">
            <v>Viên chức</v>
          </cell>
          <cell r="O350">
            <v>40</v>
          </cell>
          <cell r="P350">
            <v>0</v>
          </cell>
          <cell r="Q350">
            <v>31519</v>
          </cell>
          <cell r="R350" t="str">
            <v>Nùng</v>
          </cell>
          <cell r="S350" t="str">
            <v>1/4/2007</v>
          </cell>
          <cell r="T350" t="str">
            <v>020186011745</v>
          </cell>
          <cell r="U350" t="str">
            <v>Khối 8- P.Kỳ Lừa- LS</v>
          </cell>
          <cell r="W350" t="str">
            <v>000976/LS-CCHN</v>
          </cell>
          <cell r="X350" t="str">
            <v>11/01/2023</v>
          </cell>
          <cell r="Z350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50">
            <v>0</v>
          </cell>
          <cell r="AC350" t="str">
            <v>0916217486</v>
          </cell>
        </row>
        <row r="351">
          <cell r="B351" t="str">
            <v>BV0254</v>
          </cell>
          <cell r="C351" t="str">
            <v>Nông Thị Thu Trang</v>
          </cell>
          <cell r="D351" t="str">
            <v>BV0254</v>
          </cell>
          <cell r="E351" t="str">
            <v>x</v>
          </cell>
          <cell r="F351" t="str">
            <v>Hộ sinh ĐH</v>
          </cell>
          <cell r="G351" t="str">
            <v>TĐ017</v>
          </cell>
          <cell r="H351" t="str">
            <v>Hộ sinh (hạng III)</v>
          </cell>
          <cell r="I351" t="str">
            <v>Hộ sinh (hạng III)</v>
          </cell>
          <cell r="J351" t="str">
            <v>Phụ sản</v>
          </cell>
          <cell r="K351" t="str">
            <v>KP016</v>
          </cell>
          <cell r="L351" t="str">
            <v>Viên chức CMNV</v>
          </cell>
          <cell r="M351">
            <v>0</v>
          </cell>
          <cell r="N351" t="str">
            <v>Viên chức</v>
          </cell>
          <cell r="O351">
            <v>49</v>
          </cell>
          <cell r="P351">
            <v>0</v>
          </cell>
          <cell r="Q351">
            <v>27995</v>
          </cell>
          <cell r="R351" t="str">
            <v>Tày</v>
          </cell>
          <cell r="S351" t="str">
            <v>15/3/1996</v>
          </cell>
          <cell r="T351" t="str">
            <v>020176001522</v>
          </cell>
          <cell r="U351" t="str">
            <v>Số 7- Văn Vỉ- P.Lương Văn Tri- LS</v>
          </cell>
          <cell r="W351" t="str">
            <v>000980/LS-CCHN</v>
          </cell>
          <cell r="X351" t="str">
            <v>11/01/2023</v>
          </cell>
          <cell r="Z35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51">
            <v>0</v>
          </cell>
          <cell r="AC351" t="str">
            <v>0912909393</v>
          </cell>
        </row>
        <row r="352">
          <cell r="B352" t="str">
            <v>BV0280</v>
          </cell>
          <cell r="C352" t="str">
            <v>Nguyễn Thị Định</v>
          </cell>
          <cell r="D352" t="str">
            <v>BV0280</v>
          </cell>
          <cell r="E352" t="str">
            <v>x</v>
          </cell>
          <cell r="F352" t="str">
            <v>Hộ sinh ĐH</v>
          </cell>
          <cell r="G352" t="str">
            <v>TĐ017</v>
          </cell>
          <cell r="H352" t="str">
            <v>Hộ sinh (hạng III)</v>
          </cell>
          <cell r="I352" t="str">
            <v>Hộ sinh (hạng III)</v>
          </cell>
          <cell r="J352" t="str">
            <v>Phụ sản</v>
          </cell>
          <cell r="K352" t="str">
            <v>KP016</v>
          </cell>
          <cell r="L352" t="str">
            <v>Viên chức CMNV</v>
          </cell>
          <cell r="M352">
            <v>0</v>
          </cell>
          <cell r="N352" t="str">
            <v>Viên chức</v>
          </cell>
          <cell r="O352">
            <v>40</v>
          </cell>
          <cell r="P352">
            <v>0</v>
          </cell>
          <cell r="Q352">
            <v>31452</v>
          </cell>
          <cell r="R352" t="str">
            <v>Nùng</v>
          </cell>
          <cell r="S352" t="str">
            <v>9/2/1986</v>
          </cell>
          <cell r="T352" t="str">
            <v>020186011754</v>
          </cell>
          <cell r="U352" t="str">
            <v>Số 270 Nguyễn Phi Khanh - P Tam Thanh - LS</v>
          </cell>
          <cell r="W352" t="str">
            <v>000764/LS-CCHN</v>
          </cell>
          <cell r="X352" t="str">
            <v>11/01/2023</v>
          </cell>
          <cell r="Z35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52">
            <v>0</v>
          </cell>
          <cell r="AC352" t="str">
            <v>0976166436</v>
          </cell>
        </row>
        <row r="353">
          <cell r="B353" t="str">
            <v>BV0288</v>
          </cell>
          <cell r="C353" t="str">
            <v>Hứa Thu Hồng</v>
          </cell>
          <cell r="D353" t="str">
            <v>BV0288</v>
          </cell>
          <cell r="E353" t="str">
            <v>x</v>
          </cell>
          <cell r="F353" t="str">
            <v>Hộ sinh ĐH</v>
          </cell>
          <cell r="G353" t="str">
            <v>TĐ017</v>
          </cell>
          <cell r="H353" t="str">
            <v>Hộ sinh (hạng III)</v>
          </cell>
          <cell r="I353" t="str">
            <v>Hộ sinh (hạng III)</v>
          </cell>
          <cell r="J353" t="str">
            <v>Phụ sản</v>
          </cell>
          <cell r="K353" t="str">
            <v>KP016</v>
          </cell>
          <cell r="L353" t="str">
            <v>Viên chức CMNV</v>
          </cell>
          <cell r="M353">
            <v>0</v>
          </cell>
          <cell r="N353" t="str">
            <v>Viên chức</v>
          </cell>
          <cell r="O353">
            <v>45</v>
          </cell>
          <cell r="P353">
            <v>0</v>
          </cell>
          <cell r="Q353">
            <v>29721</v>
          </cell>
          <cell r="R353" t="str">
            <v>Nùng</v>
          </cell>
          <cell r="S353" t="str">
            <v>30/10/2006</v>
          </cell>
          <cell r="T353" t="str">
            <v>020181005361</v>
          </cell>
          <cell r="U353" t="str">
            <v>Khối 23- P.Kỳ Lừa- LS</v>
          </cell>
          <cell r="W353" t="str">
            <v>001640/LS-CCHN</v>
          </cell>
          <cell r="X353" t="str">
            <v>11/01/2023</v>
          </cell>
          <cell r="Z35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53">
            <v>0</v>
          </cell>
          <cell r="AC353" t="str">
            <v>0949482261</v>
          </cell>
        </row>
        <row r="354">
          <cell r="B354" t="str">
            <v>BV0279</v>
          </cell>
          <cell r="C354" t="str">
            <v>Phạm Thu Hương</v>
          </cell>
          <cell r="D354" t="str">
            <v>BV0279</v>
          </cell>
          <cell r="E354" t="str">
            <v>x</v>
          </cell>
          <cell r="F354" t="str">
            <v>Hộ sinh ĐH</v>
          </cell>
          <cell r="G354" t="str">
            <v>TĐ017</v>
          </cell>
          <cell r="H354" t="str">
            <v>Hộ sinh (hạng III)</v>
          </cell>
          <cell r="I354" t="str">
            <v>Hộ sinh (hạng III)</v>
          </cell>
          <cell r="J354" t="str">
            <v>Phụ sản</v>
          </cell>
          <cell r="K354" t="str">
            <v>KP016</v>
          </cell>
          <cell r="L354" t="str">
            <v>Viên chức CMNV</v>
          </cell>
          <cell r="M354">
            <v>0</v>
          </cell>
          <cell r="N354" t="str">
            <v>Viên chức</v>
          </cell>
          <cell r="O354">
            <v>41</v>
          </cell>
          <cell r="P354">
            <v>0</v>
          </cell>
          <cell r="Q354">
            <v>31077</v>
          </cell>
          <cell r="R354" t="str">
            <v>Kinh</v>
          </cell>
          <cell r="S354" t="str">
            <v>14/1/2011</v>
          </cell>
          <cell r="T354" t="str">
            <v>020185006315</v>
          </cell>
          <cell r="U354" t="str">
            <v>Sỗ 56 Tổ Sơn- P.Lương Văn Tri- LS</v>
          </cell>
          <cell r="W354" t="str">
            <v>000922/LS-CCHN</v>
          </cell>
          <cell r="X354" t="str">
            <v>11/01/2023</v>
          </cell>
          <cell r="Z35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54">
            <v>0</v>
          </cell>
          <cell r="AC354">
            <v>984313663</v>
          </cell>
        </row>
        <row r="355">
          <cell r="B355" t="str">
            <v>BV0846</v>
          </cell>
          <cell r="C355" t="str">
            <v>Hoàng Thị Khuynh</v>
          </cell>
          <cell r="D355" t="str">
            <v>BV0846</v>
          </cell>
          <cell r="E355" t="str">
            <v>x</v>
          </cell>
          <cell r="F355" t="str">
            <v>Hộ sinh ĐH</v>
          </cell>
          <cell r="G355" t="str">
            <v>TĐ017</v>
          </cell>
          <cell r="H355" t="str">
            <v>Hộ sinh (hạng III)</v>
          </cell>
          <cell r="I355" t="str">
            <v>Hộ sinh (hạng III)</v>
          </cell>
          <cell r="J355" t="str">
            <v>Phụ sản</v>
          </cell>
          <cell r="K355" t="str">
            <v>KP016</v>
          </cell>
          <cell r="L355" t="str">
            <v>Viên chức CMNV</v>
          </cell>
          <cell r="M355">
            <v>0</v>
          </cell>
          <cell r="N355" t="str">
            <v>Viên chức</v>
          </cell>
          <cell r="O355">
            <v>50</v>
          </cell>
          <cell r="P355">
            <v>0</v>
          </cell>
          <cell r="Q355" t="str">
            <v>19/9/1975</v>
          </cell>
          <cell r="R355" t="str">
            <v>Tày</v>
          </cell>
          <cell r="S355" t="str">
            <v>01/6/2017</v>
          </cell>
          <cell r="T355" t="str">
            <v>020175005140</v>
          </cell>
          <cell r="U355" t="str">
            <v>Thôn Bản Lầy- Xã Lộc Bình- LS</v>
          </cell>
          <cell r="W355" t="str">
            <v>001871/LS-CCHN</v>
          </cell>
          <cell r="X355" t="str">
            <v>11/01/2023</v>
          </cell>
          <cell r="Z35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55">
            <v>0</v>
          </cell>
          <cell r="AC355" t="str">
            <v>0356845066</v>
          </cell>
          <cell r="AD355" t="str">
            <v>Chuyển đến 02/7/2018</v>
          </cell>
        </row>
        <row r="356">
          <cell r="B356" t="str">
            <v>BV0843</v>
          </cell>
          <cell r="C356" t="str">
            <v>Lý Thị Diệu Linh</v>
          </cell>
          <cell r="D356" t="str">
            <v>BV0843</v>
          </cell>
          <cell r="E356" t="str">
            <v>x</v>
          </cell>
          <cell r="F356" t="str">
            <v>Hộ sinh ĐH</v>
          </cell>
          <cell r="G356" t="str">
            <v>TĐ017</v>
          </cell>
          <cell r="H356" t="str">
            <v>Hộ sinh (hạng IV)</v>
          </cell>
          <cell r="I356" t="str">
            <v>Hộ sinh (hạng IV)</v>
          </cell>
          <cell r="J356" t="str">
            <v>Phụ sản</v>
          </cell>
          <cell r="K356" t="str">
            <v>KP016</v>
          </cell>
          <cell r="L356" t="str">
            <v>Viên chức CMNV</v>
          </cell>
          <cell r="M356">
            <v>0</v>
          </cell>
          <cell r="N356" t="str">
            <v>Viên chức</v>
          </cell>
          <cell r="O356">
            <v>31</v>
          </cell>
          <cell r="P356">
            <v>0</v>
          </cell>
          <cell r="Q356" t="str">
            <v>17/8/1994</v>
          </cell>
          <cell r="R356" t="str">
            <v>Nùng</v>
          </cell>
          <cell r="S356" t="str">
            <v>25/01/2016</v>
          </cell>
          <cell r="T356" t="str">
            <v>020194004227</v>
          </cell>
          <cell r="U356" t="str">
            <v>Trần Đăng Ninh- P.Hoàng Văn Thụ- LS</v>
          </cell>
          <cell r="V356">
            <v>42576</v>
          </cell>
          <cell r="W356" t="str">
            <v>005683/LS-CCHN</v>
          </cell>
          <cell r="X356" t="str">
            <v>18/09/2023</v>
          </cell>
          <cell r="Z35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56">
            <v>0</v>
          </cell>
          <cell r="AC356" t="str">
            <v>0352535308</v>
          </cell>
          <cell r="AD356" t="str">
            <v>Chuyển đến 20/3/2018; nghỉ TS; Đi làm 11/6/2018</v>
          </cell>
        </row>
        <row r="357">
          <cell r="B357" t="str">
            <v>BV0272</v>
          </cell>
          <cell r="C357" t="str">
            <v>Hứa Thanh Ngà</v>
          </cell>
          <cell r="D357" t="str">
            <v>BV0272</v>
          </cell>
          <cell r="E357" t="str">
            <v>x</v>
          </cell>
          <cell r="F357" t="str">
            <v>Hộ sinh ĐH</v>
          </cell>
          <cell r="G357" t="str">
            <v>TĐ017</v>
          </cell>
          <cell r="H357" t="str">
            <v>Hộ sinh (hạng III)</v>
          </cell>
          <cell r="I357" t="str">
            <v>Hộ sinh (hạng III)</v>
          </cell>
          <cell r="J357" t="str">
            <v>Phụ sản</v>
          </cell>
          <cell r="K357" t="str">
            <v>KP016</v>
          </cell>
          <cell r="L357" t="str">
            <v>Viên chức CMNV</v>
          </cell>
          <cell r="M357">
            <v>0</v>
          </cell>
          <cell r="N357" t="str">
            <v>Viên chức</v>
          </cell>
          <cell r="O357">
            <v>49</v>
          </cell>
          <cell r="P357">
            <v>0</v>
          </cell>
          <cell r="Q357">
            <v>28080</v>
          </cell>
          <cell r="R357" t="str">
            <v>Nùng</v>
          </cell>
          <cell r="S357" t="str">
            <v>15/1/2010</v>
          </cell>
          <cell r="T357" t="str">
            <v>020176001521</v>
          </cell>
          <cell r="U357" t="str">
            <v>Số 19 Ngõ 19- Khối Trần Hưng Đạo- P.Lương Văn Tri- LS</v>
          </cell>
          <cell r="W357" t="str">
            <v>000972/LS-CCHN</v>
          </cell>
          <cell r="X357" t="str">
            <v>11/01/2023</v>
          </cell>
          <cell r="Z35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57">
            <v>0</v>
          </cell>
          <cell r="AC357" t="str">
            <v>0916918225</v>
          </cell>
        </row>
        <row r="358">
          <cell r="B358" t="str">
            <v>BV0287</v>
          </cell>
          <cell r="C358" t="str">
            <v>Hoàng Thị Thiệp</v>
          </cell>
          <cell r="D358" t="str">
            <v>BV0287</v>
          </cell>
          <cell r="E358" t="str">
            <v>x</v>
          </cell>
          <cell r="F358" t="str">
            <v>Hộ sinh ĐH</v>
          </cell>
          <cell r="G358" t="str">
            <v>TĐ017</v>
          </cell>
          <cell r="H358" t="str">
            <v>Hộ sinh (hạng III)</v>
          </cell>
          <cell r="I358" t="str">
            <v>Hộ sinh (hạng III)</v>
          </cell>
          <cell r="J358" t="str">
            <v>Phụ sản</v>
          </cell>
          <cell r="K358" t="str">
            <v>KP016</v>
          </cell>
          <cell r="L358" t="str">
            <v>Viên chức CMNV</v>
          </cell>
          <cell r="M358">
            <v>0</v>
          </cell>
          <cell r="N358" t="str">
            <v>Viên chức</v>
          </cell>
          <cell r="O358">
            <v>45</v>
          </cell>
          <cell r="P358">
            <v>0</v>
          </cell>
          <cell r="Q358">
            <v>29448</v>
          </cell>
          <cell r="R358" t="str">
            <v>Tày</v>
          </cell>
          <cell r="S358" t="str">
            <v>19/01/2005</v>
          </cell>
          <cell r="T358" t="str">
            <v>020180007282</v>
          </cell>
          <cell r="U358" t="str">
            <v>Ngõ 66- Đèo Giang -P.Lương Văn Tri- LS</v>
          </cell>
          <cell r="W358" t="str">
            <v>001547/LS-CCHN</v>
          </cell>
          <cell r="X358" t="str">
            <v>11/12/2022</v>
          </cell>
          <cell r="Z35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58">
            <v>0</v>
          </cell>
          <cell r="AC358" t="str">
            <v>0912150880</v>
          </cell>
        </row>
        <row r="359">
          <cell r="B359" t="str">
            <v>BV1003</v>
          </cell>
          <cell r="C359" t="str">
            <v>Tô Thị Hành</v>
          </cell>
          <cell r="D359" t="str">
            <v>BV1003</v>
          </cell>
          <cell r="E359" t="str">
            <v>x</v>
          </cell>
          <cell r="F359" t="str">
            <v>Hộ sinh ĐH</v>
          </cell>
          <cell r="G359" t="str">
            <v>TĐ017</v>
          </cell>
          <cell r="H359" t="str">
            <v>Hộ sinh (hạng III)</v>
          </cell>
          <cell r="I359" t="str">
            <v>Hộ sinh (hạng III)</v>
          </cell>
          <cell r="J359" t="str">
            <v>Phụ sản</v>
          </cell>
          <cell r="K359" t="str">
            <v>KP016</v>
          </cell>
          <cell r="L359" t="str">
            <v>Viên chức CMNV</v>
          </cell>
          <cell r="M359">
            <v>0</v>
          </cell>
          <cell r="N359" t="str">
            <v>Viên chức</v>
          </cell>
          <cell r="O359">
            <v>40</v>
          </cell>
          <cell r="P359">
            <v>0</v>
          </cell>
          <cell r="Q359" t="str">
            <v>04/05/1986</v>
          </cell>
          <cell r="R359" t="str">
            <v>Tày</v>
          </cell>
          <cell r="S359" t="str">
            <v>01/11/2014</v>
          </cell>
          <cell r="T359" t="str">
            <v>020186006775</v>
          </cell>
          <cell r="U359" t="str">
            <v>Số 26/32 Đường Chùa Tiên- P.Lương Văn Tri- LS</v>
          </cell>
          <cell r="W359" t="str">
            <v>000644/LS-CCHN</v>
          </cell>
          <cell r="X359" t="str">
            <v>11/01/2023</v>
          </cell>
          <cell r="Z35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59">
            <v>0</v>
          </cell>
          <cell r="AD359" t="str">
            <v>Chuyển đến 23/3/2020</v>
          </cell>
        </row>
        <row r="360">
          <cell r="B360" t="str">
            <v>BV0008</v>
          </cell>
          <cell r="C360" t="str">
            <v>Nguyễn Thị Thắm</v>
          </cell>
          <cell r="D360" t="str">
            <v>BV0008</v>
          </cell>
          <cell r="E360" t="str">
            <v>x</v>
          </cell>
          <cell r="F360" t="str">
            <v>Hộ sinh CĐ</v>
          </cell>
          <cell r="G360" t="str">
            <v>TĐ018</v>
          </cell>
          <cell r="H360" t="str">
            <v>Hộ sinh (hạng IV)</v>
          </cell>
          <cell r="I360" t="str">
            <v>Hộ sinh (hạng IV)</v>
          </cell>
          <cell r="J360" t="str">
            <v>Phụ sản</v>
          </cell>
          <cell r="K360" t="str">
            <v>KP016</v>
          </cell>
          <cell r="L360" t="str">
            <v>Viên chức CMNV</v>
          </cell>
          <cell r="M360">
            <v>0</v>
          </cell>
          <cell r="N360" t="str">
            <v>Viên chức</v>
          </cell>
          <cell r="O360">
            <v>51</v>
          </cell>
          <cell r="P360">
            <v>0</v>
          </cell>
          <cell r="Q360">
            <v>27336</v>
          </cell>
          <cell r="R360" t="str">
            <v>Tày</v>
          </cell>
          <cell r="S360" t="str">
            <v>1/12/2008</v>
          </cell>
          <cell r="T360" t="str">
            <v>020174001367</v>
          </cell>
          <cell r="U360" t="str">
            <v>Khu Nam Hoàng Đồng- P.Tam Thanh- LS</v>
          </cell>
          <cell r="W360" t="str">
            <v>000735/LS-CCHN</v>
          </cell>
          <cell r="X360" t="str">
            <v>24/06/2013</v>
          </cell>
          <cell r="Z360" t="str">
            <v>Theo Quy định tại Thông tư số 12/2011/TT-BYT ngày 15/3/2011 của Bộ Y tế quy định tiêu chuẩn các ngạch viên chức hộ sinh</v>
          </cell>
          <cell r="AB360">
            <v>0</v>
          </cell>
          <cell r="AC360" t="str">
            <v>0915315399</v>
          </cell>
        </row>
        <row r="361">
          <cell r="B361" t="str">
            <v>BV0284</v>
          </cell>
          <cell r="C361" t="str">
            <v>Lăng Thị Điệp</v>
          </cell>
          <cell r="D361" t="str">
            <v>BV0284</v>
          </cell>
          <cell r="E361" t="str">
            <v>x</v>
          </cell>
          <cell r="F361" t="str">
            <v>Hộ sinh CĐ</v>
          </cell>
          <cell r="G361" t="str">
            <v>TĐ018</v>
          </cell>
          <cell r="H361" t="str">
            <v>Hộ sinh (hạng IV)</v>
          </cell>
          <cell r="I361" t="str">
            <v>Hộ sinh (hạng IV)</v>
          </cell>
          <cell r="J361" t="str">
            <v>Phụ sản</v>
          </cell>
          <cell r="K361" t="str">
            <v>KP016</v>
          </cell>
          <cell r="L361" t="str">
            <v>Viên chức CMNV</v>
          </cell>
          <cell r="M361">
            <v>0</v>
          </cell>
          <cell r="N361" t="str">
            <v>Viên chức</v>
          </cell>
          <cell r="O361">
            <v>36</v>
          </cell>
          <cell r="P361">
            <v>0</v>
          </cell>
          <cell r="Q361">
            <v>32780</v>
          </cell>
          <cell r="R361" t="str">
            <v>Nùng</v>
          </cell>
          <cell r="S361" t="str">
            <v>10/6/2013</v>
          </cell>
          <cell r="T361" t="str">
            <v>006189000681</v>
          </cell>
          <cell r="U361" t="str">
            <v>Khối 26- P.Kỳ Lừa- LS</v>
          </cell>
          <cell r="W361" t="str">
            <v>000432/LS-CCHN</v>
          </cell>
          <cell r="X361" t="str">
            <v>11/01/2023</v>
          </cell>
          <cell r="Z36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61">
            <v>0</v>
          </cell>
          <cell r="AC361" t="str">
            <v>0976519662</v>
          </cell>
        </row>
        <row r="362">
          <cell r="B362" t="str">
            <v>BV0040</v>
          </cell>
          <cell r="C362" t="str">
            <v>Hoàng Hồ Điệp</v>
          </cell>
          <cell r="D362" t="str">
            <v>BV0040</v>
          </cell>
          <cell r="E362" t="str">
            <v>x</v>
          </cell>
          <cell r="F362" t="str">
            <v>Hộ sinh CĐ</v>
          </cell>
          <cell r="G362" t="str">
            <v>TĐ018</v>
          </cell>
          <cell r="H362" t="str">
            <v>Hộ sinh (hạng IV)</v>
          </cell>
          <cell r="I362" t="str">
            <v>Hộ sinh (hạng IV)</v>
          </cell>
          <cell r="J362" t="str">
            <v>Phụ sản</v>
          </cell>
          <cell r="K362" t="str">
            <v>KP016</v>
          </cell>
          <cell r="L362" t="str">
            <v>Viên chức CMNV</v>
          </cell>
          <cell r="M362">
            <v>0</v>
          </cell>
          <cell r="N362" t="str">
            <v>Viên chức</v>
          </cell>
          <cell r="O362">
            <v>42</v>
          </cell>
          <cell r="P362">
            <v>0</v>
          </cell>
          <cell r="Q362">
            <v>30601</v>
          </cell>
          <cell r="R362" t="str">
            <v>Nùng</v>
          </cell>
          <cell r="S362" t="str">
            <v>7/11/2006</v>
          </cell>
          <cell r="T362" t="str">
            <v>020183001348</v>
          </cell>
          <cell r="U362" t="str">
            <v>Khu Nam Quan- Xã Đồng Đăng- LS</v>
          </cell>
          <cell r="W362" t="str">
            <v>000965/LS-CCHN</v>
          </cell>
          <cell r="X362" t="str">
            <v>11/01/2023</v>
          </cell>
          <cell r="Z36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62">
            <v>0</v>
          </cell>
          <cell r="AC362" t="str">
            <v>0913596023</v>
          </cell>
        </row>
        <row r="363">
          <cell r="B363" t="str">
            <v>BV0041</v>
          </cell>
          <cell r="C363" t="str">
            <v>Vi Thị Hương Giang</v>
          </cell>
          <cell r="D363" t="str">
            <v>BV0041</v>
          </cell>
          <cell r="E363" t="str">
            <v>x</v>
          </cell>
          <cell r="F363" t="str">
            <v>Hộ sinh CĐ</v>
          </cell>
          <cell r="G363" t="str">
            <v>TĐ018</v>
          </cell>
          <cell r="H363" t="str">
            <v>Hộ sinh (hạng IV)</v>
          </cell>
          <cell r="I363" t="str">
            <v>Hộ sinh (hạng IV)</v>
          </cell>
          <cell r="J363" t="str">
            <v>Phụ sản</v>
          </cell>
          <cell r="K363" t="str">
            <v>KP016</v>
          </cell>
          <cell r="L363" t="str">
            <v>Viên chức CMNV</v>
          </cell>
          <cell r="M363">
            <v>0</v>
          </cell>
          <cell r="N363" t="str">
            <v>Viên chức</v>
          </cell>
          <cell r="O363">
            <v>39</v>
          </cell>
          <cell r="P363">
            <v>0</v>
          </cell>
          <cell r="Q363">
            <v>31861</v>
          </cell>
          <cell r="R363" t="str">
            <v>Tày</v>
          </cell>
          <cell r="S363" t="str">
            <v>15/1/2010</v>
          </cell>
          <cell r="T363" t="str">
            <v>020187008087</v>
          </cell>
          <cell r="U363" t="str">
            <v>Số 99,Ngõ 19- Thác Mạ, khối Trần Quang Khải- P.Lương Văn Tri- LS</v>
          </cell>
          <cell r="W363" t="str">
            <v>000974/LS-CCHN</v>
          </cell>
          <cell r="X363" t="str">
            <v>11/01/2023</v>
          </cell>
          <cell r="Z36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63">
            <v>0</v>
          </cell>
          <cell r="AC363" t="str">
            <v>0913325682</v>
          </cell>
        </row>
        <row r="364">
          <cell r="B364" t="str">
            <v>BV0282</v>
          </cell>
          <cell r="C364" t="str">
            <v>Hoàng Thị Hiển</v>
          </cell>
          <cell r="D364" t="str">
            <v>BV0282</v>
          </cell>
          <cell r="E364" t="str">
            <v>x</v>
          </cell>
          <cell r="F364" t="str">
            <v>Hộ sinh CĐ</v>
          </cell>
          <cell r="G364" t="str">
            <v>TĐ018</v>
          </cell>
          <cell r="H364" t="str">
            <v>Hộ sinh (hạng IV)</v>
          </cell>
          <cell r="I364" t="str">
            <v>Hộ sinh (hạng IV)</v>
          </cell>
          <cell r="J364" t="str">
            <v>Phụ sản</v>
          </cell>
          <cell r="K364" t="str">
            <v>KP016</v>
          </cell>
          <cell r="L364" t="str">
            <v>Viên chức CMNV</v>
          </cell>
          <cell r="M364">
            <v>0</v>
          </cell>
          <cell r="N364" t="str">
            <v>Viên chức</v>
          </cell>
          <cell r="O364">
            <v>38</v>
          </cell>
          <cell r="P364">
            <v>0</v>
          </cell>
          <cell r="Q364">
            <v>32282</v>
          </cell>
          <cell r="R364" t="str">
            <v>Tày</v>
          </cell>
          <cell r="S364" t="str">
            <v>10/6/2013</v>
          </cell>
          <cell r="T364" t="str">
            <v>020188003362</v>
          </cell>
          <cell r="U364" t="str">
            <v>Số 44- Đường Văn Miếu- P Lương Văn Tri- LS</v>
          </cell>
          <cell r="W364" t="str">
            <v>000991/LS-CCHN</v>
          </cell>
          <cell r="X364" t="str">
            <v>11/01/2023</v>
          </cell>
          <cell r="Z36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64">
            <v>0</v>
          </cell>
          <cell r="AC364" t="str">
            <v>0988147908</v>
          </cell>
        </row>
        <row r="365">
          <cell r="B365" t="str">
            <v>BV0275</v>
          </cell>
          <cell r="C365" t="str">
            <v>Dương Thị Huế</v>
          </cell>
          <cell r="D365" t="str">
            <v>BV0275</v>
          </cell>
          <cell r="E365" t="str">
            <v>x</v>
          </cell>
          <cell r="F365" t="str">
            <v>Hộ sinh CĐ</v>
          </cell>
          <cell r="G365" t="str">
            <v>TĐ018</v>
          </cell>
          <cell r="H365" t="str">
            <v>Hộ sinh (hạng IV)</v>
          </cell>
          <cell r="I365" t="str">
            <v>Hộ sinh (hạng IV)</v>
          </cell>
          <cell r="J365" t="str">
            <v>Phụ sản</v>
          </cell>
          <cell r="K365" t="str">
            <v>KP016</v>
          </cell>
          <cell r="L365" t="str">
            <v>Viên chức CMNV</v>
          </cell>
          <cell r="M365">
            <v>0</v>
          </cell>
          <cell r="N365" t="str">
            <v>Viên chức</v>
          </cell>
          <cell r="O365">
            <v>40</v>
          </cell>
          <cell r="P365">
            <v>0</v>
          </cell>
          <cell r="Q365">
            <v>31310</v>
          </cell>
          <cell r="R365" t="str">
            <v>Tày</v>
          </cell>
          <cell r="S365" t="str">
            <v>15/1/2010</v>
          </cell>
          <cell r="T365" t="str">
            <v>020185011311</v>
          </cell>
          <cell r="U365" t="str">
            <v>Khối Hợp Thành- P.Kỳ Lừa- LS</v>
          </cell>
          <cell r="W365" t="str">
            <v>001235/LS-CCHN</v>
          </cell>
          <cell r="X365" t="str">
            <v>11/12/2022</v>
          </cell>
          <cell r="Z365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65">
            <v>0</v>
          </cell>
          <cell r="AC365" t="str">
            <v>0913917368</v>
          </cell>
        </row>
        <row r="366">
          <cell r="B366" t="str">
            <v>BV0283</v>
          </cell>
          <cell r="C366" t="str">
            <v>Nguyễn Thị Huế</v>
          </cell>
          <cell r="D366" t="str">
            <v>BV0283</v>
          </cell>
          <cell r="E366" t="str">
            <v>x</v>
          </cell>
          <cell r="F366" t="str">
            <v>Hộ sinh CĐ</v>
          </cell>
          <cell r="G366" t="str">
            <v>TĐ018</v>
          </cell>
          <cell r="H366" t="str">
            <v>Hộ sinh (hạng IV)</v>
          </cell>
          <cell r="I366" t="str">
            <v>Hộ sinh (hạng IV)</v>
          </cell>
          <cell r="J366" t="str">
            <v>Phụ sản</v>
          </cell>
          <cell r="K366" t="str">
            <v>KP016</v>
          </cell>
          <cell r="L366" t="str">
            <v>Viên chức CMNV</v>
          </cell>
          <cell r="M366">
            <v>0</v>
          </cell>
          <cell r="N366" t="str">
            <v>Viên chức</v>
          </cell>
          <cell r="O366">
            <v>35</v>
          </cell>
          <cell r="P366">
            <v>0</v>
          </cell>
          <cell r="Q366">
            <v>33456</v>
          </cell>
          <cell r="R366" t="str">
            <v>Kinh</v>
          </cell>
          <cell r="S366" t="str">
            <v>10/6/2013</v>
          </cell>
          <cell r="T366" t="str">
            <v>038191019929</v>
          </cell>
          <cell r="U366" t="str">
            <v>Bến Bắc - Tam Thanh- LS</v>
          </cell>
          <cell r="W366" t="str">
            <v>003413/LS-CCHN</v>
          </cell>
          <cell r="X366" t="str">
            <v>11/12/2022</v>
          </cell>
          <cell r="Z366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66">
            <v>0</v>
          </cell>
          <cell r="AC366" t="str">
            <v>0356249336</v>
          </cell>
        </row>
        <row r="367">
          <cell r="B367" t="str">
            <v>BV0257</v>
          </cell>
          <cell r="C367" t="str">
            <v>Lý Thị Hường</v>
          </cell>
          <cell r="D367" t="str">
            <v>BV0257</v>
          </cell>
          <cell r="E367" t="str">
            <v>x</v>
          </cell>
          <cell r="F367" t="str">
            <v>Hộ sinh CĐ</v>
          </cell>
          <cell r="G367" t="str">
            <v>TĐ018</v>
          </cell>
          <cell r="H367" t="str">
            <v>Hộ sinh (hạng IV)</v>
          </cell>
          <cell r="I367" t="str">
            <v>Hộ sinh (hạng IV)</v>
          </cell>
          <cell r="J367" t="str">
            <v>Phụ sản</v>
          </cell>
          <cell r="K367" t="str">
            <v>KP016</v>
          </cell>
          <cell r="L367" t="str">
            <v>Viên chức CMNV</v>
          </cell>
          <cell r="M367">
            <v>0</v>
          </cell>
          <cell r="N367" t="str">
            <v>Viên chức</v>
          </cell>
          <cell r="O367">
            <v>44</v>
          </cell>
          <cell r="P367">
            <v>0</v>
          </cell>
          <cell r="Q367">
            <v>30118</v>
          </cell>
          <cell r="R367" t="str">
            <v>Nùng</v>
          </cell>
          <cell r="S367" t="str">
            <v>1/12/2010</v>
          </cell>
          <cell r="T367" t="str">
            <v>020182010979</v>
          </cell>
          <cell r="U367" t="str">
            <v>Khối Pò Đứa- Pò Mỏ- P.Đông Kinh -LS</v>
          </cell>
          <cell r="W367" t="str">
            <v>000985/LS-CCHN</v>
          </cell>
          <cell r="X367" t="str">
            <v>24/06/2013</v>
          </cell>
          <cell r="Z367" t="str">
            <v>Theo Quy định tại Thông tư số 12/2011/TT-BYT ngày 15/3/2011 của Bộ Y tế quy định tiêu chuẩn các ngạch viên chức hộ sinh</v>
          </cell>
          <cell r="AB367">
            <v>0</v>
          </cell>
          <cell r="AC367" t="str">
            <v>0917966828</v>
          </cell>
        </row>
        <row r="368">
          <cell r="B368" t="str">
            <v>BV0281</v>
          </cell>
          <cell r="C368" t="str">
            <v>Phạm Thúy Hường</v>
          </cell>
          <cell r="D368" t="str">
            <v>BV0281</v>
          </cell>
          <cell r="E368" t="str">
            <v>x</v>
          </cell>
          <cell r="F368" t="str">
            <v>Hộ sinh CĐ</v>
          </cell>
          <cell r="G368" t="str">
            <v>TĐ018</v>
          </cell>
          <cell r="H368" t="str">
            <v>Hộ sinh (hạng IV)</v>
          </cell>
          <cell r="I368" t="str">
            <v>Hộ sinh (hạng IV)</v>
          </cell>
          <cell r="J368" t="str">
            <v>Phụ sản</v>
          </cell>
          <cell r="K368" t="str">
            <v>KP016</v>
          </cell>
          <cell r="L368" t="str">
            <v>Viên chức CMNV</v>
          </cell>
          <cell r="M368">
            <v>0</v>
          </cell>
          <cell r="N368" t="str">
            <v>Viên chức</v>
          </cell>
          <cell r="O368">
            <v>42</v>
          </cell>
          <cell r="P368">
            <v>0</v>
          </cell>
          <cell r="Q368">
            <v>30771</v>
          </cell>
          <cell r="R368" t="str">
            <v>Kinh</v>
          </cell>
          <cell r="S368" t="str">
            <v>10/6/2013</v>
          </cell>
          <cell r="T368" t="str">
            <v>020184000822</v>
          </cell>
          <cell r="U368" t="str">
            <v>Khối Hoàng Tân- P.Tam Thanh- LS</v>
          </cell>
          <cell r="W368" t="str">
            <v>000989/LS-CCHN</v>
          </cell>
          <cell r="X368" t="str">
            <v>24/06/2013</v>
          </cell>
          <cell r="Z368" t="str">
            <v>Theo Quy định tại Thông tư số 12/2011/TT-BYT ngày 15/3/2011 của Bộ Y tế quy định tiêu chuẩn các ngạch viên chức hộ sinh</v>
          </cell>
          <cell r="AB368">
            <v>0</v>
          </cell>
          <cell r="AC368" t="str">
            <v>0944065555</v>
          </cell>
        </row>
        <row r="369">
          <cell r="B369" t="str">
            <v>BV0285</v>
          </cell>
          <cell r="C369" t="str">
            <v>Trần Thị Hoàng Mai</v>
          </cell>
          <cell r="D369" t="str">
            <v>BV0285</v>
          </cell>
          <cell r="E369" t="str">
            <v>x</v>
          </cell>
          <cell r="F369" t="str">
            <v>Hộ sinh CĐ</v>
          </cell>
          <cell r="G369" t="str">
            <v>TĐ018</v>
          </cell>
          <cell r="H369" t="str">
            <v>Hộ sinh (hạng IV)</v>
          </cell>
          <cell r="I369" t="str">
            <v>Hộ sinh (hạng IV)</v>
          </cell>
          <cell r="J369" t="str">
            <v>Phụ sản</v>
          </cell>
          <cell r="K369" t="str">
            <v>KP016</v>
          </cell>
          <cell r="L369" t="str">
            <v>Viên chức CMNV</v>
          </cell>
          <cell r="M369">
            <v>0</v>
          </cell>
          <cell r="N369" t="str">
            <v>Viên chức</v>
          </cell>
          <cell r="O369">
            <v>36</v>
          </cell>
          <cell r="P369">
            <v>0</v>
          </cell>
          <cell r="Q369">
            <v>32841</v>
          </cell>
          <cell r="R369" t="str">
            <v>Kinh</v>
          </cell>
          <cell r="S369" t="str">
            <v>10/6/2013</v>
          </cell>
          <cell r="T369" t="str">
            <v>020189012593</v>
          </cell>
          <cell r="U369" t="str">
            <v>Khối Cửa Bắc- P.Lương Văn Tri- LS</v>
          </cell>
          <cell r="W369" t="str">
            <v>000668/LS-CCHN</v>
          </cell>
          <cell r="X369" t="str">
            <v>18/04/2017</v>
          </cell>
          <cell r="Z36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69">
            <v>0</v>
          </cell>
          <cell r="AC369">
            <v>968362710</v>
          </cell>
          <cell r="AD369" t="str">
            <v>Kiêm nhiệm khoa Dinh dưỡng 01/10/2022</v>
          </cell>
        </row>
        <row r="370">
          <cell r="B370" t="str">
            <v>BV0271</v>
          </cell>
          <cell r="C370" t="str">
            <v>Chu Thị Mười</v>
          </cell>
          <cell r="D370" t="str">
            <v>BV0271</v>
          </cell>
          <cell r="E370" t="str">
            <v>x</v>
          </cell>
          <cell r="F370" t="str">
            <v>Hộ sinh CĐ</v>
          </cell>
          <cell r="G370" t="str">
            <v>TĐ018</v>
          </cell>
          <cell r="H370" t="str">
            <v>Hộ sinh (hạng IV)</v>
          </cell>
          <cell r="I370" t="str">
            <v>Hộ sinh (hạng IV)</v>
          </cell>
          <cell r="J370" t="str">
            <v>Phụ sản</v>
          </cell>
          <cell r="K370" t="str">
            <v>KP016</v>
          </cell>
          <cell r="L370" t="str">
            <v>Viên chức CMNV</v>
          </cell>
          <cell r="M370">
            <v>0</v>
          </cell>
          <cell r="N370" t="str">
            <v>Viên chức</v>
          </cell>
          <cell r="O370">
            <v>43</v>
          </cell>
          <cell r="P370">
            <v>0</v>
          </cell>
          <cell r="Q370">
            <v>30416</v>
          </cell>
          <cell r="R370" t="str">
            <v>Tày</v>
          </cell>
          <cell r="S370" t="str">
            <v>15/1/2010</v>
          </cell>
          <cell r="T370" t="str">
            <v>020183003149</v>
          </cell>
          <cell r="U370" t="str">
            <v>Trung Cấp- P.Đông Kinh- LS</v>
          </cell>
          <cell r="W370" t="str">
            <v>000973/LS-CCHN</v>
          </cell>
          <cell r="X370" t="str">
            <v>11/12/2022</v>
          </cell>
          <cell r="Z37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70">
            <v>0</v>
          </cell>
          <cell r="AC370" t="str">
            <v>0919513226</v>
          </cell>
        </row>
        <row r="371">
          <cell r="B371" t="str">
            <v>BV0276</v>
          </cell>
          <cell r="C371" t="str">
            <v>Hoàng Thị Nhung</v>
          </cell>
          <cell r="D371" t="str">
            <v>BV0276</v>
          </cell>
          <cell r="E371" t="str">
            <v>x</v>
          </cell>
          <cell r="F371" t="str">
            <v>Hộ sinh CĐ</v>
          </cell>
          <cell r="G371" t="str">
            <v>TĐ018</v>
          </cell>
          <cell r="H371" t="str">
            <v>Hộ sinh (hạng IV)</v>
          </cell>
          <cell r="I371" t="str">
            <v>Hộ sinh (hạng IV)</v>
          </cell>
          <cell r="J371" t="str">
            <v>Phụ sản</v>
          </cell>
          <cell r="K371" t="str">
            <v>KP016</v>
          </cell>
          <cell r="L371" t="str">
            <v>Viên chức CMNV</v>
          </cell>
          <cell r="M371">
            <v>0</v>
          </cell>
          <cell r="N371" t="str">
            <v>Viên chức</v>
          </cell>
          <cell r="O371">
            <v>40</v>
          </cell>
          <cell r="P371">
            <v>0</v>
          </cell>
          <cell r="Q371">
            <v>31295</v>
          </cell>
          <cell r="R371" t="str">
            <v>Tày</v>
          </cell>
          <cell r="S371" t="str">
            <v>1/12/2010</v>
          </cell>
          <cell r="T371" t="str">
            <v>020185005897</v>
          </cell>
          <cell r="U371" t="str">
            <v>Số 12- Ngõ 88-Lê Quý Đôn- Ptam Thanh-LS</v>
          </cell>
          <cell r="W371" t="str">
            <v>000986/LS-CCHN</v>
          </cell>
          <cell r="X371" t="str">
            <v>11/12/2022</v>
          </cell>
          <cell r="Z371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71">
            <v>0</v>
          </cell>
          <cell r="AC371" t="str">
            <v>0913105985</v>
          </cell>
        </row>
        <row r="372">
          <cell r="B372" t="str">
            <v>BV0267</v>
          </cell>
          <cell r="C372" t="str">
            <v>Hoàng Thị Mai Quỳnh</v>
          </cell>
          <cell r="D372" t="str">
            <v>BV0267</v>
          </cell>
          <cell r="E372" t="str">
            <v>x</v>
          </cell>
          <cell r="F372" t="str">
            <v>Hộ sinh CĐ</v>
          </cell>
          <cell r="G372" t="str">
            <v>TĐ018</v>
          </cell>
          <cell r="H372" t="str">
            <v>Hộ sinh (hạng IV)</v>
          </cell>
          <cell r="I372" t="str">
            <v>Hộ sinh (hạng IV)</v>
          </cell>
          <cell r="J372" t="str">
            <v>Phụ sản</v>
          </cell>
          <cell r="K372" t="str">
            <v>KP016</v>
          </cell>
          <cell r="L372" t="str">
            <v>Viên chức CMNV</v>
          </cell>
          <cell r="M372">
            <v>0</v>
          </cell>
          <cell r="N372" t="str">
            <v>Viên chức</v>
          </cell>
          <cell r="O372">
            <v>38</v>
          </cell>
          <cell r="P372">
            <v>0</v>
          </cell>
          <cell r="Q372">
            <v>32075</v>
          </cell>
          <cell r="R372" t="str">
            <v>Tày</v>
          </cell>
          <cell r="S372" t="str">
            <v>1/12/2008</v>
          </cell>
          <cell r="T372" t="str">
            <v>020187002868</v>
          </cell>
          <cell r="U372" t="str">
            <v>Khối 7- P.Tam Thanh-LS</v>
          </cell>
          <cell r="W372" t="str">
            <v>000970/LS-CCHN</v>
          </cell>
          <cell r="X372" t="str">
            <v>11/01/2023</v>
          </cell>
          <cell r="Z37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72">
            <v>0</v>
          </cell>
          <cell r="AC372" t="str">
            <v>0837088668</v>
          </cell>
        </row>
        <row r="373">
          <cell r="B373" t="str">
            <v>BV0291</v>
          </cell>
          <cell r="C373" t="str">
            <v>Nguyễn Thị Tuyết</v>
          </cell>
          <cell r="D373" t="str">
            <v>BV0291</v>
          </cell>
          <cell r="E373" t="str">
            <v>x</v>
          </cell>
          <cell r="F373" t="str">
            <v>Hộ sinh CĐ</v>
          </cell>
          <cell r="G373" t="str">
            <v>TĐ018</v>
          </cell>
          <cell r="H373" t="str">
            <v>Hộ sinh (hạng IV)</v>
          </cell>
          <cell r="I373" t="str">
            <v>Hộ sinh (hạng IV)</v>
          </cell>
          <cell r="J373" t="str">
            <v>Phụ sản</v>
          </cell>
          <cell r="K373" t="str">
            <v>KP016</v>
          </cell>
          <cell r="L373" t="str">
            <v>Viên chức CMNV</v>
          </cell>
          <cell r="M373">
            <v>0</v>
          </cell>
          <cell r="N373" t="str">
            <v>Viên chức</v>
          </cell>
          <cell r="O373">
            <v>42</v>
          </cell>
          <cell r="P373">
            <v>0</v>
          </cell>
          <cell r="Q373">
            <v>30572</v>
          </cell>
          <cell r="R373" t="str">
            <v>Tày</v>
          </cell>
          <cell r="S373" t="str">
            <v>2/1/2009</v>
          </cell>
          <cell r="T373" t="str">
            <v>020183001842</v>
          </cell>
          <cell r="U373" t="str">
            <v>Khối 8- P.Tam Thanh- LS</v>
          </cell>
          <cell r="W373" t="str">
            <v>000968/LS-CCHN</v>
          </cell>
          <cell r="X373" t="str">
            <v>24/06/2013</v>
          </cell>
          <cell r="Z373" t="str">
            <v>Theo Quy định tại Thông tư số 12/2011/TT-BYT ngày 15/3/2011 của Bộ Y tế quy định tiêu chuẩn các ngạch viên chức hộ sinh</v>
          </cell>
          <cell r="AB373">
            <v>0</v>
          </cell>
          <cell r="AC373" t="str">
            <v>0919694226</v>
          </cell>
        </row>
        <row r="374">
          <cell r="B374" t="str">
            <v>BV0273</v>
          </cell>
          <cell r="C374" t="str">
            <v>Phan Thị Thi</v>
          </cell>
          <cell r="D374" t="str">
            <v>BV0273</v>
          </cell>
          <cell r="E374" t="str">
            <v>x</v>
          </cell>
          <cell r="F374" t="str">
            <v>Hộ sinh CĐ</v>
          </cell>
          <cell r="G374" t="str">
            <v>TĐ018</v>
          </cell>
          <cell r="H374" t="str">
            <v>Hộ sinh (hạng IV)</v>
          </cell>
          <cell r="I374" t="str">
            <v>Hộ sinh (hạng IV)</v>
          </cell>
          <cell r="J374" t="str">
            <v>Phụ sản</v>
          </cell>
          <cell r="K374" t="str">
            <v>KP016</v>
          </cell>
          <cell r="L374" t="str">
            <v>Viên chức CMNV</v>
          </cell>
          <cell r="M374">
            <v>0</v>
          </cell>
          <cell r="N374" t="str">
            <v>Viên chức</v>
          </cell>
          <cell r="O374">
            <v>40</v>
          </cell>
          <cell r="P374">
            <v>0</v>
          </cell>
          <cell r="Q374">
            <v>31289</v>
          </cell>
          <cell r="R374" t="str">
            <v>Tày</v>
          </cell>
          <cell r="S374" t="str">
            <v>15/1/2010</v>
          </cell>
          <cell r="T374" t="str">
            <v>020185002564</v>
          </cell>
          <cell r="U374" t="str">
            <v>89 Bà Triệu- Khối 14-P Kỳ Lừa-LS</v>
          </cell>
          <cell r="W374" t="str">
            <v>000982/LS-CCHN</v>
          </cell>
          <cell r="X374" t="str">
            <v>11/01/2023</v>
          </cell>
          <cell r="Z37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74">
            <v>0</v>
          </cell>
          <cell r="AC374">
            <v>912739338</v>
          </cell>
        </row>
        <row r="375">
          <cell r="B375" t="str">
            <v>BV0286</v>
          </cell>
          <cell r="C375" t="str">
            <v>Nông Thị Thời</v>
          </cell>
          <cell r="D375" t="str">
            <v>BV0286</v>
          </cell>
          <cell r="E375" t="str">
            <v>x</v>
          </cell>
          <cell r="F375" t="str">
            <v>Hộ sinh CĐ</v>
          </cell>
          <cell r="G375" t="str">
            <v>TĐ018</v>
          </cell>
          <cell r="H375" t="str">
            <v>Hộ sinh (hạng IV)</v>
          </cell>
          <cell r="I375" t="str">
            <v>Hộ sinh (hạng IV)</v>
          </cell>
          <cell r="J375" t="str">
            <v>Phụ sản</v>
          </cell>
          <cell r="K375" t="str">
            <v>KP016</v>
          </cell>
          <cell r="L375" t="str">
            <v>Viên chức CMNV</v>
          </cell>
          <cell r="M375">
            <v>0</v>
          </cell>
          <cell r="N375" t="str">
            <v>Viên chức</v>
          </cell>
          <cell r="O375">
            <v>39</v>
          </cell>
          <cell r="P375">
            <v>0</v>
          </cell>
          <cell r="Q375">
            <v>31695</v>
          </cell>
          <cell r="R375" t="str">
            <v>Nùng</v>
          </cell>
          <cell r="S375" t="str">
            <v>1/11/2014</v>
          </cell>
          <cell r="T375" t="str">
            <v>020186012449</v>
          </cell>
          <cell r="U375" t="str">
            <v>Ngõ 80- Đường Tô Thị- P.Tam Thanh- LS</v>
          </cell>
          <cell r="W375" t="str">
            <v>000990/LS-CCHN</v>
          </cell>
          <cell r="X375" t="str">
            <v>11/01/2023</v>
          </cell>
          <cell r="Z37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75">
            <v>0</v>
          </cell>
          <cell r="AC375" t="str">
            <v>0989450298</v>
          </cell>
        </row>
        <row r="376">
          <cell r="B376" t="str">
            <v>BV0278</v>
          </cell>
          <cell r="C376" t="str">
            <v>Vi Thị Thuần</v>
          </cell>
          <cell r="D376" t="str">
            <v>BV0278</v>
          </cell>
          <cell r="E376" t="str">
            <v>x</v>
          </cell>
          <cell r="F376" t="str">
            <v>Hộ sinh CĐ</v>
          </cell>
          <cell r="G376" t="str">
            <v>TĐ018</v>
          </cell>
          <cell r="H376" t="str">
            <v>Hộ sinh (hạng IV)</v>
          </cell>
          <cell r="I376" t="str">
            <v>Hộ sinh (hạng IV)</v>
          </cell>
          <cell r="J376" t="str">
            <v>Phụ sản</v>
          </cell>
          <cell r="K376" t="str">
            <v>KP016</v>
          </cell>
          <cell r="L376" t="str">
            <v>Viên chức CMNV</v>
          </cell>
          <cell r="M376">
            <v>0</v>
          </cell>
          <cell r="N376" t="str">
            <v>Viên chức</v>
          </cell>
          <cell r="O376">
            <v>42</v>
          </cell>
          <cell r="P376">
            <v>0</v>
          </cell>
          <cell r="Q376">
            <v>30619</v>
          </cell>
          <cell r="R376" t="str">
            <v>Tày</v>
          </cell>
          <cell r="S376" t="str">
            <v>1/12/2010</v>
          </cell>
          <cell r="T376" t="str">
            <v>020183004378</v>
          </cell>
          <cell r="U376" t="str">
            <v>Khòn Cải- Tân Đoàn-LS</v>
          </cell>
          <cell r="W376" t="str">
            <v>000984/LS-CCHN</v>
          </cell>
          <cell r="X376" t="str">
            <v>11/12/2022</v>
          </cell>
          <cell r="Z376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76">
            <v>0</v>
          </cell>
          <cell r="AC376" t="str">
            <v>0919645495</v>
          </cell>
        </row>
        <row r="377">
          <cell r="B377" t="str">
            <v>BV0258</v>
          </cell>
          <cell r="C377" t="str">
            <v>Chu Thị Hồng Trang</v>
          </cell>
          <cell r="D377" t="str">
            <v>BV0258</v>
          </cell>
          <cell r="E377" t="str">
            <v>x</v>
          </cell>
          <cell r="F377" t="str">
            <v>Hộ sinh CĐ</v>
          </cell>
          <cell r="G377" t="str">
            <v>TĐ018</v>
          </cell>
          <cell r="H377" t="str">
            <v>Hộ sinh (hạng IV)</v>
          </cell>
          <cell r="I377" t="str">
            <v>Hộ sinh (hạng IV)</v>
          </cell>
          <cell r="J377" t="str">
            <v>Phụ sản</v>
          </cell>
          <cell r="K377" t="str">
            <v>KP016</v>
          </cell>
          <cell r="L377" t="str">
            <v>Viên chức CMNV</v>
          </cell>
          <cell r="M377">
            <v>0</v>
          </cell>
          <cell r="N377" t="str">
            <v>Viên chức</v>
          </cell>
          <cell r="O377">
            <v>46</v>
          </cell>
          <cell r="P377">
            <v>0</v>
          </cell>
          <cell r="Q377">
            <v>29416</v>
          </cell>
          <cell r="R377" t="str">
            <v>Tày</v>
          </cell>
          <cell r="S377" t="str">
            <v>1/9/2005</v>
          </cell>
          <cell r="T377" t="str">
            <v>020180000519</v>
          </cell>
          <cell r="U377" t="str">
            <v>Số 22, Bông Lau 1- P.Kỳ Lừa- LS</v>
          </cell>
          <cell r="W377" t="str">
            <v>000971/LS-CCHN</v>
          </cell>
          <cell r="X377" t="str">
            <v>11/01/2023</v>
          </cell>
          <cell r="Z37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77">
            <v>0</v>
          </cell>
          <cell r="AC377" t="str">
            <v>0949056383</v>
          </cell>
        </row>
        <row r="378">
          <cell r="B378" t="str">
            <v>BV0269</v>
          </cell>
          <cell r="C378" t="str">
            <v>Hoàng Thị Hương</v>
          </cell>
          <cell r="D378" t="str">
            <v>BV0269</v>
          </cell>
          <cell r="E378" t="str">
            <v>x</v>
          </cell>
          <cell r="F378" t="str">
            <v>Hộ sinh CĐ</v>
          </cell>
          <cell r="G378" t="str">
            <v>TĐ018</v>
          </cell>
          <cell r="H378" t="str">
            <v>Hộ sinh (hạng IV)</v>
          </cell>
          <cell r="I378" t="str">
            <v>Hộ sinh (hạng IV)</v>
          </cell>
          <cell r="J378" t="str">
            <v>Phụ sản</v>
          </cell>
          <cell r="K378" t="str">
            <v>KP016</v>
          </cell>
          <cell r="L378" t="str">
            <v>Viên chức CMNV</v>
          </cell>
          <cell r="M378">
            <v>0</v>
          </cell>
          <cell r="N378" t="str">
            <v>Viên chức</v>
          </cell>
          <cell r="O378">
            <v>55</v>
          </cell>
          <cell r="P378">
            <v>0</v>
          </cell>
          <cell r="Q378">
            <v>26136</v>
          </cell>
          <cell r="R378" t="str">
            <v>Tày</v>
          </cell>
          <cell r="S378" t="str">
            <v>1/5/1996</v>
          </cell>
          <cell r="T378" t="str">
            <v>020171001372</v>
          </cell>
          <cell r="U378" t="str">
            <v>Nguyễn Phi Khanh- P.Tam Thanh-LS</v>
          </cell>
          <cell r="W378" t="str">
            <v>000988/LS-CCHN</v>
          </cell>
          <cell r="X378" t="str">
            <v>24/06/2013</v>
          </cell>
          <cell r="Z378" t="str">
            <v>Theo Quy định tại Thông tư số 12/2011/TT-BYT ngày 15/3/2011 của Bộ Y tế quy định tiêu chuẩn các ngạch viên chức hộ sinh</v>
          </cell>
          <cell r="AB378">
            <v>0</v>
          </cell>
          <cell r="AC378" t="str">
            <v>0915571288</v>
          </cell>
        </row>
        <row r="379">
          <cell r="B379" t="str">
            <v>BV0294</v>
          </cell>
          <cell r="C379" t="str">
            <v>Lê Thị Biển</v>
          </cell>
          <cell r="D379" t="str">
            <v>BV0294</v>
          </cell>
          <cell r="E379" t="str">
            <v>x</v>
          </cell>
          <cell r="F379" t="str">
            <v>Hộ lý</v>
          </cell>
          <cell r="G379" t="str">
            <v>TĐ047</v>
          </cell>
          <cell r="I379" t="str">
            <v>Hộ lý</v>
          </cell>
          <cell r="J379" t="str">
            <v>Phụ sản</v>
          </cell>
          <cell r="K379" t="str">
            <v>KP016</v>
          </cell>
          <cell r="M379">
            <v>0</v>
          </cell>
          <cell r="N379" t="str">
            <v>HĐ theo NĐ161</v>
          </cell>
          <cell r="O379">
            <v>49</v>
          </cell>
          <cell r="P379">
            <v>0</v>
          </cell>
          <cell r="Q379">
            <v>28318</v>
          </cell>
          <cell r="R379" t="str">
            <v>Tày</v>
          </cell>
          <cell r="S379" t="str">
            <v>15/8/1998</v>
          </cell>
          <cell r="T379" t="str">
            <v>020177002217</v>
          </cell>
          <cell r="U379" t="str">
            <v>Bà Triệu- P. Đông Kinh- LS</v>
          </cell>
          <cell r="W379" t="str">
            <v/>
          </cell>
          <cell r="X379" t="str">
            <v/>
          </cell>
          <cell r="Z379" t="str">
            <v/>
          </cell>
          <cell r="AB379" t="str">
            <v/>
          </cell>
          <cell r="AC379" t="str">
            <v>0836951858</v>
          </cell>
          <cell r="AD379" t="str">
            <v>Chuyển từ HĐ68</v>
          </cell>
        </row>
        <row r="380">
          <cell r="B380" t="str">
            <v>BV0817</v>
          </cell>
          <cell r="C380" t="str">
            <v>Trần Ngọc Thúy</v>
          </cell>
          <cell r="D380" t="str">
            <v>BV0817</v>
          </cell>
          <cell r="E380" t="str">
            <v>x</v>
          </cell>
          <cell r="F380" t="str">
            <v>Hộ lý</v>
          </cell>
          <cell r="G380" t="str">
            <v>TĐ047</v>
          </cell>
          <cell r="I380" t="str">
            <v>Hộ lý</v>
          </cell>
          <cell r="J380" t="str">
            <v>Phụ sản</v>
          </cell>
          <cell r="K380" t="str">
            <v>KP016</v>
          </cell>
          <cell r="N380" t="str">
            <v>HĐ có thời hạn</v>
          </cell>
          <cell r="O380">
            <v>31</v>
          </cell>
          <cell r="P380">
            <v>0</v>
          </cell>
          <cell r="Q380">
            <v>34665</v>
          </cell>
          <cell r="R380" t="str">
            <v>Tày</v>
          </cell>
          <cell r="S380" t="str">
            <v>01/02/2018</v>
          </cell>
          <cell r="T380" t="str">
            <v>020194009283</v>
          </cell>
          <cell r="U380" t="str">
            <v>Thôn 2- Xã Quốc Việt- LS</v>
          </cell>
          <cell r="W380" t="str">
            <v/>
          </cell>
          <cell r="X380" t="str">
            <v/>
          </cell>
          <cell r="Z380" t="str">
            <v/>
          </cell>
          <cell r="AB380" t="str">
            <v/>
          </cell>
          <cell r="AC380" t="str">
            <v>0947595415</v>
          </cell>
          <cell r="AD380" t="str">
            <v>HĐ 1/2/2018 (TV 7 ngày)</v>
          </cell>
        </row>
        <row r="381">
          <cell r="B381" t="str">
            <v>BV1016</v>
          </cell>
          <cell r="C381" t="str">
            <v>Nông Thị Liễu</v>
          </cell>
          <cell r="D381" t="str">
            <v>BV1016</v>
          </cell>
          <cell r="E381" t="str">
            <v>x</v>
          </cell>
          <cell r="F381" t="str">
            <v>Hộ lý</v>
          </cell>
          <cell r="G381" t="str">
            <v>TĐ047</v>
          </cell>
          <cell r="I381" t="str">
            <v>Hộ lý</v>
          </cell>
          <cell r="J381" t="str">
            <v>Phụ sản</v>
          </cell>
          <cell r="K381" t="str">
            <v>KP016</v>
          </cell>
          <cell r="N381" t="str">
            <v>HĐ có thời hạn</v>
          </cell>
          <cell r="O381">
            <v>40</v>
          </cell>
          <cell r="P381">
            <v>0</v>
          </cell>
          <cell r="Q381" t="str">
            <v>23/11/1985</v>
          </cell>
          <cell r="R381" t="str">
            <v>Nùng</v>
          </cell>
          <cell r="S381" t="str">
            <v>12/4/2020</v>
          </cell>
          <cell r="T381" t="str">
            <v>020185005319</v>
          </cell>
          <cell r="U381" t="str">
            <v>Hoàng Tâm- P.Tam Thanh- LS</v>
          </cell>
          <cell r="W381" t="str">
            <v/>
          </cell>
          <cell r="X381" t="str">
            <v/>
          </cell>
          <cell r="Z381" t="str">
            <v/>
          </cell>
          <cell r="AB381" t="str">
            <v/>
          </cell>
          <cell r="AC381" t="str">
            <v>0967955498</v>
          </cell>
          <cell r="AD381" t="str">
            <v>Hợp đồng từ 12/4/2020</v>
          </cell>
        </row>
        <row r="382">
          <cell r="B382" t="str">
            <v>BV1017</v>
          </cell>
          <cell r="C382" t="str">
            <v>Dương Thị Hiến</v>
          </cell>
          <cell r="D382" t="str">
            <v>BV1017</v>
          </cell>
          <cell r="E382" t="str">
            <v>x</v>
          </cell>
          <cell r="F382" t="str">
            <v>Hộ lý</v>
          </cell>
          <cell r="G382" t="str">
            <v>TĐ047</v>
          </cell>
          <cell r="I382" t="str">
            <v>Hộ lý</v>
          </cell>
          <cell r="J382" t="str">
            <v>Phụ sản</v>
          </cell>
          <cell r="K382" t="str">
            <v>KP016</v>
          </cell>
          <cell r="N382" t="str">
            <v>HĐ có thời hạn</v>
          </cell>
          <cell r="O382">
            <v>44</v>
          </cell>
          <cell r="P382">
            <v>0</v>
          </cell>
          <cell r="Q382" t="str">
            <v>11/5/1982</v>
          </cell>
          <cell r="R382" t="str">
            <v>Tày</v>
          </cell>
          <cell r="S382" t="str">
            <v>12/4/2020</v>
          </cell>
          <cell r="T382" t="str">
            <v>020182007107</v>
          </cell>
          <cell r="U382" t="str">
            <v>Khối An Rinh 2- P.Kỳ Lừa- LS</v>
          </cell>
          <cell r="W382" t="str">
            <v/>
          </cell>
          <cell r="X382" t="str">
            <v/>
          </cell>
          <cell r="Z382" t="str">
            <v/>
          </cell>
          <cell r="AB382" t="str">
            <v/>
          </cell>
          <cell r="AC382" t="str">
            <v>0328463402</v>
          </cell>
          <cell r="AD382" t="str">
            <v>Hợp đồng từ 12/4/2020</v>
          </cell>
        </row>
        <row r="383">
          <cell r="B383" t="str">
            <v>BV0792</v>
          </cell>
          <cell r="C383" t="str">
            <v>Vy Thị Hoa</v>
          </cell>
          <cell r="D383" t="str">
            <v>BV0792</v>
          </cell>
          <cell r="E383" t="str">
            <v>x</v>
          </cell>
          <cell r="F383" t="str">
            <v>Hộ Lý</v>
          </cell>
          <cell r="G383" t="str">
            <v>TĐ047</v>
          </cell>
          <cell r="I383" t="str">
            <v>Hộ Lý</v>
          </cell>
          <cell r="J383" t="str">
            <v>Phụ sản</v>
          </cell>
          <cell r="K383" t="str">
            <v>KP016</v>
          </cell>
          <cell r="N383" t="str">
            <v>HĐ có thời hạn</v>
          </cell>
          <cell r="O383">
            <v>44</v>
          </cell>
          <cell r="P383">
            <v>0</v>
          </cell>
          <cell r="Q383" t="str">
            <v>24/12/1981</v>
          </cell>
          <cell r="R383" t="str">
            <v>Nùng</v>
          </cell>
          <cell r="S383" t="str">
            <v xml:space="preserve"> 02/10/2017</v>
          </cell>
          <cell r="T383" t="str">
            <v>020181010030</v>
          </cell>
          <cell r="U383" t="str">
            <v>Quảng Liên 1, Quảng Lạc- P.Lương Văn Tri- LS</v>
          </cell>
          <cell r="W383" t="str">
            <v/>
          </cell>
          <cell r="X383" t="str">
            <v/>
          </cell>
          <cell r="Z383" t="str">
            <v/>
          </cell>
          <cell r="AB383" t="str">
            <v/>
          </cell>
          <cell r="AC383" t="str">
            <v>0345321737</v>
          </cell>
        </row>
        <row r="384">
          <cell r="B384" t="str">
            <v>BV1171</v>
          </cell>
          <cell r="C384" t="str">
            <v>Lương Phan Anh</v>
          </cell>
          <cell r="D384" t="str">
            <v>BV1171</v>
          </cell>
          <cell r="F384" t="str">
            <v>Bác sĩ nội trú</v>
          </cell>
          <cell r="G384" t="e">
            <v>#N/A</v>
          </cell>
          <cell r="I384" t="str">
            <v>Bác sĩ (hạng III)</v>
          </cell>
          <cell r="J384" t="str">
            <v>Phụ sản</v>
          </cell>
          <cell r="K384" t="str">
            <v>KP016</v>
          </cell>
          <cell r="N384" t="str">
            <v>Viên chức</v>
          </cell>
          <cell r="O384">
            <v>32</v>
          </cell>
          <cell r="P384" t="str">
            <v>01/11/1993</v>
          </cell>
          <cell r="Q384">
            <v>0</v>
          </cell>
          <cell r="R384" t="str">
            <v>Nùng</v>
          </cell>
          <cell r="S384">
            <v>44621</v>
          </cell>
          <cell r="T384" t="str">
            <v>020093006527</v>
          </cell>
          <cell r="U384" t="str">
            <v>Bến Băc- P.Tam Thanh- LS</v>
          </cell>
          <cell r="W384" t="str">
            <v>004562/LS-CCHN</v>
          </cell>
          <cell r="X384" t="str">
            <v>16/11/2022</v>
          </cell>
          <cell r="Z384" t="str">
            <v>Khám bệnh, chữa bệnh chuyên ngành Sản phụ khoa</v>
          </cell>
          <cell r="AB384">
            <v>0</v>
          </cell>
          <cell r="AC384" t="str">
            <v>0352732103</v>
          </cell>
          <cell r="AD384" t="str">
            <v>Hợp đồng từ 20/02/2022, Viên chức từ 15/6/2026</v>
          </cell>
        </row>
        <row r="385">
          <cell r="B385" t="str">
            <v>BV0296</v>
          </cell>
          <cell r="C385" t="str">
            <v>Lê Quang Phương</v>
          </cell>
          <cell r="D385" t="str">
            <v>BV0296</v>
          </cell>
          <cell r="F385" t="str">
            <v>BSCKII</v>
          </cell>
          <cell r="G385" t="str">
            <v>TĐ001</v>
          </cell>
          <cell r="H385" t="str">
            <v>Bác sĩ chính (hạng II)</v>
          </cell>
          <cell r="I385" t="str">
            <v>Bác sĩ chính (hạng II)</v>
          </cell>
          <cell r="J385" t="str">
            <v>Nhi</v>
          </cell>
          <cell r="K385" t="str">
            <v>KP017</v>
          </cell>
          <cell r="L385" t="str">
            <v>Lãnh đạo khoa, phòng</v>
          </cell>
          <cell r="M385" t="str">
            <v>Phó trưởng khoa/Phụ trách khoa</v>
          </cell>
          <cell r="N385" t="str">
            <v>Viên chức</v>
          </cell>
          <cell r="O385">
            <v>55</v>
          </cell>
          <cell r="P385">
            <v>26033</v>
          </cell>
          <cell r="Q385">
            <v>0</v>
          </cell>
          <cell r="R385" t="str">
            <v>Tày</v>
          </cell>
          <cell r="S385" t="str">
            <v>29/4/1997</v>
          </cell>
          <cell r="T385" t="str">
            <v>020071007657</v>
          </cell>
          <cell r="U385" t="str">
            <v>Số 40,khối 2,đường Tam Thanh,p.Tam Thanh.LS</v>
          </cell>
          <cell r="W385" t="str">
            <v>000116/LS-CCHN</v>
          </cell>
          <cell r="X385" t="str">
            <v>28/06/2012</v>
          </cell>
          <cell r="Z385" t="str">
            <v>Khám bệnh, chữa bệnh chuyên khoa Nhi</v>
          </cell>
          <cell r="AB385">
            <v>0</v>
          </cell>
          <cell r="AC385">
            <v>902229566</v>
          </cell>
        </row>
        <row r="386">
          <cell r="B386" t="str">
            <v>BV0300</v>
          </cell>
          <cell r="C386" t="str">
            <v>Nguyễn Thành Long</v>
          </cell>
          <cell r="D386" t="str">
            <v>BV0300</v>
          </cell>
          <cell r="F386" t="str">
            <v>BSCKI</v>
          </cell>
          <cell r="G386" t="str">
            <v>TĐ003</v>
          </cell>
          <cell r="H386" t="str">
            <v>Bác sĩ (hạng III)</v>
          </cell>
          <cell r="I386" t="str">
            <v>Bác sĩ (hạng III)</v>
          </cell>
          <cell r="J386" t="str">
            <v>Nhi</v>
          </cell>
          <cell r="K386" t="str">
            <v>KP017</v>
          </cell>
          <cell r="L386" t="str">
            <v>Viên chức CMNV</v>
          </cell>
          <cell r="M386">
            <v>0</v>
          </cell>
          <cell r="N386" t="str">
            <v>Viên chức</v>
          </cell>
          <cell r="O386">
            <v>37</v>
          </cell>
          <cell r="P386" t="str">
            <v>27/02/1989</v>
          </cell>
          <cell r="Q386">
            <v>0</v>
          </cell>
          <cell r="R386" t="str">
            <v>Kinh</v>
          </cell>
          <cell r="S386" t="str">
            <v>1/11/2014</v>
          </cell>
          <cell r="T386" t="str">
            <v>020089007110</v>
          </cell>
          <cell r="U386" t="str">
            <v>113,Lê Lai, P.Kỳ Lừa,LS</v>
          </cell>
          <cell r="W386" t="str">
            <v>000622/LS-CCHN</v>
          </cell>
          <cell r="X386" t="str">
            <v>24/01/2017</v>
          </cell>
          <cell r="Z386" t="str">
            <v>Khám bệnh, chữa bệnh Nhi khoa</v>
          </cell>
          <cell r="AB386">
            <v>0</v>
          </cell>
          <cell r="AC386" t="str">
            <v>0987604226</v>
          </cell>
        </row>
        <row r="387">
          <cell r="B387" t="str">
            <v>BV0682</v>
          </cell>
          <cell r="C387" t="str">
            <v>Lăng Thùy Ngân</v>
          </cell>
          <cell r="D387" t="str">
            <v>BV0682</v>
          </cell>
          <cell r="E387" t="str">
            <v>x</v>
          </cell>
          <cell r="F387" t="str">
            <v>BSCKI</v>
          </cell>
          <cell r="G387" t="str">
            <v>TĐ003</v>
          </cell>
          <cell r="H387" t="str">
            <v>Bác sĩ (hạng III)</v>
          </cell>
          <cell r="I387" t="str">
            <v>Bác sĩ (hạng III)</v>
          </cell>
          <cell r="J387" t="str">
            <v>Nhi</v>
          </cell>
          <cell r="K387" t="str">
            <v>KP017</v>
          </cell>
          <cell r="L387" t="str">
            <v>Viên chức CMNV</v>
          </cell>
          <cell r="M387">
            <v>0</v>
          </cell>
          <cell r="N387" t="str">
            <v>Viên chức</v>
          </cell>
          <cell r="O387">
            <v>35</v>
          </cell>
          <cell r="P387">
            <v>0</v>
          </cell>
          <cell r="Q387" t="str">
            <v>21/12/1990</v>
          </cell>
          <cell r="R387" t="str">
            <v>Nùng</v>
          </cell>
          <cell r="S387" t="str">
            <v>10/01/2016</v>
          </cell>
          <cell r="T387" t="str">
            <v>020190012859</v>
          </cell>
          <cell r="U387" t="str">
            <v>Xã Hoàng Văn Thụ,Lạng Sơn</v>
          </cell>
          <cell r="W387" t="str">
            <v>002126/LS-CCHN</v>
          </cell>
          <cell r="X387" t="str">
            <v>30/10/2017</v>
          </cell>
          <cell r="Z387" t="str">
            <v>Khám bệnh, chữa bệnh chuyên khoa Nhi</v>
          </cell>
          <cell r="AB387">
            <v>0</v>
          </cell>
          <cell r="AC387" t="str">
            <v>0979485314</v>
          </cell>
        </row>
        <row r="388">
          <cell r="B388" t="str">
            <v>BV0298</v>
          </cell>
          <cell r="C388" t="str">
            <v>Trần Thị Diệp</v>
          </cell>
          <cell r="D388" t="str">
            <v>BV0298</v>
          </cell>
          <cell r="E388" t="str">
            <v>x</v>
          </cell>
          <cell r="F388" t="str">
            <v>Thạc sỹ</v>
          </cell>
          <cell r="G388" t="str">
            <v>TĐ004</v>
          </cell>
          <cell r="H388" t="str">
            <v>Bác sĩ chính (hạng II)</v>
          </cell>
          <cell r="I388" t="str">
            <v>Bác sĩ chính (hạng II)</v>
          </cell>
          <cell r="J388" t="str">
            <v>Nhi</v>
          </cell>
          <cell r="K388" t="str">
            <v>KP017</v>
          </cell>
          <cell r="L388" t="str">
            <v>Lãnh đạo khoa, phòng</v>
          </cell>
          <cell r="M388" t="str">
            <v>Phó trưởng khoa</v>
          </cell>
          <cell r="N388" t="str">
            <v>Viên chức</v>
          </cell>
          <cell r="O388">
            <v>45</v>
          </cell>
          <cell r="P388">
            <v>0</v>
          </cell>
          <cell r="Q388">
            <v>29452</v>
          </cell>
          <cell r="R388" t="str">
            <v>Nùng</v>
          </cell>
          <cell r="S388" t="str">
            <v>07/11/2006</v>
          </cell>
          <cell r="T388" t="str">
            <v>020180002195</v>
          </cell>
          <cell r="U388" t="str">
            <v>Số 6,Ngõ1,Phố Mỹ Sơn,P.Đông Kinh,LS</v>
          </cell>
          <cell r="W388" t="str">
            <v>000401/LS-CCHN</v>
          </cell>
          <cell r="X388" t="str">
            <v>01/06/2016</v>
          </cell>
          <cell r="Z388" t="str">
            <v>Khám bệnh, chữa bệnh chuyên khoa Nhi</v>
          </cell>
          <cell r="AB388">
            <v>0</v>
          </cell>
          <cell r="AC388" t="str">
            <v>0912127752</v>
          </cell>
        </row>
        <row r="389">
          <cell r="B389" t="str">
            <v>BV0946</v>
          </cell>
          <cell r="C389" t="str">
            <v>Vy Thị Như Quỳnh</v>
          </cell>
          <cell r="D389" t="str">
            <v>BV0946</v>
          </cell>
          <cell r="E389" t="str">
            <v>x</v>
          </cell>
          <cell r="F389" t="str">
            <v>Bác sĩ</v>
          </cell>
          <cell r="G389" t="str">
            <v>TĐ005</v>
          </cell>
          <cell r="I389" t="str">
            <v>Bác sĩ (hạng III)</v>
          </cell>
          <cell r="J389" t="str">
            <v>Nhi</v>
          </cell>
          <cell r="K389" t="str">
            <v>KP017</v>
          </cell>
          <cell r="N389" t="str">
            <v>Viên chức</v>
          </cell>
          <cell r="O389">
            <v>31</v>
          </cell>
          <cell r="P389">
            <v>0</v>
          </cell>
          <cell r="Q389" t="str">
            <v>07/9/1994</v>
          </cell>
          <cell r="R389" t="str">
            <v>Tày</v>
          </cell>
          <cell r="S389" t="str">
            <v>15/8/2019</v>
          </cell>
          <cell r="T389" t="str">
            <v>020194008613</v>
          </cell>
          <cell r="U389" t="str">
            <v>số 33 Tô Hiến Thành,Khối 10, p.Kỳ Lừa,LS</v>
          </cell>
          <cell r="W389" t="str">
            <v>004314/LS-CCHN</v>
          </cell>
          <cell r="X389" t="str">
            <v>20/07/2021</v>
          </cell>
          <cell r="Z389" t="str">
            <v>Khám bệnh chữa bệnh Nhi khoa</v>
          </cell>
          <cell r="AB389">
            <v>0</v>
          </cell>
          <cell r="AC389" t="str">
            <v>0378238431</v>
          </cell>
          <cell r="AD389" t="str">
            <v>Thử việc 15/8/2019; đỗ VC 20/5/2026</v>
          </cell>
        </row>
        <row r="390">
          <cell r="B390" t="str">
            <v>BV0886</v>
          </cell>
          <cell r="C390" t="str">
            <v>Hoàng Thu Hiền</v>
          </cell>
          <cell r="D390" t="str">
            <v>BV0886</v>
          </cell>
          <cell r="E390" t="str">
            <v>x</v>
          </cell>
          <cell r="F390" t="str">
            <v>Bác sĩ</v>
          </cell>
          <cell r="G390" t="str">
            <v>TĐ005</v>
          </cell>
          <cell r="H390" t="str">
            <v>Bác sĩ (hạng III)</v>
          </cell>
          <cell r="I390" t="str">
            <v>Bác sĩ (hạng III)</v>
          </cell>
          <cell r="J390" t="str">
            <v>Nhi</v>
          </cell>
          <cell r="K390" t="str">
            <v>KP017</v>
          </cell>
          <cell r="L390" t="str">
            <v>Viên chức CMNV</v>
          </cell>
          <cell r="M390">
            <v>0</v>
          </cell>
          <cell r="N390" t="str">
            <v>Viên chức</v>
          </cell>
          <cell r="O390">
            <v>31</v>
          </cell>
          <cell r="P390">
            <v>0</v>
          </cell>
          <cell r="Q390" t="str">
            <v>07/11/1994</v>
          </cell>
          <cell r="R390" t="str">
            <v>Tày</v>
          </cell>
          <cell r="S390" t="str">
            <v>05/04/2019</v>
          </cell>
          <cell r="T390" t="str">
            <v>020194011668</v>
          </cell>
          <cell r="U390" t="str">
            <v>P.Lương Văn Tri,LS</v>
          </cell>
          <cell r="W390" t="str">
            <v>004327/LS-CCHN</v>
          </cell>
          <cell r="X390" t="str">
            <v>20/07/2021</v>
          </cell>
          <cell r="Z390" t="str">
            <v>Khám bệnh chữa bệnh Nhi khoa</v>
          </cell>
          <cell r="AB390">
            <v>0</v>
          </cell>
          <cell r="AC390" t="str">
            <v>0348815907</v>
          </cell>
          <cell r="AD390" t="str">
            <v>BC 5/4/2019</v>
          </cell>
        </row>
        <row r="391">
          <cell r="B391" t="str">
            <v>BV1247</v>
          </cell>
          <cell r="C391" t="str">
            <v>Nguyễn Thùy Dương</v>
          </cell>
          <cell r="D391" t="str">
            <v>BV1247</v>
          </cell>
          <cell r="E391" t="str">
            <v>x</v>
          </cell>
          <cell r="F391" t="str">
            <v>Bác sĩ</v>
          </cell>
          <cell r="G391" t="str">
            <v>TĐ005</v>
          </cell>
          <cell r="I391" t="str">
            <v>Bác sĩ (hạng III)</v>
          </cell>
          <cell r="J391" t="str">
            <v>Nhi</v>
          </cell>
          <cell r="K391" t="str">
            <v>KP017</v>
          </cell>
          <cell r="N391" t="str">
            <v>HĐ có thời hạn</v>
          </cell>
          <cell r="O391">
            <v>29</v>
          </cell>
          <cell r="P391">
            <v>0</v>
          </cell>
          <cell r="Q391">
            <v>35455</v>
          </cell>
          <cell r="R391" t="str">
            <v>Tày</v>
          </cell>
          <cell r="S391" t="str">
            <v>01/7/2023</v>
          </cell>
          <cell r="T391" t="str">
            <v>020197000164</v>
          </cell>
          <cell r="U391" t="str">
            <v>Xã Hữu Lũng,LS</v>
          </cell>
          <cell r="W391" t="str">
            <v>005645/LS-CCHN</v>
          </cell>
          <cell r="X391">
            <v>0</v>
          </cell>
          <cell r="Z391" t="str">
            <v>Chuyên khoa Nhi</v>
          </cell>
          <cell r="AB391">
            <v>0</v>
          </cell>
          <cell r="AC391">
            <v>961897397</v>
          </cell>
          <cell r="AD391" t="str">
            <v>Hợp đồng 01/7/2023</v>
          </cell>
        </row>
        <row r="392">
          <cell r="B392" t="str">
            <v>BV1260</v>
          </cell>
          <cell r="C392" t="str">
            <v>Hoàng Thị Thảo Nương</v>
          </cell>
          <cell r="D392" t="str">
            <v>BV1260</v>
          </cell>
          <cell r="E392" t="str">
            <v>x</v>
          </cell>
          <cell r="F392" t="str">
            <v>Bác sĩ</v>
          </cell>
          <cell r="G392" t="str">
            <v>TĐ005</v>
          </cell>
          <cell r="I392" t="str">
            <v>Bác sĩ (hạng III)</v>
          </cell>
          <cell r="J392" t="str">
            <v>Nhi</v>
          </cell>
          <cell r="K392" t="str">
            <v>KP017</v>
          </cell>
          <cell r="N392" t="str">
            <v>Viên chức</v>
          </cell>
          <cell r="O392">
            <v>28</v>
          </cell>
          <cell r="P392">
            <v>0</v>
          </cell>
          <cell r="Q392" t="str">
            <v>28/12/1997</v>
          </cell>
          <cell r="R392" t="str">
            <v>Tày</v>
          </cell>
          <cell r="S392">
            <v>45260</v>
          </cell>
          <cell r="T392" t="str">
            <v>020197005434</v>
          </cell>
          <cell r="U392" t="str">
            <v xml:space="preserve"> Chộc Vằng,Lộc Bình,LS</v>
          </cell>
          <cell r="V392">
            <v>45807</v>
          </cell>
          <cell r="W392" t="str">
            <v>000107/LS-GPHN</v>
          </cell>
          <cell r="X392">
            <v>0</v>
          </cell>
          <cell r="Z392" t="str">
            <v>Chuyên khoa Nhi</v>
          </cell>
          <cell r="AB392">
            <v>0</v>
          </cell>
          <cell r="AC392" t="str">
            <v>0364746748</v>
          </cell>
          <cell r="AD392" t="str">
            <v>Thử việc 01/12/2023, Viên chức từ 15/6/2026</v>
          </cell>
        </row>
        <row r="393">
          <cell r="B393" t="str">
            <v>BV1261</v>
          </cell>
          <cell r="C393" t="str">
            <v>Đinh Tố Uyên</v>
          </cell>
          <cell r="D393" t="str">
            <v>BV1261</v>
          </cell>
          <cell r="E393" t="str">
            <v>x</v>
          </cell>
          <cell r="F393" t="str">
            <v>Bác sĩ</v>
          </cell>
          <cell r="G393" t="str">
            <v>TĐ005</v>
          </cell>
          <cell r="I393" t="str">
            <v>Bác sĩ (hạng III)</v>
          </cell>
          <cell r="J393" t="str">
            <v>Nhi</v>
          </cell>
          <cell r="K393" t="str">
            <v>KP017</v>
          </cell>
          <cell r="N393" t="str">
            <v>Viên chức</v>
          </cell>
          <cell r="O393">
            <v>28</v>
          </cell>
          <cell r="P393">
            <v>0</v>
          </cell>
          <cell r="Q393" t="str">
            <v>23/4/1998</v>
          </cell>
          <cell r="R393" t="str">
            <v>Nùng</v>
          </cell>
          <cell r="S393">
            <v>45260</v>
          </cell>
          <cell r="T393" t="str">
            <v>020198007296</v>
          </cell>
          <cell r="U393" t="str">
            <v>Số 35/66 Đèo Giang,p.Lương Văn Tri.LS</v>
          </cell>
          <cell r="V393">
            <v>45807</v>
          </cell>
          <cell r="W393" t="str">
            <v>000315/LS-GPHN</v>
          </cell>
          <cell r="X393">
            <v>45876</v>
          </cell>
          <cell r="Z393" t="str">
            <v>Chuyên khoa Nhi</v>
          </cell>
          <cell r="AB393">
            <v>0</v>
          </cell>
          <cell r="AC393" t="str">
            <v>0584706898</v>
          </cell>
          <cell r="AD393" t="str">
            <v>Thử việc 01/12/2023, Viên chức từ 15/6/2026</v>
          </cell>
        </row>
        <row r="394">
          <cell r="B394" t="str">
            <v>BV1283</v>
          </cell>
          <cell r="C394" t="str">
            <v>Nguyễn Thu Thủy</v>
          </cell>
          <cell r="D394" t="str">
            <v>BV1283</v>
          </cell>
          <cell r="E394" t="str">
            <v>x</v>
          </cell>
          <cell r="F394" t="str">
            <v>Bác sĩ</v>
          </cell>
          <cell r="G394" t="str">
            <v>TĐ005</v>
          </cell>
          <cell r="I394" t="str">
            <v>Bác sĩ (hạng III)</v>
          </cell>
          <cell r="J394" t="str">
            <v>Nhi</v>
          </cell>
          <cell r="K394" t="str">
            <v>KP017</v>
          </cell>
          <cell r="N394" t="str">
            <v>Viên chức</v>
          </cell>
          <cell r="O394">
            <v>29</v>
          </cell>
          <cell r="P394">
            <v>0</v>
          </cell>
          <cell r="Q394" t="str">
            <v>22/02/1997</v>
          </cell>
          <cell r="R394" t="str">
            <v>Kinh</v>
          </cell>
          <cell r="S394" t="str">
            <v>01/7/2024</v>
          </cell>
          <cell r="T394" t="str">
            <v>020197008599</v>
          </cell>
          <cell r="U394" t="str">
            <v>Xã Hữu Lũng,LS</v>
          </cell>
          <cell r="V394">
            <v>45870</v>
          </cell>
          <cell r="W394" t="str">
            <v>000002/LS-GPHN</v>
          </cell>
          <cell r="X394">
            <v>0</v>
          </cell>
          <cell r="Z394" t="str">
            <v>Chuyên khoa Nhi</v>
          </cell>
          <cell r="AB394">
            <v>0</v>
          </cell>
          <cell r="AD394" t="str">
            <v>HĐ 01/7/2024, Viên chức từ 15/6/2026</v>
          </cell>
        </row>
        <row r="395">
          <cell r="B395" t="str">
            <v>BV0308</v>
          </cell>
          <cell r="C395" t="str">
            <v>Nguyễn Thị Minh Hiệp</v>
          </cell>
          <cell r="D395" t="str">
            <v>BV0308</v>
          </cell>
          <cell r="E395" t="str">
            <v>x</v>
          </cell>
          <cell r="F395" t="str">
            <v>Điều dưỡng ĐH</v>
          </cell>
          <cell r="G395" t="str">
            <v>TĐ011</v>
          </cell>
          <cell r="H395" t="str">
            <v>Điều dưỡng (hạng III)</v>
          </cell>
          <cell r="I395" t="str">
            <v>Điều dưỡng (hạng III)</v>
          </cell>
          <cell r="J395" t="str">
            <v>Nhi</v>
          </cell>
          <cell r="K395" t="str">
            <v>KP017</v>
          </cell>
          <cell r="L395" t="str">
            <v>Viên chức CMNV</v>
          </cell>
          <cell r="M395">
            <v>0</v>
          </cell>
          <cell r="N395" t="str">
            <v>Viên chức</v>
          </cell>
          <cell r="O395">
            <v>44</v>
          </cell>
          <cell r="P395">
            <v>0</v>
          </cell>
          <cell r="Q395">
            <v>29854</v>
          </cell>
          <cell r="R395" t="str">
            <v>nùng</v>
          </cell>
          <cell r="S395" t="str">
            <v>1/12/2008</v>
          </cell>
          <cell r="T395" t="str">
            <v>020181000732</v>
          </cell>
          <cell r="U395" t="str">
            <v>khối 27 p kỳ lừa</v>
          </cell>
          <cell r="W395" t="str">
            <v>000859/LS-CCHN</v>
          </cell>
          <cell r="X395" t="str">
            <v>11/01/2023</v>
          </cell>
          <cell r="Z39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95">
            <v>0</v>
          </cell>
          <cell r="AC395" t="str">
            <v>0977641631</v>
          </cell>
        </row>
        <row r="396">
          <cell r="B396" t="str">
            <v>BV0301</v>
          </cell>
          <cell r="C396" t="str">
            <v>Nguyễn Thị Chanh</v>
          </cell>
          <cell r="D396" t="str">
            <v>BV0301</v>
          </cell>
          <cell r="E396" t="str">
            <v>x</v>
          </cell>
          <cell r="F396" t="str">
            <v>Điều dưỡng ĐH</v>
          </cell>
          <cell r="G396" t="str">
            <v>TĐ011</v>
          </cell>
          <cell r="H396" t="str">
            <v>Điều dưỡng (hạng III)</v>
          </cell>
          <cell r="I396" t="str">
            <v>Điều dưỡng (hạng III)</v>
          </cell>
          <cell r="J396" t="str">
            <v>Nhi</v>
          </cell>
          <cell r="K396" t="str">
            <v>KP017</v>
          </cell>
          <cell r="L396" t="str">
            <v>Lãnh đạo khoa, phòng</v>
          </cell>
          <cell r="M396" t="str">
            <v>Điều dưỡng trưởng</v>
          </cell>
          <cell r="N396" t="str">
            <v>Viên chức</v>
          </cell>
          <cell r="O396">
            <v>43</v>
          </cell>
          <cell r="P396">
            <v>0</v>
          </cell>
          <cell r="Q396">
            <v>30494</v>
          </cell>
          <cell r="R396" t="str">
            <v>Tày</v>
          </cell>
          <cell r="S396" t="str">
            <v>7/11/2006</v>
          </cell>
          <cell r="T396" t="str">
            <v>020183000661</v>
          </cell>
          <cell r="U396" t="str">
            <v>Tổ 1,Khối 23,P.Kỳ Lừa</v>
          </cell>
          <cell r="W396" t="str">
            <v>000857/LS-CCHN</v>
          </cell>
          <cell r="X396" t="str">
            <v>24/06/2013</v>
          </cell>
          <cell r="Z396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396">
            <v>0</v>
          </cell>
          <cell r="AC396">
            <v>968575600</v>
          </cell>
        </row>
        <row r="397">
          <cell r="B397" t="str">
            <v>BV0913</v>
          </cell>
          <cell r="C397" t="str">
            <v>Nông Thị Lụa</v>
          </cell>
          <cell r="D397" t="str">
            <v>BV0913</v>
          </cell>
          <cell r="E397" t="str">
            <v>x</v>
          </cell>
          <cell r="F397" t="str">
            <v>Điều dưỡng ĐH</v>
          </cell>
          <cell r="G397" t="str">
            <v>TĐ011</v>
          </cell>
          <cell r="I397" t="str">
            <v>Điều dưỡng (hạng III)</v>
          </cell>
          <cell r="J397" t="str">
            <v>Nhi</v>
          </cell>
          <cell r="K397" t="str">
            <v>KP017</v>
          </cell>
          <cell r="N397" t="str">
            <v>Viên chức</v>
          </cell>
          <cell r="O397">
            <v>36</v>
          </cell>
          <cell r="P397">
            <v>0</v>
          </cell>
          <cell r="Q397" t="str">
            <v>15/11/1989</v>
          </cell>
          <cell r="R397" t="str">
            <v>Nùng</v>
          </cell>
          <cell r="S397" t="str">
            <v>17/4/2019</v>
          </cell>
          <cell r="T397" t="str">
            <v>020189002912</v>
          </cell>
          <cell r="U397" t="str">
            <v>Thôn Bản Viển,p.Tam Thanh,LS</v>
          </cell>
          <cell r="W397" t="str">
            <v>003232/LS-CCHN</v>
          </cell>
          <cell r="X397" t="str">
            <v>20/07/2018</v>
          </cell>
          <cell r="Z39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397">
            <v>0</v>
          </cell>
          <cell r="AC397" t="str">
            <v>0396806397</v>
          </cell>
          <cell r="AD397" t="str">
            <v>Thử việc 17/4/2019-31/5/2019; đỗ VC 20/5/2026</v>
          </cell>
        </row>
        <row r="398">
          <cell r="B398" t="str">
            <v>BV0311</v>
          </cell>
          <cell r="C398" t="str">
            <v>Lương Thu Thảo</v>
          </cell>
          <cell r="D398" t="str">
            <v>BV0311</v>
          </cell>
          <cell r="E398" t="str">
            <v>x</v>
          </cell>
          <cell r="F398" t="str">
            <v>Điều dưỡng ĐH</v>
          </cell>
          <cell r="G398" t="str">
            <v>TĐ011</v>
          </cell>
          <cell r="H398" t="str">
            <v>Điều dưỡng (hạng III)</v>
          </cell>
          <cell r="I398" t="str">
            <v>Điều dưỡng (hạng III)</v>
          </cell>
          <cell r="J398" t="str">
            <v>Nhi</v>
          </cell>
          <cell r="K398" t="str">
            <v>KP017</v>
          </cell>
          <cell r="L398" t="str">
            <v>Viên chức CMNV</v>
          </cell>
          <cell r="M398">
            <v>0</v>
          </cell>
          <cell r="N398" t="str">
            <v>Viên chức</v>
          </cell>
          <cell r="O398">
            <v>41</v>
          </cell>
          <cell r="P398">
            <v>0</v>
          </cell>
          <cell r="Q398">
            <v>31171</v>
          </cell>
          <cell r="R398" t="str">
            <v>tày</v>
          </cell>
          <cell r="S398" t="str">
            <v>15/1/2010</v>
          </cell>
          <cell r="T398" t="str">
            <v>020185007064</v>
          </cell>
          <cell r="U398" t="str">
            <v>Khu tập thể bộ đội biên phòng,ngõ 34,chùa tiên, p.lương văn tri,lạng sơn</v>
          </cell>
          <cell r="W398" t="str">
            <v>000860/LS-CCHN</v>
          </cell>
          <cell r="X398" t="str">
            <v>11/01/2023</v>
          </cell>
          <cell r="Z39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98">
            <v>0</v>
          </cell>
          <cell r="AC398" t="str">
            <v>0983305938</v>
          </cell>
        </row>
        <row r="399">
          <cell r="B399" t="str">
            <v>BV0314</v>
          </cell>
          <cell r="C399" t="str">
            <v>Hoàng Thị Oanh</v>
          </cell>
          <cell r="D399" t="str">
            <v>BV0314</v>
          </cell>
          <cell r="E399" t="str">
            <v>x</v>
          </cell>
          <cell r="F399" t="str">
            <v>Điều dưỡng ĐH</v>
          </cell>
          <cell r="G399" t="str">
            <v>TĐ011</v>
          </cell>
          <cell r="H399" t="str">
            <v>Điều dưỡng (hạng III)</v>
          </cell>
          <cell r="I399" t="str">
            <v>Điều dưỡng (hạng III)</v>
          </cell>
          <cell r="J399" t="str">
            <v>Nhi</v>
          </cell>
          <cell r="K399" t="str">
            <v>KP017</v>
          </cell>
          <cell r="L399" t="str">
            <v>Viên chức CMNV</v>
          </cell>
          <cell r="M399">
            <v>0</v>
          </cell>
          <cell r="N399" t="str">
            <v>Viên chức</v>
          </cell>
          <cell r="O399">
            <v>39</v>
          </cell>
          <cell r="P399">
            <v>0</v>
          </cell>
          <cell r="Q399">
            <v>31772</v>
          </cell>
          <cell r="R399" t="str">
            <v>Tày</v>
          </cell>
          <cell r="S399" t="str">
            <v>1/12/2008</v>
          </cell>
          <cell r="T399" t="str">
            <v>020186007388</v>
          </cell>
          <cell r="U399" t="str">
            <v>Số 26,ngõ 238,Trần Quang Khải,P.Lương Văn Tri.LS</v>
          </cell>
          <cell r="W399" t="str">
            <v>000863/LS-CCHN</v>
          </cell>
          <cell r="X399" t="str">
            <v>11/01/2023</v>
          </cell>
          <cell r="Z39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399">
            <v>0</v>
          </cell>
          <cell r="AC399" t="str">
            <v>0986979651</v>
          </cell>
        </row>
        <row r="400">
          <cell r="B400" t="str">
            <v>BV0309</v>
          </cell>
          <cell r="C400" t="str">
            <v>Vi Thị Thùy</v>
          </cell>
          <cell r="D400" t="str">
            <v>BV0309</v>
          </cell>
          <cell r="E400" t="str">
            <v>x</v>
          </cell>
          <cell r="F400" t="str">
            <v>Điều dưỡng ĐH</v>
          </cell>
          <cell r="G400" t="str">
            <v>TĐ011</v>
          </cell>
          <cell r="H400" t="str">
            <v>Điều dưỡng (hạng III)</v>
          </cell>
          <cell r="I400" t="str">
            <v>Điều dưỡng (hạng III)</v>
          </cell>
          <cell r="J400" t="str">
            <v>Nhi</v>
          </cell>
          <cell r="K400" t="str">
            <v>KP017</v>
          </cell>
          <cell r="L400" t="str">
            <v>Viên chức CMNV</v>
          </cell>
          <cell r="M400">
            <v>0</v>
          </cell>
          <cell r="N400" t="str">
            <v>Viên chức</v>
          </cell>
          <cell r="O400">
            <v>37</v>
          </cell>
          <cell r="P400">
            <v>0</v>
          </cell>
          <cell r="Q400">
            <v>32367</v>
          </cell>
          <cell r="R400" t="str">
            <v>Nùng</v>
          </cell>
          <cell r="S400" t="str">
            <v>02/01/2009</v>
          </cell>
          <cell r="T400" t="str">
            <v>020188008446</v>
          </cell>
          <cell r="U400" t="str">
            <v>Số 290 Cốc Nam, Hoàng Văn Thụ, Lạng Sơn</v>
          </cell>
          <cell r="W400" t="str">
            <v>000858/LS-CCHN</v>
          </cell>
          <cell r="X400" t="str">
            <v>11/01/2023</v>
          </cell>
          <cell r="Z400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00">
            <v>0</v>
          </cell>
          <cell r="AC400" t="str">
            <v>0383979496</v>
          </cell>
        </row>
        <row r="401">
          <cell r="B401" t="str">
            <v>BV0793</v>
          </cell>
          <cell r="C401" t="str">
            <v>Lăng Thị Duyên</v>
          </cell>
          <cell r="D401" t="str">
            <v>BV0793</v>
          </cell>
          <cell r="E401" t="str">
            <v>x</v>
          </cell>
          <cell r="F401" t="str">
            <v>Điều dưỡng CĐ</v>
          </cell>
          <cell r="G401" t="str">
            <v>TĐ012</v>
          </cell>
          <cell r="I401" t="str">
            <v>Điều dưỡng (hạng IV)</v>
          </cell>
          <cell r="J401" t="str">
            <v>Nhi</v>
          </cell>
          <cell r="K401" t="str">
            <v>KP017</v>
          </cell>
          <cell r="N401" t="str">
            <v>Viên chức</v>
          </cell>
          <cell r="O401">
            <v>35</v>
          </cell>
          <cell r="P401">
            <v>0</v>
          </cell>
          <cell r="Q401">
            <v>33442</v>
          </cell>
          <cell r="R401" t="str">
            <v>Nùng</v>
          </cell>
          <cell r="S401" t="str">
            <v xml:space="preserve"> 02/10/2017</v>
          </cell>
          <cell r="T401" t="str">
            <v>020191007412</v>
          </cell>
          <cell r="U401" t="str">
            <v>Xã Hoàng Văn Thụ,Lạng Sơn</v>
          </cell>
          <cell r="W401" t="str">
            <v>003334/LS-CCHN</v>
          </cell>
          <cell r="X401" t="str">
            <v>17/08/2018</v>
          </cell>
          <cell r="Z401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01">
            <v>0</v>
          </cell>
          <cell r="AC401" t="str">
            <v>0356249339</v>
          </cell>
          <cell r="AD401" t="str">
            <v>Kiêm nhiệm khoa Dinh dưỡng 01/10/2022; đỗ VC 20/5/2026</v>
          </cell>
        </row>
        <row r="402">
          <cell r="B402" t="str">
            <v>BV0303</v>
          </cell>
          <cell r="C402" t="str">
            <v>Lữ Thị Đại</v>
          </cell>
          <cell r="D402" t="str">
            <v>BV0303</v>
          </cell>
          <cell r="E402" t="str">
            <v>x</v>
          </cell>
          <cell r="F402" t="str">
            <v>Điều dưỡng ĐH</v>
          </cell>
          <cell r="G402" t="str">
            <v>TĐ011</v>
          </cell>
          <cell r="H402" t="str">
            <v>Điều dưỡng (hạng III)</v>
          </cell>
          <cell r="I402" t="str">
            <v>Điều dưỡng (hạng III)</v>
          </cell>
          <cell r="J402" t="str">
            <v>Nhi</v>
          </cell>
          <cell r="K402" t="str">
            <v>KP017</v>
          </cell>
          <cell r="L402" t="str">
            <v>Viên chức CMNV</v>
          </cell>
          <cell r="M402">
            <v>0</v>
          </cell>
          <cell r="N402" t="str">
            <v>Viên chức</v>
          </cell>
          <cell r="O402">
            <v>36</v>
          </cell>
          <cell r="P402">
            <v>0</v>
          </cell>
          <cell r="Q402">
            <v>32932</v>
          </cell>
          <cell r="R402" t="str">
            <v>Nùng</v>
          </cell>
          <cell r="S402" t="str">
            <v>05/6/2013</v>
          </cell>
          <cell r="T402" t="str">
            <v>020190004145</v>
          </cell>
          <cell r="U402" t="str">
            <v>Khối 7.P.Đông Kinh,LS</v>
          </cell>
          <cell r="W402" t="str">
            <v>000400/LS-CCHN</v>
          </cell>
          <cell r="X402" t="str">
            <v>11/01/2023</v>
          </cell>
          <cell r="Z40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02">
            <v>0</v>
          </cell>
          <cell r="AC402" t="str">
            <v>0868290268</v>
          </cell>
          <cell r="AD402" t="str">
            <v>Nghỉ k lương 6 tháng từ 13/9/2022 - 28/2/2023</v>
          </cell>
        </row>
        <row r="403">
          <cell r="B403" t="str">
            <v>BV0727</v>
          </cell>
          <cell r="C403" t="str">
            <v>Lương Thu Hòa</v>
          </cell>
          <cell r="D403" t="str">
            <v>BV0727</v>
          </cell>
          <cell r="E403" t="str">
            <v>x</v>
          </cell>
          <cell r="F403" t="str">
            <v>Điều dưỡng CĐ</v>
          </cell>
          <cell r="G403" t="str">
            <v>TĐ012</v>
          </cell>
          <cell r="I403" t="str">
            <v>Điều dưỡng (hạng IV)</v>
          </cell>
          <cell r="J403" t="str">
            <v>Nhi</v>
          </cell>
          <cell r="K403" t="str">
            <v>KP017</v>
          </cell>
          <cell r="N403" t="str">
            <v>Viên chức</v>
          </cell>
          <cell r="O403">
            <v>33</v>
          </cell>
          <cell r="P403">
            <v>0</v>
          </cell>
          <cell r="Q403" t="str">
            <v>26/9/1992</v>
          </cell>
          <cell r="R403" t="str">
            <v>Tày</v>
          </cell>
          <cell r="S403" t="str">
            <v xml:space="preserve"> 29/8/2016</v>
          </cell>
          <cell r="T403" t="str">
            <v>020192001501</v>
          </cell>
          <cell r="U403" t="str">
            <v>Hoàng Trung,P.Tam Thanh.LS</v>
          </cell>
          <cell r="W403" t="str">
            <v>002163/LS-CCHN</v>
          </cell>
          <cell r="X403" t="str">
            <v>29/12/2017</v>
          </cell>
          <cell r="Z40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03">
            <v>0</v>
          </cell>
          <cell r="AC403" t="str">
            <v>0374362500</v>
          </cell>
          <cell r="AD403" t="str">
            <v>HĐ 29/8/2016; Đỗ VC 20/5/2026</v>
          </cell>
        </row>
        <row r="404">
          <cell r="B404" t="str">
            <v>BV0728</v>
          </cell>
          <cell r="C404" t="str">
            <v>Nguyễn Thị Nhang</v>
          </cell>
          <cell r="D404" t="str">
            <v>BV0728</v>
          </cell>
          <cell r="E404" t="str">
            <v>x</v>
          </cell>
          <cell r="F404" t="str">
            <v>Điều dưỡng CĐ</v>
          </cell>
          <cell r="G404" t="str">
            <v>TĐ012</v>
          </cell>
          <cell r="I404" t="str">
            <v>Điều dưỡng (hạng IV)</v>
          </cell>
          <cell r="J404" t="str">
            <v>Nhi</v>
          </cell>
          <cell r="K404" t="str">
            <v>KP017</v>
          </cell>
          <cell r="N404" t="str">
            <v>Viên chức</v>
          </cell>
          <cell r="O404">
            <v>35</v>
          </cell>
          <cell r="P404">
            <v>0</v>
          </cell>
          <cell r="Q404" t="str">
            <v>07/11/1990</v>
          </cell>
          <cell r="R404" t="str">
            <v>Tày</v>
          </cell>
          <cell r="S404" t="str">
            <v xml:space="preserve"> 29/8/2016</v>
          </cell>
          <cell r="T404" t="str">
            <v>020190003115</v>
          </cell>
          <cell r="U404" t="str">
            <v>Số 3, ngõ 288,Nhị Thanh,Tam Thanh,LS</v>
          </cell>
          <cell r="W404" t="str">
            <v>002172/LS-CCHN</v>
          </cell>
          <cell r="X404" t="str">
            <v>29/12/2017</v>
          </cell>
          <cell r="Z40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04">
            <v>0</v>
          </cell>
          <cell r="AC404" t="str">
            <v>0398309020</v>
          </cell>
          <cell r="AD404" t="str">
            <v>Viên chức từ 15/6/2026</v>
          </cell>
        </row>
        <row r="405">
          <cell r="B405" t="str">
            <v>BV0735</v>
          </cell>
          <cell r="C405" t="str">
            <v>Triệu Thị Bích Nhung</v>
          </cell>
          <cell r="D405" t="str">
            <v>BV0735</v>
          </cell>
          <cell r="E405" t="str">
            <v>x</v>
          </cell>
          <cell r="F405" t="str">
            <v>Điều dưỡng CĐ</v>
          </cell>
          <cell r="G405" t="str">
            <v>TĐ012</v>
          </cell>
          <cell r="I405" t="str">
            <v>Điều dưỡng (hạng IV)</v>
          </cell>
          <cell r="J405" t="str">
            <v>Nhi</v>
          </cell>
          <cell r="K405" t="str">
            <v>KP017</v>
          </cell>
          <cell r="N405" t="str">
            <v>Viên chức</v>
          </cell>
          <cell r="O405">
            <v>34</v>
          </cell>
          <cell r="P405">
            <v>0</v>
          </cell>
          <cell r="Q405">
            <v>33531</v>
          </cell>
          <cell r="R405" t="str">
            <v>Nùng</v>
          </cell>
          <cell r="S405">
            <v>41008</v>
          </cell>
          <cell r="T405" t="str">
            <v>020191002245</v>
          </cell>
          <cell r="U405" t="str">
            <v>Khối 10.P.Kỳ Lừa, LS</v>
          </cell>
          <cell r="W405" t="str">
            <v>000760/LS-CCHN</v>
          </cell>
          <cell r="X405" t="str">
            <v>11/01/2023</v>
          </cell>
          <cell r="Z40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05">
            <v>0</v>
          </cell>
          <cell r="AC405" t="str">
            <v>0366135567</v>
          </cell>
          <cell r="AD405" t="str">
            <v>Viên chức từ 15/6/2026</v>
          </cell>
        </row>
        <row r="406">
          <cell r="B406" t="str">
            <v>BV0877</v>
          </cell>
          <cell r="C406" t="str">
            <v>Hoàng Thị Hiếu</v>
          </cell>
          <cell r="D406" t="str">
            <v>BV0877</v>
          </cell>
          <cell r="E406" t="str">
            <v>x</v>
          </cell>
          <cell r="F406" t="str">
            <v>Điều dưỡng CĐ</v>
          </cell>
          <cell r="G406" t="str">
            <v>TĐ012</v>
          </cell>
          <cell r="I406" t="str">
            <v>Điều dưỡng (hạng IV)</v>
          </cell>
          <cell r="J406" t="str">
            <v>Nhi</v>
          </cell>
          <cell r="K406" t="str">
            <v>KP017</v>
          </cell>
          <cell r="N406" t="str">
            <v>Viên chức</v>
          </cell>
          <cell r="O406">
            <v>34</v>
          </cell>
          <cell r="P406">
            <v>0</v>
          </cell>
          <cell r="Q406">
            <v>33581</v>
          </cell>
          <cell r="R406" t="str">
            <v>Tày</v>
          </cell>
          <cell r="S406" t="str">
            <v>01/11/2018</v>
          </cell>
          <cell r="T406" t="str">
            <v>020191002552</v>
          </cell>
          <cell r="U406" t="str">
            <v>Thôn Bản Piòa,Tân Văn,Lạng Sơn</v>
          </cell>
          <cell r="W406" t="str">
            <v>003807/LS-CCHN</v>
          </cell>
          <cell r="X406" t="str">
            <v>21/07/2020</v>
          </cell>
          <cell r="Z406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06">
            <v>0</v>
          </cell>
          <cell r="AC406" t="str">
            <v>0368500016</v>
          </cell>
          <cell r="AD406" t="str">
            <v>Thử việc T11/2018; đỗ VC 20/5/2026</v>
          </cell>
        </row>
        <row r="407">
          <cell r="B407" t="str">
            <v>BV0914</v>
          </cell>
          <cell r="C407" t="str">
            <v>Hoàng Đức Dương</v>
          </cell>
          <cell r="D407" t="str">
            <v>BV0914</v>
          </cell>
          <cell r="F407" t="str">
            <v>Điều dưỡng CĐ</v>
          </cell>
          <cell r="G407" t="str">
            <v>TĐ012</v>
          </cell>
          <cell r="I407" t="str">
            <v>Điều dưỡng (hạng IV)</v>
          </cell>
          <cell r="J407" t="str">
            <v>Nhi</v>
          </cell>
          <cell r="K407" t="str">
            <v>KP017</v>
          </cell>
          <cell r="N407" t="str">
            <v>Viên chức</v>
          </cell>
          <cell r="O407">
            <v>28</v>
          </cell>
          <cell r="P407" t="str">
            <v>16/08/1997</v>
          </cell>
          <cell r="Q407">
            <v>0</v>
          </cell>
          <cell r="R407" t="str">
            <v>Nùng</v>
          </cell>
          <cell r="S407" t="str">
            <v>17/4/2019</v>
          </cell>
          <cell r="T407" t="str">
            <v>020097004510</v>
          </cell>
          <cell r="U407" t="str">
            <v>Thôn Bản Luận,xã Công Sơn,Ls</v>
          </cell>
          <cell r="W407" t="str">
            <v>004494/LS-CCHN</v>
          </cell>
          <cell r="X407" t="str">
            <v>06/04/2022</v>
          </cell>
          <cell r="Z40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07">
            <v>0</v>
          </cell>
          <cell r="AC407" t="str">
            <v>0977602497</v>
          </cell>
          <cell r="AD407" t="str">
            <v>Thử việc 17/4/2019-31/5/2019; đỗ VC 20/5/2026</v>
          </cell>
        </row>
        <row r="408">
          <cell r="B408" t="str">
            <v>BV0992</v>
          </cell>
          <cell r="C408" t="str">
            <v>Ma Văn Lý</v>
          </cell>
          <cell r="D408" t="str">
            <v>BV0992</v>
          </cell>
          <cell r="F408" t="str">
            <v>Điều dưỡng CĐ</v>
          </cell>
          <cell r="G408" t="str">
            <v>TĐ012</v>
          </cell>
          <cell r="I408" t="str">
            <v>Điều dưỡng (hạng IV)</v>
          </cell>
          <cell r="J408" t="str">
            <v>Nhi</v>
          </cell>
          <cell r="K408" t="str">
            <v>KP017</v>
          </cell>
          <cell r="N408" t="str">
            <v>Viên chức</v>
          </cell>
          <cell r="O408">
            <v>28</v>
          </cell>
          <cell r="P408" t="str">
            <v>17/01/1998</v>
          </cell>
          <cell r="Q408">
            <v>0</v>
          </cell>
          <cell r="R408" t="str">
            <v>Nùng</v>
          </cell>
          <cell r="S408" t="str">
            <v>02/12/2019</v>
          </cell>
          <cell r="T408" t="str">
            <v>020098003549</v>
          </cell>
          <cell r="U408" t="str">
            <v>Xã Thiện Long,LS</v>
          </cell>
          <cell r="W408" t="str">
            <v>005538/LS-CCHN</v>
          </cell>
          <cell r="X408" t="str">
            <v>11/01/2023</v>
          </cell>
          <cell r="Z40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08">
            <v>0</v>
          </cell>
          <cell r="AD408" t="str">
            <v>Thử việc 02/12/2019; đỗ VC 20/5/2026</v>
          </cell>
        </row>
        <row r="409">
          <cell r="B409" t="str">
            <v>BV0313</v>
          </cell>
          <cell r="C409" t="str">
            <v>Đàm Thị Liên</v>
          </cell>
          <cell r="D409" t="str">
            <v>BV0313</v>
          </cell>
          <cell r="E409" t="str">
            <v>x</v>
          </cell>
          <cell r="F409" t="str">
            <v>Điều dưỡng CĐ</v>
          </cell>
          <cell r="G409" t="str">
            <v>TĐ012</v>
          </cell>
          <cell r="H409" t="str">
            <v>Điều dưỡng (hạng IV)</v>
          </cell>
          <cell r="I409" t="str">
            <v>Điều dưỡng (hạng IV)</v>
          </cell>
          <cell r="J409" t="str">
            <v>Nhi</v>
          </cell>
          <cell r="K409" t="str">
            <v>KP017</v>
          </cell>
          <cell r="L409" t="str">
            <v>Viên chức CMNV</v>
          </cell>
          <cell r="M409">
            <v>0</v>
          </cell>
          <cell r="N409" t="str">
            <v>Viên chức</v>
          </cell>
          <cell r="O409">
            <v>39</v>
          </cell>
          <cell r="P409">
            <v>0</v>
          </cell>
          <cell r="Q409">
            <v>31644</v>
          </cell>
          <cell r="R409" t="str">
            <v>Nùng</v>
          </cell>
          <cell r="S409" t="str">
            <v>15/1/2010</v>
          </cell>
          <cell r="T409" t="str">
            <v>020186002925</v>
          </cell>
          <cell r="U409" t="str">
            <v>Thôn Phai Làng, xã Tân Đoàn,LS</v>
          </cell>
          <cell r="W409" t="str">
            <v>000853/LS-CCHN</v>
          </cell>
          <cell r="X409" t="str">
            <v>11/01/2023</v>
          </cell>
          <cell r="Z40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09">
            <v>0</v>
          </cell>
          <cell r="AC409" t="str">
            <v>0915328998</v>
          </cell>
        </row>
        <row r="410">
          <cell r="B410" t="str">
            <v>BV1049</v>
          </cell>
          <cell r="C410" t="str">
            <v>Lý Hồng Trang</v>
          </cell>
          <cell r="D410" t="str">
            <v>BV1049</v>
          </cell>
          <cell r="E410" t="str">
            <v>x</v>
          </cell>
          <cell r="F410" t="str">
            <v>Điều dưỡng CĐ</v>
          </cell>
          <cell r="G410" t="str">
            <v>TĐ012</v>
          </cell>
          <cell r="I410" t="str">
            <v>Điều dưỡng (hạng IV)</v>
          </cell>
          <cell r="J410" t="str">
            <v>Nhi</v>
          </cell>
          <cell r="K410" t="str">
            <v>KP017</v>
          </cell>
          <cell r="N410" t="str">
            <v>Viên chức</v>
          </cell>
          <cell r="O410">
            <v>35</v>
          </cell>
          <cell r="P410">
            <v>0</v>
          </cell>
          <cell r="Q410" t="str">
            <v>25/02/1991</v>
          </cell>
          <cell r="R410" t="str">
            <v>Nùng</v>
          </cell>
          <cell r="S410" t="str">
            <v>13/7/2020</v>
          </cell>
          <cell r="T410" t="str">
            <v>020191004984</v>
          </cell>
          <cell r="U410" t="str">
            <v>thôn Hoàng Văn Thụ,Bắc Sơn,LS</v>
          </cell>
          <cell r="W410" t="str">
            <v>005553/LS-CCHN</v>
          </cell>
          <cell r="X410" t="str">
            <v>16/02/2023</v>
          </cell>
          <cell r="Z41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10">
            <v>0</v>
          </cell>
          <cell r="AC410" t="str">
            <v>0844478989</v>
          </cell>
          <cell r="AD410" t="str">
            <v>Thử việc từ 13/7/2020, Viên chức từ 15/6/2026</v>
          </cell>
        </row>
        <row r="411">
          <cell r="B411" t="str">
            <v>BV1095</v>
          </cell>
          <cell r="C411" t="str">
            <v>Nông Thị Thanh Xuân</v>
          </cell>
          <cell r="D411" t="str">
            <v>BV1095</v>
          </cell>
          <cell r="E411" t="str">
            <v>x</v>
          </cell>
          <cell r="F411" t="str">
            <v>Điều dưỡng CĐ</v>
          </cell>
          <cell r="G411" t="str">
            <v>TĐ012</v>
          </cell>
          <cell r="I411" t="str">
            <v>Điều dưỡng (hạng IV)</v>
          </cell>
          <cell r="J411" t="str">
            <v>Nhi</v>
          </cell>
          <cell r="K411" t="str">
            <v>KP017</v>
          </cell>
          <cell r="N411" t="str">
            <v>Viên chức</v>
          </cell>
          <cell r="O411">
            <v>27</v>
          </cell>
          <cell r="P411">
            <v>0</v>
          </cell>
          <cell r="Q411">
            <v>36220</v>
          </cell>
          <cell r="R411" t="str">
            <v>Nùng</v>
          </cell>
          <cell r="S411">
            <v>44151</v>
          </cell>
          <cell r="T411" t="str">
            <v>020199000315</v>
          </cell>
          <cell r="U411" t="str">
            <v>Khối Văn Miếu,p. Lương Văn Tri</v>
          </cell>
          <cell r="W411" t="str">
            <v>004372/LS-CCHN</v>
          </cell>
          <cell r="X411" t="str">
            <v>05/11/2021</v>
          </cell>
          <cell r="Z411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11">
            <v>0</v>
          </cell>
          <cell r="AC411">
            <v>829936338</v>
          </cell>
          <cell r="AD411" t="str">
            <v>Hợp đồng 16/11/2020, Viên chức từ 15/6/2026</v>
          </cell>
        </row>
        <row r="412">
          <cell r="B412" t="str">
            <v>BV1148</v>
          </cell>
          <cell r="C412" t="str">
            <v>Lường Thị Tới</v>
          </cell>
          <cell r="D412" t="str">
            <v>BV1148</v>
          </cell>
          <cell r="E412" t="str">
            <v>x</v>
          </cell>
          <cell r="F412" t="str">
            <v>Điều dưỡng CĐ</v>
          </cell>
          <cell r="G412" t="str">
            <v>TĐ012</v>
          </cell>
          <cell r="I412" t="str">
            <v>Điều dưỡng (hạng IV)</v>
          </cell>
          <cell r="J412" t="str">
            <v>Nhi</v>
          </cell>
          <cell r="K412" t="str">
            <v>KP017</v>
          </cell>
          <cell r="N412" t="str">
            <v>Viên chức</v>
          </cell>
          <cell r="O412">
            <v>33</v>
          </cell>
          <cell r="P412">
            <v>0</v>
          </cell>
          <cell r="Q412" t="str">
            <v>26/8/1992</v>
          </cell>
          <cell r="R412" t="str">
            <v>Tày</v>
          </cell>
          <cell r="S412">
            <v>44445</v>
          </cell>
          <cell r="T412" t="str">
            <v>020192010705</v>
          </cell>
          <cell r="U412" t="str">
            <v>thôn Trung Tâm,xã Chiến Thắng,LS</v>
          </cell>
          <cell r="W412" t="str">
            <v>004318/LS-CCHN</v>
          </cell>
          <cell r="X412" t="str">
            <v>20/07/2021</v>
          </cell>
          <cell r="Z41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12">
            <v>0</v>
          </cell>
          <cell r="AC412" t="str">
            <v>0868880186</v>
          </cell>
          <cell r="AD412" t="str">
            <v>Thử việc 6/9/2021; đỗ VC 20/5/2026</v>
          </cell>
        </row>
        <row r="413">
          <cell r="B413" t="str">
            <v>BV1206</v>
          </cell>
          <cell r="C413" t="str">
            <v>Lý Thị Yến Nhi</v>
          </cell>
          <cell r="D413" t="str">
            <v>BV1206</v>
          </cell>
          <cell r="E413" t="str">
            <v>x</v>
          </cell>
          <cell r="F413" t="str">
            <v>Điều dưỡng CĐ</v>
          </cell>
          <cell r="G413" t="str">
            <v>TĐ012</v>
          </cell>
          <cell r="I413" t="str">
            <v>Điều dưỡng (hạng IV)</v>
          </cell>
          <cell r="J413" t="str">
            <v>Nhi</v>
          </cell>
          <cell r="K413" t="str">
            <v>KP017</v>
          </cell>
          <cell r="N413" t="str">
            <v>Viên chức</v>
          </cell>
          <cell r="O413">
            <v>24</v>
          </cell>
          <cell r="P413">
            <v>0</v>
          </cell>
          <cell r="Q413" t="str">
            <v>15/10/2001</v>
          </cell>
          <cell r="R413" t="str">
            <v>Nùng</v>
          </cell>
          <cell r="S413">
            <v>44837</v>
          </cell>
          <cell r="T413" t="str">
            <v>020301000795</v>
          </cell>
          <cell r="U413" t="str">
            <v>526,Hùng Vương,Thôn Mai Thành,P.Đông Kinh,LS</v>
          </cell>
          <cell r="W413" t="str">
            <v>005728/LS-CCHN</v>
          </cell>
          <cell r="X413" t="str">
            <v>10/01/2024</v>
          </cell>
          <cell r="Z41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13">
            <v>0</v>
          </cell>
          <cell r="AC413" t="str">
            <v>0943746728</v>
          </cell>
          <cell r="AD413" t="str">
            <v>Thử việc 03/10/2022, Viên chức từ 15/6/2026</v>
          </cell>
        </row>
        <row r="414">
          <cell r="B414" t="str">
            <v>BV0315</v>
          </cell>
          <cell r="C414" t="str">
            <v>Hoàng Thị Vượng</v>
          </cell>
          <cell r="D414" t="str">
            <v>BV0315</v>
          </cell>
          <cell r="E414" t="str">
            <v>x</v>
          </cell>
          <cell r="F414" t="str">
            <v>Điều dưỡng CĐ</v>
          </cell>
          <cell r="G414" t="str">
            <v>TĐ012</v>
          </cell>
          <cell r="H414" t="str">
            <v>Điều dưỡng (hạng IV)</v>
          </cell>
          <cell r="I414" t="str">
            <v>Điều dưỡng (hạng IV)</v>
          </cell>
          <cell r="J414" t="str">
            <v>Nhi</v>
          </cell>
          <cell r="K414" t="str">
            <v>KP017</v>
          </cell>
          <cell r="L414" t="str">
            <v>Viên chức CMNV</v>
          </cell>
          <cell r="M414">
            <v>0</v>
          </cell>
          <cell r="N414" t="str">
            <v>Viên chức</v>
          </cell>
          <cell r="O414">
            <v>39</v>
          </cell>
          <cell r="P414">
            <v>0</v>
          </cell>
          <cell r="Q414">
            <v>31973</v>
          </cell>
          <cell r="R414" t="str">
            <v>Nùng</v>
          </cell>
          <cell r="S414" t="str">
            <v>1/12/2010</v>
          </cell>
          <cell r="T414" t="str">
            <v>020187010650</v>
          </cell>
          <cell r="U414" t="str">
            <v>Tổ 3,Khối 22,p.Kỳ Lừa</v>
          </cell>
          <cell r="W414" t="str">
            <v>000865/LS-CCHN</v>
          </cell>
          <cell r="X414" t="str">
            <v>11/01/2023</v>
          </cell>
          <cell r="Z41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14">
            <v>0</v>
          </cell>
          <cell r="AC414" t="str">
            <v>0964915602</v>
          </cell>
        </row>
        <row r="415">
          <cell r="B415" t="str">
            <v>BV0310</v>
          </cell>
          <cell r="C415" t="str">
            <v>Nông Văn Bộ</v>
          </cell>
          <cell r="D415" t="str">
            <v>BV0310</v>
          </cell>
          <cell r="F415" t="str">
            <v>Điều dưỡng CĐ</v>
          </cell>
          <cell r="G415" t="str">
            <v>TĐ012</v>
          </cell>
          <cell r="H415" t="str">
            <v>Điều dưỡng (hạng IV)</v>
          </cell>
          <cell r="I415" t="str">
            <v>Điều dưỡng (hạng IV)</v>
          </cell>
          <cell r="J415" t="str">
            <v>Nhi</v>
          </cell>
          <cell r="K415" t="str">
            <v>KP017</v>
          </cell>
          <cell r="L415" t="str">
            <v>Viên chức CMNV</v>
          </cell>
          <cell r="M415">
            <v>0</v>
          </cell>
          <cell r="N415" t="str">
            <v>Viên chức</v>
          </cell>
          <cell r="O415">
            <v>42</v>
          </cell>
          <cell r="P415">
            <v>30689</v>
          </cell>
          <cell r="Q415">
            <v>0</v>
          </cell>
          <cell r="R415" t="str">
            <v>Tày</v>
          </cell>
          <cell r="S415" t="str">
            <v>1/1/2009</v>
          </cell>
          <cell r="T415" t="str">
            <v>020084006815</v>
          </cell>
          <cell r="U415" t="str">
            <v>Hoàng Tâm,p.Tam Thanh,LS</v>
          </cell>
          <cell r="W415" t="str">
            <v>000855/LS-CCHN</v>
          </cell>
          <cell r="X415" t="str">
            <v>11/01/2023</v>
          </cell>
          <cell r="Z41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15">
            <v>0</v>
          </cell>
          <cell r="AC415" t="str">
            <v>0385628668</v>
          </cell>
        </row>
        <row r="416">
          <cell r="B416" t="str">
            <v>BV0322</v>
          </cell>
          <cell r="C416" t="str">
            <v>Hoàng Thị Gấm</v>
          </cell>
          <cell r="D416" t="str">
            <v>BV0322</v>
          </cell>
          <cell r="E416" t="str">
            <v>x</v>
          </cell>
          <cell r="F416" t="str">
            <v>Điều dưỡng CĐ</v>
          </cell>
          <cell r="G416" t="str">
            <v>TĐ012</v>
          </cell>
          <cell r="I416" t="str">
            <v>Điều dưỡng (hạng IV)</v>
          </cell>
          <cell r="J416" t="str">
            <v>Nhi</v>
          </cell>
          <cell r="K416" t="str">
            <v>KP017</v>
          </cell>
          <cell r="N416" t="str">
            <v>Viên chức</v>
          </cell>
          <cell r="O416">
            <v>41</v>
          </cell>
          <cell r="P416">
            <v>0</v>
          </cell>
          <cell r="Q416">
            <v>31158</v>
          </cell>
          <cell r="R416" t="str">
            <v>Tày</v>
          </cell>
          <cell r="S416" t="str">
            <v>16/3/2011</v>
          </cell>
          <cell r="T416" t="str">
            <v>020185006687</v>
          </cell>
          <cell r="U416" t="str">
            <v>số 7, ngõ 257 Lê Đại Hành,p.Đông Kinh</v>
          </cell>
          <cell r="W416" t="str">
            <v>000837/LS-CCHN</v>
          </cell>
          <cell r="X416" t="str">
            <v>11/01/2023</v>
          </cell>
          <cell r="Z41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16">
            <v>0</v>
          </cell>
          <cell r="AC416" t="str">
            <v>0386325994</v>
          </cell>
          <cell r="AD416" t="str">
            <v>HĐ16/3/2011; Đỗ VC 20/5/2026</v>
          </cell>
        </row>
        <row r="417">
          <cell r="B417" t="str">
            <v>BV0200</v>
          </cell>
          <cell r="C417" t="str">
            <v>Phan Văn Hiếu</v>
          </cell>
          <cell r="D417" t="str">
            <v>BV0200</v>
          </cell>
          <cell r="F417" t="str">
            <v>Điều dưỡng CĐ</v>
          </cell>
          <cell r="G417" t="str">
            <v>TĐ012</v>
          </cell>
          <cell r="H417" t="str">
            <v>Điều dưỡng (hạng IV)</v>
          </cell>
          <cell r="I417" t="str">
            <v>Điều dưỡng (hạng IV)</v>
          </cell>
          <cell r="J417" t="str">
            <v>Nhi</v>
          </cell>
          <cell r="K417" t="str">
            <v>KP017</v>
          </cell>
          <cell r="L417" t="str">
            <v>Viên chức CMNV</v>
          </cell>
          <cell r="M417">
            <v>0</v>
          </cell>
          <cell r="N417" t="str">
            <v>Viên chức</v>
          </cell>
          <cell r="O417">
            <v>38</v>
          </cell>
          <cell r="P417">
            <v>32175</v>
          </cell>
          <cell r="Q417">
            <v>0</v>
          </cell>
          <cell r="R417" t="str">
            <v>Tày</v>
          </cell>
          <cell r="S417" t="str">
            <v>07/11/2006</v>
          </cell>
          <cell r="T417" t="str">
            <v>020088007058</v>
          </cell>
          <cell r="U417" t="str">
            <v>Kéo Tào,p.Đông Kinh,LS</v>
          </cell>
          <cell r="W417" t="str">
            <v>001236/LS-CCHN</v>
          </cell>
          <cell r="X417" t="str">
            <v>11/01/2023</v>
          </cell>
          <cell r="Z41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17">
            <v>0</v>
          </cell>
          <cell r="AC417" t="str">
            <v>0368496177</v>
          </cell>
        </row>
        <row r="418">
          <cell r="B418" t="str">
            <v>BV0127</v>
          </cell>
          <cell r="C418" t="str">
            <v>Luân Thị Hiếu</v>
          </cell>
          <cell r="D418" t="str">
            <v>BV0127</v>
          </cell>
          <cell r="E418" t="str">
            <v>x</v>
          </cell>
          <cell r="F418" t="str">
            <v>Điều dưỡng CĐ</v>
          </cell>
          <cell r="G418" t="str">
            <v>TĐ012</v>
          </cell>
          <cell r="H418" t="str">
            <v>Điều dưỡng (hạng IV)</v>
          </cell>
          <cell r="I418" t="str">
            <v>Điều dưỡng (hạng IV)</v>
          </cell>
          <cell r="J418" t="str">
            <v>Nhi</v>
          </cell>
          <cell r="K418" t="str">
            <v>KP017</v>
          </cell>
          <cell r="L418" t="str">
            <v>Viên chức CMNV</v>
          </cell>
          <cell r="M418">
            <v>0</v>
          </cell>
          <cell r="N418" t="str">
            <v>Viên chức</v>
          </cell>
          <cell r="O418">
            <v>38</v>
          </cell>
          <cell r="P418">
            <v>0</v>
          </cell>
          <cell r="Q418">
            <v>32077</v>
          </cell>
          <cell r="R418" t="str">
            <v>Nùng</v>
          </cell>
          <cell r="S418" t="str">
            <v>01/11/2014</v>
          </cell>
          <cell r="T418" t="str">
            <v>020187004043</v>
          </cell>
          <cell r="U418" t="str">
            <v>Khối Pò Tang,P.Kỳ Lừa,LS</v>
          </cell>
          <cell r="W418" t="str">
            <v>000430/LS-CCHN</v>
          </cell>
          <cell r="X418" t="str">
            <v>11/01/2023</v>
          </cell>
          <cell r="Z41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18">
            <v>0</v>
          </cell>
          <cell r="AC418" t="str">
            <v>0967936887</v>
          </cell>
        </row>
        <row r="419">
          <cell r="B419" t="str">
            <v>BV0320</v>
          </cell>
          <cell r="C419" t="str">
            <v>Nông Thị Hợp</v>
          </cell>
          <cell r="D419" t="str">
            <v>BV0320</v>
          </cell>
          <cell r="E419" t="str">
            <v>x</v>
          </cell>
          <cell r="F419" t="str">
            <v>Điều dưỡng CĐ</v>
          </cell>
          <cell r="G419" t="str">
            <v>TĐ012</v>
          </cell>
          <cell r="H419" t="str">
            <v>Điều dưỡng (hạng IV)</v>
          </cell>
          <cell r="I419" t="str">
            <v>Điều dưỡng (hạng IV)</v>
          </cell>
          <cell r="J419" t="str">
            <v>Nhi</v>
          </cell>
          <cell r="K419" t="str">
            <v>KP017</v>
          </cell>
          <cell r="L419" t="str">
            <v>Viên chức CMNV</v>
          </cell>
          <cell r="M419">
            <v>0</v>
          </cell>
          <cell r="N419" t="str">
            <v>Viên chức</v>
          </cell>
          <cell r="O419">
            <v>39</v>
          </cell>
          <cell r="P419">
            <v>0</v>
          </cell>
          <cell r="Q419">
            <v>31692</v>
          </cell>
          <cell r="R419" t="str">
            <v>Tày</v>
          </cell>
          <cell r="S419" t="str">
            <v>15/1/2010</v>
          </cell>
          <cell r="T419" t="str">
            <v>020186002493</v>
          </cell>
          <cell r="U419" t="str">
            <v>Tổ 8,Khối 18,P.Đông Kinh</v>
          </cell>
          <cell r="W419" t="str">
            <v>000755/LS-CCHN</v>
          </cell>
          <cell r="X419" t="str">
            <v>11/01/2023</v>
          </cell>
          <cell r="Z41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19">
            <v>0</v>
          </cell>
          <cell r="AC419" t="str">
            <v>0366751720</v>
          </cell>
        </row>
        <row r="420">
          <cell r="B420" t="str">
            <v>BV0316</v>
          </cell>
          <cell r="C420" t="str">
            <v>Vy Thị Nhuận</v>
          </cell>
          <cell r="D420" t="str">
            <v>BV0316</v>
          </cell>
          <cell r="E420" t="str">
            <v>x</v>
          </cell>
          <cell r="F420" t="str">
            <v>Điều dưỡng CĐ</v>
          </cell>
          <cell r="G420" t="str">
            <v>TĐ012</v>
          </cell>
          <cell r="H420" t="str">
            <v>Điều dưỡng (hạng IV)</v>
          </cell>
          <cell r="I420" t="str">
            <v>Điều dưỡng (hạng IV)</v>
          </cell>
          <cell r="J420" t="str">
            <v>Nhi</v>
          </cell>
          <cell r="K420" t="str">
            <v>KP017</v>
          </cell>
          <cell r="L420" t="str">
            <v>Viên chức CMNV</v>
          </cell>
          <cell r="M420">
            <v>0</v>
          </cell>
          <cell r="N420" t="str">
            <v>Viên chức</v>
          </cell>
          <cell r="O420">
            <v>41</v>
          </cell>
          <cell r="P420">
            <v>0</v>
          </cell>
          <cell r="Q420">
            <v>31002</v>
          </cell>
          <cell r="R420" t="str">
            <v>Tày</v>
          </cell>
          <cell r="S420" t="str">
            <v>1/12/2010</v>
          </cell>
          <cell r="T420" t="str">
            <v>020184004767</v>
          </cell>
          <cell r="U420" t="str">
            <v>Thôn Tiền Phong,xã Chi Lăng,LS</v>
          </cell>
          <cell r="W420" t="str">
            <v>000866/LS-CCHN</v>
          </cell>
          <cell r="X420" t="str">
            <v>11/01/2023</v>
          </cell>
          <cell r="Z420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20">
            <v>0</v>
          </cell>
          <cell r="AC420" t="str">
            <v>0984842822</v>
          </cell>
        </row>
        <row r="421">
          <cell r="B421" t="str">
            <v>BV0321</v>
          </cell>
          <cell r="C421" t="str">
            <v>Mạc Minh Thùy</v>
          </cell>
          <cell r="D421" t="str">
            <v>BV0321</v>
          </cell>
          <cell r="E421" t="str">
            <v>x</v>
          </cell>
          <cell r="F421" t="str">
            <v>Điều dưỡng CĐ</v>
          </cell>
          <cell r="G421" t="str">
            <v>TĐ012</v>
          </cell>
          <cell r="H421" t="str">
            <v>Điều dưỡng (hạng IV)</v>
          </cell>
          <cell r="I421" t="str">
            <v>Điều dưỡng (hạng IV)</v>
          </cell>
          <cell r="J421" t="str">
            <v>Nhi</v>
          </cell>
          <cell r="K421" t="str">
            <v>KP017</v>
          </cell>
          <cell r="L421" t="str">
            <v>Viên chức CMNV</v>
          </cell>
          <cell r="M421">
            <v>0</v>
          </cell>
          <cell r="N421" t="str">
            <v>Viên chức</v>
          </cell>
          <cell r="O421">
            <v>39</v>
          </cell>
          <cell r="P421">
            <v>0</v>
          </cell>
          <cell r="Q421">
            <v>31820</v>
          </cell>
          <cell r="R421" t="str">
            <v>Nùng</v>
          </cell>
          <cell r="S421" t="str">
            <v>10/6/2013</v>
          </cell>
          <cell r="T421" t="str">
            <v>020187001460</v>
          </cell>
          <cell r="U421" t="str">
            <v>Số 7, Cửa Nam,p.Lương Văn Tri,LS</v>
          </cell>
          <cell r="W421" t="str">
            <v>000871/LS-CCHN</v>
          </cell>
          <cell r="X421" t="str">
            <v>11/01/2023</v>
          </cell>
          <cell r="Z42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21">
            <v>0</v>
          </cell>
          <cell r="AC421" t="str">
            <v>0988791890</v>
          </cell>
        </row>
        <row r="422">
          <cell r="B422" t="str">
            <v>BV0417</v>
          </cell>
          <cell r="C422" t="str">
            <v>Nguyễn Diệu Thúy</v>
          </cell>
          <cell r="D422" t="str">
            <v>BV0417</v>
          </cell>
          <cell r="E422" t="str">
            <v>x</v>
          </cell>
          <cell r="F422" t="str">
            <v>Điều dưỡng CĐ</v>
          </cell>
          <cell r="G422" t="str">
            <v>TĐ012</v>
          </cell>
          <cell r="H422" t="str">
            <v>Điều dưỡng (hạng IV)</v>
          </cell>
          <cell r="I422" t="str">
            <v>Điều dưỡng (hạng IV)</v>
          </cell>
          <cell r="J422" t="str">
            <v>Nhi</v>
          </cell>
          <cell r="K422" t="str">
            <v>KP017</v>
          </cell>
          <cell r="L422" t="str">
            <v>Viên chức CMNV</v>
          </cell>
          <cell r="M422">
            <v>0</v>
          </cell>
          <cell r="N422" t="str">
            <v>Viên chức</v>
          </cell>
          <cell r="O422">
            <v>38</v>
          </cell>
          <cell r="P422">
            <v>0</v>
          </cell>
          <cell r="Q422">
            <v>32012</v>
          </cell>
          <cell r="R422" t="str">
            <v>Kinh</v>
          </cell>
          <cell r="S422" t="str">
            <v>14/1/2011</v>
          </cell>
          <cell r="T422" t="str">
            <v>020187012424</v>
          </cell>
          <cell r="U422" t="str">
            <v>Khối 11,ngõ 144 Nhị Thanh,p.Tam Thanh.LS</v>
          </cell>
          <cell r="W422" t="str">
            <v>000392/LS-CCHN</v>
          </cell>
          <cell r="X422" t="str">
            <v>11/01/2023</v>
          </cell>
          <cell r="Z42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22">
            <v>0</v>
          </cell>
          <cell r="AC422" t="str">
            <v>0976999586</v>
          </cell>
        </row>
        <row r="423">
          <cell r="B423" t="str">
            <v>BV0312</v>
          </cell>
          <cell r="C423" t="str">
            <v>Lăng Thị Yến</v>
          </cell>
          <cell r="D423" t="str">
            <v>BV0312</v>
          </cell>
          <cell r="E423" t="str">
            <v>x</v>
          </cell>
          <cell r="F423" t="str">
            <v>Điều dưỡng CĐ</v>
          </cell>
          <cell r="G423" t="str">
            <v>TĐ012</v>
          </cell>
          <cell r="H423" t="str">
            <v>Điều dưỡng (hạng IV)</v>
          </cell>
          <cell r="I423" t="str">
            <v>Điều dưỡng (hạng IV)</v>
          </cell>
          <cell r="J423" t="str">
            <v>Nhi</v>
          </cell>
          <cell r="K423" t="str">
            <v>KP017</v>
          </cell>
          <cell r="L423" t="str">
            <v>Viên chức CMNV</v>
          </cell>
          <cell r="M423">
            <v>0</v>
          </cell>
          <cell r="N423" t="str">
            <v>Viên chức</v>
          </cell>
          <cell r="O423">
            <v>39</v>
          </cell>
          <cell r="P423">
            <v>0</v>
          </cell>
          <cell r="Q423">
            <v>31978</v>
          </cell>
          <cell r="R423" t="str">
            <v>Nùng</v>
          </cell>
          <cell r="S423" t="str">
            <v>15/1/2010</v>
          </cell>
          <cell r="T423" t="str">
            <v>020187003171</v>
          </cell>
          <cell r="U423" t="str">
            <v>Thâm Mò,Đồng Đăng,LS</v>
          </cell>
          <cell r="W423" t="str">
            <v>000862/LS-CCHN</v>
          </cell>
          <cell r="X423" t="str">
            <v>11/01/2023</v>
          </cell>
          <cell r="Z42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23">
            <v>0</v>
          </cell>
          <cell r="AC423" t="str">
            <v>0977242232</v>
          </cell>
        </row>
        <row r="424">
          <cell r="B424" t="str">
            <v>BV0689</v>
          </cell>
          <cell r="C424" t="str">
            <v>Nguyễn Thị Thúy</v>
          </cell>
          <cell r="D424" t="str">
            <v>BV0689</v>
          </cell>
          <cell r="E424" t="str">
            <v>x</v>
          </cell>
          <cell r="F424" t="str">
            <v>Hộ lý</v>
          </cell>
          <cell r="G424" t="str">
            <v>TĐ047</v>
          </cell>
          <cell r="I424" t="str">
            <v>Hộ lý</v>
          </cell>
          <cell r="J424" t="str">
            <v>Nhi</v>
          </cell>
          <cell r="K424" t="str">
            <v>KP017</v>
          </cell>
          <cell r="N424" t="str">
            <v>HĐ có thời hạn</v>
          </cell>
          <cell r="O424">
            <v>45</v>
          </cell>
          <cell r="P424">
            <v>0</v>
          </cell>
          <cell r="Q424">
            <v>29735</v>
          </cell>
          <cell r="R424" t="str">
            <v>Tày</v>
          </cell>
          <cell r="S424" t="str">
            <v xml:space="preserve"> 01/02/2016</v>
          </cell>
          <cell r="T424" t="str">
            <v>020181002317</v>
          </cell>
          <cell r="U424" t="str">
            <v>Khối 10,Bến Bắc,Tam Thanh,LS</v>
          </cell>
          <cell r="W424" t="str">
            <v/>
          </cell>
          <cell r="X424" t="str">
            <v/>
          </cell>
          <cell r="Z424" t="str">
            <v/>
          </cell>
          <cell r="AB424" t="str">
            <v/>
          </cell>
          <cell r="AC424" t="str">
            <v>0347240848</v>
          </cell>
          <cell r="AD424" t="str">
            <v>Hợp đồng từ 12/4/2020</v>
          </cell>
        </row>
        <row r="425">
          <cell r="B425" t="str">
            <v>BV0742</v>
          </cell>
          <cell r="C425" t="str">
            <v>Nguyễn Thị Kiều</v>
          </cell>
          <cell r="D425" t="str">
            <v>BV0742</v>
          </cell>
          <cell r="E425" t="str">
            <v>x</v>
          </cell>
          <cell r="F425" t="str">
            <v>Hộ lý</v>
          </cell>
          <cell r="G425" t="str">
            <v>TĐ047</v>
          </cell>
          <cell r="I425" t="str">
            <v>Hộ lý</v>
          </cell>
          <cell r="J425" t="str">
            <v>Nhi</v>
          </cell>
          <cell r="K425" t="str">
            <v>KP017</v>
          </cell>
          <cell r="N425" t="str">
            <v>HĐ có thời hạn</v>
          </cell>
          <cell r="O425">
            <v>51</v>
          </cell>
          <cell r="P425">
            <v>0</v>
          </cell>
          <cell r="Q425" t="str">
            <v>13/6/1975</v>
          </cell>
          <cell r="R425" t="str">
            <v>Nùng</v>
          </cell>
          <cell r="S425" t="str">
            <v xml:space="preserve"> 01/11/2016</v>
          </cell>
          <cell r="T425" t="str">
            <v>020175002085</v>
          </cell>
          <cell r="U425" t="str">
            <v>Nhị Thanh,Tam Thanh,LS</v>
          </cell>
          <cell r="W425" t="str">
            <v/>
          </cell>
          <cell r="X425" t="str">
            <v/>
          </cell>
          <cell r="Z425" t="str">
            <v/>
          </cell>
          <cell r="AB425" t="str">
            <v/>
          </cell>
          <cell r="AC425" t="str">
            <v>0359544188</v>
          </cell>
        </row>
        <row r="426">
          <cell r="B426" t="str">
            <v>BV1207</v>
          </cell>
          <cell r="C426" t="str">
            <v>Hoàng Thị Hương</v>
          </cell>
          <cell r="D426" t="str">
            <v>BV1207</v>
          </cell>
          <cell r="E426" t="str">
            <v>x</v>
          </cell>
          <cell r="F426" t="str">
            <v>Hộ Lý</v>
          </cell>
          <cell r="G426" t="str">
            <v>TĐ047</v>
          </cell>
          <cell r="I426" t="str">
            <v>Hộ Lý</v>
          </cell>
          <cell r="J426" t="str">
            <v>Nhi</v>
          </cell>
          <cell r="K426" t="str">
            <v>KP017</v>
          </cell>
          <cell r="N426" t="str">
            <v>HĐ có thời hạn</v>
          </cell>
          <cell r="O426">
            <v>39</v>
          </cell>
          <cell r="P426">
            <v>0</v>
          </cell>
          <cell r="Q426" t="str">
            <v>28/9/1986</v>
          </cell>
          <cell r="R426" t="str">
            <v>Tày</v>
          </cell>
          <cell r="S426">
            <v>44837</v>
          </cell>
          <cell r="T426" t="str">
            <v>020186011244</v>
          </cell>
          <cell r="U426" t="str">
            <v>khối 10,Nhị Thanh,Tam Thanh,LS</v>
          </cell>
          <cell r="W426" t="str">
            <v/>
          </cell>
          <cell r="X426" t="str">
            <v/>
          </cell>
          <cell r="Z426" t="str">
            <v/>
          </cell>
          <cell r="AB426" t="str">
            <v/>
          </cell>
          <cell r="AC426">
            <v>981669587</v>
          </cell>
          <cell r="AD426" t="str">
            <v>Thử việc 03/10/2022</v>
          </cell>
        </row>
        <row r="427">
          <cell r="B427" t="str">
            <v>BV0327</v>
          </cell>
          <cell r="C427" t="str">
            <v>Nguyễn Quang Lương</v>
          </cell>
          <cell r="D427" t="str">
            <v>BV0327</v>
          </cell>
          <cell r="F427" t="str">
            <v>BSCKI</v>
          </cell>
          <cell r="G427" t="str">
            <v>TĐ003</v>
          </cell>
          <cell r="H427" t="str">
            <v>Bác sĩ (hạng III)</v>
          </cell>
          <cell r="I427" t="str">
            <v>Bác sĩ (hạng III)</v>
          </cell>
          <cell r="J427" t="str">
            <v>Truyền nhiễm</v>
          </cell>
          <cell r="K427" t="str">
            <v>KP018</v>
          </cell>
          <cell r="L427" t="str">
            <v>Lãnh đạo khoa, phòng</v>
          </cell>
          <cell r="M427" t="str">
            <v>Trưởng khoa</v>
          </cell>
          <cell r="N427" t="str">
            <v>Viên chức</v>
          </cell>
          <cell r="O427">
            <v>58</v>
          </cell>
          <cell r="P427">
            <v>24795</v>
          </cell>
          <cell r="Q427">
            <v>0</v>
          </cell>
          <cell r="R427" t="str">
            <v>Tày</v>
          </cell>
          <cell r="S427" t="str">
            <v>1/3/1994</v>
          </cell>
          <cell r="T427" t="str">
            <v>020067000304</v>
          </cell>
          <cell r="U427" t="str">
            <v>Phường Tam Thanh, Tỉnh Lạng Sơn</v>
          </cell>
          <cell r="W427" t="str">
            <v>000874/LS-CCHN</v>
          </cell>
          <cell r="X427" t="str">
            <v>24/06/2013</v>
          </cell>
          <cell r="Z427" t="str">
            <v>Khám bệnh, chữa bệnh chuyên khoa Truyền nhiễm</v>
          </cell>
          <cell r="AB427">
            <v>0</v>
          </cell>
          <cell r="AC427" t="str">
            <v>0396802226</v>
          </cell>
        </row>
        <row r="428">
          <cell r="B428" t="str">
            <v>BV0052</v>
          </cell>
          <cell r="C428" t="str">
            <v>La Thị Thu Hiền</v>
          </cell>
          <cell r="D428" t="str">
            <v>BV0052</v>
          </cell>
          <cell r="E428" t="str">
            <v>x</v>
          </cell>
          <cell r="F428" t="str">
            <v>BSCKI</v>
          </cell>
          <cell r="G428" t="str">
            <v>TĐ003</v>
          </cell>
          <cell r="H428" t="str">
            <v>Bác sĩ (hạng III)</v>
          </cell>
          <cell r="I428" t="str">
            <v>Bác sĩ (hạng III)</v>
          </cell>
          <cell r="J428" t="str">
            <v>Truyền nhiễm</v>
          </cell>
          <cell r="K428" t="str">
            <v>KP018</v>
          </cell>
          <cell r="L428" t="str">
            <v>Lãnh đạo khoa, phòng</v>
          </cell>
          <cell r="M428" t="str">
            <v>Phó trưởng khoa</v>
          </cell>
          <cell r="N428" t="str">
            <v>Viên chức</v>
          </cell>
          <cell r="O428">
            <v>35</v>
          </cell>
          <cell r="P428">
            <v>0</v>
          </cell>
          <cell r="Q428">
            <v>33162</v>
          </cell>
          <cell r="R428" t="str">
            <v>Tày</v>
          </cell>
          <cell r="S428" t="str">
            <v>17/8/2015</v>
          </cell>
          <cell r="T428" t="str">
            <v>020190009365</v>
          </cell>
          <cell r="U428" t="str">
            <v>Phường Đông Kinh, Tỉnh Lạng Sơn</v>
          </cell>
          <cell r="W428" t="str">
            <v>002939/LS-CCHN</v>
          </cell>
          <cell r="X428" t="str">
            <v>30/01/2018</v>
          </cell>
          <cell r="Z428" t="str">
            <v>Khám bệnh chữa bệnh Nội khoa</v>
          </cell>
          <cell r="AB428">
            <v>0</v>
          </cell>
          <cell r="AC428" t="str">
            <v>0356249784</v>
          </cell>
        </row>
        <row r="429">
          <cell r="B429" t="str">
            <v>BV0931</v>
          </cell>
          <cell r="C429" t="str">
            <v>Đinh Thu Hoài</v>
          </cell>
          <cell r="D429" t="str">
            <v>BV0931</v>
          </cell>
          <cell r="E429" t="str">
            <v>x</v>
          </cell>
          <cell r="F429" t="str">
            <v>Bác sĩ</v>
          </cell>
          <cell r="G429" t="str">
            <v>TĐ005</v>
          </cell>
          <cell r="I429" t="str">
            <v>Bác sĩ (hạng III)</v>
          </cell>
          <cell r="J429" t="str">
            <v>Truyền nhiễm</v>
          </cell>
          <cell r="K429" t="str">
            <v>KP018</v>
          </cell>
          <cell r="N429" t="str">
            <v>Viên chức</v>
          </cell>
          <cell r="O429">
            <v>31</v>
          </cell>
          <cell r="P429">
            <v>0</v>
          </cell>
          <cell r="Q429" t="str">
            <v>26/3/1995</v>
          </cell>
          <cell r="R429" t="str">
            <v>Tày</v>
          </cell>
          <cell r="S429" t="str">
            <v>19/8/2019</v>
          </cell>
          <cell r="T429" t="str">
            <v>020195001623</v>
          </cell>
          <cell r="U429" t="str">
            <v>Phường Tam Thanh, Tỉnh Lạng Sơn</v>
          </cell>
          <cell r="W429" t="str">
            <v>004247/LS-CCHN</v>
          </cell>
          <cell r="X429" t="str">
            <v>10/06/2021</v>
          </cell>
          <cell r="Z429" t="str">
            <v>Khám bệnh, chữa bệnh Nội khoa</v>
          </cell>
          <cell r="AB429" t="str">
            <v/>
          </cell>
          <cell r="AC429" t="str">
            <v>0918215838</v>
          </cell>
          <cell r="AD429" t="str">
            <v>Thử việc 19/8/2019; đỗ VC 20/5/2026</v>
          </cell>
        </row>
        <row r="430">
          <cell r="B430" t="str">
            <v>BV0018</v>
          </cell>
          <cell r="C430" t="str">
            <v>Lê Thị Ngọc Hoàng</v>
          </cell>
          <cell r="D430" t="str">
            <v>BV0018</v>
          </cell>
          <cell r="E430" t="str">
            <v>x</v>
          </cell>
          <cell r="F430" t="str">
            <v>BSCKI</v>
          </cell>
          <cell r="G430" t="str">
            <v>TĐ003</v>
          </cell>
          <cell r="H430" t="str">
            <v>Bác sĩ (hạng III)</v>
          </cell>
          <cell r="I430" t="str">
            <v>Bác sĩ (hạng III)</v>
          </cell>
          <cell r="J430" t="str">
            <v>Truyền nhiễm</v>
          </cell>
          <cell r="K430" t="str">
            <v>KP018</v>
          </cell>
          <cell r="L430" t="str">
            <v>Viên chức CMNV</v>
          </cell>
          <cell r="M430">
            <v>0</v>
          </cell>
          <cell r="N430" t="str">
            <v>Viên chức</v>
          </cell>
          <cell r="O430">
            <v>42</v>
          </cell>
          <cell r="P430">
            <v>0</v>
          </cell>
          <cell r="Q430">
            <v>30818</v>
          </cell>
          <cell r="R430" t="str">
            <v>Tày</v>
          </cell>
          <cell r="S430" t="str">
            <v>7/11/2006</v>
          </cell>
          <cell r="T430" t="str">
            <v>020184000486</v>
          </cell>
          <cell r="U430" t="str">
            <v>Phường Kỳ Lừa, Tỉnh Lạng Sơn</v>
          </cell>
          <cell r="W430" t="str">
            <v>000741/LS-CCHN</v>
          </cell>
          <cell r="X430" t="str">
            <v>24/06/2013</v>
          </cell>
          <cell r="Z430" t="str">
            <v>Khám bệnh chữa bệnh Nội khoa; Truyền nhiễm</v>
          </cell>
          <cell r="AB430">
            <v>0</v>
          </cell>
          <cell r="AC430" t="str">
            <v>0986436584</v>
          </cell>
        </row>
        <row r="431">
          <cell r="B431" t="str">
            <v>BV1152</v>
          </cell>
          <cell r="C431" t="str">
            <v>Nguyễn Quỳnh Anh</v>
          </cell>
          <cell r="D431" t="str">
            <v>BV1152</v>
          </cell>
          <cell r="E431" t="str">
            <v>x</v>
          </cell>
          <cell r="F431" t="str">
            <v>Bác sĩ</v>
          </cell>
          <cell r="G431" t="str">
            <v>TĐ005</v>
          </cell>
          <cell r="I431" t="str">
            <v>Bác sĩ (hạng III)</v>
          </cell>
          <cell r="J431" t="str">
            <v>Truyền nhiễm</v>
          </cell>
          <cell r="K431" t="str">
            <v>KP018</v>
          </cell>
          <cell r="N431" t="str">
            <v>Viên chức</v>
          </cell>
          <cell r="O431">
            <v>30</v>
          </cell>
          <cell r="P431">
            <v>0</v>
          </cell>
          <cell r="Q431" t="str">
            <v>14/5/1996</v>
          </cell>
          <cell r="R431">
            <v>0</v>
          </cell>
          <cell r="S431">
            <v>44445</v>
          </cell>
          <cell r="T431" t="str">
            <v xml:space="preserve"> 020196005434</v>
          </cell>
          <cell r="U431" t="str">
            <v>Phường Đông Kinh, Tỉnh Lạng Sơn</v>
          </cell>
          <cell r="W431" t="str">
            <v>005731/LS-CCHN</v>
          </cell>
          <cell r="X431" t="str">
            <v>10/01/2024</v>
          </cell>
          <cell r="Z431" t="str">
            <v>Khám bệnh, chữa bệnh chuyên khoa Nội</v>
          </cell>
          <cell r="AB431">
            <v>0</v>
          </cell>
          <cell r="AC431" t="str">
            <v>0354644850</v>
          </cell>
          <cell r="AD431" t="str">
            <v>Thử việc 6/9/2021, Viên chức từ 15/6/2026</v>
          </cell>
        </row>
        <row r="432">
          <cell r="B432" t="str">
            <v>BV1155</v>
          </cell>
          <cell r="C432" t="str">
            <v>Nguyễn Thị Quỳnh Hương</v>
          </cell>
          <cell r="D432" t="str">
            <v>BV1155</v>
          </cell>
          <cell r="E432" t="str">
            <v>x</v>
          </cell>
          <cell r="F432" t="str">
            <v>Bác sĩ</v>
          </cell>
          <cell r="G432" t="str">
            <v>TĐ005</v>
          </cell>
          <cell r="H432" t="str">
            <v>Bác sĩ (hạng III)</v>
          </cell>
          <cell r="I432" t="str">
            <v>Bác sĩ (hạng III)</v>
          </cell>
          <cell r="J432" t="str">
            <v>Truyền nhiễm</v>
          </cell>
          <cell r="K432" t="str">
            <v>KP018</v>
          </cell>
          <cell r="N432" t="str">
            <v>Viên chức</v>
          </cell>
          <cell r="O432">
            <v>30</v>
          </cell>
          <cell r="P432">
            <v>0</v>
          </cell>
          <cell r="Q432" t="str">
            <v>15/7/1996</v>
          </cell>
          <cell r="R432" t="str">
            <v>Nùng</v>
          </cell>
          <cell r="S432">
            <v>45691</v>
          </cell>
          <cell r="T432" t="str">
            <v>020196007438</v>
          </cell>
          <cell r="U432" t="str">
            <v>Phường Đông Kinh, Tỉnh Lạng Sơn</v>
          </cell>
          <cell r="V432">
            <v>0</v>
          </cell>
          <cell r="W432" t="str">
            <v>005649/LS-CCHN</v>
          </cell>
          <cell r="X432">
            <v>45134</v>
          </cell>
          <cell r="Z432" t="str">
            <v>Khám bệnh, chữa bệnh Nội khoa</v>
          </cell>
          <cell r="AB432">
            <v>0</v>
          </cell>
          <cell r="AC432" t="str">
            <v>0353666263</v>
          </cell>
          <cell r="AD432" t="str">
            <v>Thử việc 6/9/2021; TLHĐ 01/01/2024, VC chuyển đến 03/2/2025</v>
          </cell>
        </row>
        <row r="433">
          <cell r="B433" t="str">
            <v>BV1310</v>
          </cell>
          <cell r="C433" t="str">
            <v>Đường Ngọc Châm</v>
          </cell>
          <cell r="D433" t="str">
            <v>BV1310</v>
          </cell>
          <cell r="E433" t="str">
            <v>x</v>
          </cell>
          <cell r="F433" t="str">
            <v>Bác sĩ</v>
          </cell>
          <cell r="G433" t="str">
            <v>TĐ005</v>
          </cell>
          <cell r="I433" t="str">
            <v>Bác sĩ (hạng III)</v>
          </cell>
          <cell r="J433" t="str">
            <v>Truyền nhiễm</v>
          </cell>
          <cell r="K433" t="str">
            <v>KP018</v>
          </cell>
          <cell r="N433" t="str">
            <v>Viên chức</v>
          </cell>
          <cell r="O433">
            <v>31</v>
          </cell>
          <cell r="P433">
            <v>0</v>
          </cell>
          <cell r="Q433" t="str">
            <v>25/2/1995</v>
          </cell>
          <cell r="R433" t="str">
            <v>Tày</v>
          </cell>
          <cell r="S433">
            <v>45783</v>
          </cell>
          <cell r="T433" t="str">
            <v>020195010566</v>
          </cell>
          <cell r="U433" t="str">
            <v>Phường Kỳ Lừa, Tỉnh Lạng Sơn</v>
          </cell>
          <cell r="W433" t="str">
            <v>005597/LS-CCHN</v>
          </cell>
          <cell r="X433">
            <v>45069</v>
          </cell>
          <cell r="Z433" t="str">
            <v>Khám bệnh, chữa bệnh Nội khoa</v>
          </cell>
          <cell r="AB433">
            <v>0</v>
          </cell>
          <cell r="AC433" t="str">
            <v>0328166144</v>
          </cell>
          <cell r="AD433" t="str">
            <v>HĐ 06/05/2025, Viên chức từ 15/6/2026</v>
          </cell>
        </row>
        <row r="434">
          <cell r="B434" t="str">
            <v>BV0126</v>
          </cell>
          <cell r="C434" t="str">
            <v>Lưu Hải Châu</v>
          </cell>
          <cell r="D434" t="str">
            <v>BV0126</v>
          </cell>
          <cell r="E434" t="str">
            <v>x</v>
          </cell>
          <cell r="F434" t="str">
            <v>Điều dưỡng ĐH</v>
          </cell>
          <cell r="G434" t="str">
            <v>TĐ011</v>
          </cell>
          <cell r="H434" t="str">
            <v>Điều dưỡng (hạng III)</v>
          </cell>
          <cell r="I434" t="str">
            <v>Điều dưỡng (hạng III)</v>
          </cell>
          <cell r="J434" t="str">
            <v>Truyền nhiễm</v>
          </cell>
          <cell r="K434" t="str">
            <v>KP018</v>
          </cell>
          <cell r="L434" t="str">
            <v>Lãnh đạo khoa, phòng</v>
          </cell>
          <cell r="M434" t="str">
            <v>Điều dưỡng trưởng</v>
          </cell>
          <cell r="N434" t="str">
            <v>Viên chức</v>
          </cell>
          <cell r="O434">
            <v>45</v>
          </cell>
          <cell r="P434">
            <v>0</v>
          </cell>
          <cell r="Q434">
            <v>29580</v>
          </cell>
          <cell r="R434" t="str">
            <v>Kinh</v>
          </cell>
          <cell r="S434" t="str">
            <v>19/01/2005</v>
          </cell>
          <cell r="T434" t="str">
            <v>031180009182</v>
          </cell>
          <cell r="U434" t="str">
            <v>Phường Đông Kinh, Tỉnh Lạng Sơn</v>
          </cell>
          <cell r="W434" t="str">
            <v>001042/LS-CCHN</v>
          </cell>
          <cell r="X434" t="str">
            <v>11/01/2023</v>
          </cell>
          <cell r="Z43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34">
            <v>0</v>
          </cell>
          <cell r="AC434" t="str">
            <v>0919545998</v>
          </cell>
        </row>
        <row r="435">
          <cell r="B435" t="str">
            <v>BV0335</v>
          </cell>
          <cell r="C435" t="str">
            <v>Lăng Thị Thúy</v>
          </cell>
          <cell r="D435" t="str">
            <v>BV0335</v>
          </cell>
          <cell r="E435" t="str">
            <v>x</v>
          </cell>
          <cell r="F435" t="str">
            <v>Điều dưỡng ĐH</v>
          </cell>
          <cell r="G435" t="str">
            <v>TĐ011</v>
          </cell>
          <cell r="H435" t="str">
            <v>Điều dưỡng (hạng III)</v>
          </cell>
          <cell r="I435" t="str">
            <v>Điều dưỡng (hạng III)</v>
          </cell>
          <cell r="J435" t="str">
            <v>Truyền nhiễm</v>
          </cell>
          <cell r="K435" t="str">
            <v>KP018</v>
          </cell>
          <cell r="L435" t="str">
            <v>Viên chức CMNV</v>
          </cell>
          <cell r="M435">
            <v>0</v>
          </cell>
          <cell r="N435" t="str">
            <v>Viên chức</v>
          </cell>
          <cell r="O435">
            <v>40</v>
          </cell>
          <cell r="P435">
            <v>0</v>
          </cell>
          <cell r="Q435">
            <v>31423</v>
          </cell>
          <cell r="R435" t="str">
            <v>Nùng</v>
          </cell>
          <cell r="S435" t="str">
            <v>15/1/2010</v>
          </cell>
          <cell r="T435" t="str">
            <v xml:space="preserve"> 020186002906 </v>
          </cell>
          <cell r="U435" t="str">
            <v>Phường Tam Thanh, Tỉnh Lạng Sơn</v>
          </cell>
          <cell r="W435" t="str">
            <v>000877/LS-CCHN</v>
          </cell>
          <cell r="X435" t="str">
            <v>11/01/2023</v>
          </cell>
          <cell r="Z43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35">
            <v>0</v>
          </cell>
          <cell r="AC435" t="str">
            <v>0384299110</v>
          </cell>
        </row>
        <row r="436">
          <cell r="B436" t="str">
            <v>BV0014</v>
          </cell>
          <cell r="C436" t="str">
            <v>Mông Thị Luận</v>
          </cell>
          <cell r="D436" t="str">
            <v>BV0014</v>
          </cell>
          <cell r="E436" t="str">
            <v>x</v>
          </cell>
          <cell r="F436" t="str">
            <v>Điều dưỡng ĐH</v>
          </cell>
          <cell r="G436" t="str">
            <v>TĐ011</v>
          </cell>
          <cell r="H436" t="str">
            <v>Điều dưỡng (hạng III)</v>
          </cell>
          <cell r="I436" t="str">
            <v>Điều dưỡng (hạng III)</v>
          </cell>
          <cell r="J436" t="str">
            <v>Truyền nhiễm</v>
          </cell>
          <cell r="K436" t="str">
            <v>KP018</v>
          </cell>
          <cell r="L436" t="str">
            <v>Viên chức CMNV</v>
          </cell>
          <cell r="M436">
            <v>0</v>
          </cell>
          <cell r="N436" t="str">
            <v>Viên chức</v>
          </cell>
          <cell r="O436">
            <v>47</v>
          </cell>
          <cell r="P436">
            <v>0</v>
          </cell>
          <cell r="Q436">
            <v>28781</v>
          </cell>
          <cell r="R436" t="str">
            <v>Tày</v>
          </cell>
          <cell r="S436" t="str">
            <v>19/1/2005</v>
          </cell>
          <cell r="T436" t="str">
            <v>020178009041</v>
          </cell>
          <cell r="U436" t="str">
            <v>Phường Đông Kinh, Tỉnh Lạng Sơn</v>
          </cell>
          <cell r="W436" t="str">
            <v>000743/LS-CCHN</v>
          </cell>
          <cell r="X436" t="str">
            <v>11/01/2023</v>
          </cell>
          <cell r="Z43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36">
            <v>0</v>
          </cell>
          <cell r="AC436">
            <v>918555618</v>
          </cell>
        </row>
        <row r="437">
          <cell r="B437" t="str">
            <v>BV1200</v>
          </cell>
          <cell r="C437" t="str">
            <v>Mông Thị Hưởng</v>
          </cell>
          <cell r="D437" t="str">
            <v>BV1200</v>
          </cell>
          <cell r="E437" t="str">
            <v>x</v>
          </cell>
          <cell r="F437" t="str">
            <v>Điều dưỡng ĐH</v>
          </cell>
          <cell r="G437" t="str">
            <v>TĐ011</v>
          </cell>
          <cell r="I437" t="str">
            <v>Điều dưỡng (hạng III)</v>
          </cell>
          <cell r="J437" t="str">
            <v>Truyền nhiễm</v>
          </cell>
          <cell r="K437" t="str">
            <v>KP018</v>
          </cell>
          <cell r="N437" t="str">
            <v>Viên chức</v>
          </cell>
          <cell r="O437">
            <v>27</v>
          </cell>
          <cell r="P437">
            <v>0</v>
          </cell>
          <cell r="Q437" t="str">
            <v>23/12/1998</v>
          </cell>
          <cell r="R437" t="str">
            <v>Tày</v>
          </cell>
          <cell r="S437">
            <v>44837</v>
          </cell>
          <cell r="T437" t="str">
            <v>020198007889</v>
          </cell>
          <cell r="U437" t="str">
            <v>Phường Kỳ Lừa, Tỉnh Lạng Sơn</v>
          </cell>
          <cell r="V437">
            <v>45110</v>
          </cell>
          <cell r="W437" t="str">
            <v>000134/LS-GPHN</v>
          </cell>
          <cell r="X437">
            <v>45546</v>
          </cell>
          <cell r="Z437" t="str">
            <v>Điều dưỡng</v>
          </cell>
          <cell r="AB437">
            <v>0</v>
          </cell>
          <cell r="AC437" t="str">
            <v>0975860021</v>
          </cell>
          <cell r="AD437" t="str">
            <v>Thử việc 03/10/2022, Viên chức từ 15/6/2026</v>
          </cell>
        </row>
        <row r="438">
          <cell r="B438" t="str">
            <v>BV0743</v>
          </cell>
          <cell r="C438" t="str">
            <v>Hứa Văn Quốc</v>
          </cell>
          <cell r="D438" t="str">
            <v>BV0743</v>
          </cell>
          <cell r="F438" t="str">
            <v>Điều dưỡng CĐ</v>
          </cell>
          <cell r="G438" t="str">
            <v>TĐ012</v>
          </cell>
          <cell r="H438" t="str">
            <v>Điều dưỡng (hạng IV)</v>
          </cell>
          <cell r="I438" t="str">
            <v>Điều dưỡng (hạng IV)</v>
          </cell>
          <cell r="J438" t="str">
            <v>Truyền nhiễm</v>
          </cell>
          <cell r="K438" t="str">
            <v>KP018</v>
          </cell>
          <cell r="L438" t="str">
            <v>Viên chức CMNV</v>
          </cell>
          <cell r="M438">
            <v>0</v>
          </cell>
          <cell r="N438" t="str">
            <v>Viên chức</v>
          </cell>
          <cell r="O438">
            <v>34</v>
          </cell>
          <cell r="P438" t="str">
            <v>03/01/1992</v>
          </cell>
          <cell r="Q438">
            <v>0</v>
          </cell>
          <cell r="R438" t="str">
            <v>Nùng</v>
          </cell>
          <cell r="S438" t="str">
            <v>01/11/2016</v>
          </cell>
          <cell r="T438" t="str">
            <v xml:space="preserve"> 020092002119</v>
          </cell>
          <cell r="U438" t="str">
            <v>Xã Minh Khai, Tỉnh Lạng Sơn</v>
          </cell>
          <cell r="W438" t="str">
            <v>003315/LS-CCHN</v>
          </cell>
          <cell r="X438" t="str">
            <v>28/06/2019</v>
          </cell>
          <cell r="Z43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38">
            <v>0</v>
          </cell>
          <cell r="AC438" t="str">
            <v>0365667905</v>
          </cell>
        </row>
        <row r="439">
          <cell r="B439" t="str">
            <v>BV0133</v>
          </cell>
          <cell r="C439" t="str">
            <v>Hoàng Văn Học</v>
          </cell>
          <cell r="D439" t="str">
            <v>BV0133</v>
          </cell>
          <cell r="F439" t="str">
            <v>Điều dưỡng CĐ</v>
          </cell>
          <cell r="G439" t="str">
            <v>TĐ012</v>
          </cell>
          <cell r="H439" t="str">
            <v>Điều dưỡng (hạng IV)</v>
          </cell>
          <cell r="I439" t="str">
            <v>Điều dưỡng (hạng IV)</v>
          </cell>
          <cell r="J439" t="str">
            <v>Truyền nhiễm</v>
          </cell>
          <cell r="K439" t="str">
            <v>KP018</v>
          </cell>
          <cell r="L439" t="str">
            <v>Viên chức CMNV</v>
          </cell>
          <cell r="M439">
            <v>0</v>
          </cell>
          <cell r="N439" t="str">
            <v>Viên chức</v>
          </cell>
          <cell r="O439">
            <v>40</v>
          </cell>
          <cell r="P439">
            <v>31532</v>
          </cell>
          <cell r="Q439">
            <v>0</v>
          </cell>
          <cell r="R439" t="str">
            <v>Nùng</v>
          </cell>
          <cell r="S439" t="str">
            <v>1/12/2008</v>
          </cell>
          <cell r="T439" t="str">
            <v>020086001802</v>
          </cell>
          <cell r="U439" t="str">
            <v>Phường Tam Thanh, Tỉnh Lạng Sơn</v>
          </cell>
          <cell r="W439" t="str">
            <v>000830/LS-CCHN</v>
          </cell>
          <cell r="X439" t="str">
            <v>11/01/2023</v>
          </cell>
          <cell r="Z43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39">
            <v>0</v>
          </cell>
          <cell r="AC439" t="str">
            <v>0916554683</v>
          </cell>
        </row>
        <row r="440">
          <cell r="B440" t="str">
            <v>BV0197</v>
          </cell>
          <cell r="C440" t="str">
            <v>Nguyễn Thị Hợi</v>
          </cell>
          <cell r="D440" t="str">
            <v>BV0197</v>
          </cell>
          <cell r="E440" t="str">
            <v>x</v>
          </cell>
          <cell r="F440" t="str">
            <v>Điều dưỡng CĐ</v>
          </cell>
          <cell r="G440" t="str">
            <v>TĐ012</v>
          </cell>
          <cell r="H440" t="str">
            <v>Điều dưỡng (hạng IV)</v>
          </cell>
          <cell r="I440" t="str">
            <v>Điều dưỡng (hạng IV)</v>
          </cell>
          <cell r="J440" t="str">
            <v>Truyền nhiễm</v>
          </cell>
          <cell r="K440" t="str">
            <v>KP018</v>
          </cell>
          <cell r="L440" t="str">
            <v>Viên chức CMNV</v>
          </cell>
          <cell r="M440">
            <v>0</v>
          </cell>
          <cell r="N440" t="str">
            <v>Viên chức</v>
          </cell>
          <cell r="O440">
            <v>42</v>
          </cell>
          <cell r="P440">
            <v>0</v>
          </cell>
          <cell r="Q440">
            <v>30845</v>
          </cell>
          <cell r="R440" t="str">
            <v>Kinh</v>
          </cell>
          <cell r="S440" t="str">
            <v>15/1/2010</v>
          </cell>
          <cell r="T440" t="str">
            <v>038184050846</v>
          </cell>
          <cell r="U440" t="str">
            <v>Phường Tam Thanh, Tỉnh Lạng Sơn</v>
          </cell>
          <cell r="W440" t="str">
            <v>000915/LS-CCHN</v>
          </cell>
          <cell r="X440" t="str">
            <v>11/01/2023</v>
          </cell>
          <cell r="Z440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40">
            <v>0</v>
          </cell>
          <cell r="AC440" t="str">
            <v>0983475646</v>
          </cell>
        </row>
        <row r="441">
          <cell r="B441" t="str">
            <v>BV0332</v>
          </cell>
          <cell r="C441" t="str">
            <v>Nông Thị Mai</v>
          </cell>
          <cell r="D441" t="str">
            <v>BV0332</v>
          </cell>
          <cell r="E441" t="str">
            <v>x</v>
          </cell>
          <cell r="F441" t="str">
            <v>Điều dưỡng CĐ</v>
          </cell>
          <cell r="G441" t="str">
            <v>TĐ012</v>
          </cell>
          <cell r="H441" t="str">
            <v>Điều dưỡng (hạng IV)</v>
          </cell>
          <cell r="I441" t="str">
            <v>Điều dưỡng (hạng IV)</v>
          </cell>
          <cell r="J441" t="str">
            <v>Truyền nhiễm</v>
          </cell>
          <cell r="K441" t="str">
            <v>KP018</v>
          </cell>
          <cell r="L441" t="str">
            <v>Viên chức CMNV</v>
          </cell>
          <cell r="M441">
            <v>0</v>
          </cell>
          <cell r="N441" t="str">
            <v>Viên chức</v>
          </cell>
          <cell r="O441">
            <v>39</v>
          </cell>
          <cell r="P441">
            <v>0</v>
          </cell>
          <cell r="Q441">
            <v>31699</v>
          </cell>
          <cell r="R441" t="str">
            <v>Tày</v>
          </cell>
          <cell r="S441" t="str">
            <v>10/6/2013</v>
          </cell>
          <cell r="T441" t="str">
            <v>020186010922</v>
          </cell>
          <cell r="U441" t="str">
            <v>Phường Kỳ Lừa, Tỉnh Lạng Sơn</v>
          </cell>
          <cell r="W441" t="str">
            <v>000386/LS-CCHN</v>
          </cell>
          <cell r="X441" t="str">
            <v>11/01/2023</v>
          </cell>
          <cell r="Z44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41">
            <v>0</v>
          </cell>
          <cell r="AC441" t="str">
            <v>0395805054</v>
          </cell>
        </row>
        <row r="442">
          <cell r="B442" t="str">
            <v>BV0337</v>
          </cell>
          <cell r="C442" t="str">
            <v>Lương Thị Minh</v>
          </cell>
          <cell r="D442" t="str">
            <v>BV0337</v>
          </cell>
          <cell r="E442" t="str">
            <v>x</v>
          </cell>
          <cell r="F442" t="str">
            <v>Điều dưỡng CĐ</v>
          </cell>
          <cell r="G442" t="str">
            <v>TĐ012</v>
          </cell>
          <cell r="H442" t="str">
            <v>Điều dưỡng (hạng IV)</v>
          </cell>
          <cell r="I442" t="str">
            <v>Điều dưỡng (hạng IV)</v>
          </cell>
          <cell r="J442" t="str">
            <v>Truyền nhiễm</v>
          </cell>
          <cell r="K442" t="str">
            <v>KP018</v>
          </cell>
          <cell r="L442" t="str">
            <v>Viên chức CMNV</v>
          </cell>
          <cell r="M442">
            <v>0</v>
          </cell>
          <cell r="N442" t="str">
            <v>Viên chức</v>
          </cell>
          <cell r="O442">
            <v>35</v>
          </cell>
          <cell r="P442">
            <v>0</v>
          </cell>
          <cell r="Q442">
            <v>33161</v>
          </cell>
          <cell r="R442" t="str">
            <v>Nùng</v>
          </cell>
          <cell r="S442" t="str">
            <v>10/6/2013</v>
          </cell>
          <cell r="T442" t="str">
            <v>020190001398</v>
          </cell>
          <cell r="U442" t="str">
            <v>Phường Lương Văn Tri, Tỉnh Lạng Sơn</v>
          </cell>
          <cell r="W442" t="str">
            <v>000384/LS-CCHN</v>
          </cell>
          <cell r="X442" t="str">
            <v>11/01/2023</v>
          </cell>
          <cell r="Z44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42">
            <v>0</v>
          </cell>
          <cell r="AC442">
            <v>916049826</v>
          </cell>
        </row>
        <row r="443">
          <cell r="B443" t="str">
            <v>BV0338</v>
          </cell>
          <cell r="C443" t="str">
            <v>Lương Thúy Nga</v>
          </cell>
          <cell r="D443" t="str">
            <v>BV0338</v>
          </cell>
          <cell r="E443" t="str">
            <v>x</v>
          </cell>
          <cell r="F443" t="str">
            <v>Điều dưỡng CĐ</v>
          </cell>
          <cell r="G443" t="str">
            <v>TĐ012</v>
          </cell>
          <cell r="H443" t="str">
            <v>Điều dưỡng (hạng IV)</v>
          </cell>
          <cell r="I443" t="str">
            <v>Điều dưỡng (hạng IV)</v>
          </cell>
          <cell r="J443" t="str">
            <v>Truyền nhiễm</v>
          </cell>
          <cell r="K443" t="str">
            <v>KP018</v>
          </cell>
          <cell r="L443" t="str">
            <v>Viên chức CMNV</v>
          </cell>
          <cell r="M443">
            <v>0</v>
          </cell>
          <cell r="N443" t="str">
            <v>Viên chức</v>
          </cell>
          <cell r="O443">
            <v>37</v>
          </cell>
          <cell r="P443">
            <v>0</v>
          </cell>
          <cell r="Q443">
            <v>32510</v>
          </cell>
          <cell r="R443" t="str">
            <v>Tày</v>
          </cell>
          <cell r="S443" t="str">
            <v>10/6/2013</v>
          </cell>
          <cell r="T443" t="str">
            <v>020189011553</v>
          </cell>
          <cell r="U443" t="str">
            <v>Phường Tam Thanh, Tỉnh Lạng Sơn</v>
          </cell>
          <cell r="W443" t="str">
            <v>000383/LS-CCHN</v>
          </cell>
          <cell r="X443" t="str">
            <v>11/01/2023</v>
          </cell>
          <cell r="Z44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43">
            <v>0</v>
          </cell>
          <cell r="AC443" t="str">
            <v>0975057829</v>
          </cell>
        </row>
        <row r="444">
          <cell r="B444" t="str">
            <v>BV1316</v>
          </cell>
          <cell r="C444" t="str">
            <v>Lâm Thị Kim Liên</v>
          </cell>
          <cell r="D444" t="str">
            <v>BV1316</v>
          </cell>
          <cell r="E444" t="str">
            <v>x</v>
          </cell>
          <cell r="F444" t="str">
            <v>Điều dưỡng CĐ</v>
          </cell>
          <cell r="G444" t="str">
            <v>TĐ012</v>
          </cell>
          <cell r="I444" t="str">
            <v>Điều dưỡng (hạng IV)</v>
          </cell>
          <cell r="J444" t="str">
            <v>Truyền nhiễm</v>
          </cell>
          <cell r="K444" t="str">
            <v>KP018</v>
          </cell>
          <cell r="N444" t="str">
            <v>Viên chức</v>
          </cell>
          <cell r="O444">
            <v>24</v>
          </cell>
          <cell r="P444">
            <v>0</v>
          </cell>
          <cell r="Q444" t="str">
            <v>26/3/2002</v>
          </cell>
          <cell r="R444" t="str">
            <v>Nùng</v>
          </cell>
          <cell r="S444">
            <v>45783</v>
          </cell>
          <cell r="T444" t="str">
            <v>020302006447</v>
          </cell>
          <cell r="U444">
            <v>0</v>
          </cell>
          <cell r="W444" t="str">
            <v>000167/LS-GPHN</v>
          </cell>
          <cell r="X444">
            <v>45609</v>
          </cell>
          <cell r="Z444" t="str">
            <v>Điều dưỡng</v>
          </cell>
          <cell r="AB444">
            <v>0</v>
          </cell>
          <cell r="AC444" t="str">
            <v>0972961641</v>
          </cell>
          <cell r="AD444" t="str">
            <v>HĐ 06/05/2025, Viên chức từ 15/6/2026</v>
          </cell>
        </row>
        <row r="445">
          <cell r="B445" t="str">
            <v>BV0334</v>
          </cell>
          <cell r="C445" t="str">
            <v>Nguyễn Khắc Đảng</v>
          </cell>
          <cell r="D445" t="str">
            <v>BV0334</v>
          </cell>
          <cell r="F445" t="str">
            <v>Điều dưỡng CĐ</v>
          </cell>
          <cell r="G445" t="str">
            <v>TĐ012</v>
          </cell>
          <cell r="H445" t="str">
            <v>Điều dưỡng (hạng IV)</v>
          </cell>
          <cell r="I445" t="str">
            <v>Điều dưỡng (hạng IV)</v>
          </cell>
          <cell r="J445" t="str">
            <v>Truyền nhiễm</v>
          </cell>
          <cell r="K445" t="str">
            <v>KP018</v>
          </cell>
          <cell r="L445" t="str">
            <v>Viên chức CMNV</v>
          </cell>
          <cell r="M445">
            <v>0</v>
          </cell>
          <cell r="N445" t="str">
            <v>Viên chức</v>
          </cell>
          <cell r="O445">
            <v>54</v>
          </cell>
          <cell r="P445">
            <v>26470</v>
          </cell>
          <cell r="Q445">
            <v>0</v>
          </cell>
          <cell r="R445">
            <v>0</v>
          </cell>
          <cell r="S445" t="str">
            <v>1/11/1994</v>
          </cell>
          <cell r="T445" t="str">
            <v xml:space="preserve"> 020072001945</v>
          </cell>
          <cell r="U445" t="str">
            <v>Phường Tam Thanh, Tỉnh Lạng Sơn</v>
          </cell>
          <cell r="W445" t="str">
            <v>000796/LS-CCHN</v>
          </cell>
          <cell r="X445" t="str">
            <v>24/06/2013</v>
          </cell>
          <cell r="Z445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445">
            <v>0</v>
          </cell>
          <cell r="AC445" t="str">
            <v>0372805738</v>
          </cell>
        </row>
        <row r="446">
          <cell r="B446" t="str">
            <v>BV1024</v>
          </cell>
          <cell r="C446" t="str">
            <v>Trần Thị Hòa</v>
          </cell>
          <cell r="D446" t="str">
            <v>BV1024</v>
          </cell>
          <cell r="E446" t="str">
            <v>x</v>
          </cell>
          <cell r="F446" t="str">
            <v>Hộ lý</v>
          </cell>
          <cell r="G446" t="str">
            <v>TĐ047</v>
          </cell>
          <cell r="I446" t="str">
            <v>Hộ lý</v>
          </cell>
          <cell r="J446" t="str">
            <v>Truyền nhiễm</v>
          </cell>
          <cell r="K446" t="str">
            <v>KP018</v>
          </cell>
          <cell r="N446" t="str">
            <v>HĐ có thời hạn</v>
          </cell>
          <cell r="O446">
            <v>43</v>
          </cell>
          <cell r="P446">
            <v>0</v>
          </cell>
          <cell r="Q446" t="str">
            <v>23/7/1983</v>
          </cell>
          <cell r="R446" t="str">
            <v>Kinh</v>
          </cell>
          <cell r="S446" t="str">
            <v>12/4/2020</v>
          </cell>
          <cell r="T446" t="str">
            <v>001183039862</v>
          </cell>
          <cell r="U446" t="str">
            <v>Xã Điềm He, Lạng Sơn</v>
          </cell>
          <cell r="W446" t="str">
            <v/>
          </cell>
          <cell r="X446" t="str">
            <v/>
          </cell>
          <cell r="Z446" t="str">
            <v/>
          </cell>
          <cell r="AB446" t="str">
            <v/>
          </cell>
          <cell r="AD446" t="str">
            <v>Hợp đồng từ 12/4/2020</v>
          </cell>
        </row>
        <row r="447">
          <cell r="B447" t="str">
            <v>BV1188</v>
          </cell>
          <cell r="C447" t="str">
            <v>Nông Thị Liên</v>
          </cell>
          <cell r="D447" t="str">
            <v>BV1188</v>
          </cell>
          <cell r="E447" t="str">
            <v>x</v>
          </cell>
          <cell r="F447" t="str">
            <v>Hộ lý</v>
          </cell>
          <cell r="G447" t="str">
            <v>TĐ047</v>
          </cell>
          <cell r="I447" t="str">
            <v>Hộ lý</v>
          </cell>
          <cell r="J447" t="str">
            <v>Truyền nhiễm</v>
          </cell>
          <cell r="K447" t="str">
            <v>KP018</v>
          </cell>
          <cell r="N447" t="str">
            <v>HĐ có thời hạn</v>
          </cell>
          <cell r="O447">
            <v>41</v>
          </cell>
          <cell r="P447">
            <v>0</v>
          </cell>
          <cell r="Q447" t="str">
            <v>13/4/1985</v>
          </cell>
          <cell r="R447" t="str">
            <v>Tày</v>
          </cell>
          <cell r="S447">
            <v>44774</v>
          </cell>
          <cell r="T447" t="str">
            <v>020185012005</v>
          </cell>
          <cell r="U447" t="str">
            <v>Xã Thất Khê, tỉnh Lạng Sơn</v>
          </cell>
          <cell r="W447" t="str">
            <v/>
          </cell>
          <cell r="X447" t="str">
            <v/>
          </cell>
          <cell r="Z447" t="str">
            <v/>
          </cell>
          <cell r="AB447" t="str">
            <v/>
          </cell>
          <cell r="AC447" t="str">
            <v>0385040959</v>
          </cell>
          <cell r="AD447" t="str">
            <v>Hợp đồng 01/8/2022</v>
          </cell>
        </row>
        <row r="448">
          <cell r="B448" t="str">
            <v>BV0342</v>
          </cell>
          <cell r="C448" t="str">
            <v>Nguyễn Mạnh Cường</v>
          </cell>
          <cell r="D448" t="str">
            <v>BV0342</v>
          </cell>
          <cell r="F448" t="str">
            <v>BSCKI</v>
          </cell>
          <cell r="G448" t="str">
            <v>TĐ003</v>
          </cell>
          <cell r="H448" t="str">
            <v>Bác sĩ (hạng III)</v>
          </cell>
          <cell r="I448" t="str">
            <v>Bác sĩ (hạng III)</v>
          </cell>
          <cell r="J448" t="str">
            <v>Da liễu</v>
          </cell>
          <cell r="K448" t="str">
            <v>KP019</v>
          </cell>
          <cell r="L448" t="str">
            <v>Lãnh đạo khoa, phòng</v>
          </cell>
          <cell r="M448" t="str">
            <v>Phó trưởng khoa</v>
          </cell>
          <cell r="N448" t="str">
            <v>Viên chức</v>
          </cell>
          <cell r="O448">
            <v>56</v>
          </cell>
          <cell r="P448">
            <v>25516</v>
          </cell>
          <cell r="Q448">
            <v>0</v>
          </cell>
          <cell r="R448" t="str">
            <v>Kinh</v>
          </cell>
          <cell r="S448" t="str">
            <v>11/10/1994</v>
          </cell>
          <cell r="T448" t="str">
            <v>020069007177</v>
          </cell>
          <cell r="U448" t="str">
            <v>Khối Cửa Bắc - Phường Lương Văn Tri</v>
          </cell>
          <cell r="W448" t="str">
            <v>000880/LS-CCHN</v>
          </cell>
          <cell r="X448" t="str">
            <v>24/06/2013</v>
          </cell>
          <cell r="Z448" t="str">
            <v>Khám bệnh chữa bệnh nội khoa, chuyên khoa Da liễu</v>
          </cell>
          <cell r="AB448">
            <v>0</v>
          </cell>
          <cell r="AC448">
            <v>384881656</v>
          </cell>
        </row>
        <row r="449">
          <cell r="B449" t="str">
            <v>BV0341</v>
          </cell>
          <cell r="C449" t="str">
            <v>Mông Tuấn Hùng</v>
          </cell>
          <cell r="D449" t="str">
            <v>BV0341</v>
          </cell>
          <cell r="F449" t="str">
            <v>BSCKI</v>
          </cell>
          <cell r="G449" t="str">
            <v>TĐ003</v>
          </cell>
          <cell r="H449" t="str">
            <v>Bác sĩ chính (hạng II)</v>
          </cell>
          <cell r="I449" t="str">
            <v>Bác sĩ chính (hạng II)</v>
          </cell>
          <cell r="J449" t="str">
            <v>Da liễu</v>
          </cell>
          <cell r="K449" t="str">
            <v>KP019</v>
          </cell>
          <cell r="L449" t="str">
            <v>Lãnh đạo khoa, phòng</v>
          </cell>
          <cell r="M449" t="str">
            <v>Trưởng khoa</v>
          </cell>
          <cell r="N449" t="str">
            <v>Viên chức</v>
          </cell>
          <cell r="O449">
            <v>54</v>
          </cell>
          <cell r="P449">
            <v>26245</v>
          </cell>
          <cell r="Q449">
            <v>0</v>
          </cell>
          <cell r="R449" t="str">
            <v>Nùng</v>
          </cell>
          <cell r="S449" t="str">
            <v>4/1/1996</v>
          </cell>
          <cell r="T449" t="str">
            <v>020071000379</v>
          </cell>
          <cell r="U449" t="str">
            <v>Khối 19 - P. Đông Kinh</v>
          </cell>
          <cell r="W449" t="str">
            <v>000110/LS-CCHN</v>
          </cell>
          <cell r="X449" t="str">
            <v>28/06/2012</v>
          </cell>
          <cell r="Z449" t="str">
            <v>Khám bệnh, chữa bệnh chuyên khoa Da liễu</v>
          </cell>
          <cell r="AB449">
            <v>0</v>
          </cell>
          <cell r="AC449">
            <v>912110369</v>
          </cell>
        </row>
        <row r="450">
          <cell r="B450" t="str">
            <v>BV1160</v>
          </cell>
          <cell r="C450" t="str">
            <v>Hoàng Thị Mai Trinh</v>
          </cell>
          <cell r="D450" t="str">
            <v>BV1160</v>
          </cell>
          <cell r="E450" t="str">
            <v>x</v>
          </cell>
          <cell r="F450" t="str">
            <v>Bác sĩ</v>
          </cell>
          <cell r="G450" t="str">
            <v>TĐ005</v>
          </cell>
          <cell r="H450" t="str">
            <v>Bác sĩ (hạng III)</v>
          </cell>
          <cell r="I450" t="str">
            <v>Bác sĩ (hạng III)</v>
          </cell>
          <cell r="J450" t="str">
            <v>Da liễu</v>
          </cell>
          <cell r="K450" t="str">
            <v>KP019</v>
          </cell>
          <cell r="L450" t="str">
            <v>Viên chức CMNV</v>
          </cell>
          <cell r="M450">
            <v>0</v>
          </cell>
          <cell r="N450" t="str">
            <v>Viên chức</v>
          </cell>
          <cell r="O450">
            <v>36</v>
          </cell>
          <cell r="P450">
            <v>0</v>
          </cell>
          <cell r="Q450" t="str">
            <v>01/05/1990</v>
          </cell>
          <cell r="R450" t="str">
            <v>Nùng</v>
          </cell>
          <cell r="S450">
            <v>42744</v>
          </cell>
          <cell r="T450" t="str">
            <v>020190011756</v>
          </cell>
          <cell r="U450" t="str">
            <v>Khối Bản Viển - P.Tam Thanh</v>
          </cell>
          <cell r="W450" t="str">
            <v>004362/LS-CCHN</v>
          </cell>
          <cell r="X450" t="str">
            <v>07/10/2021</v>
          </cell>
          <cell r="Z450" t="str">
            <v>Khám bệnh chữa bệnh Nội khoa; Da liễu</v>
          </cell>
          <cell r="AB450">
            <v>0</v>
          </cell>
          <cell r="AC450" t="str">
            <v>0898759590</v>
          </cell>
          <cell r="AD450" t="str">
            <v>Chuyển đến 6/9/2021</v>
          </cell>
        </row>
        <row r="451">
          <cell r="B451" t="str">
            <v>BV0823</v>
          </cell>
          <cell r="C451" t="str">
            <v>Lương Thị Hằng</v>
          </cell>
          <cell r="D451" t="str">
            <v>BV0823</v>
          </cell>
          <cell r="E451" t="str">
            <v>x</v>
          </cell>
          <cell r="F451" t="str">
            <v>Bác sĩ</v>
          </cell>
          <cell r="G451" t="str">
            <v>TĐ005</v>
          </cell>
          <cell r="H451" t="str">
            <v>Bác sĩ (hạng III)</v>
          </cell>
          <cell r="I451" t="str">
            <v>Bác sĩ (hạng III)</v>
          </cell>
          <cell r="J451" t="str">
            <v>Da liễu</v>
          </cell>
          <cell r="K451" t="str">
            <v>KP019</v>
          </cell>
          <cell r="L451" t="str">
            <v>Viên chức CMNV</v>
          </cell>
          <cell r="M451">
            <v>0</v>
          </cell>
          <cell r="N451" t="str">
            <v>Viên chức</v>
          </cell>
          <cell r="O451">
            <v>52</v>
          </cell>
          <cell r="P451">
            <v>0</v>
          </cell>
          <cell r="Q451" t="str">
            <v>21/4/1974</v>
          </cell>
          <cell r="R451" t="str">
            <v>Tày</v>
          </cell>
          <cell r="S451" t="str">
            <v>20/10/1995</v>
          </cell>
          <cell r="T451" t="str">
            <v>020174002035</v>
          </cell>
          <cell r="U451" t="str">
            <v>Khối 7 - P.Tam Thanh</v>
          </cell>
          <cell r="W451" t="str">
            <v>000518/LS-CCHN</v>
          </cell>
          <cell r="X451" t="str">
            <v>13/10/2016</v>
          </cell>
          <cell r="Z451" t="str">
            <v>Khám bệnh, chữa bệnh chuyên khoa Da liễu</v>
          </cell>
          <cell r="AB451">
            <v>0</v>
          </cell>
          <cell r="AC451" t="str">
            <v>0355715281</v>
          </cell>
          <cell r="AD451" t="str">
            <v>Chuyển đến 19/3/2018</v>
          </cell>
        </row>
        <row r="452">
          <cell r="B452" t="str">
            <v>BV0329</v>
          </cell>
          <cell r="C452" t="str">
            <v>Đào Thị Ngọc</v>
          </cell>
          <cell r="D452" t="str">
            <v>BV0329</v>
          </cell>
          <cell r="E452" t="str">
            <v>x</v>
          </cell>
          <cell r="F452" t="str">
            <v>Điều dưỡng ĐH</v>
          </cell>
          <cell r="G452" t="str">
            <v>TĐ011</v>
          </cell>
          <cell r="H452" t="str">
            <v>Điều dưỡng (hạng III)</v>
          </cell>
          <cell r="I452" t="str">
            <v>Điều dưỡng (hạng III)</v>
          </cell>
          <cell r="J452" t="str">
            <v>Da liễu</v>
          </cell>
          <cell r="K452" t="str">
            <v>KP019</v>
          </cell>
          <cell r="L452" t="str">
            <v>Lãnh đạo khoa, phòng</v>
          </cell>
          <cell r="M452" t="str">
            <v>Điều dưỡng trưởng</v>
          </cell>
          <cell r="N452" t="str">
            <v>Viên chức</v>
          </cell>
          <cell r="O452">
            <v>44</v>
          </cell>
          <cell r="P452">
            <v>0</v>
          </cell>
          <cell r="Q452">
            <v>30032</v>
          </cell>
          <cell r="R452" t="str">
            <v>Kinh</v>
          </cell>
          <cell r="S452" t="str">
            <v>16/2/2005</v>
          </cell>
          <cell r="T452" t="str">
            <v>036182023580</v>
          </cell>
          <cell r="U452" t="str">
            <v>Khối Tân Lập - P.Đông Kinh</v>
          </cell>
          <cell r="W452" t="str">
            <v>000387/LS-CCHN</v>
          </cell>
          <cell r="X452" t="str">
            <v>01/06/2016</v>
          </cell>
          <cell r="Z452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452">
            <v>0</v>
          </cell>
          <cell r="AC452" t="str">
            <v>0979108566</v>
          </cell>
        </row>
        <row r="453">
          <cell r="B453" t="str">
            <v>BV0349</v>
          </cell>
          <cell r="C453" t="str">
            <v>Dương Thị Tiếp</v>
          </cell>
          <cell r="D453" t="str">
            <v>BV0349</v>
          </cell>
          <cell r="E453" t="str">
            <v>x</v>
          </cell>
          <cell r="F453" t="str">
            <v>Điều dưỡng ĐH</v>
          </cell>
          <cell r="G453" t="str">
            <v>TĐ011</v>
          </cell>
          <cell r="H453" t="str">
            <v>Điều dưỡng (hạng III)</v>
          </cell>
          <cell r="I453" t="str">
            <v>Điều dưỡng (hạng III)</v>
          </cell>
          <cell r="J453" t="str">
            <v>Da liễu</v>
          </cell>
          <cell r="K453" t="str">
            <v>KP019</v>
          </cell>
          <cell r="L453" t="str">
            <v>Viên chức CMNV</v>
          </cell>
          <cell r="M453">
            <v>0</v>
          </cell>
          <cell r="N453" t="str">
            <v>Viên chức</v>
          </cell>
          <cell r="O453">
            <v>38</v>
          </cell>
          <cell r="P453">
            <v>0</v>
          </cell>
          <cell r="Q453">
            <v>32010</v>
          </cell>
          <cell r="R453" t="str">
            <v>Tày</v>
          </cell>
          <cell r="S453" t="str">
            <v>15/1/2010</v>
          </cell>
          <cell r="T453" t="str">
            <v>020187001506</v>
          </cell>
          <cell r="U453" t="str">
            <v>Khối Chi Mạc - P.Tam Thanh</v>
          </cell>
          <cell r="W453" t="str">
            <v>000883/LS-CCHN</v>
          </cell>
          <cell r="X453" t="str">
            <v>11/01/2023</v>
          </cell>
          <cell r="Z45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53">
            <v>0</v>
          </cell>
          <cell r="AC453" t="str">
            <v>0978421195</v>
          </cell>
        </row>
        <row r="454">
          <cell r="B454" t="str">
            <v>BV0113</v>
          </cell>
          <cell r="C454" t="str">
            <v>Lăng Hồng Chiêm</v>
          </cell>
          <cell r="D454" t="str">
            <v>BV0113</v>
          </cell>
          <cell r="E454" t="str">
            <v>x</v>
          </cell>
          <cell r="F454" t="str">
            <v>Điều dưỡng CĐ</v>
          </cell>
          <cell r="G454" t="str">
            <v>TĐ012</v>
          </cell>
          <cell r="H454" t="str">
            <v>Điều dưỡng (hạng IV)</v>
          </cell>
          <cell r="I454" t="str">
            <v>Điều dưỡng (hạng IV)</v>
          </cell>
          <cell r="J454" t="str">
            <v>Da liễu</v>
          </cell>
          <cell r="K454" t="str">
            <v>KP019</v>
          </cell>
          <cell r="L454" t="str">
            <v>Viên chức CMNV</v>
          </cell>
          <cell r="M454">
            <v>0</v>
          </cell>
          <cell r="N454" t="str">
            <v>Viên chức</v>
          </cell>
          <cell r="O454">
            <v>43</v>
          </cell>
          <cell r="P454">
            <v>0</v>
          </cell>
          <cell r="Q454">
            <v>30429</v>
          </cell>
          <cell r="R454" t="str">
            <v>Nùng</v>
          </cell>
          <cell r="S454" t="str">
            <v>15/1/2010</v>
          </cell>
          <cell r="T454" t="str">
            <v>020183002322</v>
          </cell>
          <cell r="U454" t="str">
            <v>Khối Nà Sèn- P. Tam Thanh</v>
          </cell>
          <cell r="W454" t="str">
            <v>000812/LS-CCHN</v>
          </cell>
          <cell r="X454" t="str">
            <v>11/01/2023</v>
          </cell>
          <cell r="Z45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54">
            <v>0</v>
          </cell>
          <cell r="AC454" t="str">
            <v>0374004609</v>
          </cell>
        </row>
        <row r="455">
          <cell r="B455" t="str">
            <v>BV0226</v>
          </cell>
          <cell r="C455" t="str">
            <v>Mã Thị Linh</v>
          </cell>
          <cell r="D455" t="str">
            <v>BV0226</v>
          </cell>
          <cell r="E455" t="str">
            <v>x</v>
          </cell>
          <cell r="F455" t="str">
            <v>Điều dưỡng CĐ</v>
          </cell>
          <cell r="G455" t="str">
            <v>TĐ012</v>
          </cell>
          <cell r="H455" t="str">
            <v>Điều dưỡng (hạng IV)</v>
          </cell>
          <cell r="I455" t="str">
            <v>Điều dưỡng (hạng IV)</v>
          </cell>
          <cell r="J455" t="str">
            <v>Da liễu</v>
          </cell>
          <cell r="K455" t="str">
            <v>KP019</v>
          </cell>
          <cell r="L455" t="str">
            <v>Viên chức CMNV</v>
          </cell>
          <cell r="M455">
            <v>0</v>
          </cell>
          <cell r="N455" t="str">
            <v>Viên chức</v>
          </cell>
          <cell r="O455">
            <v>39</v>
          </cell>
          <cell r="P455">
            <v>0</v>
          </cell>
          <cell r="Q455">
            <v>31759</v>
          </cell>
          <cell r="R455" t="str">
            <v>Nùng</v>
          </cell>
          <cell r="S455" t="str">
            <v>15/1/2010</v>
          </cell>
          <cell r="T455" t="str">
            <v>020186001044</v>
          </cell>
          <cell r="U455" t="str">
            <v>Thôn Tằm Riền - Xã Công Sơn</v>
          </cell>
          <cell r="W455" t="str">
            <v>000939/LS-CCHN</v>
          </cell>
          <cell r="X455" t="str">
            <v>24/06/2013</v>
          </cell>
          <cell r="Z455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455">
            <v>0</v>
          </cell>
          <cell r="AC455" t="str">
            <v>0398750355</v>
          </cell>
        </row>
        <row r="456">
          <cell r="B456" t="str">
            <v>BV0141</v>
          </cell>
          <cell r="C456" t="str">
            <v>Vũ Thị Thu Trang</v>
          </cell>
          <cell r="D456" t="str">
            <v>BV0141</v>
          </cell>
          <cell r="E456" t="str">
            <v>x</v>
          </cell>
          <cell r="F456" t="str">
            <v>Điều dưỡng ĐH</v>
          </cell>
          <cell r="G456" t="str">
            <v>TĐ011</v>
          </cell>
          <cell r="H456" t="str">
            <v>Điều dưỡng (hạng III)</v>
          </cell>
          <cell r="I456" t="str">
            <v>Điều dưỡng (hạng III)</v>
          </cell>
          <cell r="J456" t="str">
            <v>Da liễu</v>
          </cell>
          <cell r="K456" t="str">
            <v>KP019</v>
          </cell>
          <cell r="L456" t="str">
            <v>Viên chức CMNV</v>
          </cell>
          <cell r="M456">
            <v>0</v>
          </cell>
          <cell r="N456" t="str">
            <v>Viên chức</v>
          </cell>
          <cell r="O456">
            <v>34</v>
          </cell>
          <cell r="P456">
            <v>0</v>
          </cell>
          <cell r="Q456">
            <v>33673</v>
          </cell>
          <cell r="R456" t="str">
            <v>Kinh</v>
          </cell>
          <cell r="S456" t="str">
            <v>10/6/2013</v>
          </cell>
          <cell r="T456" t="str">
            <v>020192011493</v>
          </cell>
          <cell r="U456" t="str">
            <v>Khối 9 - P.Đông Kinh</v>
          </cell>
          <cell r="W456" t="str">
            <v>000377/LS-CCHN</v>
          </cell>
          <cell r="X456" t="str">
            <v>11/01/2023</v>
          </cell>
          <cell r="Z45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56">
            <v>0</v>
          </cell>
          <cell r="AC456" t="str">
            <v>0979940135</v>
          </cell>
        </row>
        <row r="457">
          <cell r="B457" t="str">
            <v>BV0134</v>
          </cell>
          <cell r="C457" t="str">
            <v>Lý Thị Dần</v>
          </cell>
          <cell r="D457" t="str">
            <v>BV0134</v>
          </cell>
          <cell r="E457" t="str">
            <v>x</v>
          </cell>
          <cell r="F457" t="str">
            <v>Điều dưỡng CĐ</v>
          </cell>
          <cell r="G457" t="str">
            <v>TĐ012</v>
          </cell>
          <cell r="H457" t="str">
            <v>Điều dưỡng (hạng IV)</v>
          </cell>
          <cell r="I457" t="str">
            <v>Điều dưỡng (hạng IV)</v>
          </cell>
          <cell r="J457" t="str">
            <v>Da liễu</v>
          </cell>
          <cell r="K457" t="str">
            <v>KP019</v>
          </cell>
          <cell r="L457" t="str">
            <v>Viên chức CMNV</v>
          </cell>
          <cell r="M457">
            <v>0</v>
          </cell>
          <cell r="N457" t="str">
            <v>Viên chức</v>
          </cell>
          <cell r="O457">
            <v>46</v>
          </cell>
          <cell r="P457">
            <v>0</v>
          </cell>
          <cell r="Q457">
            <v>29143</v>
          </cell>
          <cell r="R457" t="str">
            <v>Nùng</v>
          </cell>
          <cell r="S457" t="str">
            <v>1/12/2008</v>
          </cell>
          <cell r="T457" t="str">
            <v>020179006580</v>
          </cell>
          <cell r="U457" t="str">
            <v>Khối 2 - P. Tam Thanh</v>
          </cell>
          <cell r="W457" t="str">
            <v>000831/LS-CCHN</v>
          </cell>
          <cell r="X457" t="str">
            <v>24/06/2013</v>
          </cell>
          <cell r="Z457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457">
            <v>0</v>
          </cell>
          <cell r="AC457" t="str">
            <v>0974835392</v>
          </cell>
        </row>
        <row r="458">
          <cell r="B458" t="str">
            <v>BV0511</v>
          </cell>
          <cell r="C458" t="str">
            <v>Vi Bích Hường</v>
          </cell>
          <cell r="D458" t="str">
            <v>BV0511</v>
          </cell>
          <cell r="E458" t="str">
            <v>x</v>
          </cell>
          <cell r="F458" t="str">
            <v>Hộ lý</v>
          </cell>
          <cell r="G458" t="str">
            <v>TĐ047</v>
          </cell>
          <cell r="I458" t="str">
            <v>Hộ lý</v>
          </cell>
          <cell r="J458" t="str">
            <v>Da liễu</v>
          </cell>
          <cell r="K458" t="str">
            <v>KP019</v>
          </cell>
          <cell r="N458" t="str">
            <v>HĐ có thời hạn</v>
          </cell>
          <cell r="O458">
            <v>38</v>
          </cell>
          <cell r="P458">
            <v>0</v>
          </cell>
          <cell r="Q458">
            <v>32338</v>
          </cell>
          <cell r="R458" t="str">
            <v>Nùng</v>
          </cell>
          <cell r="S458" t="str">
            <v>16/11/2015</v>
          </cell>
          <cell r="T458" t="str">
            <v>020188011699</v>
          </cell>
          <cell r="U458" t="str">
            <v>Khối Nà Nùng - P. Kỳ Lừa</v>
          </cell>
          <cell r="W458" t="str">
            <v/>
          </cell>
          <cell r="X458" t="str">
            <v/>
          </cell>
          <cell r="Z458" t="str">
            <v/>
          </cell>
          <cell r="AB458" t="str">
            <v/>
          </cell>
          <cell r="AC458" t="str">
            <v>0394164571</v>
          </cell>
        </row>
        <row r="459">
          <cell r="B459" t="str">
            <v>BV0351</v>
          </cell>
          <cell r="C459" t="str">
            <v>Ngô Thu Lê</v>
          </cell>
          <cell r="D459" t="str">
            <v>BV0351</v>
          </cell>
          <cell r="E459" t="str">
            <v>x</v>
          </cell>
          <cell r="F459" t="str">
            <v>BSCKI</v>
          </cell>
          <cell r="G459" t="str">
            <v>TĐ003</v>
          </cell>
          <cell r="H459" t="str">
            <v>Bác sĩ (hạng III)</v>
          </cell>
          <cell r="I459" t="str">
            <v>Bác sĩ (hạng III)</v>
          </cell>
          <cell r="J459" t="str">
            <v>YHCT</v>
          </cell>
          <cell r="K459" t="str">
            <v>KP020</v>
          </cell>
          <cell r="L459" t="str">
            <v>Viên chức CMNV</v>
          </cell>
          <cell r="M459">
            <v>0</v>
          </cell>
          <cell r="N459" t="str">
            <v>Viên chức</v>
          </cell>
          <cell r="O459">
            <v>36</v>
          </cell>
          <cell r="P459">
            <v>0</v>
          </cell>
          <cell r="Q459">
            <v>32890</v>
          </cell>
          <cell r="R459" t="str">
            <v>kinh</v>
          </cell>
          <cell r="S459" t="str">
            <v>01/11/2014</v>
          </cell>
          <cell r="T459" t="str">
            <v>020190009602</v>
          </cell>
          <cell r="U459" t="str">
            <v>118 Chu Văn An,
 phường Đông Kinh, tỉnh Lạng Sơn</v>
          </cell>
          <cell r="W459" t="str">
            <v>000341/LS-CCHN</v>
          </cell>
          <cell r="X459" t="str">
            <v>14/04/2016</v>
          </cell>
          <cell r="Z459" t="str">
            <v>Khám bệnh chữa bệnh bằng Y học cổ truyền</v>
          </cell>
          <cell r="AB459">
            <v>0</v>
          </cell>
          <cell r="AC459" t="str">
            <v>0914108533</v>
          </cell>
        </row>
        <row r="460">
          <cell r="B460" t="str">
            <v>BV1122</v>
          </cell>
          <cell r="C460" t="str">
            <v>Nguyễn Ngọc Thiện</v>
          </cell>
          <cell r="D460" t="str">
            <v>BV1122</v>
          </cell>
          <cell r="F460" t="str">
            <v>Bác sĩ</v>
          </cell>
          <cell r="G460" t="str">
            <v>TĐ005</v>
          </cell>
          <cell r="H460" t="str">
            <v>Bác sĩ (hạng III)</v>
          </cell>
          <cell r="I460" t="str">
            <v>Bác sĩ (hạng III)</v>
          </cell>
          <cell r="J460" t="str">
            <v>YHCT</v>
          </cell>
          <cell r="K460" t="str">
            <v>KP020</v>
          </cell>
          <cell r="L460" t="str">
            <v>Viên chức CMNV</v>
          </cell>
          <cell r="M460">
            <v>0</v>
          </cell>
          <cell r="N460" t="str">
            <v>Viên chức</v>
          </cell>
          <cell r="O460">
            <v>0</v>
          </cell>
          <cell r="P460">
            <v>29834</v>
          </cell>
          <cell r="Q460">
            <v>0</v>
          </cell>
          <cell r="R460" t="str">
            <v>Kinh</v>
          </cell>
          <cell r="S460" t="str">
            <v>30/12/2005</v>
          </cell>
          <cell r="T460" t="str">
            <v>024081003063</v>
          </cell>
          <cell r="U460" t="str">
            <v>Tổ dân cư 5,
 Khối 19, Phường Đông kinh, Lạng Sơn</v>
          </cell>
          <cell r="W460" t="str">
            <v>005496/LS-CCHN</v>
          </cell>
          <cell r="X460" t="str">
            <v>16/11/2022</v>
          </cell>
          <cell r="Z460" t="str">
            <v>Khám bệnh, chữa bệnh bằng Y học cổ truyền</v>
          </cell>
          <cell r="AB460">
            <v>0</v>
          </cell>
          <cell r="AC460">
            <v>917375778</v>
          </cell>
          <cell r="AD460" t="str">
            <v>Chuyển đến 06/4/2021</v>
          </cell>
        </row>
        <row r="461">
          <cell r="B461" t="str">
            <v>BV1167</v>
          </cell>
          <cell r="C461" t="str">
            <v>Nguyễn Thị Duyên</v>
          </cell>
          <cell r="D461" t="str">
            <v>BV1167</v>
          </cell>
          <cell r="E461" t="str">
            <v>x</v>
          </cell>
          <cell r="F461" t="str">
            <v>Bác sĩ</v>
          </cell>
          <cell r="G461" t="str">
            <v>TĐ005</v>
          </cell>
          <cell r="H461" t="str">
            <v>Bác sĩ (hạng III)</v>
          </cell>
          <cell r="I461" t="str">
            <v>Bác sĩ (hạng III)</v>
          </cell>
          <cell r="J461" t="str">
            <v>YHCT</v>
          </cell>
          <cell r="K461" t="str">
            <v>KP020</v>
          </cell>
          <cell r="L461" t="str">
            <v>Viên chức CMNV</v>
          </cell>
          <cell r="M461">
            <v>0</v>
          </cell>
          <cell r="N461" t="str">
            <v>Viên chức</v>
          </cell>
          <cell r="O461">
            <v>32</v>
          </cell>
          <cell r="P461">
            <v>0</v>
          </cell>
          <cell r="Q461" t="str">
            <v>24/08/1993</v>
          </cell>
          <cell r="R461" t="str">
            <v>Nùng</v>
          </cell>
          <cell r="S461">
            <v>43179</v>
          </cell>
          <cell r="T461" t="str">
            <v>020193007853</v>
          </cell>
          <cell r="U461" t="str">
            <v>Khối Đèo Giang
, phường Lương Văn Tri, tỉnh Lạng Sơn</v>
          </cell>
          <cell r="W461" t="str">
            <v>003631/LS-CCHN</v>
          </cell>
          <cell r="X461" t="str">
            <v>21/11/2019</v>
          </cell>
          <cell r="Z461" t="str">
            <v>Khám bệnh, chữa bệnh bằng Y học cổ truyền</v>
          </cell>
          <cell r="AB461">
            <v>0</v>
          </cell>
          <cell r="AC461" t="str">
            <v>0384895583</v>
          </cell>
          <cell r="AD461" t="str">
            <v>Chuyển đến 08/11/2021</v>
          </cell>
        </row>
        <row r="462">
          <cell r="B462" t="str">
            <v>BV0169</v>
          </cell>
          <cell r="C462" t="str">
            <v>Hoàng Thị Bích Hà</v>
          </cell>
          <cell r="D462" t="str">
            <v>BV0169</v>
          </cell>
          <cell r="E462" t="str">
            <v>x</v>
          </cell>
          <cell r="F462" t="str">
            <v>Điều dưỡng ĐH</v>
          </cell>
          <cell r="G462" t="str">
            <v>TĐ011</v>
          </cell>
          <cell r="H462" t="str">
            <v>Điều dưỡng (hạng III)</v>
          </cell>
          <cell r="I462" t="str">
            <v>Điều dưỡng (hạng III)</v>
          </cell>
          <cell r="J462" t="str">
            <v>YHCT</v>
          </cell>
          <cell r="K462" t="str">
            <v>KP020</v>
          </cell>
          <cell r="L462" t="str">
            <v>Viên chức CMNV</v>
          </cell>
          <cell r="M462">
            <v>0</v>
          </cell>
          <cell r="N462" t="str">
            <v>Viên chức</v>
          </cell>
          <cell r="O462">
            <v>45</v>
          </cell>
          <cell r="P462">
            <v>0</v>
          </cell>
          <cell r="Q462">
            <v>29573</v>
          </cell>
          <cell r="R462" t="str">
            <v>tày</v>
          </cell>
          <cell r="S462" t="str">
            <v>16/2/2005</v>
          </cell>
          <cell r="T462" t="str">
            <v>020180006217</v>
          </cell>
          <cell r="U462" t="str">
            <v>khối 26 phường Kỳ Lừa, tỉnh Lạng Sơn</v>
          </cell>
          <cell r="W462" t="str">
            <v>001053/LS-CCHN</v>
          </cell>
          <cell r="X462" t="str">
            <v>24/06/2013</v>
          </cell>
          <cell r="Z462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462" t="str">
            <v>08B;08C;08D;08Đ;08E;08G;08H;08I;08.0001;08.0002;08.0003;08.0004;08.0008;08.0010;08.0011;08.0012;08.0013;08.0014;08.0015;08.0016;08.0017;08.0018;08.0019;08.0020;08.0021;08.0022;08.0023;08.0024;08.0025;08.0026;08.0027;08.0028;08.0479;08.0480;08.0481;08.0482;08.0485;08.0486</v>
          </cell>
          <cell r="AC462" t="str">
            <v>0915534272</v>
          </cell>
        </row>
        <row r="463">
          <cell r="B463" t="str">
            <v>BV0029</v>
          </cell>
          <cell r="C463" t="str">
            <v>Triệu Thị Mai Hương</v>
          </cell>
          <cell r="D463" t="str">
            <v>BV0029</v>
          </cell>
          <cell r="E463" t="str">
            <v>x</v>
          </cell>
          <cell r="F463" t="str">
            <v>Điều dưỡng ĐH</v>
          </cell>
          <cell r="G463" t="str">
            <v>TĐ011</v>
          </cell>
          <cell r="H463" t="str">
            <v>Điều dưỡng (hạng III)</v>
          </cell>
          <cell r="I463" t="str">
            <v>Điều dưỡng (hạng III)</v>
          </cell>
          <cell r="J463" t="str">
            <v>YHCT</v>
          </cell>
          <cell r="K463" t="str">
            <v>KP020</v>
          </cell>
          <cell r="L463" t="str">
            <v>Viên chức CMNV</v>
          </cell>
          <cell r="M463">
            <v>0</v>
          </cell>
          <cell r="N463" t="str">
            <v>Viên chức</v>
          </cell>
          <cell r="O463">
            <v>39</v>
          </cell>
          <cell r="P463">
            <v>0</v>
          </cell>
          <cell r="Q463">
            <v>31924</v>
          </cell>
          <cell r="R463" t="str">
            <v>Tày</v>
          </cell>
          <cell r="S463" t="str">
            <v>15/01/2010</v>
          </cell>
          <cell r="T463" t="str">
            <v>020187001163</v>
          </cell>
          <cell r="U463" t="str">
            <v>Khối 24 phường Kỳ Lừa, tỉnh Lạng sơn</v>
          </cell>
          <cell r="W463" t="str">
            <v>000757/LS-CCHN</v>
          </cell>
          <cell r="X463" t="str">
            <v>11/01/2023</v>
          </cell>
          <cell r="Z46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63" t="str">
            <v>08.0026;08.0009;08.0010;08.0027;08.0025;08.0481;08.0482;08.0479;08.0480;08.0486;08.0013;08.0014;08.0028;08.0485;08.0024;08.0015;08.0022;08.0006;08.0483;08.0020;08.0021;08.0019</v>
          </cell>
          <cell r="AC463" t="str">
            <v>0961023288</v>
          </cell>
        </row>
        <row r="464">
          <cell r="B464" t="str">
            <v>BV0227</v>
          </cell>
          <cell r="C464" t="str">
            <v>Mông Thị Thu</v>
          </cell>
          <cell r="D464" t="str">
            <v>BV0227</v>
          </cell>
          <cell r="E464" t="str">
            <v>x</v>
          </cell>
          <cell r="F464" t="str">
            <v>Điều dưỡng CĐ</v>
          </cell>
          <cell r="G464" t="str">
            <v>TĐ012</v>
          </cell>
          <cell r="H464" t="str">
            <v>Điều dưỡng (hạng IV)</v>
          </cell>
          <cell r="I464" t="str">
            <v>Điều dưỡng (hạng IV)</v>
          </cell>
          <cell r="J464" t="str">
            <v>YHCT</v>
          </cell>
          <cell r="K464" t="str">
            <v>KP020</v>
          </cell>
          <cell r="L464" t="str">
            <v>Viên chức CMNV</v>
          </cell>
          <cell r="M464">
            <v>0</v>
          </cell>
          <cell r="N464" t="str">
            <v>Viên chức</v>
          </cell>
          <cell r="O464">
            <v>42</v>
          </cell>
          <cell r="P464">
            <v>0</v>
          </cell>
          <cell r="Q464">
            <v>30694</v>
          </cell>
          <cell r="R464" t="str">
            <v>Nùng</v>
          </cell>
          <cell r="S464" t="str">
            <v>8/12/2008</v>
          </cell>
          <cell r="T464" t="str">
            <v>020184007760</v>
          </cell>
          <cell r="U464" t="str">
            <v>Khối Quảng Trung 1,
 phường. Lương Văn Tri, Tỉnh Lạng Sơn</v>
          </cell>
          <cell r="W464" t="str">
            <v>000933/LS-CCHN</v>
          </cell>
          <cell r="X464" t="str">
            <v>11/01/2023</v>
          </cell>
          <cell r="Z46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64">
            <v>0</v>
          </cell>
          <cell r="AC464" t="str">
            <v>0913486482</v>
          </cell>
        </row>
        <row r="465">
          <cell r="B465" t="str">
            <v>BV0358</v>
          </cell>
          <cell r="C465" t="str">
            <v>Nông Thị Thu Hường</v>
          </cell>
          <cell r="D465" t="str">
            <v>BV0358</v>
          </cell>
          <cell r="E465" t="str">
            <v>x</v>
          </cell>
          <cell r="F465" t="str">
            <v>Điều dưỡng CĐ</v>
          </cell>
          <cell r="G465" t="str">
            <v>TĐ012</v>
          </cell>
          <cell r="H465" t="str">
            <v>Điều dưỡng (hạng IV)</v>
          </cell>
          <cell r="I465" t="str">
            <v>Điều dưỡng (hạng IV)</v>
          </cell>
          <cell r="J465" t="str">
            <v>YHCT</v>
          </cell>
          <cell r="K465" t="str">
            <v>KP020</v>
          </cell>
          <cell r="L465" t="str">
            <v>Viên chức CMNV</v>
          </cell>
          <cell r="M465">
            <v>0</v>
          </cell>
          <cell r="N465" t="str">
            <v>Viên chức</v>
          </cell>
          <cell r="O465">
            <v>39</v>
          </cell>
          <cell r="P465">
            <v>0</v>
          </cell>
          <cell r="Q465">
            <v>31802</v>
          </cell>
          <cell r="R465" t="str">
            <v>Tày</v>
          </cell>
          <cell r="S465" t="str">
            <v>15/1/2010</v>
          </cell>
          <cell r="T465" t="str">
            <v>020187012098</v>
          </cell>
          <cell r="U465" t="str">
            <v>Khối Pò Đứa ,
Pò mỏ, Phường Đông Kinh, tỉnh Lạng Sơn</v>
          </cell>
          <cell r="W465" t="str">
            <v>000894/LS-CCHN</v>
          </cell>
          <cell r="X465" t="str">
            <v>11/01/2023</v>
          </cell>
          <cell r="Z46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65">
            <v>0</v>
          </cell>
          <cell r="AC465" t="str">
            <v>0989196236</v>
          </cell>
        </row>
        <row r="466">
          <cell r="B466" t="str">
            <v>BV0357</v>
          </cell>
          <cell r="C466" t="str">
            <v>Vi Văn Tiến</v>
          </cell>
          <cell r="D466" t="str">
            <v>BV0357</v>
          </cell>
          <cell r="F466" t="str">
            <v>Điều dưỡng CĐ</v>
          </cell>
          <cell r="G466" t="str">
            <v>TĐ012</v>
          </cell>
          <cell r="H466" t="str">
            <v>Điều dưỡng (hạng IV)</v>
          </cell>
          <cell r="I466" t="str">
            <v>Điều dưỡng (hạng IV)</v>
          </cell>
          <cell r="J466" t="str">
            <v>YHCT</v>
          </cell>
          <cell r="K466" t="str">
            <v>KP020</v>
          </cell>
          <cell r="L466" t="str">
            <v>Viên chức CMNV</v>
          </cell>
          <cell r="M466">
            <v>0</v>
          </cell>
          <cell r="N466" t="str">
            <v>Viên chức</v>
          </cell>
          <cell r="O466">
            <v>49</v>
          </cell>
          <cell r="P466">
            <v>28060</v>
          </cell>
          <cell r="Q466">
            <v>0</v>
          </cell>
          <cell r="R466" t="str">
            <v>Nùng</v>
          </cell>
          <cell r="S466" t="str">
            <v>25/12/2008</v>
          </cell>
          <cell r="T466" t="str">
            <v>020076002080</v>
          </cell>
          <cell r="U466" t="str">
            <v>Thôn Đồng Tân, xã Khánh Khê, tỉnh Lạng Sơn</v>
          </cell>
          <cell r="W466" t="str">
            <v>000893/LS-CCHN</v>
          </cell>
          <cell r="X466" t="str">
            <v>11/01/2023</v>
          </cell>
          <cell r="Z46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66">
            <v>0</v>
          </cell>
          <cell r="AC466" t="str">
            <v>0912132786</v>
          </cell>
        </row>
        <row r="467">
          <cell r="B467" t="str">
            <v>BV0355</v>
          </cell>
          <cell r="C467" t="str">
            <v>Trần Thị Huyền</v>
          </cell>
          <cell r="D467" t="str">
            <v>BV0355</v>
          </cell>
          <cell r="E467" t="str">
            <v>x</v>
          </cell>
          <cell r="F467" t="str">
            <v>Điều dưỡng CĐ</v>
          </cell>
          <cell r="G467" t="str">
            <v>TĐ012</v>
          </cell>
          <cell r="H467" t="str">
            <v>Điều dưỡng (hạng IV)</v>
          </cell>
          <cell r="I467" t="str">
            <v>Điều dưỡng (hạng IV)</v>
          </cell>
          <cell r="J467" t="str">
            <v>YHCT</v>
          </cell>
          <cell r="K467" t="str">
            <v>KP020</v>
          </cell>
          <cell r="L467" t="str">
            <v>Lãnh đạo khoa, phòng</v>
          </cell>
          <cell r="M467" t="str">
            <v>Điều dưỡng trưởng</v>
          </cell>
          <cell r="N467" t="str">
            <v>Viên chức</v>
          </cell>
          <cell r="O467">
            <v>49</v>
          </cell>
          <cell r="P467">
            <v>0</v>
          </cell>
          <cell r="Q467">
            <v>28257</v>
          </cell>
          <cell r="R467" t="str">
            <v>Tày</v>
          </cell>
          <cell r="S467" t="str">
            <v>1/12/2008</v>
          </cell>
          <cell r="T467" t="str">
            <v>004177000164</v>
          </cell>
          <cell r="U467" t="str">
            <v>Số 9, ngõ 6 Đường Khỏn Cuổng, phường Kỳ Lừa, tỉnh Lạng Sơn</v>
          </cell>
          <cell r="W467" t="str">
            <v>000420/LS-GPHN</v>
          </cell>
          <cell r="X467">
            <v>45994</v>
          </cell>
          <cell r="Z467" t="str">
            <v>Điều dưỡng</v>
          </cell>
          <cell r="AB467">
            <v>0</v>
          </cell>
          <cell r="AC467" t="str">
            <v>0836991302</v>
          </cell>
        </row>
        <row r="468">
          <cell r="B468" t="str">
            <v>BV0356</v>
          </cell>
          <cell r="C468" t="str">
            <v>Lê Thị Phượng</v>
          </cell>
          <cell r="D468" t="str">
            <v>BV0356</v>
          </cell>
          <cell r="E468" t="str">
            <v>x</v>
          </cell>
          <cell r="F468" t="str">
            <v>Điều dưỡng CĐ</v>
          </cell>
          <cell r="G468" t="str">
            <v>TĐ012</v>
          </cell>
          <cell r="H468" t="str">
            <v>Điều dưỡng (hạng IV)</v>
          </cell>
          <cell r="I468" t="str">
            <v>Điều dưỡng (hạng IV)</v>
          </cell>
          <cell r="J468" t="str">
            <v>YHCT</v>
          </cell>
          <cell r="K468" t="str">
            <v>KP020</v>
          </cell>
          <cell r="L468" t="str">
            <v>Viên chức CMNV</v>
          </cell>
          <cell r="M468">
            <v>0</v>
          </cell>
          <cell r="N468" t="str">
            <v>Viên chức</v>
          </cell>
          <cell r="O468">
            <v>38</v>
          </cell>
          <cell r="P468">
            <v>0</v>
          </cell>
          <cell r="Q468">
            <v>32357</v>
          </cell>
          <cell r="R468" t="str">
            <v>Kinh</v>
          </cell>
          <cell r="S468" t="str">
            <v>10/6/2013</v>
          </cell>
          <cell r="T468" t="str">
            <v>020188001066</v>
          </cell>
          <cell r="U468" t="str">
            <v>Tổ 3 khối 27
 Phường. Kỳ Lừa tỉnh Lạng Sơn</v>
          </cell>
          <cell r="W468" t="str">
            <v>000390/LS-CCHN</v>
          </cell>
          <cell r="X468" t="str">
            <v>06/01/2016</v>
          </cell>
          <cell r="Z468" t="str">
            <v>Khám bệnh, chữa bệnh bằng Y học cổ truyền</v>
          </cell>
          <cell r="AB468">
            <v>0</v>
          </cell>
          <cell r="AC468" t="str">
            <v>0373171227</v>
          </cell>
        </row>
        <row r="469">
          <cell r="B469" t="str">
            <v>BV0354</v>
          </cell>
          <cell r="C469" t="str">
            <v>Chu Hương Thảo</v>
          </cell>
          <cell r="D469" t="str">
            <v>BV0354</v>
          </cell>
          <cell r="E469" t="str">
            <v>x</v>
          </cell>
          <cell r="F469" t="str">
            <v>Điều dưỡng CĐ</v>
          </cell>
          <cell r="G469" t="str">
            <v>TĐ012</v>
          </cell>
          <cell r="H469" t="str">
            <v>Điều dưỡng (hạng IV)</v>
          </cell>
          <cell r="I469" t="str">
            <v>Điều dưỡng (hạng IV)</v>
          </cell>
          <cell r="J469" t="str">
            <v>YHCT</v>
          </cell>
          <cell r="K469" t="str">
            <v>KP020</v>
          </cell>
          <cell r="L469" t="str">
            <v>Viên chức CMNV</v>
          </cell>
          <cell r="M469">
            <v>0</v>
          </cell>
          <cell r="N469" t="str">
            <v>Viên chức</v>
          </cell>
          <cell r="O469">
            <v>52</v>
          </cell>
          <cell r="P469">
            <v>0</v>
          </cell>
          <cell r="Q469">
            <v>27217</v>
          </cell>
          <cell r="R469" t="str">
            <v>Tày</v>
          </cell>
          <cell r="S469" t="str">
            <v>1/2/2005</v>
          </cell>
          <cell r="T469" t="str">
            <v>020174000793</v>
          </cell>
          <cell r="U469" t="str">
            <v xml:space="preserve">421 Trần Quang Khải . 
Phường Lương Văn Tri, tỉnh Lạng Sơn </v>
          </cell>
          <cell r="W469" t="str">
            <v>000892/LS-CCHN</v>
          </cell>
          <cell r="X469" t="str">
            <v>24/06/2013</v>
          </cell>
          <cell r="Z469" t="str">
            <v>Khám bệnh, chữa bệnh bằng Y học cổ truyền</v>
          </cell>
          <cell r="AB469">
            <v>0</v>
          </cell>
          <cell r="AC469" t="str">
            <v>0983601630</v>
          </cell>
        </row>
        <row r="470">
          <cell r="B470" t="str">
            <v>BV0576</v>
          </cell>
          <cell r="C470" t="str">
            <v>Tô Thị Mai</v>
          </cell>
          <cell r="D470" t="str">
            <v>BV0576</v>
          </cell>
          <cell r="E470" t="str">
            <v>x</v>
          </cell>
          <cell r="F470" t="str">
            <v>Hộ lý</v>
          </cell>
          <cell r="G470" t="str">
            <v>TĐ047</v>
          </cell>
          <cell r="I470" t="str">
            <v>Hộ lý</v>
          </cell>
          <cell r="J470" t="str">
            <v>YHCT</v>
          </cell>
          <cell r="K470" t="str">
            <v>KP020</v>
          </cell>
          <cell r="N470" t="str">
            <v>HĐ có thời hạn</v>
          </cell>
          <cell r="O470">
            <v>51</v>
          </cell>
          <cell r="P470">
            <v>0</v>
          </cell>
          <cell r="Q470">
            <v>27504</v>
          </cell>
          <cell r="R470" t="str">
            <v xml:space="preserve">Tày </v>
          </cell>
          <cell r="S470" t="str">
            <v>16/11/2015</v>
          </cell>
          <cell r="T470" t="str">
            <v>020175002084</v>
          </cell>
          <cell r="U470" t="str">
            <v>Ngõ 195 đường Bến Bắc 
.phường Tam thanh ,tỉnh Lạng Sơn</v>
          </cell>
          <cell r="W470" t="str">
            <v/>
          </cell>
          <cell r="X470" t="str">
            <v/>
          </cell>
          <cell r="Z470" t="str">
            <v/>
          </cell>
          <cell r="AB470" t="str">
            <v/>
          </cell>
          <cell r="AC470">
            <v>335644909</v>
          </cell>
        </row>
        <row r="471">
          <cell r="B471" t="str">
            <v>BV0679</v>
          </cell>
          <cell r="C471" t="str">
            <v>Nguyễn Tuấn An</v>
          </cell>
          <cell r="D471" t="str">
            <v>BV0679</v>
          </cell>
          <cell r="F471" t="str">
            <v>BSCKI</v>
          </cell>
          <cell r="G471" t="str">
            <v>TĐ003</v>
          </cell>
          <cell r="H471" t="str">
            <v>Bác sĩ (hạng III)</v>
          </cell>
          <cell r="I471" t="str">
            <v>Bác sĩ (hạng III)</v>
          </cell>
          <cell r="J471" t="str">
            <v>VLTL-PHCN</v>
          </cell>
          <cell r="K471" t="str">
            <v>KP021</v>
          </cell>
          <cell r="L471" t="str">
            <v>Lãnh đạo khoa, phòng</v>
          </cell>
          <cell r="M471" t="str">
            <v>Trưởng khoa</v>
          </cell>
          <cell r="N471" t="str">
            <v>Viên chức</v>
          </cell>
          <cell r="O471">
            <v>35</v>
          </cell>
          <cell r="P471" t="str">
            <v>02/9/1990</v>
          </cell>
          <cell r="Q471">
            <v>0</v>
          </cell>
          <cell r="R471" t="str">
            <v>Tày</v>
          </cell>
          <cell r="S471" t="str">
            <v>10/01/2016</v>
          </cell>
          <cell r="T471" t="str">
            <v>020090000558</v>
          </cell>
          <cell r="U471" t="str">
            <v>Thôn Hoàng Thượng P. Tam Thanh - Tỉnh Lạng Sơn</v>
          </cell>
          <cell r="W471" t="str">
            <v>003327/LS-CCHN</v>
          </cell>
          <cell r="X471" t="str">
            <v>20/07/2018</v>
          </cell>
          <cell r="Z471" t="str">
            <v>Khám bệnh, chữa bệnh chuyên khoa PHCN</v>
          </cell>
          <cell r="AB471">
            <v>0</v>
          </cell>
          <cell r="AC471">
            <v>389923328</v>
          </cell>
        </row>
        <row r="472">
          <cell r="B472" t="str">
            <v>BV0361</v>
          </cell>
          <cell r="C472" t="str">
            <v>Lê Chí Hướng</v>
          </cell>
          <cell r="D472" t="str">
            <v>BV0361</v>
          </cell>
          <cell r="F472" t="str">
            <v>BSCKI</v>
          </cell>
          <cell r="G472" t="str">
            <v>TĐ003</v>
          </cell>
          <cell r="H472" t="str">
            <v>Bác sĩ (hạng III)</v>
          </cell>
          <cell r="I472" t="str">
            <v>Bác sĩ (hạng III)</v>
          </cell>
          <cell r="J472" t="str">
            <v>YHCT</v>
          </cell>
          <cell r="K472" t="str">
            <v>KP020</v>
          </cell>
          <cell r="L472" t="str">
            <v>Viên chức CMNV</v>
          </cell>
          <cell r="M472" t="str">
            <v>Phụ trách khoa</v>
          </cell>
          <cell r="N472" t="str">
            <v>Viên chức</v>
          </cell>
          <cell r="O472">
            <v>43</v>
          </cell>
          <cell r="P472">
            <v>30465</v>
          </cell>
          <cell r="Q472">
            <v>0</v>
          </cell>
          <cell r="R472" t="str">
            <v>Kinh</v>
          </cell>
          <cell r="S472" t="str">
            <v>10/6/2013</v>
          </cell>
          <cell r="T472" t="str">
            <v>020083000665</v>
          </cell>
          <cell r="U472" t="str">
            <v>253 Đường Bắc Sơn, Phường Kỳ Lừa, tỉnh Lạng Sơn</v>
          </cell>
          <cell r="W472" t="str">
            <v>000929/LS-CCHN</v>
          </cell>
          <cell r="X472" t="str">
            <v>24/06/2013</v>
          </cell>
          <cell r="Z472" t="str">
            <v>Khám bệnh chữa bệnh bằng Y học cổ truyền</v>
          </cell>
          <cell r="AB472" t="str">
            <v>17B;17.0001;17.0002;17.0003;17.0004;17.0005;17.0006;17.0007;17.0008;17.0009;17.0010;17.0012;17.0013;17.0014;17.0015;17.0018;17.0019;17.0022;17.0023;17.0024;17.0025;17.0026;17.0027;17.0028;17.0030;17.0102;17.0104;17.0104;17.0108;17.0109;17.0111;17.0124;17.0125;17.0126;17.0129;17.0130;17.0131;17.0132;17.0133;17.0134;17.0135;17.0141;17.0142;17.0143;17.0144;17.0145;17.0146;17.0147;17.0148;17.0149;17.0150;17.0151;17.0152;17.0153;17.0158;17.0159;17.0160;17.0161;17.0162;17.0163;17.0195;17.0215;17.0216;17.0232;17.0233;17.0250</v>
          </cell>
          <cell r="AC472" t="str">
            <v>0338286007</v>
          </cell>
        </row>
        <row r="473">
          <cell r="B473" t="str">
            <v>BV0686</v>
          </cell>
          <cell r="C473" t="str">
            <v>Nông Thị Thanh</v>
          </cell>
          <cell r="D473" t="str">
            <v>BV0686</v>
          </cell>
          <cell r="E473" t="str">
            <v>x</v>
          </cell>
          <cell r="F473" t="str">
            <v>BSCKI</v>
          </cell>
          <cell r="G473" t="str">
            <v>TĐ003</v>
          </cell>
          <cell r="H473" t="str">
            <v>Bác sĩ (hạng III)</v>
          </cell>
          <cell r="I473" t="str">
            <v>Bác sĩ (hạng III)</v>
          </cell>
          <cell r="J473" t="str">
            <v>VLTL-PHCN</v>
          </cell>
          <cell r="K473" t="str">
            <v>KP021</v>
          </cell>
          <cell r="L473" t="str">
            <v>Viên chức CMNV</v>
          </cell>
          <cell r="M473">
            <v>0</v>
          </cell>
          <cell r="N473" t="str">
            <v>Viên chức</v>
          </cell>
          <cell r="O473">
            <v>35</v>
          </cell>
          <cell r="P473">
            <v>0</v>
          </cell>
          <cell r="Q473" t="str">
            <v>21/12/1990</v>
          </cell>
          <cell r="R473" t="str">
            <v>Tày</v>
          </cell>
          <cell r="S473" t="str">
            <v>10/01/2016</v>
          </cell>
          <cell r="T473" t="str">
            <v>020190003095</v>
          </cell>
          <cell r="U473" t="str">
            <v>Khu Đại Nam- Xã Thất Khê- Tỉnh Lạng Sơn</v>
          </cell>
          <cell r="W473" t="str">
            <v>003455/LS-CCHN</v>
          </cell>
          <cell r="X473" t="str">
            <v>17/05/2019</v>
          </cell>
          <cell r="Z473" t="str">
            <v>Khám bệnh, chữa bệnh Nội khoa; Khám bệnh, chữa bệnh chuyên khoa Phục hồi chức năng</v>
          </cell>
          <cell r="AB473">
            <v>0</v>
          </cell>
          <cell r="AC473">
            <v>365198190</v>
          </cell>
        </row>
        <row r="474">
          <cell r="B474" t="str">
            <v>BV0761</v>
          </cell>
          <cell r="C474" t="str">
            <v>Lục Thị Lan</v>
          </cell>
          <cell r="D474" t="str">
            <v>BV0761</v>
          </cell>
          <cell r="E474" t="str">
            <v>x</v>
          </cell>
          <cell r="F474" t="str">
            <v>Bác sĩ</v>
          </cell>
          <cell r="G474" t="str">
            <v>TĐ005</v>
          </cell>
          <cell r="H474" t="str">
            <v>Bác sĩ (hạng III)</v>
          </cell>
          <cell r="I474" t="str">
            <v>Bác sĩ (hạng III)</v>
          </cell>
          <cell r="J474" t="str">
            <v>VLTL-PHCN</v>
          </cell>
          <cell r="K474" t="str">
            <v>KP021</v>
          </cell>
          <cell r="L474" t="str">
            <v>Viên chức CMNV</v>
          </cell>
          <cell r="M474">
            <v>0</v>
          </cell>
          <cell r="N474" t="str">
            <v>Viên chức</v>
          </cell>
          <cell r="O474">
            <v>33</v>
          </cell>
          <cell r="P474">
            <v>0</v>
          </cell>
          <cell r="Q474">
            <v>33897</v>
          </cell>
          <cell r="R474" t="str">
            <v>Nùng</v>
          </cell>
          <cell r="S474" t="str">
            <v>10/2/2017</v>
          </cell>
          <cell r="T474" t="str">
            <v>020192007786</v>
          </cell>
          <cell r="U474" t="str">
            <v>Phố Tâm An- Xã Văn Quan- Tỉnh Lạng Sơn</v>
          </cell>
          <cell r="W474" t="str">
            <v>003405/LS-CCHN</v>
          </cell>
          <cell r="X474" t="str">
            <v>21/08/2019</v>
          </cell>
          <cell r="Z474" t="str">
            <v>Khám bệnh, chữa bệnh Nội khoa; Phục hồi chức năng</v>
          </cell>
          <cell r="AB474">
            <v>0</v>
          </cell>
          <cell r="AC474" t="str">
            <v>0362009887</v>
          </cell>
        </row>
        <row r="475">
          <cell r="B475" t="str">
            <v>BV0838</v>
          </cell>
          <cell r="C475" t="str">
            <v>Hứa Mạnh Tuấn</v>
          </cell>
          <cell r="D475" t="str">
            <v>BV0838</v>
          </cell>
          <cell r="F475" t="str">
            <v>Bác sĩ</v>
          </cell>
          <cell r="G475" t="str">
            <v>TĐ005</v>
          </cell>
          <cell r="H475" t="str">
            <v>Bác sĩ (hạng III)</v>
          </cell>
          <cell r="I475" t="str">
            <v>Bác sĩ (hạng III)</v>
          </cell>
          <cell r="J475" t="str">
            <v>VLTL-PHCN</v>
          </cell>
          <cell r="K475" t="str">
            <v>KP021</v>
          </cell>
          <cell r="L475" t="str">
            <v>Viên chức CMNV</v>
          </cell>
          <cell r="M475">
            <v>0</v>
          </cell>
          <cell r="N475" t="str">
            <v>Viên chức</v>
          </cell>
          <cell r="O475">
            <v>39</v>
          </cell>
          <cell r="P475" t="str">
            <v>25/3/1987</v>
          </cell>
          <cell r="Q475">
            <v>0</v>
          </cell>
          <cell r="R475" t="str">
            <v>Nùng</v>
          </cell>
          <cell r="S475" t="str">
            <v>20/3/2018</v>
          </cell>
          <cell r="T475" t="str">
            <v>020087006624</v>
          </cell>
          <cell r="U475" t="str">
            <v>4/476 Trần Đăng Ninh Khối 12- P Kỳ Lừa- Tỉnh Lạng Sơn</v>
          </cell>
          <cell r="W475" t="str">
            <v>003620/LS-CCHN</v>
          </cell>
          <cell r="X475" t="str">
            <v>21/10/2019</v>
          </cell>
          <cell r="Z475" t="str">
            <v>Khám bệnh, chữa bệnh Nội khoa; Khám bệnh, chữa bệnh chuyên khoa Phục hồi chức năng</v>
          </cell>
          <cell r="AB475">
            <v>0</v>
          </cell>
          <cell r="AC475">
            <v>914338616</v>
          </cell>
          <cell r="AD475" t="str">
            <v>BC 20/3/2018</v>
          </cell>
        </row>
        <row r="476">
          <cell r="B476" t="str">
            <v>BV0056</v>
          </cell>
          <cell r="C476" t="str">
            <v>Hoàng Diệu Linh</v>
          </cell>
          <cell r="D476" t="str">
            <v>BV0056</v>
          </cell>
          <cell r="E476" t="str">
            <v>x</v>
          </cell>
          <cell r="F476" t="str">
            <v>Điều dưỡng ĐH</v>
          </cell>
          <cell r="G476" t="str">
            <v>TĐ011</v>
          </cell>
          <cell r="H476" t="str">
            <v>Điều dưỡng (hạng III)</v>
          </cell>
          <cell r="I476" t="str">
            <v>Điều dưỡng (hạng III)</v>
          </cell>
          <cell r="J476" t="str">
            <v>VLTL-PHCN</v>
          </cell>
          <cell r="K476" t="str">
            <v>KP021</v>
          </cell>
          <cell r="L476" t="str">
            <v>Lãnh đạo khoa, phòng</v>
          </cell>
          <cell r="M476" t="str">
            <v>Điều dưỡng trưởng</v>
          </cell>
          <cell r="N476" t="str">
            <v>Viên chức</v>
          </cell>
          <cell r="O476">
            <v>48</v>
          </cell>
          <cell r="P476">
            <v>0</v>
          </cell>
          <cell r="Q476">
            <v>28560</v>
          </cell>
          <cell r="R476" t="str">
            <v>Tày</v>
          </cell>
          <cell r="S476" t="str">
            <v>16/2/2005</v>
          </cell>
          <cell r="T476" t="str">
            <v>020178009074</v>
          </cell>
          <cell r="U476" t="str">
            <v>Tổ 5- Khối 8- Phường Đông Kinh- Tỉnh Lạng Sơn</v>
          </cell>
          <cell r="W476" t="str">
            <v>000772/LS-CCHN</v>
          </cell>
          <cell r="X476" t="str">
            <v>11/01/2023</v>
          </cell>
          <cell r="Z47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76" t="str">
            <v>17.0037;17.0052;17.0053;17.0073;17.0085</v>
          </cell>
          <cell r="AC476" t="str">
            <v>0918035989</v>
          </cell>
        </row>
        <row r="477">
          <cell r="B477" t="str">
            <v>BV0171</v>
          </cell>
          <cell r="C477" t="str">
            <v>Chu Thị Vinh</v>
          </cell>
          <cell r="D477" t="str">
            <v>BV0171</v>
          </cell>
          <cell r="E477" t="str">
            <v>x</v>
          </cell>
          <cell r="F477" t="str">
            <v>Điều dưỡng CĐ</v>
          </cell>
          <cell r="G477" t="str">
            <v>TĐ012</v>
          </cell>
          <cell r="H477" t="str">
            <v>Điều dưỡng (hạng IV)</v>
          </cell>
          <cell r="I477" t="str">
            <v>Điều dưỡng (hạng IV)</v>
          </cell>
          <cell r="J477" t="str">
            <v>VLTL-PHCN</v>
          </cell>
          <cell r="K477" t="str">
            <v>KP021</v>
          </cell>
          <cell r="L477" t="str">
            <v>Viên chức CMNV</v>
          </cell>
          <cell r="M477">
            <v>0</v>
          </cell>
          <cell r="N477" t="str">
            <v>Viên chức</v>
          </cell>
          <cell r="O477">
            <v>42</v>
          </cell>
          <cell r="P477">
            <v>0</v>
          </cell>
          <cell r="Q477">
            <v>30547</v>
          </cell>
          <cell r="R477" t="str">
            <v>Nùng</v>
          </cell>
          <cell r="S477" t="str">
            <v>15/1/2010</v>
          </cell>
          <cell r="T477" t="str">
            <v>020183000877</v>
          </cell>
          <cell r="U477" t="str">
            <v>Số nhà 1 Tổ 4- Khối 4 P Kỳ Lừa- Tỉnh Lạng Sơn</v>
          </cell>
          <cell r="W477" t="str">
            <v>001050/LS-CCHN</v>
          </cell>
          <cell r="X477" t="str">
            <v>11/01/2023</v>
          </cell>
          <cell r="Z47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77" t="str">
            <v>17.0037;17.0052;17.0053;17.0073;17.0085</v>
          </cell>
          <cell r="AC477" t="str">
            <v>0978635436</v>
          </cell>
        </row>
        <row r="478">
          <cell r="B478" t="str">
            <v>BV0221</v>
          </cell>
          <cell r="C478" t="str">
            <v>Nông Quốc Công</v>
          </cell>
          <cell r="D478" t="str">
            <v>BV0221</v>
          </cell>
          <cell r="F478" t="str">
            <v>Điều dưỡng CĐ</v>
          </cell>
          <cell r="G478" t="str">
            <v>TĐ012</v>
          </cell>
          <cell r="H478" t="str">
            <v>Điều dưỡng (hạng IV)</v>
          </cell>
          <cell r="I478" t="str">
            <v>Điều dưỡng (hạng IV)</v>
          </cell>
          <cell r="J478" t="str">
            <v>VLTL-PHCN</v>
          </cell>
          <cell r="K478" t="str">
            <v>KP021</v>
          </cell>
          <cell r="L478" t="str">
            <v>Viên chức CMNV</v>
          </cell>
          <cell r="M478">
            <v>0</v>
          </cell>
          <cell r="N478" t="str">
            <v>Viên chức</v>
          </cell>
          <cell r="O478">
            <v>39</v>
          </cell>
          <cell r="P478">
            <v>31668</v>
          </cell>
          <cell r="Q478">
            <v>0</v>
          </cell>
          <cell r="R478" t="str">
            <v>Nùng</v>
          </cell>
          <cell r="S478" t="str">
            <v>1/12/2008</v>
          </cell>
          <cell r="T478" t="str">
            <v>025086019580</v>
          </cell>
          <cell r="U478" t="str">
            <v>Ngõ 195 Bến Bắc Khối 10 P. Tam Thanh-Tỉnh Lạng Sơn</v>
          </cell>
          <cell r="W478" t="str">
            <v>000935/LS-CCHN</v>
          </cell>
          <cell r="X478" t="str">
            <v>11/01/2023</v>
          </cell>
          <cell r="Z47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78" t="str">
            <v>17.0037;17.0052;17.0053;17.0073;17.0085</v>
          </cell>
          <cell r="AC478">
            <v>976062972</v>
          </cell>
        </row>
        <row r="479">
          <cell r="B479" t="str">
            <v>BV0371</v>
          </cell>
          <cell r="C479" t="str">
            <v>Tô Thị Nghị</v>
          </cell>
          <cell r="D479" t="str">
            <v>BV0371</v>
          </cell>
          <cell r="E479" t="str">
            <v>x</v>
          </cell>
          <cell r="F479" t="str">
            <v>Điều dưỡng CĐ</v>
          </cell>
          <cell r="G479" t="str">
            <v>TĐ012</v>
          </cell>
          <cell r="H479" t="str">
            <v>Điều dưỡng (hạng IV)</v>
          </cell>
          <cell r="I479" t="str">
            <v>Điều dưỡng (hạng IV)</v>
          </cell>
          <cell r="J479" t="str">
            <v>VLTL-PHCN</v>
          </cell>
          <cell r="K479" t="str">
            <v>KP021</v>
          </cell>
          <cell r="L479" t="str">
            <v>Viên chức CMNV</v>
          </cell>
          <cell r="M479">
            <v>0</v>
          </cell>
          <cell r="N479" t="str">
            <v>Viên chức</v>
          </cell>
          <cell r="O479">
            <v>44</v>
          </cell>
          <cell r="P479">
            <v>0</v>
          </cell>
          <cell r="Q479">
            <v>29865</v>
          </cell>
          <cell r="R479" t="str">
            <v>Tày</v>
          </cell>
          <cell r="S479" t="str">
            <v>6/11/2006</v>
          </cell>
          <cell r="T479" t="str">
            <v>020181002307</v>
          </cell>
          <cell r="U479" t="str">
            <v>Khối Trần Quang Khải 1 P. Lương Văn Tri- Tỉnh Lạng Sơn</v>
          </cell>
          <cell r="W479" t="str">
            <v>001110/LS-CCHN</v>
          </cell>
          <cell r="X479" t="str">
            <v>11/01/2023</v>
          </cell>
          <cell r="Z47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79" t="str">
            <v>17.0037;17.0052;17.0053;17.0073;17.0085</v>
          </cell>
          <cell r="AC479" t="str">
            <v>0984347366</v>
          </cell>
        </row>
        <row r="480">
          <cell r="B480" t="str">
            <v>BV0363</v>
          </cell>
          <cell r="C480" t="str">
            <v>Chu Thị Trang Nhung</v>
          </cell>
          <cell r="D480" t="str">
            <v>BV0363</v>
          </cell>
          <cell r="E480" t="str">
            <v>x</v>
          </cell>
          <cell r="F480" t="str">
            <v>KTY ĐH</v>
          </cell>
          <cell r="G480" t="str">
            <v>TĐ014</v>
          </cell>
          <cell r="H480" t="str">
            <v>Kỹ thuật y (hạng III)</v>
          </cell>
          <cell r="I480" t="str">
            <v>Kỹ thuật y (hạng III)</v>
          </cell>
          <cell r="J480" t="str">
            <v>VLTL-PHCN</v>
          </cell>
          <cell r="K480" t="str">
            <v>KP021</v>
          </cell>
          <cell r="L480" t="str">
            <v>Viên chức CMNV</v>
          </cell>
          <cell r="M480">
            <v>0</v>
          </cell>
          <cell r="N480" t="str">
            <v>Viên chức</v>
          </cell>
          <cell r="O480">
            <v>42</v>
          </cell>
          <cell r="P480">
            <v>0</v>
          </cell>
          <cell r="Q480">
            <v>30662</v>
          </cell>
          <cell r="R480" t="str">
            <v>Tày</v>
          </cell>
          <cell r="S480" t="str">
            <v>1/11/2006</v>
          </cell>
          <cell r="T480" t="str">
            <v>020183006354</v>
          </cell>
          <cell r="U480" t="str">
            <v>Thôn Nà Pài- Xã Tràng Định - Tỉnh lạng Sơn</v>
          </cell>
          <cell r="W480" t="str">
            <v>000899/LS-CCHN</v>
          </cell>
          <cell r="X480" t="str">
            <v>11/01/2023</v>
          </cell>
          <cell r="Z480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80">
            <v>0</v>
          </cell>
          <cell r="AC480" t="str">
            <v>0975178325</v>
          </cell>
        </row>
        <row r="481">
          <cell r="B481" t="str">
            <v>BV0367</v>
          </cell>
          <cell r="C481" t="str">
            <v>Nguyễn Hữu Tài</v>
          </cell>
          <cell r="D481" t="str">
            <v>BV0367</v>
          </cell>
          <cell r="F481" t="str">
            <v>KTY CĐ</v>
          </cell>
          <cell r="G481" t="str">
            <v>TĐ015</v>
          </cell>
          <cell r="H481" t="str">
            <v>Kỹ thuật y (hạng IV)</v>
          </cell>
          <cell r="I481" t="str">
            <v>Kỹ thuật y (hạng IV)</v>
          </cell>
          <cell r="J481" t="str">
            <v>VLTL-PHCN</v>
          </cell>
          <cell r="K481" t="str">
            <v>KP021</v>
          </cell>
          <cell r="L481" t="str">
            <v>Viên chức CMNV</v>
          </cell>
          <cell r="M481">
            <v>0</v>
          </cell>
          <cell r="N481" t="str">
            <v>Viên chức</v>
          </cell>
          <cell r="O481">
            <v>38</v>
          </cell>
          <cell r="P481">
            <v>32268</v>
          </cell>
          <cell r="Q481">
            <v>0</v>
          </cell>
          <cell r="R481" t="str">
            <v>Kinh</v>
          </cell>
          <cell r="S481" t="str">
            <v>1/12/2010</v>
          </cell>
          <cell r="T481" t="str">
            <v>020088000499</v>
          </cell>
          <cell r="U481" t="str">
            <v>Tổ 2- khối 2- P Kỳ Lừa- Tỉnh Lạng Sơn</v>
          </cell>
          <cell r="W481" t="str">
            <v>000902/LS-CCHN</v>
          </cell>
          <cell r="X481" t="str">
            <v>11/01/2023</v>
          </cell>
          <cell r="Z48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81">
            <v>0</v>
          </cell>
          <cell r="AC481" t="str">
            <v>0913298556</v>
          </cell>
        </row>
        <row r="482">
          <cell r="B482" t="str">
            <v>BV0362</v>
          </cell>
          <cell r="C482" t="str">
            <v>Nguyễn Thị Hà</v>
          </cell>
          <cell r="D482" t="str">
            <v>BV0362</v>
          </cell>
          <cell r="E482" t="str">
            <v>x</v>
          </cell>
          <cell r="F482" t="str">
            <v>KTY TC</v>
          </cell>
          <cell r="G482" t="str">
            <v>TĐ016</v>
          </cell>
          <cell r="H482" t="str">
            <v>Kỹ thuật y (hạng IV)</v>
          </cell>
          <cell r="I482" t="str">
            <v>Kỹ thuật y (hạng IV)</v>
          </cell>
          <cell r="J482" t="str">
            <v>VLTL-PHCN</v>
          </cell>
          <cell r="K482" t="str">
            <v>KP021</v>
          </cell>
          <cell r="L482" t="str">
            <v>Viên chức CMNV</v>
          </cell>
          <cell r="M482">
            <v>0</v>
          </cell>
          <cell r="N482" t="str">
            <v>Viên chức</v>
          </cell>
          <cell r="O482">
            <v>56</v>
          </cell>
          <cell r="P482">
            <v>0</v>
          </cell>
          <cell r="Q482">
            <v>25487</v>
          </cell>
          <cell r="R482" t="str">
            <v>Tày</v>
          </cell>
          <cell r="S482" t="str">
            <v>12/4/1994</v>
          </cell>
          <cell r="T482" t="str">
            <v>020169009801</v>
          </cell>
          <cell r="U482" t="str">
            <v>Ngõ 195 Bến Bắc Khối 10 P. Tam Thanh-Tỉnh Lạng Sơn</v>
          </cell>
          <cell r="W482" t="str">
            <v>000896/LS-CCHN</v>
          </cell>
          <cell r="X482" t="str">
            <v>24/06/2013</v>
          </cell>
          <cell r="Z482" t="str">
            <v>Theo quy định tại Thông tư số 23/2009/TT-BYT ngày 01/12/2009 của Bộ Y tế ban hành tiêu chuẩn nghiệp vụ các ngạch viên chức kỹ thuật y học</v>
          </cell>
          <cell r="AB482">
            <v>0</v>
          </cell>
          <cell r="AC482" t="str">
            <v>0915984909</v>
          </cell>
        </row>
        <row r="483">
          <cell r="B483" t="str">
            <v>BV0370</v>
          </cell>
          <cell r="C483" t="str">
            <v>Hoàng Mạnh Linh</v>
          </cell>
          <cell r="D483" t="str">
            <v>BV0370</v>
          </cell>
          <cell r="F483" t="str">
            <v>KTY CĐ</v>
          </cell>
          <cell r="G483" t="str">
            <v>TĐ015</v>
          </cell>
          <cell r="H483" t="str">
            <v>Kỹ thuật y (hạng IV)</v>
          </cell>
          <cell r="I483" t="str">
            <v>Kỹ thuật y (hạng IV)</v>
          </cell>
          <cell r="J483" t="str">
            <v>VLTL-PHCN</v>
          </cell>
          <cell r="K483" t="str">
            <v>KP021</v>
          </cell>
          <cell r="L483" t="str">
            <v>Viên chức CMNV</v>
          </cell>
          <cell r="M483">
            <v>0</v>
          </cell>
          <cell r="N483" t="str">
            <v>Viên chức</v>
          </cell>
          <cell r="O483">
            <v>40</v>
          </cell>
          <cell r="P483" t="str">
            <v>13/12/1985</v>
          </cell>
          <cell r="Q483">
            <v>0</v>
          </cell>
          <cell r="R483" t="str">
            <v>Tày</v>
          </cell>
          <cell r="S483" t="str">
            <v>06/01/2014</v>
          </cell>
          <cell r="T483" t="str">
            <v>020085009133</v>
          </cell>
          <cell r="U483" t="str">
            <v>309 Đường Nhị Thanh Khối 10- P Tam Thanh- Tỉnh Lạng Sơn</v>
          </cell>
          <cell r="W483" t="str">
            <v>000398/LS-CCHN</v>
          </cell>
          <cell r="X483" t="str">
            <v>11/01/2023</v>
          </cell>
          <cell r="Z48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83">
            <v>0</v>
          </cell>
          <cell r="AC483" t="str">
            <v>0987373131</v>
          </cell>
        </row>
        <row r="484">
          <cell r="B484" t="str">
            <v>BV0369</v>
          </cell>
          <cell r="C484" t="str">
            <v>Vi Văn Tân</v>
          </cell>
          <cell r="D484" t="str">
            <v>BV0369</v>
          </cell>
          <cell r="F484" t="str">
            <v>KTY TC</v>
          </cell>
          <cell r="G484" t="str">
            <v>TĐ016</v>
          </cell>
          <cell r="I484" t="str">
            <v>Kỹ thuật y (hạng IV)</v>
          </cell>
          <cell r="J484" t="str">
            <v>VLTL-PHCN</v>
          </cell>
          <cell r="K484" t="str">
            <v>KP021</v>
          </cell>
          <cell r="N484" t="str">
            <v>HĐ có thời hạn</v>
          </cell>
          <cell r="O484">
            <v>37</v>
          </cell>
          <cell r="P484">
            <v>32686</v>
          </cell>
          <cell r="Q484">
            <v>0</v>
          </cell>
          <cell r="R484" t="str">
            <v>Nùng</v>
          </cell>
          <cell r="S484" t="str">
            <v>1/11/2013</v>
          </cell>
          <cell r="T484" t="str">
            <v>020089009096</v>
          </cell>
          <cell r="U484" t="str">
            <v>Khối Cổ Lương- P Kỳ Lừa- Tỉnh Lạng Sơn</v>
          </cell>
          <cell r="W484" t="str">
            <v>004544/LS-CCHN</v>
          </cell>
          <cell r="X484" t="str">
            <v>12/05/2022</v>
          </cell>
          <cell r="Z484" t="str">
            <v>Kỹ thuật viên Vật lý trị liệu - Phục hồi chức năng</v>
          </cell>
          <cell r="AB484">
            <v>0</v>
          </cell>
          <cell r="AC484">
            <v>822862866</v>
          </cell>
        </row>
        <row r="485">
          <cell r="B485" t="str">
            <v>BV0878</v>
          </cell>
          <cell r="C485" t="str">
            <v>Trần Thị Ngọc</v>
          </cell>
          <cell r="D485" t="str">
            <v>BV0878</v>
          </cell>
          <cell r="E485" t="str">
            <v>x</v>
          </cell>
          <cell r="F485" t="str">
            <v>Hộ lý</v>
          </cell>
          <cell r="G485" t="str">
            <v>TĐ047</v>
          </cell>
          <cell r="I485" t="str">
            <v>Hộ lý</v>
          </cell>
          <cell r="J485" t="str">
            <v>VLTL-PHCN</v>
          </cell>
          <cell r="K485" t="str">
            <v>KP021</v>
          </cell>
          <cell r="N485" t="str">
            <v>HĐ có thời hạn</v>
          </cell>
          <cell r="O485">
            <v>36</v>
          </cell>
          <cell r="P485">
            <v>0</v>
          </cell>
          <cell r="Q485" t="str">
            <v>28/06/1990</v>
          </cell>
          <cell r="R485" t="str">
            <v>Tày</v>
          </cell>
          <cell r="S485" t="str">
            <v>01/11/2018</v>
          </cell>
          <cell r="T485" t="str">
            <v>020190003112</v>
          </cell>
          <cell r="U485" t="str">
            <v>Thôn Bản Téng- Xã Tri Lễ- Tỉnh Lạng Sơn</v>
          </cell>
          <cell r="W485" t="str">
            <v/>
          </cell>
          <cell r="X485" t="str">
            <v/>
          </cell>
          <cell r="Z485" t="str">
            <v/>
          </cell>
          <cell r="AB485" t="str">
            <v/>
          </cell>
          <cell r="AC485">
            <v>383266348</v>
          </cell>
          <cell r="AD485" t="str">
            <v>Thử việc T11/2018</v>
          </cell>
        </row>
        <row r="486">
          <cell r="B486" t="str">
            <v>BV0375</v>
          </cell>
          <cell r="C486" t="str">
            <v>Lý Thị Anh</v>
          </cell>
          <cell r="D486" t="str">
            <v>BV0375</v>
          </cell>
          <cell r="E486" t="str">
            <v>x</v>
          </cell>
          <cell r="F486" t="str">
            <v>BSCKI</v>
          </cell>
          <cell r="G486" t="str">
            <v>TĐ003</v>
          </cell>
          <cell r="H486" t="str">
            <v>Bác sĩ (hạng III)</v>
          </cell>
          <cell r="I486" t="str">
            <v>Bác sĩ (hạng III)</v>
          </cell>
          <cell r="J486" t="str">
            <v>Tai mũi họng</v>
          </cell>
          <cell r="K486" t="str">
            <v>KP022</v>
          </cell>
          <cell r="L486" t="str">
            <v>Lãnh đạo khoa, phòng</v>
          </cell>
          <cell r="M486" t="str">
            <v>Phụ trách khoa</v>
          </cell>
          <cell r="N486" t="str">
            <v>Viên chức</v>
          </cell>
          <cell r="O486">
            <v>48</v>
          </cell>
          <cell r="P486">
            <v>0</v>
          </cell>
          <cell r="Q486">
            <v>28424</v>
          </cell>
          <cell r="R486" t="str">
            <v>Tày</v>
          </cell>
          <cell r="S486" t="str">
            <v>01/01/2003</v>
          </cell>
          <cell r="T486" t="str">
            <v>020177001574</v>
          </cell>
          <cell r="U486" t="str">
            <v>Số 10 Nguyễn Phi Khanh, Khối 3, phường Tam thanh, Tỉnh Lạng Sơn</v>
          </cell>
          <cell r="W486" t="str">
            <v>000238/LS-CCHN</v>
          </cell>
          <cell r="X486" t="str">
            <v>20/12/2012</v>
          </cell>
          <cell r="Z486" t="str">
            <v>Khám bệnh, chữa bệnh chuyên khoa Tai mũi họng</v>
          </cell>
          <cell r="AB486">
            <v>0</v>
          </cell>
          <cell r="AC486">
            <v>919164866</v>
          </cell>
        </row>
        <row r="487">
          <cell r="B487" t="str">
            <v>BV0006</v>
          </cell>
          <cell r="C487" t="str">
            <v>Nguyễn Mạnh Cường</v>
          </cell>
          <cell r="D487" t="str">
            <v>BV0006</v>
          </cell>
          <cell r="F487" t="str">
            <v>BSCKI</v>
          </cell>
          <cell r="G487" t="str">
            <v>TĐ003</v>
          </cell>
          <cell r="H487" t="str">
            <v>Bác sĩ (hạng III)</v>
          </cell>
          <cell r="I487" t="str">
            <v>Bác sĩ (hạng III)</v>
          </cell>
          <cell r="J487" t="str">
            <v>Tai mũi họng</v>
          </cell>
          <cell r="K487" t="str">
            <v>KP022</v>
          </cell>
          <cell r="L487" t="str">
            <v>Lãnh đạo khoa, phòng</v>
          </cell>
          <cell r="M487" t="str">
            <v>Phó trưởng khoa</v>
          </cell>
          <cell r="N487" t="str">
            <v>Viên chức</v>
          </cell>
          <cell r="O487">
            <v>38</v>
          </cell>
          <cell r="P487">
            <v>32005</v>
          </cell>
          <cell r="Q487">
            <v>0</v>
          </cell>
          <cell r="R487" t="str">
            <v>Kinh</v>
          </cell>
          <cell r="S487" t="str">
            <v>10/8/2012</v>
          </cell>
          <cell r="T487" t="str">
            <v>020087009992</v>
          </cell>
          <cell r="U487" t="str">
            <v>số 9 Nguyễn Thái Học- phường Lương Văn Tri- tỉnh Lạng Sơn</v>
          </cell>
          <cell r="W487" t="str">
            <v>000350/LS-CCHN</v>
          </cell>
          <cell r="X487" t="str">
            <v>14/04/2016</v>
          </cell>
          <cell r="Z487" t="str">
            <v>Khám bệnh, chữa bệnh chuyên khoa Tai mũi họng</v>
          </cell>
          <cell r="AB487">
            <v>0</v>
          </cell>
          <cell r="AC487" t="str">
            <v>0975266686</v>
          </cell>
        </row>
        <row r="488">
          <cell r="B488" t="str">
            <v>BV0249</v>
          </cell>
          <cell r="C488" t="str">
            <v>Trần Hồng Nhung</v>
          </cell>
          <cell r="D488" t="str">
            <v>BV0249</v>
          </cell>
          <cell r="E488" t="str">
            <v>x</v>
          </cell>
          <cell r="F488" t="str">
            <v>Bác sĩ</v>
          </cell>
          <cell r="G488" t="str">
            <v>TĐ005</v>
          </cell>
          <cell r="H488" t="str">
            <v>Bác sĩ (hạng III)</v>
          </cell>
          <cell r="I488" t="str">
            <v>Bác sĩ (hạng III)</v>
          </cell>
          <cell r="J488" t="str">
            <v>Tai mũi họng</v>
          </cell>
          <cell r="K488" t="str">
            <v>KP022</v>
          </cell>
          <cell r="L488" t="str">
            <v>Viên chức CMNV</v>
          </cell>
          <cell r="M488">
            <v>0</v>
          </cell>
          <cell r="N488" t="str">
            <v>Viên chức</v>
          </cell>
          <cell r="O488">
            <v>38</v>
          </cell>
          <cell r="P488">
            <v>0</v>
          </cell>
          <cell r="Q488">
            <v>32302</v>
          </cell>
          <cell r="R488" t="str">
            <v>Kinh</v>
          </cell>
          <cell r="S488" t="str">
            <v>1/11/2014</v>
          </cell>
          <cell r="T488" t="str">
            <v>020188002922</v>
          </cell>
          <cell r="U488" t="str">
            <v>40/2 Chu Văn An p. Đông Kinh, Lạng Sơn</v>
          </cell>
          <cell r="W488" t="str">
            <v>003409/LS-CCHN</v>
          </cell>
          <cell r="X488" t="str">
            <v>21/12/2018</v>
          </cell>
          <cell r="Z488" t="str">
            <v>Khám bệnh, chữa bệnh chuyên khoa Tai mũi họng</v>
          </cell>
          <cell r="AB488">
            <v>0</v>
          </cell>
          <cell r="AC488" t="str">
            <v>0917861988</v>
          </cell>
        </row>
        <row r="489">
          <cell r="B489" t="str">
            <v>BV0949</v>
          </cell>
          <cell r="C489" t="str">
            <v>Đinh Quang Hưng</v>
          </cell>
          <cell r="D489" t="str">
            <v>BV0949</v>
          </cell>
          <cell r="F489" t="str">
            <v>Bác sĩ</v>
          </cell>
          <cell r="G489" t="str">
            <v>TĐ005</v>
          </cell>
          <cell r="I489" t="str">
            <v>Bác sĩ (hạng III)</v>
          </cell>
          <cell r="J489" t="str">
            <v>Tai mũi họng</v>
          </cell>
          <cell r="K489" t="str">
            <v>KP022</v>
          </cell>
          <cell r="N489" t="str">
            <v>Viên chức</v>
          </cell>
          <cell r="O489">
            <v>33</v>
          </cell>
          <cell r="P489" t="str">
            <v>23/2/1993</v>
          </cell>
          <cell r="Q489">
            <v>0</v>
          </cell>
          <cell r="R489" t="str">
            <v>Tày</v>
          </cell>
          <cell r="S489" t="str">
            <v>15/8/2019</v>
          </cell>
          <cell r="T489" t="str">
            <v>020093002101</v>
          </cell>
          <cell r="U489" t="str">
            <v>Số 15 - Nhị Thanh - Phường Tam Thanh - Tỉnh Lạng Sơn</v>
          </cell>
          <cell r="W489" t="str">
            <v>004364/LS-CCHN</v>
          </cell>
          <cell r="X489" t="str">
            <v>07/10/2021</v>
          </cell>
          <cell r="Z489" t="str">
            <v>Khám bệnh, chữa bệnh chuyên khoa Tai mũi họng</v>
          </cell>
          <cell r="AB489">
            <v>0</v>
          </cell>
          <cell r="AC489">
            <v>972681914</v>
          </cell>
          <cell r="AD489" t="str">
            <v>Thử việc 15/8/2019; đỗ VC 20/5/2026</v>
          </cell>
        </row>
        <row r="490">
          <cell r="B490" t="str">
            <v>BV1230</v>
          </cell>
          <cell r="C490" t="str">
            <v>Nông Thị Ngân Giang</v>
          </cell>
          <cell r="D490" t="str">
            <v>BV1230</v>
          </cell>
          <cell r="E490" t="str">
            <v>x</v>
          </cell>
          <cell r="F490" t="str">
            <v>Bác sĩ</v>
          </cell>
          <cell r="G490" t="str">
            <v>TĐ005</v>
          </cell>
          <cell r="I490" t="str">
            <v>Bác sĩ (hạng III)</v>
          </cell>
          <cell r="J490" t="str">
            <v>Tai mũi họng</v>
          </cell>
          <cell r="K490" t="str">
            <v>KP022</v>
          </cell>
          <cell r="N490" t="str">
            <v>Viên chức</v>
          </cell>
          <cell r="O490">
            <v>28</v>
          </cell>
          <cell r="P490">
            <v>0</v>
          </cell>
          <cell r="Q490" t="str">
            <v>25/02/1998</v>
          </cell>
          <cell r="R490" t="str">
            <v>Nùng</v>
          </cell>
          <cell r="S490">
            <v>45030</v>
          </cell>
          <cell r="T490" t="str">
            <v>020198005668</v>
          </cell>
          <cell r="U490">
            <v>0</v>
          </cell>
          <cell r="V490">
            <v>45579</v>
          </cell>
          <cell r="W490" t="str">
            <v>000210/LS-GPHN</v>
          </cell>
          <cell r="X490">
            <v>45708</v>
          </cell>
          <cell r="Z490" t="str">
            <v>Chuyên khoa Ngoại khoa</v>
          </cell>
          <cell r="AB490">
            <v>0</v>
          </cell>
          <cell r="AC490" t="str">
            <v>0368570712</v>
          </cell>
          <cell r="AD490" t="str">
            <v>Thử việc 14/4/2023, Viên chức từ 15/6/2026</v>
          </cell>
        </row>
        <row r="491">
          <cell r="B491" t="str">
            <v>BV0376</v>
          </cell>
          <cell r="C491" t="str">
            <v>Hoàng Thu Hường</v>
          </cell>
          <cell r="D491" t="str">
            <v>BV0376</v>
          </cell>
          <cell r="E491" t="str">
            <v>x</v>
          </cell>
          <cell r="F491" t="str">
            <v>Điều dưỡng ĐH</v>
          </cell>
          <cell r="G491" t="str">
            <v>TĐ011</v>
          </cell>
          <cell r="H491" t="str">
            <v>Điều dưỡng (hạng III)</v>
          </cell>
          <cell r="I491" t="str">
            <v>Điều dưỡng (hạng III)</v>
          </cell>
          <cell r="J491" t="str">
            <v>Tai mũi họng</v>
          </cell>
          <cell r="K491" t="str">
            <v>KP022</v>
          </cell>
          <cell r="L491" t="str">
            <v>Lãnh đạo khoa, phòng</v>
          </cell>
          <cell r="M491" t="str">
            <v>Điều dưỡng trưởng</v>
          </cell>
          <cell r="N491" t="str">
            <v>Viên chức</v>
          </cell>
          <cell r="O491">
            <v>57</v>
          </cell>
          <cell r="P491">
            <v>0</v>
          </cell>
          <cell r="Q491">
            <v>25389</v>
          </cell>
          <cell r="R491" t="str">
            <v>Tày</v>
          </cell>
          <cell r="S491" t="str">
            <v>1/1/2003</v>
          </cell>
          <cell r="T491" t="str">
            <v>020169001674</v>
          </cell>
          <cell r="U491" t="str">
            <v>Số 11 đường Kéo Tào-Phường Đông Kinh- Tỉnh Lạng Sơn</v>
          </cell>
          <cell r="W491" t="str">
            <v>000993/LS-CCHN</v>
          </cell>
          <cell r="X491" t="str">
            <v>24/06/2013</v>
          </cell>
          <cell r="Z491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491">
            <v>0</v>
          </cell>
          <cell r="AC491">
            <v>919502133</v>
          </cell>
        </row>
        <row r="492">
          <cell r="B492" t="str">
            <v>BV0380</v>
          </cell>
          <cell r="C492" t="str">
            <v>Nông Thị Tươi</v>
          </cell>
          <cell r="D492" t="str">
            <v>BV0380</v>
          </cell>
          <cell r="E492" t="str">
            <v>x</v>
          </cell>
          <cell r="F492" t="str">
            <v>Điều dưỡng ĐH</v>
          </cell>
          <cell r="G492" t="str">
            <v>TĐ011</v>
          </cell>
          <cell r="H492" t="str">
            <v>Điều dưỡng (hạng III)</v>
          </cell>
          <cell r="I492" t="str">
            <v>Điều dưỡng (hạng III)</v>
          </cell>
          <cell r="J492" t="str">
            <v>Tai mũi họng</v>
          </cell>
          <cell r="K492" t="str">
            <v>KP022</v>
          </cell>
          <cell r="L492" t="str">
            <v>Viên chức CMNV</v>
          </cell>
          <cell r="M492">
            <v>0</v>
          </cell>
          <cell r="N492" t="str">
            <v>Viên chức</v>
          </cell>
          <cell r="O492">
            <v>44</v>
          </cell>
          <cell r="P492">
            <v>0</v>
          </cell>
          <cell r="Q492">
            <v>29828</v>
          </cell>
          <cell r="R492" t="str">
            <v>Tày</v>
          </cell>
          <cell r="S492" t="str">
            <v>7/11/2006</v>
          </cell>
          <cell r="T492" t="str">
            <v>020181000736</v>
          </cell>
          <cell r="U492" t="str">
            <v>Tổ 2- Khối 4 - Phường  Kỳ lừa - Tỉnh Lạng Sơn</v>
          </cell>
          <cell r="W492" t="str">
            <v>000997/LS-CCHN</v>
          </cell>
          <cell r="X492" t="str">
            <v>11/12/2022</v>
          </cell>
          <cell r="Z492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92">
            <v>0</v>
          </cell>
          <cell r="AC492" t="str">
            <v>0915988515</v>
          </cell>
        </row>
        <row r="493">
          <cell r="B493" t="str">
            <v>BV0194</v>
          </cell>
          <cell r="C493" t="str">
            <v>Hoàng Thị Nhài</v>
          </cell>
          <cell r="D493" t="str">
            <v>BV0194</v>
          </cell>
          <cell r="E493" t="str">
            <v>x</v>
          </cell>
          <cell r="F493" t="str">
            <v>Điều dưỡng ĐH</v>
          </cell>
          <cell r="G493" t="str">
            <v>TĐ011</v>
          </cell>
          <cell r="H493" t="str">
            <v>Điều dưỡng (hạng III)</v>
          </cell>
          <cell r="I493" t="str">
            <v>Điều dưỡng (hạng III)</v>
          </cell>
          <cell r="J493" t="str">
            <v>Tai mũi họng</v>
          </cell>
          <cell r="K493" t="str">
            <v>KP022</v>
          </cell>
          <cell r="L493" t="str">
            <v>Viên chức CMNV</v>
          </cell>
          <cell r="M493">
            <v>0</v>
          </cell>
          <cell r="N493" t="str">
            <v>Viên chức</v>
          </cell>
          <cell r="O493">
            <v>40</v>
          </cell>
          <cell r="P493">
            <v>0</v>
          </cell>
          <cell r="Q493">
            <v>31558</v>
          </cell>
          <cell r="R493" t="str">
            <v>Tày</v>
          </cell>
          <cell r="S493" t="str">
            <v>1/12/2010</v>
          </cell>
          <cell r="T493" t="str">
            <v>020186000814</v>
          </cell>
          <cell r="U493" t="str">
            <v>Số 43 - Tạ Quang Bửu - khu N16 - Phường Kỳ Lừa - tỉnh Lạng sơn</v>
          </cell>
          <cell r="W493" t="str">
            <v>000919/LS-CCHN</v>
          </cell>
          <cell r="X493" t="str">
            <v>11/01/2023</v>
          </cell>
          <cell r="Z49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93">
            <v>0</v>
          </cell>
          <cell r="AC493" t="str">
            <v>0917741555</v>
          </cell>
          <cell r="AD493" t="str">
            <v>Kiêm nhiệm khoa Dinh dưỡng 01/10/2022</v>
          </cell>
        </row>
        <row r="494">
          <cell r="B494" t="str">
            <v>BV0386</v>
          </cell>
          <cell r="C494" t="str">
            <v>Ngô Thị Huyền</v>
          </cell>
          <cell r="D494" t="str">
            <v>BV0386</v>
          </cell>
          <cell r="E494" t="str">
            <v>x</v>
          </cell>
          <cell r="F494" t="str">
            <v>Điều dưỡng CĐ</v>
          </cell>
          <cell r="G494" t="str">
            <v>TĐ012</v>
          </cell>
          <cell r="H494" t="str">
            <v>Điều dưỡng (hạng IV)</v>
          </cell>
          <cell r="I494" t="str">
            <v>Điều dưỡng (hạng IV)</v>
          </cell>
          <cell r="J494" t="str">
            <v>Tai mũi họng</v>
          </cell>
          <cell r="K494" t="str">
            <v>KP022</v>
          </cell>
          <cell r="L494" t="str">
            <v>Viên chức CMNV</v>
          </cell>
          <cell r="M494">
            <v>0</v>
          </cell>
          <cell r="N494" t="str">
            <v>Viên chức</v>
          </cell>
          <cell r="O494">
            <v>39</v>
          </cell>
          <cell r="P494">
            <v>0</v>
          </cell>
          <cell r="Q494">
            <v>31984</v>
          </cell>
          <cell r="R494" t="str">
            <v>Nùng</v>
          </cell>
          <cell r="S494" t="str">
            <v>1/12/2008</v>
          </cell>
          <cell r="T494" t="str">
            <v>020187002835</v>
          </cell>
          <cell r="U494" t="str">
            <v>Số 11 ngõ 105 Lê Lợi, Phường Đông Kinh- Tỉnh Lạng Sơn</v>
          </cell>
          <cell r="W494" t="str">
            <v>001001/LS-CCHN</v>
          </cell>
          <cell r="X494" t="str">
            <v>11/01/2023</v>
          </cell>
          <cell r="Z49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94">
            <v>0</v>
          </cell>
          <cell r="AC494" t="str">
            <v>0919088258</v>
          </cell>
        </row>
        <row r="495">
          <cell r="B495" t="str">
            <v>BV0021</v>
          </cell>
          <cell r="C495" t="str">
            <v>Lý Thị Lệ</v>
          </cell>
          <cell r="D495" t="str">
            <v>BV0021</v>
          </cell>
          <cell r="E495" t="str">
            <v>x</v>
          </cell>
          <cell r="F495" t="str">
            <v>Điều dưỡng CĐ</v>
          </cell>
          <cell r="G495" t="str">
            <v>TĐ012</v>
          </cell>
          <cell r="H495" t="str">
            <v>Điều dưỡng (hạng IV)</v>
          </cell>
          <cell r="I495" t="str">
            <v>Điều dưỡng (hạng IV)</v>
          </cell>
          <cell r="J495" t="str">
            <v>Tai mũi họng</v>
          </cell>
          <cell r="K495" t="str">
            <v>KP022</v>
          </cell>
          <cell r="L495" t="str">
            <v>Viên chức CMNV</v>
          </cell>
          <cell r="M495">
            <v>0</v>
          </cell>
          <cell r="N495" t="str">
            <v>Viên chức</v>
          </cell>
          <cell r="O495">
            <v>40</v>
          </cell>
          <cell r="P495">
            <v>0</v>
          </cell>
          <cell r="Q495">
            <v>31374</v>
          </cell>
          <cell r="R495" t="str">
            <v>Tày</v>
          </cell>
          <cell r="S495" t="str">
            <v>8/12/2008</v>
          </cell>
          <cell r="T495" t="str">
            <v>020185002475</v>
          </cell>
          <cell r="U495" t="str">
            <v>Số 364 Trần Đăng Ninh- Phường Kỳ Lừa- Tỉnh Lạng Sơn</v>
          </cell>
          <cell r="W495" t="str">
            <v>000748/LS-CCHN</v>
          </cell>
          <cell r="X495" t="str">
            <v>11/01/2023</v>
          </cell>
          <cell r="Z49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95">
            <v>0</v>
          </cell>
        </row>
        <row r="496">
          <cell r="B496" t="str">
            <v>BV0383</v>
          </cell>
          <cell r="C496" t="str">
            <v>Vũ Thúy Ngân</v>
          </cell>
          <cell r="D496" t="str">
            <v>BV0383</v>
          </cell>
          <cell r="E496" t="str">
            <v>x</v>
          </cell>
          <cell r="F496" t="str">
            <v>Điều dưỡng CĐ</v>
          </cell>
          <cell r="G496" t="str">
            <v>TĐ012</v>
          </cell>
          <cell r="H496" t="str">
            <v>Điều dưỡng (hạng IV)</v>
          </cell>
          <cell r="I496" t="str">
            <v>Điều dưỡng (hạng IV)</v>
          </cell>
          <cell r="J496" t="str">
            <v>Tai mũi họng</v>
          </cell>
          <cell r="K496" t="str">
            <v>KP022</v>
          </cell>
          <cell r="L496" t="str">
            <v>Viên chức CMNV</v>
          </cell>
          <cell r="M496">
            <v>0</v>
          </cell>
          <cell r="N496" t="str">
            <v>Viên chức</v>
          </cell>
          <cell r="O496">
            <v>56</v>
          </cell>
          <cell r="P496">
            <v>0</v>
          </cell>
          <cell r="Q496">
            <v>25542</v>
          </cell>
          <cell r="R496" t="str">
            <v>Kinh</v>
          </cell>
          <cell r="S496" t="str">
            <v>1/7/2005</v>
          </cell>
          <cell r="T496" t="str">
            <v>020169001840</v>
          </cell>
          <cell r="U496" t="str">
            <v>Phường Kỳ Lừa, Tỉnh Lạng Sơn</v>
          </cell>
          <cell r="W496" t="str">
            <v>000999/LS-CCHN</v>
          </cell>
          <cell r="X496" t="str">
            <v>11/01/2023</v>
          </cell>
          <cell r="Z49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496">
            <v>0</v>
          </cell>
          <cell r="AC496" t="str">
            <v>0919502181</v>
          </cell>
        </row>
        <row r="497">
          <cell r="B497" t="str">
            <v>BV0381</v>
          </cell>
          <cell r="C497" t="str">
            <v>Nông Minh Hiếu</v>
          </cell>
          <cell r="D497" t="str">
            <v>BV0381</v>
          </cell>
          <cell r="E497" t="str">
            <v>x</v>
          </cell>
          <cell r="F497" t="str">
            <v>Điều dưỡng CĐ</v>
          </cell>
          <cell r="G497" t="str">
            <v>TĐ012</v>
          </cell>
          <cell r="H497" t="str">
            <v>Điều dưỡng (hạng IV)</v>
          </cell>
          <cell r="I497" t="str">
            <v>Điều dưỡng (hạng IV)</v>
          </cell>
          <cell r="J497" t="str">
            <v>Tai mũi họng</v>
          </cell>
          <cell r="K497" t="str">
            <v>KP022</v>
          </cell>
          <cell r="L497" t="str">
            <v>Viên chức CMNV</v>
          </cell>
          <cell r="M497">
            <v>0</v>
          </cell>
          <cell r="N497" t="str">
            <v>Viên chức</v>
          </cell>
          <cell r="O497">
            <v>44</v>
          </cell>
          <cell r="P497">
            <v>0</v>
          </cell>
          <cell r="Q497">
            <v>30014</v>
          </cell>
          <cell r="R497" t="str">
            <v>Tày</v>
          </cell>
          <cell r="S497" t="str">
            <v>7/11/2006</v>
          </cell>
          <cell r="T497" t="str">
            <v>020182002688</v>
          </cell>
          <cell r="U497" t="str">
            <v>Khối Chi Mạc- Phường Tam Thanh- Tỉnh Lạng Sơn</v>
          </cell>
          <cell r="W497" t="str">
            <v>000998/LS-CCHN</v>
          </cell>
          <cell r="X497" t="str">
            <v>11/12/2022</v>
          </cell>
          <cell r="Z49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497">
            <v>0</v>
          </cell>
          <cell r="AC497" t="str">
            <v>0919715234</v>
          </cell>
        </row>
        <row r="498">
          <cell r="B498" t="str">
            <v>BV0391</v>
          </cell>
          <cell r="C498" t="str">
            <v>Bạch Ngọc Sỹ</v>
          </cell>
          <cell r="D498" t="str">
            <v>BV0391</v>
          </cell>
          <cell r="F498" t="str">
            <v>BSCKII</v>
          </cell>
          <cell r="G498" t="str">
            <v>TĐ001</v>
          </cell>
          <cell r="H498" t="str">
            <v>Bác sĩ chính (hạng II)</v>
          </cell>
          <cell r="I498" t="str">
            <v>Bác sĩ chính (hạng II)</v>
          </cell>
          <cell r="J498" t="str">
            <v>Mắt</v>
          </cell>
          <cell r="K498" t="str">
            <v>KP023</v>
          </cell>
          <cell r="L498" t="str">
            <v>Lãnh đạo khoa, phòng</v>
          </cell>
          <cell r="M498" t="str">
            <v>Trưởng khoa</v>
          </cell>
          <cell r="N498" t="str">
            <v>Viên chức</v>
          </cell>
          <cell r="O498">
            <v>56</v>
          </cell>
          <cell r="P498">
            <v>25776</v>
          </cell>
          <cell r="Q498" t="str">
            <v xml:space="preserve">   </v>
          </cell>
          <cell r="R498" t="str">
            <v>Kinh</v>
          </cell>
          <cell r="S498" t="str">
            <v>10/1/1996</v>
          </cell>
          <cell r="T498" t="str">
            <v>020070005953</v>
          </cell>
          <cell r="U498" t="str">
            <v>31 Bến Bắc, phường Tam Thanh, tỉnh Lạng Sơn</v>
          </cell>
          <cell r="W498" t="str">
            <v>000013/LS-CCHN</v>
          </cell>
          <cell r="X498" t="str">
            <v>11/01/2023</v>
          </cell>
          <cell r="Z498" t="str">
            <v>Khám chữa bệnh chuyên khoa Mắt</v>
          </cell>
          <cell r="AB498">
            <v>0</v>
          </cell>
          <cell r="AC498">
            <v>912191666</v>
          </cell>
        </row>
        <row r="499">
          <cell r="B499" t="str">
            <v>BV0392</v>
          </cell>
          <cell r="C499" t="str">
            <v>Hoàng Sơn</v>
          </cell>
          <cell r="D499" t="str">
            <v>BV0392</v>
          </cell>
          <cell r="F499" t="str">
            <v>BSCKII</v>
          </cell>
          <cell r="G499" t="str">
            <v>TĐ001</v>
          </cell>
          <cell r="H499" t="str">
            <v>Bác sĩ chính (hạng II)</v>
          </cell>
          <cell r="I499" t="str">
            <v>Bác sĩ chính (hạng II)</v>
          </cell>
          <cell r="J499" t="str">
            <v>Mắt</v>
          </cell>
          <cell r="K499" t="str">
            <v>KP023</v>
          </cell>
          <cell r="L499" t="str">
            <v>Lãnh đạo khoa, phòng</v>
          </cell>
          <cell r="M499" t="str">
            <v>Phó trưởng khoa</v>
          </cell>
          <cell r="N499" t="str">
            <v>Viên chức</v>
          </cell>
          <cell r="O499">
            <v>48</v>
          </cell>
          <cell r="P499">
            <v>28390</v>
          </cell>
          <cell r="Q499">
            <v>0</v>
          </cell>
          <cell r="R499" t="str">
            <v>Tày</v>
          </cell>
          <cell r="S499" t="str">
            <v>1/1/2003</v>
          </cell>
          <cell r="T499" t="str">
            <v>020077008233</v>
          </cell>
          <cell r="U499" t="str">
            <v>139A, đường Ngô Quyền, phường Đông Kinh, tỉnh Lạng Sơn</v>
          </cell>
          <cell r="W499" t="str">
            <v>000014/LS-CCHN</v>
          </cell>
          <cell r="X499" t="str">
            <v>11/01/2023</v>
          </cell>
          <cell r="Z499" t="str">
            <v>Khám chữa bệnh chuyên khoa Mắt</v>
          </cell>
          <cell r="AB499">
            <v>0</v>
          </cell>
          <cell r="AC499">
            <v>982289829</v>
          </cell>
        </row>
        <row r="500">
          <cell r="B500" t="str">
            <v>BV0393</v>
          </cell>
          <cell r="C500" t="str">
            <v>Trần Quốc Hải</v>
          </cell>
          <cell r="D500" t="str">
            <v>BV0393</v>
          </cell>
          <cell r="F500" t="str">
            <v>BSCKI</v>
          </cell>
          <cell r="G500" t="str">
            <v>TĐ003</v>
          </cell>
          <cell r="H500" t="str">
            <v>Bác sĩ chính (hạng II)</v>
          </cell>
          <cell r="I500" t="str">
            <v>Bác sĩ chính (hạng II)</v>
          </cell>
          <cell r="J500" t="str">
            <v>Mắt</v>
          </cell>
          <cell r="K500" t="str">
            <v>KP023</v>
          </cell>
          <cell r="L500" t="str">
            <v>Viên chức CMNV</v>
          </cell>
          <cell r="M500">
            <v>0</v>
          </cell>
          <cell r="N500" t="str">
            <v>Viên chức</v>
          </cell>
          <cell r="O500">
            <v>60</v>
          </cell>
          <cell r="P500">
            <v>24149</v>
          </cell>
          <cell r="Q500">
            <v>0</v>
          </cell>
          <cell r="R500" t="str">
            <v>Tày</v>
          </cell>
          <cell r="S500" t="str">
            <v>2/1/1992</v>
          </cell>
          <cell r="T500" t="str">
            <v>020066001738</v>
          </cell>
          <cell r="U500" t="str">
            <v>khối 19, phường Đông Kinh, tỉnh Lạng Sơn</v>
          </cell>
          <cell r="W500" t="str">
            <v>000012/LS-CCHN</v>
          </cell>
          <cell r="X500" t="str">
            <v>11/12/2022</v>
          </cell>
          <cell r="Z500" t="str">
            <v>Khám bệnh, chữa bệnh chuyên khoa Mắt</v>
          </cell>
          <cell r="AB500">
            <v>0</v>
          </cell>
          <cell r="AC500">
            <v>912444892</v>
          </cell>
        </row>
        <row r="501">
          <cell r="B501" t="str">
            <v>BV0395</v>
          </cell>
          <cell r="C501" t="str">
            <v>Lý Ngọc Thủy</v>
          </cell>
          <cell r="D501" t="str">
            <v>BV0395</v>
          </cell>
          <cell r="E501" t="str">
            <v>x</v>
          </cell>
          <cell r="F501" t="str">
            <v>BSCKI</v>
          </cell>
          <cell r="G501" t="str">
            <v>TĐ003</v>
          </cell>
          <cell r="H501" t="str">
            <v>Bác sĩ (hạng III)</v>
          </cell>
          <cell r="I501" t="str">
            <v>Bác sĩ (hạng III)</v>
          </cell>
          <cell r="J501" t="str">
            <v>Mắt</v>
          </cell>
          <cell r="K501" t="str">
            <v>KP023</v>
          </cell>
          <cell r="L501" t="str">
            <v>Viên chức CMNV</v>
          </cell>
          <cell r="M501">
            <v>0</v>
          </cell>
          <cell r="N501" t="str">
            <v>Viên chức</v>
          </cell>
          <cell r="O501">
            <v>39</v>
          </cell>
          <cell r="P501">
            <v>0</v>
          </cell>
          <cell r="Q501">
            <v>31912</v>
          </cell>
          <cell r="R501" t="str">
            <v>Nùng</v>
          </cell>
          <cell r="S501" t="str">
            <v>5/6/2013</v>
          </cell>
          <cell r="T501" t="str">
            <v>020187003173</v>
          </cell>
          <cell r="U501" t="str">
            <v>117 Trần Phú, phường Kỳ Lừa, tỉnh Lạng Sơn</v>
          </cell>
          <cell r="W501" t="str">
            <v>003073/LS-CCHN</v>
          </cell>
          <cell r="X501" t="str">
            <v>07/09/2015</v>
          </cell>
          <cell r="Z501" t="str">
            <v>Khám bệnh chữa bệnh đa khoa; chuyên khoa Mắt</v>
          </cell>
          <cell r="AB501">
            <v>0</v>
          </cell>
          <cell r="AC501">
            <v>941956565</v>
          </cell>
        </row>
        <row r="502">
          <cell r="B502" t="str">
            <v>BV0400</v>
          </cell>
          <cell r="C502" t="str">
            <v>Hoàng Minh Hiếu</v>
          </cell>
          <cell r="D502" t="str">
            <v>BV0400</v>
          </cell>
          <cell r="F502" t="str">
            <v>Điều dưỡng ĐH</v>
          </cell>
          <cell r="G502" t="str">
            <v>TĐ011</v>
          </cell>
          <cell r="H502" t="str">
            <v>Điều dưỡng (hạng III)</v>
          </cell>
          <cell r="I502" t="str">
            <v>Điều dưỡng (hạng III)</v>
          </cell>
          <cell r="J502" t="str">
            <v>Mắt</v>
          </cell>
          <cell r="K502" t="str">
            <v>KP023</v>
          </cell>
          <cell r="L502" t="str">
            <v>Viên chức CMNV</v>
          </cell>
          <cell r="M502">
            <v>0</v>
          </cell>
          <cell r="N502" t="str">
            <v>Viên chức</v>
          </cell>
          <cell r="O502">
            <v>43</v>
          </cell>
          <cell r="P502">
            <v>30274</v>
          </cell>
          <cell r="Q502">
            <v>0</v>
          </cell>
          <cell r="R502" t="str">
            <v>Tày</v>
          </cell>
          <cell r="S502" t="str">
            <v>6/10/2006</v>
          </cell>
          <cell r="T502" t="str">
            <v>020082001431</v>
          </cell>
          <cell r="U502" t="str">
            <v>khối Yên Thành, phường Đông Kinh, tiinhr Lạng Sơn</v>
          </cell>
          <cell r="W502" t="str">
            <v>002290/LS-CCHN</v>
          </cell>
          <cell r="X502" t="str">
            <v>04/04/2014</v>
          </cell>
          <cell r="Z502" t="str">
            <v>Chăm sóc người bệnh theo chuyên khoa Mắt</v>
          </cell>
          <cell r="AB502">
            <v>0</v>
          </cell>
          <cell r="AC502">
            <v>985377344</v>
          </cell>
        </row>
        <row r="503">
          <cell r="B503" t="str">
            <v>BV0398</v>
          </cell>
          <cell r="C503" t="str">
            <v>Phạm Thị Ngần</v>
          </cell>
          <cell r="D503" t="str">
            <v>BV0398</v>
          </cell>
          <cell r="E503" t="str">
            <v>x</v>
          </cell>
          <cell r="F503" t="str">
            <v>Điều dưỡng ĐH</v>
          </cell>
          <cell r="G503" t="str">
            <v>TĐ011</v>
          </cell>
          <cell r="H503" t="str">
            <v>Điều dưỡng (hạng III)</v>
          </cell>
          <cell r="I503" t="str">
            <v>Điều dưỡng (hạng III)</v>
          </cell>
          <cell r="J503" t="str">
            <v>Mắt</v>
          </cell>
          <cell r="K503" t="str">
            <v>KP023</v>
          </cell>
          <cell r="L503" t="str">
            <v>Viên chức CMNV</v>
          </cell>
          <cell r="M503">
            <v>0</v>
          </cell>
          <cell r="N503" t="str">
            <v>Viên chức</v>
          </cell>
          <cell r="O503">
            <v>36</v>
          </cell>
          <cell r="P503">
            <v>0</v>
          </cell>
          <cell r="Q503">
            <v>32977</v>
          </cell>
          <cell r="R503" t="str">
            <v>Kinh</v>
          </cell>
          <cell r="S503" t="str">
            <v>10/6/2013</v>
          </cell>
          <cell r="T503" t="str">
            <v>036190019794</v>
          </cell>
          <cell r="U503" t="str">
            <v>số nhà 1, ngách 1, ngõ 3 Hoàng Thượng, xã Hoàng Đồng, tỉnh ạng Sơn. Phường Tam Thanh, tỉnh Lạng Sơn</v>
          </cell>
          <cell r="W503" t="str">
            <v>000454/LS-CCHN</v>
          </cell>
          <cell r="X503" t="str">
            <v>24/08/2016</v>
          </cell>
          <cell r="Z50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503">
            <v>0</v>
          </cell>
          <cell r="AC503">
            <v>989703791</v>
          </cell>
        </row>
        <row r="504">
          <cell r="B504" t="str">
            <v>BV0302</v>
          </cell>
          <cell r="C504" t="str">
            <v>Nguyễn Thanh Thúy</v>
          </cell>
          <cell r="D504" t="str">
            <v>BV0302</v>
          </cell>
          <cell r="E504" t="str">
            <v>x</v>
          </cell>
          <cell r="F504" t="str">
            <v>Điều dưỡng ĐH</v>
          </cell>
          <cell r="G504" t="str">
            <v>TĐ011</v>
          </cell>
          <cell r="H504" t="str">
            <v>Điều dưỡng (hạng III)</v>
          </cell>
          <cell r="I504" t="str">
            <v>Điều dưỡng (hạng III)</v>
          </cell>
          <cell r="J504" t="str">
            <v>Mắt</v>
          </cell>
          <cell r="K504" t="str">
            <v>KP023</v>
          </cell>
          <cell r="L504" t="str">
            <v>Lãnh đạo khoa, phòng</v>
          </cell>
          <cell r="M504" t="str">
            <v>Điều dưỡng trưởng</v>
          </cell>
          <cell r="N504" t="str">
            <v>Viên chức</v>
          </cell>
          <cell r="O504">
            <v>37</v>
          </cell>
          <cell r="P504">
            <v>0</v>
          </cell>
          <cell r="Q504">
            <v>32677</v>
          </cell>
          <cell r="R504" t="str">
            <v>Kinh</v>
          </cell>
          <cell r="S504" t="str">
            <v>1/12/2010</v>
          </cell>
          <cell r="T504" t="str">
            <v>020189010948</v>
          </cell>
          <cell r="U504" t="str">
            <v>Ngách 18, ngõ 651, khối 15, đường Bà Triệu,  phường Đông Kinh, tỉnh Lạng Sơn</v>
          </cell>
          <cell r="W504" t="str">
            <v>000868/LS-CCHN</v>
          </cell>
          <cell r="X504" t="str">
            <v>11/01/2023</v>
          </cell>
          <cell r="Z50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04">
            <v>0</v>
          </cell>
          <cell r="AC504">
            <v>976043167</v>
          </cell>
        </row>
        <row r="505">
          <cell r="B505" t="str">
            <v>BV0403</v>
          </cell>
          <cell r="C505" t="str">
            <v>Hà Thị Thanh Lý</v>
          </cell>
          <cell r="D505" t="str">
            <v>BV0403</v>
          </cell>
          <cell r="E505" t="str">
            <v>x</v>
          </cell>
          <cell r="F505" t="str">
            <v>Điều dưỡng CĐ</v>
          </cell>
          <cell r="G505" t="str">
            <v>TĐ012</v>
          </cell>
          <cell r="H505" t="str">
            <v>Điều dưỡng (hạng IV)</v>
          </cell>
          <cell r="I505" t="str">
            <v>Điều dưỡng (hạng IV)</v>
          </cell>
          <cell r="J505" t="str">
            <v>Mắt</v>
          </cell>
          <cell r="K505" t="str">
            <v>KP023</v>
          </cell>
          <cell r="L505" t="str">
            <v>Viên chức CMNV</v>
          </cell>
          <cell r="M505">
            <v>0</v>
          </cell>
          <cell r="N505" t="str">
            <v>Viên chức</v>
          </cell>
          <cell r="O505">
            <v>40</v>
          </cell>
          <cell r="P505">
            <v>0</v>
          </cell>
          <cell r="Q505">
            <v>31447</v>
          </cell>
          <cell r="R505" t="str">
            <v>Tày</v>
          </cell>
          <cell r="S505" t="str">
            <v>14/1/2011</v>
          </cell>
          <cell r="T505" t="str">
            <v>020186009778</v>
          </cell>
          <cell r="U505" t="str">
            <v>thôn Bình Trung, xã Khánh Khê, tỉnh Lạng Sơn</v>
          </cell>
          <cell r="W505" t="str">
            <v>001011/LS-CCHN</v>
          </cell>
          <cell r="X505" t="str">
            <v>11/01/2023</v>
          </cell>
          <cell r="Z50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05">
            <v>0</v>
          </cell>
          <cell r="AC505">
            <v>352098157</v>
          </cell>
        </row>
        <row r="506">
          <cell r="B506" t="str">
            <v>BV0402</v>
          </cell>
          <cell r="C506" t="str">
            <v>Hoàng Thị Loan</v>
          </cell>
          <cell r="D506" t="str">
            <v>BV0402</v>
          </cell>
          <cell r="E506" t="str">
            <v>x</v>
          </cell>
          <cell r="F506" t="str">
            <v>Điều dưỡng CĐ</v>
          </cell>
          <cell r="G506" t="str">
            <v>TĐ012</v>
          </cell>
          <cell r="H506" t="str">
            <v>Điều dưỡng (hạng IV)</v>
          </cell>
          <cell r="I506" t="str">
            <v>Điều dưỡng (hạng IV)</v>
          </cell>
          <cell r="J506" t="str">
            <v>Mắt</v>
          </cell>
          <cell r="K506" t="str">
            <v>KP023</v>
          </cell>
          <cell r="L506" t="str">
            <v>Viên chức CMNV</v>
          </cell>
          <cell r="M506">
            <v>0</v>
          </cell>
          <cell r="N506" t="str">
            <v>Viên chức</v>
          </cell>
          <cell r="O506">
            <v>39</v>
          </cell>
          <cell r="P506">
            <v>0</v>
          </cell>
          <cell r="Q506">
            <v>31686</v>
          </cell>
          <cell r="R506" t="str">
            <v>Tày</v>
          </cell>
          <cell r="S506" t="str">
            <v>14/1/2011</v>
          </cell>
          <cell r="T506" t="str">
            <v>020186006224</v>
          </cell>
          <cell r="U506" t="str">
            <v>khối 11, phường Đông Knh, tỉnh Lạng Sơn</v>
          </cell>
          <cell r="W506" t="str">
            <v>001010/LS-CCHN</v>
          </cell>
          <cell r="X506" t="str">
            <v>11/01/2023</v>
          </cell>
          <cell r="Z50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06">
            <v>0</v>
          </cell>
          <cell r="AC506" t="str">
            <v>0914998134</v>
          </cell>
        </row>
        <row r="507">
          <cell r="B507" t="str">
            <v>BV0406</v>
          </cell>
          <cell r="C507" t="str">
            <v>Nguyễn Khắc Trường</v>
          </cell>
          <cell r="D507" t="str">
            <v>BV0406</v>
          </cell>
          <cell r="F507" t="str">
            <v>BSCKI</v>
          </cell>
          <cell r="G507" t="str">
            <v>TĐ003</v>
          </cell>
          <cell r="H507" t="str">
            <v>Bác sĩ chính (hạng II)</v>
          </cell>
          <cell r="I507" t="str">
            <v>Bác sĩ chính (hạng II)</v>
          </cell>
          <cell r="J507" t="str">
            <v>Răng Hàm Mặt</v>
          </cell>
          <cell r="K507" t="str">
            <v>KP024</v>
          </cell>
          <cell r="L507" t="str">
            <v>Lãnh đạo khoa, phòng</v>
          </cell>
          <cell r="M507" t="str">
            <v>Phụ trách khoa</v>
          </cell>
          <cell r="N507" t="str">
            <v>Viên chức</v>
          </cell>
          <cell r="O507">
            <v>60</v>
          </cell>
          <cell r="P507">
            <v>24237</v>
          </cell>
          <cell r="Q507">
            <v>0</v>
          </cell>
          <cell r="R507" t="str">
            <v>Nùng</v>
          </cell>
          <cell r="S507" t="str">
            <v>28/4/1990</v>
          </cell>
          <cell r="T507" t="str">
            <v>020066001548</v>
          </cell>
          <cell r="U507" t="str">
            <v>số 1 ngõ 50, Phố Muối, Tam Thanh</v>
          </cell>
          <cell r="W507" t="str">
            <v>000009/LS-CCHN</v>
          </cell>
          <cell r="X507" t="str">
            <v>11/01/2023</v>
          </cell>
          <cell r="Z507" t="str">
            <v>Khám chữa bệnh chuyên khoa Răng Hàm Mặt</v>
          </cell>
          <cell r="AB507">
            <v>0</v>
          </cell>
          <cell r="AC507">
            <v>912190313</v>
          </cell>
        </row>
        <row r="508">
          <cell r="B508" t="str">
            <v>BV0919</v>
          </cell>
          <cell r="C508" t="str">
            <v>Hoàng Doãn Toán</v>
          </cell>
          <cell r="D508" t="str">
            <v>BV0919</v>
          </cell>
          <cell r="F508" t="str">
            <v>BSCKI</v>
          </cell>
          <cell r="G508" t="str">
            <v>TĐ003</v>
          </cell>
          <cell r="H508" t="str">
            <v>Bác sĩ (hạng III)</v>
          </cell>
          <cell r="I508" t="str">
            <v>Bác sĩ (hạng III)</v>
          </cell>
          <cell r="J508" t="str">
            <v>Răng Hàm Mặt</v>
          </cell>
          <cell r="K508" t="str">
            <v>KP024</v>
          </cell>
          <cell r="L508" t="str">
            <v>Viên chức CMNV</v>
          </cell>
          <cell r="M508">
            <v>0</v>
          </cell>
          <cell r="N508" t="str">
            <v>Viên chức</v>
          </cell>
          <cell r="O508">
            <v>38</v>
          </cell>
          <cell r="P508" t="str">
            <v>20/09/1987</v>
          </cell>
          <cell r="Q508">
            <v>0</v>
          </cell>
          <cell r="R508" t="str">
            <v>Tày</v>
          </cell>
          <cell r="S508" t="str">
            <v>05/06/2013</v>
          </cell>
          <cell r="T508" t="str">
            <v>020087002779</v>
          </cell>
          <cell r="U508" t="str">
            <v>Nà Yêu, Vũ Lăng, Bắc Sơn</v>
          </cell>
          <cell r="W508" t="str">
            <v>002927/LS-CCHN</v>
          </cell>
          <cell r="X508" t="str">
            <v>13/02/2015</v>
          </cell>
          <cell r="Z508" t="str">
            <v>Khám bệnh, chữa bệnh chuyên khoa Răng hàm mặt</v>
          </cell>
          <cell r="AB508">
            <v>0</v>
          </cell>
          <cell r="AC508" t="str">
            <v>0912080101</v>
          </cell>
          <cell r="AD508" t="str">
            <v>Chuyển đến 01/3/2019</v>
          </cell>
        </row>
        <row r="509">
          <cell r="B509" t="str">
            <v>BV0796</v>
          </cell>
          <cell r="C509" t="str">
            <v>Hoàng Hồng Nguyên</v>
          </cell>
          <cell r="D509" t="str">
            <v>BV0796</v>
          </cell>
          <cell r="F509" t="str">
            <v>Bác sĩ</v>
          </cell>
          <cell r="G509" t="str">
            <v>TĐ005</v>
          </cell>
          <cell r="I509" t="str">
            <v>Bác sĩ (hạng III)</v>
          </cell>
          <cell r="J509" t="str">
            <v>Răng Hàm Mặt</v>
          </cell>
          <cell r="K509" t="str">
            <v>KP024</v>
          </cell>
          <cell r="N509" t="str">
            <v>Viên chức</v>
          </cell>
          <cell r="O509">
            <v>33</v>
          </cell>
          <cell r="P509">
            <v>34095</v>
          </cell>
          <cell r="Q509">
            <v>0</v>
          </cell>
          <cell r="R509" t="str">
            <v>Tày</v>
          </cell>
          <cell r="S509" t="str">
            <v xml:space="preserve"> 02/10/2017</v>
          </cell>
          <cell r="T509" t="str">
            <v>020093002129</v>
          </cell>
          <cell r="U509" t="str">
            <v>Khối 3, Phường Đông Kinh</v>
          </cell>
          <cell r="W509" t="str">
            <v>003605/LS-CCHN</v>
          </cell>
          <cell r="X509" t="str">
            <v>21/10/2019</v>
          </cell>
          <cell r="Z509" t="str">
            <v>Khám bệnh, chữa bệnh chuyên khoa Răng hàm mặt</v>
          </cell>
          <cell r="AB509">
            <v>0</v>
          </cell>
          <cell r="AC509" t="str">
            <v>0931685878</v>
          </cell>
          <cell r="AD509" t="str">
            <v>HĐ 02/10/2017; Đỗ VC 20/5/2026</v>
          </cell>
        </row>
        <row r="510">
          <cell r="B510" t="str">
            <v>BV0963</v>
          </cell>
          <cell r="C510" t="str">
            <v>Trương Thanh Trì</v>
          </cell>
          <cell r="D510" t="str">
            <v>BV0963</v>
          </cell>
          <cell r="F510" t="str">
            <v>Bác sĩ</v>
          </cell>
          <cell r="G510" t="str">
            <v>TĐ005</v>
          </cell>
          <cell r="I510" t="str">
            <v>Bác sĩ (hạng III)</v>
          </cell>
          <cell r="J510" t="str">
            <v>Răng Hàm Mặt</v>
          </cell>
          <cell r="K510" t="str">
            <v>KP024</v>
          </cell>
          <cell r="N510" t="str">
            <v>Viên chức</v>
          </cell>
          <cell r="O510">
            <v>31</v>
          </cell>
          <cell r="P510" t="str">
            <v>07/01/1995</v>
          </cell>
          <cell r="Q510">
            <v>0</v>
          </cell>
          <cell r="R510" t="str">
            <v>Kinh</v>
          </cell>
          <cell r="S510" t="str">
            <v>02/12/2019</v>
          </cell>
          <cell r="T510" t="str">
            <v>020095001786</v>
          </cell>
          <cell r="U510">
            <v>0</v>
          </cell>
          <cell r="W510" t="str">
            <v>004337/LS-CCHN</v>
          </cell>
          <cell r="X510" t="str">
            <v>17/08/2021</v>
          </cell>
          <cell r="Z510" t="str">
            <v>Khám bệnh, chữa bệnh chuyên khoa Răng hàm mặt</v>
          </cell>
          <cell r="AB510">
            <v>0</v>
          </cell>
          <cell r="AD510" t="str">
            <v>Thử việc 02/12/2019; đỗ VC 20/5/2026</v>
          </cell>
        </row>
        <row r="511">
          <cell r="B511" t="str">
            <v>BV1031</v>
          </cell>
          <cell r="C511" t="str">
            <v>Nông Thị Bích Phương</v>
          </cell>
          <cell r="D511" t="str">
            <v>BV1031</v>
          </cell>
          <cell r="E511" t="str">
            <v>x</v>
          </cell>
          <cell r="F511" t="str">
            <v>BSCKI</v>
          </cell>
          <cell r="G511" t="str">
            <v>TĐ003</v>
          </cell>
          <cell r="H511" t="str">
            <v>Bác sĩ (hạng III)</v>
          </cell>
          <cell r="I511" t="str">
            <v>Bác sĩ (hạng III)</v>
          </cell>
          <cell r="J511" t="str">
            <v>Răng Hàm Mặt</v>
          </cell>
          <cell r="K511" t="str">
            <v>KP024</v>
          </cell>
          <cell r="L511" t="str">
            <v>Viên chức CMNV</v>
          </cell>
          <cell r="M511">
            <v>0</v>
          </cell>
          <cell r="N511" t="str">
            <v>Viên chức</v>
          </cell>
          <cell r="O511">
            <v>37</v>
          </cell>
          <cell r="P511">
            <v>0</v>
          </cell>
          <cell r="Q511">
            <v>32552</v>
          </cell>
          <cell r="R511" t="str">
            <v>Tày</v>
          </cell>
          <cell r="S511" t="str">
            <v>10/01/2016</v>
          </cell>
          <cell r="T511" t="str">
            <v>020189008056</v>
          </cell>
          <cell r="U511" t="str">
            <v>Khối 6, P. Đông Kinh</v>
          </cell>
          <cell r="W511" t="str">
            <v>003181/LS-CCHN</v>
          </cell>
          <cell r="X511" t="str">
            <v>04/02/2020</v>
          </cell>
          <cell r="Z511" t="str">
            <v>Khám bệnh, chữa bệnh chuyên khoa Răng hàm mặt</v>
          </cell>
          <cell r="AB511">
            <v>0</v>
          </cell>
          <cell r="AC511" t="str">
            <v>0916377028</v>
          </cell>
          <cell r="AD511" t="str">
            <v>Chuyển đến 25/5/2020</v>
          </cell>
        </row>
        <row r="512">
          <cell r="B512" t="str">
            <v>BV1227</v>
          </cell>
          <cell r="C512" t="str">
            <v>Ngô Công Anh</v>
          </cell>
          <cell r="D512" t="str">
            <v>BV1227</v>
          </cell>
          <cell r="F512" t="str">
            <v>Bác sĩ</v>
          </cell>
          <cell r="G512" t="str">
            <v>TĐ005</v>
          </cell>
          <cell r="I512" t="str">
            <v>Bác sĩ (hạng III)</v>
          </cell>
          <cell r="J512" t="str">
            <v>Răng hàm mặt</v>
          </cell>
          <cell r="K512" t="str">
            <v>KP024</v>
          </cell>
          <cell r="N512" t="str">
            <v>Viên chức</v>
          </cell>
          <cell r="O512">
            <v>33</v>
          </cell>
          <cell r="P512" t="str">
            <v>22/01/1993</v>
          </cell>
          <cell r="Q512">
            <v>0</v>
          </cell>
          <cell r="R512" t="str">
            <v>Tày</v>
          </cell>
          <cell r="S512">
            <v>45030</v>
          </cell>
          <cell r="T512" t="str">
            <v>020093001413</v>
          </cell>
          <cell r="U512" t="str">
            <v>110 Lý Thường Kiệt, khối 6, Đông Kinh</v>
          </cell>
          <cell r="V512">
            <v>45396</v>
          </cell>
          <cell r="W512" t="str">
            <v>005706/LS-CCHN</v>
          </cell>
          <cell r="X512" t="str">
            <v>31/10/2023</v>
          </cell>
          <cell r="Z512" t="str">
            <v>Khám bệnh, chữa bệnh chuyên khoa Răng hàm mặt</v>
          </cell>
          <cell r="AB512">
            <v>0</v>
          </cell>
          <cell r="AC512">
            <v>399888838</v>
          </cell>
          <cell r="AD512" t="str">
            <v>Thử việc 14/4/2023, Viên chức từ 15/6/2026</v>
          </cell>
        </row>
        <row r="513">
          <cell r="B513" t="str">
            <v>BV0217</v>
          </cell>
          <cell r="C513" t="str">
            <v>Vi Thị Nhị</v>
          </cell>
          <cell r="D513" t="str">
            <v>BV0217</v>
          </cell>
          <cell r="E513" t="str">
            <v>x</v>
          </cell>
          <cell r="F513" t="str">
            <v>Điều dưỡng ĐH</v>
          </cell>
          <cell r="G513" t="str">
            <v>TĐ011</v>
          </cell>
          <cell r="H513" t="str">
            <v>Điều dưỡng (hạng III)</v>
          </cell>
          <cell r="I513" t="str">
            <v>Điều dưỡng (hạng III)</v>
          </cell>
          <cell r="J513" t="str">
            <v>Răng Hàm Mặt</v>
          </cell>
          <cell r="K513" t="str">
            <v>KP024</v>
          </cell>
          <cell r="L513" t="str">
            <v>Lãnh đạo khoa, phòng</v>
          </cell>
          <cell r="M513" t="str">
            <v>Điều dưỡng trưởng</v>
          </cell>
          <cell r="N513" t="str">
            <v>Viên chức</v>
          </cell>
          <cell r="O513">
            <v>39</v>
          </cell>
          <cell r="P513">
            <v>0</v>
          </cell>
          <cell r="Q513">
            <v>31761</v>
          </cell>
          <cell r="R513" t="str">
            <v>Nùng</v>
          </cell>
          <cell r="S513" t="str">
            <v>8/12/2008</v>
          </cell>
          <cell r="T513" t="str">
            <v>020186002924</v>
          </cell>
          <cell r="U513" t="str">
            <v>27 Bến Bắc, Tam Thanh</v>
          </cell>
          <cell r="W513" t="str">
            <v>001046/LS-CCHN</v>
          </cell>
          <cell r="X513" t="str">
            <v>11/01/2023</v>
          </cell>
          <cell r="Z51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13">
            <v>0</v>
          </cell>
          <cell r="AC513">
            <v>849276311</v>
          </cell>
        </row>
        <row r="514">
          <cell r="B514" t="str">
            <v>BV0232</v>
          </cell>
          <cell r="C514" t="str">
            <v>Hoàng Thị Thùy Dung</v>
          </cell>
          <cell r="D514" t="str">
            <v>BV0232</v>
          </cell>
          <cell r="E514" t="str">
            <v>x</v>
          </cell>
          <cell r="F514" t="str">
            <v>Điều dưỡng ĐH</v>
          </cell>
          <cell r="G514" t="str">
            <v>TĐ011</v>
          </cell>
          <cell r="H514" t="str">
            <v>Điều dưỡng (hạng III)</v>
          </cell>
          <cell r="I514" t="str">
            <v>Điều dưỡng (hạng III)</v>
          </cell>
          <cell r="J514" t="str">
            <v>Răng Hàm Mặt</v>
          </cell>
          <cell r="K514" t="str">
            <v>KP024</v>
          </cell>
          <cell r="L514" t="str">
            <v>Viên chức CMNV</v>
          </cell>
          <cell r="M514">
            <v>0</v>
          </cell>
          <cell r="N514" t="str">
            <v>Viên chức</v>
          </cell>
          <cell r="O514">
            <v>36</v>
          </cell>
          <cell r="P514">
            <v>0</v>
          </cell>
          <cell r="Q514">
            <v>32861</v>
          </cell>
          <cell r="R514" t="str">
            <v>Tày</v>
          </cell>
          <cell r="S514" t="str">
            <v>1/12/2010</v>
          </cell>
          <cell r="T514" t="str">
            <v>020189012646</v>
          </cell>
          <cell r="U514">
            <v>0</v>
          </cell>
          <cell r="W514" t="str">
            <v>000946/LS-CCHN</v>
          </cell>
          <cell r="X514" t="str">
            <v>11/01/2023</v>
          </cell>
          <cell r="Z51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14">
            <v>0</v>
          </cell>
          <cell r="AC514" t="str">
            <v>0946099019</v>
          </cell>
        </row>
        <row r="515">
          <cell r="B515" t="str">
            <v>BV0415</v>
          </cell>
          <cell r="C515" t="str">
            <v>Hoàng Thị Hoa</v>
          </cell>
          <cell r="D515" t="str">
            <v>BV0415</v>
          </cell>
          <cell r="E515" t="str">
            <v>x</v>
          </cell>
          <cell r="F515" t="str">
            <v>Điều dưỡng CĐ</v>
          </cell>
          <cell r="G515" t="str">
            <v>TĐ012</v>
          </cell>
          <cell r="H515" t="str">
            <v>Điều dưỡng (hạng IV)</v>
          </cell>
          <cell r="I515" t="str">
            <v>Điều dưỡng (hạng IV)</v>
          </cell>
          <cell r="J515" t="str">
            <v>Răng Hàm Mặt</v>
          </cell>
          <cell r="K515" t="str">
            <v>KP024</v>
          </cell>
          <cell r="L515" t="str">
            <v>Viên chức CMNV</v>
          </cell>
          <cell r="M515">
            <v>0</v>
          </cell>
          <cell r="N515" t="str">
            <v>Viên chức</v>
          </cell>
          <cell r="O515">
            <v>38</v>
          </cell>
          <cell r="P515">
            <v>0</v>
          </cell>
          <cell r="Q515">
            <v>32109</v>
          </cell>
          <cell r="R515" t="str">
            <v>Tày</v>
          </cell>
          <cell r="S515" t="str">
            <v>15/1/2010</v>
          </cell>
          <cell r="T515" t="str">
            <v>020187006390</v>
          </cell>
          <cell r="U515" t="str">
            <v>Số 10, ngõ 162, Mỹ Sơn, P. Đông Kinh</v>
          </cell>
          <cell r="W515" t="str">
            <v>001017/LS-CCHN</v>
          </cell>
          <cell r="X515" t="str">
            <v>11/01/2023</v>
          </cell>
          <cell r="Z51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15">
            <v>0</v>
          </cell>
          <cell r="AC515" t="str">
            <v>0972415581</v>
          </cell>
        </row>
        <row r="516">
          <cell r="B516" t="str">
            <v>BV0419</v>
          </cell>
          <cell r="C516" t="str">
            <v>Đoàn Thị Thúy Liễu</v>
          </cell>
          <cell r="D516" t="str">
            <v>BV0419</v>
          </cell>
          <cell r="E516" t="str">
            <v>x</v>
          </cell>
          <cell r="F516" t="str">
            <v>Điều dưỡng CĐ</v>
          </cell>
          <cell r="G516" t="str">
            <v>TĐ012</v>
          </cell>
          <cell r="H516" t="str">
            <v>Điều dưỡng (hạng IV)</v>
          </cell>
          <cell r="I516" t="str">
            <v>Điều dưỡng (hạng IV)</v>
          </cell>
          <cell r="J516" t="str">
            <v>Răng Hàm Mặt</v>
          </cell>
          <cell r="K516" t="str">
            <v>KP024</v>
          </cell>
          <cell r="L516" t="str">
            <v>Viên chức CMNV</v>
          </cell>
          <cell r="M516">
            <v>0</v>
          </cell>
          <cell r="N516" t="str">
            <v>Viên chức</v>
          </cell>
          <cell r="O516">
            <v>41</v>
          </cell>
          <cell r="P516">
            <v>0</v>
          </cell>
          <cell r="Q516">
            <v>31009</v>
          </cell>
          <cell r="R516" t="str">
            <v>Tày</v>
          </cell>
          <cell r="S516" t="str">
            <v>15/1/2010</v>
          </cell>
          <cell r="T516" t="str">
            <v>020184005176</v>
          </cell>
          <cell r="U516">
            <v>0</v>
          </cell>
          <cell r="W516" t="str">
            <v>001018/LS-CCHN</v>
          </cell>
          <cell r="X516" t="str">
            <v>24/06/2013</v>
          </cell>
          <cell r="Z516" t="str">
            <v>Chăm sóc người bệnh theo chuyên khoa Nha khoa</v>
          </cell>
          <cell r="AB516">
            <v>0</v>
          </cell>
          <cell r="AC516">
            <v>989554838</v>
          </cell>
        </row>
        <row r="517">
          <cell r="B517" t="str">
            <v>BV0413</v>
          </cell>
          <cell r="C517" t="str">
            <v>Lâm Diệu Hằng</v>
          </cell>
          <cell r="D517" t="str">
            <v>BV0413</v>
          </cell>
          <cell r="E517" t="str">
            <v>x</v>
          </cell>
          <cell r="F517" t="str">
            <v>Điều dưỡng CĐ</v>
          </cell>
          <cell r="G517" t="str">
            <v>TĐ012</v>
          </cell>
          <cell r="H517" t="str">
            <v>Điều dưỡng (hạng IV)</v>
          </cell>
          <cell r="I517" t="str">
            <v>Điều dưỡng (hạng IV)</v>
          </cell>
          <cell r="J517" t="str">
            <v>Răng Hàm Mặt</v>
          </cell>
          <cell r="K517" t="str">
            <v>KP024</v>
          </cell>
          <cell r="L517" t="str">
            <v>Viên chức CMNV</v>
          </cell>
          <cell r="M517">
            <v>0</v>
          </cell>
          <cell r="N517" t="str">
            <v>Viên chức</v>
          </cell>
          <cell r="O517">
            <v>50</v>
          </cell>
          <cell r="P517">
            <v>0</v>
          </cell>
          <cell r="Q517">
            <v>27827</v>
          </cell>
          <cell r="R517" t="str">
            <v>Nùng</v>
          </cell>
          <cell r="S517" t="str">
            <v>16/2/2005</v>
          </cell>
          <cell r="T517" t="str">
            <v>020176002268</v>
          </cell>
          <cell r="U517">
            <v>0</v>
          </cell>
          <cell r="W517" t="str">
            <v>001014/LS-CCHN</v>
          </cell>
          <cell r="X517" t="str">
            <v>24/06/2013</v>
          </cell>
          <cell r="Z517" t="str">
            <v>Chăm sóc người bệnh theo chuyên khoa Nha khoa</v>
          </cell>
          <cell r="AB517">
            <v>0</v>
          </cell>
          <cell r="AC517" t="str">
            <v>0917292068</v>
          </cell>
        </row>
        <row r="518">
          <cell r="B518" t="str">
            <v>BV0770</v>
          </cell>
          <cell r="C518" t="str">
            <v>Nông Thúy Mai</v>
          </cell>
          <cell r="D518" t="str">
            <v>BV0770</v>
          </cell>
          <cell r="E518" t="str">
            <v>x</v>
          </cell>
          <cell r="F518" t="str">
            <v>Hộ lý</v>
          </cell>
          <cell r="G518" t="str">
            <v>TĐ047</v>
          </cell>
          <cell r="I518" t="str">
            <v>Hộ lý</v>
          </cell>
          <cell r="J518" t="str">
            <v>Răng Hàm Mặt</v>
          </cell>
          <cell r="K518" t="str">
            <v>KP024</v>
          </cell>
          <cell r="N518" t="str">
            <v>HĐ có thời hạn</v>
          </cell>
          <cell r="O518">
            <v>47</v>
          </cell>
          <cell r="P518">
            <v>0</v>
          </cell>
          <cell r="Q518" t="str">
            <v>14/10/1978</v>
          </cell>
          <cell r="R518" t="str">
            <v>Tày</v>
          </cell>
          <cell r="S518" t="str">
            <v xml:space="preserve"> 02/10/2017</v>
          </cell>
          <cell r="T518" t="str">
            <v>020178000544</v>
          </cell>
          <cell r="U518" t="str">
            <v>Khối Đồng Én, phương Tam Thanh</v>
          </cell>
          <cell r="W518" t="str">
            <v/>
          </cell>
          <cell r="X518" t="str">
            <v/>
          </cell>
          <cell r="Z518" t="str">
            <v/>
          </cell>
          <cell r="AB518" t="str">
            <v/>
          </cell>
        </row>
        <row r="519">
          <cell r="B519" t="str">
            <v>BV0423</v>
          </cell>
          <cell r="C519" t="str">
            <v>Hoàng Văn Yêu</v>
          </cell>
          <cell r="D519" t="str">
            <v>BV0423</v>
          </cell>
          <cell r="F519" t="str">
            <v>BSCKII</v>
          </cell>
          <cell r="G519" t="str">
            <v>TĐ001</v>
          </cell>
          <cell r="H519" t="str">
            <v>Bác sĩ chính (hạng II)</v>
          </cell>
          <cell r="I519" t="str">
            <v>Bác sĩ chính (hạng II)</v>
          </cell>
          <cell r="J519" t="str">
            <v>GM-HS</v>
          </cell>
          <cell r="K519" t="str">
            <v>KP025</v>
          </cell>
          <cell r="L519" t="str">
            <v>Lãnh đạo khoa, phòng</v>
          </cell>
          <cell r="M519" t="str">
            <v>Trưởng khoa</v>
          </cell>
          <cell r="N519" t="str">
            <v>Viên chức</v>
          </cell>
          <cell r="O519">
            <v>56</v>
          </cell>
          <cell r="P519">
            <v>25463</v>
          </cell>
          <cell r="Q519">
            <v>0</v>
          </cell>
          <cell r="R519" t="str">
            <v>Nùng</v>
          </cell>
          <cell r="S519" t="str">
            <v>1/6/1997</v>
          </cell>
          <cell r="T519" t="str">
            <v>020069006689</v>
          </cell>
          <cell r="U519" t="str">
            <v>Khối Đào Giang, phường Lương Văn Tri</v>
          </cell>
          <cell r="W519" t="str">
            <v>001023/LS-CCHN</v>
          </cell>
          <cell r="X519" t="str">
            <v>11/01/2023</v>
          </cell>
          <cell r="Z519" t="str">
            <v>Khám bệnh, chữa bệnh chuyên khoa Gây mê hồi sức</v>
          </cell>
          <cell r="AB519" t="str">
            <v/>
          </cell>
          <cell r="AC519">
            <v>912245299</v>
          </cell>
        </row>
        <row r="520">
          <cell r="B520" t="str">
            <v>BV0425</v>
          </cell>
          <cell r="C520" t="str">
            <v>Nguyễn Thị Hồng Duyên</v>
          </cell>
          <cell r="D520" t="str">
            <v>BV0425</v>
          </cell>
          <cell r="E520" t="str">
            <v>x</v>
          </cell>
          <cell r="F520" t="str">
            <v>BSCKI</v>
          </cell>
          <cell r="G520" t="str">
            <v>TĐ003</v>
          </cell>
          <cell r="H520" t="str">
            <v>Bác sĩ (hạng III)</v>
          </cell>
          <cell r="I520" t="str">
            <v>Bác sĩ (hạng III)</v>
          </cell>
          <cell r="J520" t="str">
            <v>GM-HS</v>
          </cell>
          <cell r="K520" t="str">
            <v>KP025</v>
          </cell>
          <cell r="L520" t="str">
            <v>Viên chức CMNV</v>
          </cell>
          <cell r="M520">
            <v>0</v>
          </cell>
          <cell r="N520" t="str">
            <v>Viên chức</v>
          </cell>
          <cell r="O520">
            <v>39</v>
          </cell>
          <cell r="P520">
            <v>0</v>
          </cell>
          <cell r="Q520">
            <v>31688</v>
          </cell>
          <cell r="R520" t="str">
            <v>Kinh</v>
          </cell>
          <cell r="S520" t="str">
            <v>10/6/2013</v>
          </cell>
          <cell r="T520" t="str">
            <v>020186002105</v>
          </cell>
          <cell r="U520">
            <v>0</v>
          </cell>
          <cell r="W520" t="str">
            <v>003186/LS-CCHN</v>
          </cell>
          <cell r="X520" t="str">
            <v>11/01/2023</v>
          </cell>
          <cell r="Z520" t="str">
            <v>Khám bệnh, chữa bệnh chuyên khoa Gây mê hồi sức</v>
          </cell>
          <cell r="AB520" t="str">
            <v/>
          </cell>
          <cell r="AC520" t="str">
            <v>0942031086</v>
          </cell>
        </row>
        <row r="521">
          <cell r="B521" t="str">
            <v>BV0426</v>
          </cell>
          <cell r="C521" t="str">
            <v>Hoàng Thị Hoa</v>
          </cell>
          <cell r="D521" t="str">
            <v>BV0426</v>
          </cell>
          <cell r="E521" t="str">
            <v>x</v>
          </cell>
          <cell r="F521" t="str">
            <v>BSCKI</v>
          </cell>
          <cell r="G521" t="str">
            <v>TĐ003</v>
          </cell>
          <cell r="H521" t="str">
            <v>Bác sĩ (hạng III)</v>
          </cell>
          <cell r="I521" t="str">
            <v>Bác sĩ (hạng III)</v>
          </cell>
          <cell r="J521" t="str">
            <v>GM-HS</v>
          </cell>
          <cell r="K521" t="str">
            <v>KP025</v>
          </cell>
          <cell r="L521" t="str">
            <v>Viên chức CMNV</v>
          </cell>
          <cell r="M521">
            <v>0</v>
          </cell>
          <cell r="N521" t="str">
            <v>Viên chức</v>
          </cell>
          <cell r="O521">
            <v>37</v>
          </cell>
          <cell r="P521">
            <v>0</v>
          </cell>
          <cell r="Q521">
            <v>32411</v>
          </cell>
          <cell r="R521" t="str">
            <v>Nùng</v>
          </cell>
          <cell r="S521" t="str">
            <v>01/11/2014</v>
          </cell>
          <cell r="T521" t="str">
            <v>020188007568</v>
          </cell>
          <cell r="U521" t="str">
            <v>Khối 16, phường Đông Kinh</v>
          </cell>
          <cell r="W521" t="str">
            <v>000388/LS-CCHN</v>
          </cell>
          <cell r="X521" t="str">
            <v>01/06/2016</v>
          </cell>
          <cell r="Z521" t="str">
            <v>Chuyên khoa Gây mê hồi sức</v>
          </cell>
          <cell r="AB521" t="str">
            <v/>
          </cell>
          <cell r="AC521" t="str">
            <v>0987783667</v>
          </cell>
        </row>
        <row r="522">
          <cell r="B522" t="str">
            <v>BV0424</v>
          </cell>
          <cell r="C522" t="str">
            <v>Hoàng Thị Hiên</v>
          </cell>
          <cell r="D522" t="str">
            <v>BV0424</v>
          </cell>
          <cell r="E522" t="str">
            <v>x</v>
          </cell>
          <cell r="F522" t="str">
            <v>Thạc sỹ</v>
          </cell>
          <cell r="G522" t="str">
            <v>TĐ004</v>
          </cell>
          <cell r="H522" t="str">
            <v>Bác sĩ chính (hạng II)</v>
          </cell>
          <cell r="I522" t="str">
            <v>Bác sĩ chính (hạng II)</v>
          </cell>
          <cell r="J522" t="str">
            <v>GM-HS</v>
          </cell>
          <cell r="K522" t="str">
            <v>KP025</v>
          </cell>
          <cell r="L522" t="str">
            <v>Lãnh đạo khoa, phòng</v>
          </cell>
          <cell r="M522" t="str">
            <v>Phó trưởng khoa</v>
          </cell>
          <cell r="N522" t="str">
            <v>Viên chức</v>
          </cell>
          <cell r="O522">
            <v>46</v>
          </cell>
          <cell r="P522">
            <v>0</v>
          </cell>
          <cell r="Q522">
            <v>29158</v>
          </cell>
          <cell r="R522" t="str">
            <v>Tày</v>
          </cell>
          <cell r="S522" t="str">
            <v>1/10/2006</v>
          </cell>
          <cell r="T522" t="str">
            <v>020179001994</v>
          </cell>
          <cell r="U522" t="str">
            <v>Khối 9, phường Kỳ Lừa</v>
          </cell>
          <cell r="W522" t="str">
            <v>003071/LS-CCHN</v>
          </cell>
          <cell r="X522" t="str">
            <v>07/09/2015</v>
          </cell>
          <cell r="Z522" t="str">
            <v>Chuyên khoa Gây mê hồi sức</v>
          </cell>
          <cell r="AB522" t="str">
            <v/>
          </cell>
          <cell r="AC522" t="str">
            <v>0913561898</v>
          </cell>
        </row>
        <row r="523">
          <cell r="B523" t="str">
            <v>BV0887</v>
          </cell>
          <cell r="C523" t="str">
            <v>Hoàng Mai Loan</v>
          </cell>
          <cell r="D523" t="str">
            <v>BV0887</v>
          </cell>
          <cell r="E523" t="str">
            <v>x</v>
          </cell>
          <cell r="F523" t="str">
            <v>Bác sĩ</v>
          </cell>
          <cell r="G523" t="str">
            <v>TĐ005</v>
          </cell>
          <cell r="H523" t="str">
            <v>Bác sĩ (hạng III)</v>
          </cell>
          <cell r="I523" t="str">
            <v>Bác sĩ (hạng III)</v>
          </cell>
          <cell r="J523" t="str">
            <v>GM-HS</v>
          </cell>
          <cell r="K523" t="str">
            <v>KP025</v>
          </cell>
          <cell r="L523" t="str">
            <v>Viên chức CMNV</v>
          </cell>
          <cell r="M523">
            <v>0</v>
          </cell>
          <cell r="N523" t="str">
            <v>Viên chức</v>
          </cell>
          <cell r="O523">
            <v>32</v>
          </cell>
          <cell r="P523">
            <v>0</v>
          </cell>
          <cell r="Q523" t="str">
            <v>14/09/1993</v>
          </cell>
          <cell r="R523" t="str">
            <v>Nùng</v>
          </cell>
          <cell r="S523" t="str">
            <v>05/04/2019</v>
          </cell>
          <cell r="T523" t="str">
            <v>020193002205</v>
          </cell>
          <cell r="U523" t="str">
            <v>Khối 12, phường Kỳ Lừa</v>
          </cell>
          <cell r="W523" t="str">
            <v>004233/LS-CCHN</v>
          </cell>
          <cell r="X523" t="str">
            <v>20/12/2021</v>
          </cell>
          <cell r="Z523" t="str">
            <v>Khám bệnh, chữa bệnh ngoại khoa; Gây mê hồi sức</v>
          </cell>
          <cell r="AB523" t="str">
            <v/>
          </cell>
          <cell r="AC523" t="str">
            <v>0967666510</v>
          </cell>
          <cell r="AD523" t="str">
            <v>BC 5/4/2019</v>
          </cell>
        </row>
        <row r="524">
          <cell r="B524" t="str">
            <v>BV0889</v>
          </cell>
          <cell r="C524" t="str">
            <v>Tô Thị Kim Anh</v>
          </cell>
          <cell r="D524" t="str">
            <v>BV0889</v>
          </cell>
          <cell r="E524" t="str">
            <v>x</v>
          </cell>
          <cell r="F524" t="str">
            <v>Bác sĩ</v>
          </cell>
          <cell r="G524" t="str">
            <v>TĐ005</v>
          </cell>
          <cell r="H524" t="str">
            <v>Bác sĩ (hạng III)</v>
          </cell>
          <cell r="I524" t="str">
            <v>Bác sĩ (hạng III)</v>
          </cell>
          <cell r="J524" t="str">
            <v>GM-HS</v>
          </cell>
          <cell r="K524" t="str">
            <v>KP025</v>
          </cell>
          <cell r="L524" t="str">
            <v>Viên chức CMNV</v>
          </cell>
          <cell r="M524">
            <v>0</v>
          </cell>
          <cell r="N524" t="str">
            <v>Viên chức</v>
          </cell>
          <cell r="O524">
            <v>32</v>
          </cell>
          <cell r="P524">
            <v>0</v>
          </cell>
          <cell r="Q524" t="str">
            <v>19/02/1994</v>
          </cell>
          <cell r="R524" t="str">
            <v>Tày</v>
          </cell>
          <cell r="S524" t="str">
            <v>05/04/2019</v>
          </cell>
          <cell r="T524" t="str">
            <v>020194000530</v>
          </cell>
          <cell r="U524" t="str">
            <v>Khối 14, phường Kỳ Lừa</v>
          </cell>
          <cell r="W524" t="str">
            <v>004117/LS-CCHN</v>
          </cell>
          <cell r="X524" t="str">
            <v>08/02/2021</v>
          </cell>
          <cell r="Z524" t="str">
            <v>Khám bệnh, chữa bệnh nội khoa; Chuyên khoa Gây mê hồi sức</v>
          </cell>
          <cell r="AB524" t="str">
            <v/>
          </cell>
          <cell r="AC524" t="str">
            <v>0386643830</v>
          </cell>
          <cell r="AD524" t="str">
            <v>BC 5/4/2019</v>
          </cell>
        </row>
        <row r="525">
          <cell r="B525" t="str">
            <v>BV1154</v>
          </cell>
          <cell r="C525" t="str">
            <v>Trần Trịnh Huy</v>
          </cell>
          <cell r="D525" t="str">
            <v>BV1154</v>
          </cell>
          <cell r="F525" t="str">
            <v>Bác sĩ</v>
          </cell>
          <cell r="G525" t="str">
            <v>TĐ005</v>
          </cell>
          <cell r="I525" t="str">
            <v>Bác sĩ (hạng III)</v>
          </cell>
          <cell r="J525" t="str">
            <v>GM-HS</v>
          </cell>
          <cell r="K525" t="str">
            <v>KP025</v>
          </cell>
          <cell r="N525" t="str">
            <v>Viên chức</v>
          </cell>
          <cell r="O525">
            <v>29</v>
          </cell>
          <cell r="P525">
            <v>35473</v>
          </cell>
          <cell r="Q525">
            <v>0</v>
          </cell>
          <cell r="R525" t="str">
            <v>Nùng</v>
          </cell>
          <cell r="S525" t="str">
            <v>6/9/2021</v>
          </cell>
          <cell r="T525" t="str">
            <v>020097008028</v>
          </cell>
          <cell r="U525" t="str">
            <v>Khối 11, phường Kỳ Lừa</v>
          </cell>
          <cell r="W525" t="str">
            <v>005589/LS-CCHN</v>
          </cell>
          <cell r="X525" t="str">
            <v>15/05/2023</v>
          </cell>
          <cell r="Z525" t="str">
            <v>Khám bệnh, chữa bệnh chuyên khoa Nội</v>
          </cell>
          <cell r="AB525" t="str">
            <v/>
          </cell>
          <cell r="AC525" t="str">
            <v>0345316235</v>
          </cell>
          <cell r="AD525" t="str">
            <v>HĐ 6/9/2021-16/11/2021; HĐ tiếp từ 19/12/2022, Viên chức từ 15/6/2026</v>
          </cell>
        </row>
        <row r="526">
          <cell r="B526" t="str">
            <v>BV0220</v>
          </cell>
          <cell r="C526" t="str">
            <v>Nông Bích Đào</v>
          </cell>
          <cell r="D526" t="str">
            <v>BV0220</v>
          </cell>
          <cell r="E526" t="str">
            <v>x</v>
          </cell>
          <cell r="F526" t="str">
            <v>Điều dưỡng ĐH</v>
          </cell>
          <cell r="G526" t="str">
            <v>TĐ011</v>
          </cell>
          <cell r="H526" t="str">
            <v>Điều dưỡng (hạng III)</v>
          </cell>
          <cell r="I526" t="str">
            <v>Điều dưỡng (hạng III)</v>
          </cell>
          <cell r="J526" t="str">
            <v>GM-HS</v>
          </cell>
          <cell r="K526" t="str">
            <v>KP025</v>
          </cell>
          <cell r="L526" t="str">
            <v>Viên chức CMNV</v>
          </cell>
          <cell r="M526">
            <v>0</v>
          </cell>
          <cell r="N526" t="str">
            <v>Viên chức</v>
          </cell>
          <cell r="O526">
            <v>40</v>
          </cell>
          <cell r="P526">
            <v>0</v>
          </cell>
          <cell r="Q526">
            <v>31587</v>
          </cell>
          <cell r="R526" t="str">
            <v>Tày</v>
          </cell>
          <cell r="S526" t="str">
            <v>8/12/2008</v>
          </cell>
          <cell r="T526" t="str">
            <v>020186000938</v>
          </cell>
          <cell r="U526" t="str">
            <v>Khối Bản Viển, phường Tam Thanh</v>
          </cell>
          <cell r="W526" t="str">
            <v>000936/LS-CCHN</v>
          </cell>
          <cell r="X526" t="str">
            <v>11/01/2023</v>
          </cell>
          <cell r="Z52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26" t="str">
            <v/>
          </cell>
          <cell r="AC526" t="str">
            <v>0915473089</v>
          </cell>
        </row>
        <row r="527">
          <cell r="B527" t="str">
            <v>BV0441</v>
          </cell>
          <cell r="C527" t="str">
            <v>Vy Thị Thảo</v>
          </cell>
          <cell r="D527" t="str">
            <v>BV0441</v>
          </cell>
          <cell r="E527" t="str">
            <v>x</v>
          </cell>
          <cell r="F527" t="str">
            <v>Điều dưỡng ĐH</v>
          </cell>
          <cell r="G527" t="str">
            <v>TĐ011</v>
          </cell>
          <cell r="H527" t="str">
            <v>Điều dưỡng (hạng III)</v>
          </cell>
          <cell r="I527" t="str">
            <v>Điều dưỡng (hạng III)</v>
          </cell>
          <cell r="J527" t="str">
            <v>GM-HS</v>
          </cell>
          <cell r="K527" t="str">
            <v>KP025</v>
          </cell>
          <cell r="L527" t="str">
            <v>Viên chức CMNV</v>
          </cell>
          <cell r="M527">
            <v>0</v>
          </cell>
          <cell r="N527" t="str">
            <v>Viên chức</v>
          </cell>
          <cell r="O527">
            <v>40</v>
          </cell>
          <cell r="P527">
            <v>0</v>
          </cell>
          <cell r="Q527">
            <v>31543</v>
          </cell>
          <cell r="R527" t="str">
            <v>Nùng</v>
          </cell>
          <cell r="S527" t="str">
            <v>15/1/2010</v>
          </cell>
          <cell r="T527" t="str">
            <v>020186002100</v>
          </cell>
          <cell r="U527" t="str">
            <v>Khối Hoàng Trung, phường Tam Thanh</v>
          </cell>
          <cell r="W527" t="str">
            <v>001038/LS-CCHN</v>
          </cell>
          <cell r="X527" t="str">
            <v>11/01/2023</v>
          </cell>
          <cell r="Z52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27" t="str">
            <v/>
          </cell>
          <cell r="AC527" t="str">
            <v>0916217688</v>
          </cell>
        </row>
        <row r="528">
          <cell r="B528" t="str">
            <v>BV0430</v>
          </cell>
          <cell r="C528" t="str">
            <v>Ma Thị Hòe</v>
          </cell>
          <cell r="D528" t="str">
            <v>BV0430</v>
          </cell>
          <cell r="E528" t="str">
            <v>x</v>
          </cell>
          <cell r="F528" t="str">
            <v>Điều dưỡng ĐH</v>
          </cell>
          <cell r="G528" t="str">
            <v>TĐ011</v>
          </cell>
          <cell r="H528" t="str">
            <v>Điều dưỡng (hạng III)</v>
          </cell>
          <cell r="I528" t="str">
            <v>Điều dưỡng (hạng III)</v>
          </cell>
          <cell r="J528" t="str">
            <v>GM-HS</v>
          </cell>
          <cell r="K528" t="str">
            <v>KP025</v>
          </cell>
          <cell r="L528" t="str">
            <v>Viên chức CMNV</v>
          </cell>
          <cell r="M528">
            <v>0</v>
          </cell>
          <cell r="N528" t="str">
            <v>Viên chức</v>
          </cell>
          <cell r="O528">
            <v>51</v>
          </cell>
          <cell r="P528">
            <v>0</v>
          </cell>
          <cell r="Q528">
            <v>27364</v>
          </cell>
          <cell r="R528" t="str">
            <v>Tày</v>
          </cell>
          <cell r="S528" t="str">
            <v>2003</v>
          </cell>
          <cell r="T528" t="str">
            <v>020174001873</v>
          </cell>
          <cell r="U528" t="str">
            <v>Khối 9, phường Đông Kinh</v>
          </cell>
          <cell r="W528" t="str">
            <v>001027/LS-CCHN</v>
          </cell>
          <cell r="X528" t="str">
            <v>11/01/2023</v>
          </cell>
          <cell r="Z52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28" t="str">
            <v/>
          </cell>
          <cell r="AC528" t="str">
            <v>0919501180</v>
          </cell>
        </row>
        <row r="529">
          <cell r="B529" t="str">
            <v>BV0184</v>
          </cell>
          <cell r="C529" t="str">
            <v>Hoàng Thị Hải Yến</v>
          </cell>
          <cell r="D529" t="str">
            <v>BV0184</v>
          </cell>
          <cell r="E529" t="str">
            <v>x</v>
          </cell>
          <cell r="F529" t="str">
            <v>Điều dưỡng CĐ</v>
          </cell>
          <cell r="G529" t="str">
            <v>TĐ012</v>
          </cell>
          <cell r="H529" t="str">
            <v>Điều dưỡng (hạng IV)</v>
          </cell>
          <cell r="I529" t="str">
            <v>Điều dưỡng (hạng IV)</v>
          </cell>
          <cell r="J529" t="str">
            <v>Lão - CXK</v>
          </cell>
          <cell r="K529" t="str">
            <v>KP004</v>
          </cell>
          <cell r="L529" t="str">
            <v>Viên chức CMNV</v>
          </cell>
          <cell r="M529">
            <v>0</v>
          </cell>
          <cell r="N529" t="str">
            <v>Viên chức</v>
          </cell>
          <cell r="O529">
            <v>36</v>
          </cell>
          <cell r="P529">
            <v>0</v>
          </cell>
          <cell r="Q529">
            <v>32874</v>
          </cell>
          <cell r="R529" t="str">
            <v>Nùng</v>
          </cell>
          <cell r="S529" t="str">
            <v>10/6/2013</v>
          </cell>
          <cell r="T529" t="str">
            <v>020190010789</v>
          </cell>
          <cell r="U529" t="str">
            <v>P. Tam thanh - Lạng Sơn</v>
          </cell>
          <cell r="W529" t="str">
            <v>000924/LS-CCHN</v>
          </cell>
          <cell r="X529" t="str">
            <v>24/06/2013</v>
          </cell>
          <cell r="Z529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529" t="str">
            <v/>
          </cell>
          <cell r="AC529" t="str">
            <v>0985179556</v>
          </cell>
        </row>
        <row r="530">
          <cell r="B530" t="str">
            <v>BV0738</v>
          </cell>
          <cell r="C530" t="str">
            <v>Nguyễn Văn Huy</v>
          </cell>
          <cell r="D530" t="str">
            <v>BV0738</v>
          </cell>
          <cell r="F530" t="str">
            <v>Điều dưỡng CĐ</v>
          </cell>
          <cell r="G530" t="str">
            <v>TĐ012</v>
          </cell>
          <cell r="H530" t="str">
            <v>Điều dưỡng (hạng IV)</v>
          </cell>
          <cell r="I530" t="str">
            <v>Điều dưỡng (hạng IV)</v>
          </cell>
          <cell r="J530" t="str">
            <v>GM-HS</v>
          </cell>
          <cell r="K530" t="str">
            <v>KP025</v>
          </cell>
          <cell r="L530" t="str">
            <v>Viên chức CMNV</v>
          </cell>
          <cell r="M530">
            <v>0</v>
          </cell>
          <cell r="N530" t="str">
            <v>Viên chức</v>
          </cell>
          <cell r="O530">
            <v>34</v>
          </cell>
          <cell r="P530" t="str">
            <v>26/10/1991</v>
          </cell>
          <cell r="Q530">
            <v>0</v>
          </cell>
          <cell r="R530" t="str">
            <v>Kinh</v>
          </cell>
          <cell r="S530" t="str">
            <v>05/6/2013</v>
          </cell>
          <cell r="T530" t="str">
            <v>020091004528</v>
          </cell>
          <cell r="U530" t="str">
            <v>Khối Hoàng Tâm, Phường Thanh</v>
          </cell>
          <cell r="W530" t="str">
            <v>003019/LS-CCHN</v>
          </cell>
          <cell r="X530" t="str">
            <v>16/06/2015</v>
          </cell>
          <cell r="Z530" t="str">
            <v>Chăm sóc người bệnh theo chuyên khoa Gây mê hồi sức</v>
          </cell>
          <cell r="AB530" t="str">
            <v/>
          </cell>
          <cell r="AC530" t="str">
            <v>0399395665</v>
          </cell>
        </row>
        <row r="531">
          <cell r="B531" t="str">
            <v>BV0428</v>
          </cell>
          <cell r="C531" t="str">
            <v>Lành Văn Lượng</v>
          </cell>
          <cell r="D531" t="str">
            <v>BV0428</v>
          </cell>
          <cell r="F531" t="str">
            <v>Điều dưỡng CĐ</v>
          </cell>
          <cell r="G531" t="str">
            <v>TĐ012</v>
          </cell>
          <cell r="H531" t="str">
            <v>Điều dưỡng (hạng IV)</v>
          </cell>
          <cell r="I531" t="str">
            <v>Điều dưỡng (hạng IV)</v>
          </cell>
          <cell r="J531" t="str">
            <v>GM-HS</v>
          </cell>
          <cell r="K531" t="str">
            <v>KP025</v>
          </cell>
          <cell r="L531" t="str">
            <v>Viên chức CMNV</v>
          </cell>
          <cell r="M531">
            <v>0</v>
          </cell>
          <cell r="N531" t="str">
            <v>Viên chức</v>
          </cell>
          <cell r="O531">
            <v>59</v>
          </cell>
          <cell r="P531">
            <v>24584</v>
          </cell>
          <cell r="Q531">
            <v>0</v>
          </cell>
          <cell r="R531" t="str">
            <v>Tày</v>
          </cell>
          <cell r="S531" t="str">
            <v>29/5/1990</v>
          </cell>
          <cell r="T531" t="str">
            <v>020067000375</v>
          </cell>
          <cell r="U531" t="str">
            <v>Khối Chi mạc, phường Tam Thanh</v>
          </cell>
          <cell r="W531" t="str">
            <v>001025/LS-CCHN</v>
          </cell>
          <cell r="X531" t="str">
            <v>24/06/2013</v>
          </cell>
          <cell r="Z531" t="str">
            <v>Chăm sóc người bệnh theo chuyên khoa Gây mê hồi sức</v>
          </cell>
          <cell r="AB531" t="str">
            <v/>
          </cell>
          <cell r="AC531" t="str">
            <v>0912430388</v>
          </cell>
        </row>
        <row r="532">
          <cell r="B532" t="str">
            <v>BV0429</v>
          </cell>
          <cell r="C532" t="str">
            <v>Hoàng Thị Mơ</v>
          </cell>
          <cell r="D532" t="str">
            <v>BV0429</v>
          </cell>
          <cell r="E532" t="str">
            <v>x</v>
          </cell>
          <cell r="F532" t="str">
            <v>Điều dưỡng CĐ</v>
          </cell>
          <cell r="G532" t="str">
            <v>TĐ012</v>
          </cell>
          <cell r="H532" t="str">
            <v>Kỹ thuật y (hạng IV)</v>
          </cell>
          <cell r="I532" t="str">
            <v>Kỹ thuật y (hạng IV)</v>
          </cell>
          <cell r="J532" t="str">
            <v>GM-HS</v>
          </cell>
          <cell r="K532" t="str">
            <v>KP025</v>
          </cell>
          <cell r="L532" t="str">
            <v>Viên chức CMNV</v>
          </cell>
          <cell r="M532">
            <v>0</v>
          </cell>
          <cell r="N532" t="str">
            <v>Viên chức</v>
          </cell>
          <cell r="O532">
            <v>56</v>
          </cell>
          <cell r="P532">
            <v>0</v>
          </cell>
          <cell r="Q532">
            <v>25749</v>
          </cell>
          <cell r="R532" t="str">
            <v>Tày</v>
          </cell>
          <cell r="S532" t="str">
            <v>1/9/1993</v>
          </cell>
          <cell r="T532" t="str">
            <v>020170006496</v>
          </cell>
          <cell r="U532" t="str">
            <v>Khối Pàn Pè, phường Tam Thanh</v>
          </cell>
          <cell r="W532" t="str">
            <v>001026/LS-CCHN</v>
          </cell>
          <cell r="X532" t="str">
            <v>24/06/2013</v>
          </cell>
          <cell r="Z532" t="str">
            <v>Chăm sóc người bệnh theo chuyên khoa Gây mê hồi sức</v>
          </cell>
          <cell r="AB532" t="str">
            <v/>
          </cell>
          <cell r="AC532" t="str">
            <v>0913530866</v>
          </cell>
        </row>
        <row r="533">
          <cell r="B533" t="str">
            <v>BV0066</v>
          </cell>
          <cell r="C533" t="str">
            <v>Lương Thị Quyến</v>
          </cell>
          <cell r="D533" t="str">
            <v>BV0066</v>
          </cell>
          <cell r="E533" t="str">
            <v>x</v>
          </cell>
          <cell r="F533" t="str">
            <v>Điều dưỡng CĐ</v>
          </cell>
          <cell r="G533" t="str">
            <v>TĐ012</v>
          </cell>
          <cell r="H533" t="str">
            <v>Điều dưỡng (hạng IV)</v>
          </cell>
          <cell r="I533" t="str">
            <v>Điều dưỡng (hạng IV)</v>
          </cell>
          <cell r="J533" t="str">
            <v>GM-HS</v>
          </cell>
          <cell r="K533" t="str">
            <v>KP025</v>
          </cell>
          <cell r="L533" t="str">
            <v>Viên chức CMNV</v>
          </cell>
          <cell r="M533">
            <v>0</v>
          </cell>
          <cell r="N533" t="str">
            <v>Viên chức</v>
          </cell>
          <cell r="O533">
            <v>38</v>
          </cell>
          <cell r="P533">
            <v>0</v>
          </cell>
          <cell r="Q533">
            <v>32175</v>
          </cell>
          <cell r="R533" t="str">
            <v>Tày</v>
          </cell>
          <cell r="S533" t="str">
            <v>15/1/2010</v>
          </cell>
          <cell r="T533" t="str">
            <v>020188008927</v>
          </cell>
          <cell r="U533" t="str">
            <v>Khối Hoàng tâm, phường Tam Thanh</v>
          </cell>
          <cell r="W533" t="str">
            <v>000790/LS-CCHN</v>
          </cell>
          <cell r="X533" t="str">
            <v>11/01/2023</v>
          </cell>
          <cell r="Z53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33" t="str">
            <v/>
          </cell>
          <cell r="AC533" t="str">
            <v>0917899818</v>
          </cell>
        </row>
        <row r="534">
          <cell r="B534" t="str">
            <v>BV0196</v>
          </cell>
          <cell r="C534" t="str">
            <v>Vi Thị Niệm</v>
          </cell>
          <cell r="D534" t="str">
            <v>BV0196</v>
          </cell>
          <cell r="E534" t="str">
            <v>x</v>
          </cell>
          <cell r="F534" t="str">
            <v>Điều dưỡng CĐ</v>
          </cell>
          <cell r="G534" t="str">
            <v>TĐ012</v>
          </cell>
          <cell r="H534" t="str">
            <v>Điều dưỡng (hạng IV)</v>
          </cell>
          <cell r="I534" t="str">
            <v>Điều dưỡng (hạng IV)</v>
          </cell>
          <cell r="J534" t="str">
            <v>GM-HS</v>
          </cell>
          <cell r="K534" t="str">
            <v>KP025</v>
          </cell>
          <cell r="L534" t="str">
            <v>Viên chức CMNV</v>
          </cell>
          <cell r="M534">
            <v>0</v>
          </cell>
          <cell r="N534" t="str">
            <v>Viên chức</v>
          </cell>
          <cell r="O534">
            <v>38</v>
          </cell>
          <cell r="P534">
            <v>0</v>
          </cell>
          <cell r="Q534">
            <v>32268</v>
          </cell>
          <cell r="R534" t="str">
            <v>Nùng</v>
          </cell>
          <cell r="S534" t="str">
            <v>1/12/2010</v>
          </cell>
          <cell r="T534" t="str">
            <v>020188005944</v>
          </cell>
          <cell r="U534" t="str">
            <v>Khối Khòn Pát, phường Đông Kinh</v>
          </cell>
          <cell r="W534" t="str">
            <v>000920/LS-CCHN</v>
          </cell>
          <cell r="X534" t="str">
            <v>11/01/2023</v>
          </cell>
          <cell r="Z53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34" t="str">
            <v/>
          </cell>
          <cell r="AC534" t="str">
            <v>0382776615</v>
          </cell>
        </row>
        <row r="535">
          <cell r="B535" t="str">
            <v>BV0440</v>
          </cell>
          <cell r="C535" t="str">
            <v>Hoàng Thị Điệp</v>
          </cell>
          <cell r="D535" t="str">
            <v>BV0440</v>
          </cell>
          <cell r="E535" t="str">
            <v>x</v>
          </cell>
          <cell r="F535" t="str">
            <v>Điều dưỡng CĐ</v>
          </cell>
          <cell r="G535" t="str">
            <v>TĐ012</v>
          </cell>
          <cell r="H535" t="str">
            <v>Điều dưỡng (hạng IV)</v>
          </cell>
          <cell r="I535" t="str">
            <v>Điều dưỡng (hạng IV)</v>
          </cell>
          <cell r="J535" t="str">
            <v>GM-HS</v>
          </cell>
          <cell r="K535" t="str">
            <v>KP025</v>
          </cell>
          <cell r="L535" t="str">
            <v>Viên chức CMNV</v>
          </cell>
          <cell r="M535">
            <v>0</v>
          </cell>
          <cell r="N535" t="str">
            <v>Viên chức</v>
          </cell>
          <cell r="O535">
            <v>39</v>
          </cell>
          <cell r="P535">
            <v>0</v>
          </cell>
          <cell r="Q535">
            <v>31723</v>
          </cell>
          <cell r="R535" t="str">
            <v>Tày</v>
          </cell>
          <cell r="S535" t="str">
            <v>1/12/2008</v>
          </cell>
          <cell r="T535" t="str">
            <v>020186007852</v>
          </cell>
          <cell r="U535" t="str">
            <v>Khối 7, phường Đông Kinh</v>
          </cell>
          <cell r="W535" t="str">
            <v>001033/LS-CCHN</v>
          </cell>
          <cell r="X535" t="str">
            <v>24/06/2013</v>
          </cell>
          <cell r="Z535" t="str">
            <v>Chăm sóc người bệnh theo chuyên khoa Gây mê hồi sức</v>
          </cell>
          <cell r="AB535" t="str">
            <v/>
          </cell>
          <cell r="AC535" t="str">
            <v>0987118886</v>
          </cell>
        </row>
        <row r="536">
          <cell r="B536" t="str">
            <v>BV0436</v>
          </cell>
          <cell r="C536" t="str">
            <v>Triệu Thị Minh</v>
          </cell>
          <cell r="D536" t="str">
            <v>BV0436</v>
          </cell>
          <cell r="E536" t="str">
            <v>x</v>
          </cell>
          <cell r="F536" t="str">
            <v>Điều dưỡng CĐ</v>
          </cell>
          <cell r="G536" t="str">
            <v>TĐ012</v>
          </cell>
          <cell r="H536" t="str">
            <v>Điều dưỡng (hạng IV)</v>
          </cell>
          <cell r="I536" t="str">
            <v>Điều dưỡng (hạng IV)</v>
          </cell>
          <cell r="J536" t="str">
            <v>GM-HS</v>
          </cell>
          <cell r="K536" t="str">
            <v>KP025</v>
          </cell>
          <cell r="L536" t="str">
            <v>Viên chức CMNV</v>
          </cell>
          <cell r="M536">
            <v>0</v>
          </cell>
          <cell r="N536" t="str">
            <v>Viên chức</v>
          </cell>
          <cell r="O536">
            <v>51</v>
          </cell>
          <cell r="P536">
            <v>0</v>
          </cell>
          <cell r="Q536">
            <v>27412</v>
          </cell>
          <cell r="R536" t="str">
            <v>Nùng</v>
          </cell>
          <cell r="S536" t="str">
            <v>1/11/1994</v>
          </cell>
          <cell r="T536" t="str">
            <v>020175002086</v>
          </cell>
          <cell r="U536" t="str">
            <v>Khối 15, phường Đông Kinh</v>
          </cell>
          <cell r="W536" t="str">
            <v>001036/LS-CCHN</v>
          </cell>
          <cell r="X536" t="str">
            <v>24/06/2013</v>
          </cell>
          <cell r="Z536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536" t="str">
            <v/>
          </cell>
          <cell r="AC536" t="str">
            <v>0912205483</v>
          </cell>
        </row>
        <row r="537">
          <cell r="B537" t="str">
            <v>BV0438</v>
          </cell>
          <cell r="C537" t="str">
            <v>Lương Tuyết Nhung</v>
          </cell>
          <cell r="D537" t="str">
            <v>BV0438</v>
          </cell>
          <cell r="E537" t="str">
            <v>x</v>
          </cell>
          <cell r="F537" t="str">
            <v>Điều dưỡng CĐ</v>
          </cell>
          <cell r="G537" t="str">
            <v>TĐ012</v>
          </cell>
          <cell r="H537" t="str">
            <v>Điều dưỡng (hạng IV)</v>
          </cell>
          <cell r="I537" t="str">
            <v>Điều dưỡng (hạng IV)</v>
          </cell>
          <cell r="J537" t="str">
            <v>GM-HS</v>
          </cell>
          <cell r="K537" t="str">
            <v>KP025</v>
          </cell>
          <cell r="L537" t="str">
            <v>Viên chức CMNV</v>
          </cell>
          <cell r="M537">
            <v>0</v>
          </cell>
          <cell r="N537" t="str">
            <v>Viên chức</v>
          </cell>
          <cell r="O537">
            <v>46</v>
          </cell>
          <cell r="P537">
            <v>0</v>
          </cell>
          <cell r="Q537">
            <v>29316</v>
          </cell>
          <cell r="R537" t="str">
            <v>Nùng</v>
          </cell>
          <cell r="S537" t="str">
            <v>6/11/2006</v>
          </cell>
          <cell r="T537" t="str">
            <v>020180001484</v>
          </cell>
          <cell r="U537" t="str">
            <v>Khối Hoàng Thượng, phường Tam Thanh</v>
          </cell>
          <cell r="W537" t="str">
            <v>001034/LS-CCHN</v>
          </cell>
          <cell r="X537" t="str">
            <v>11/01/2023</v>
          </cell>
          <cell r="Z53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37" t="str">
            <v/>
          </cell>
          <cell r="AC537" t="str">
            <v>0978598937</v>
          </cell>
        </row>
        <row r="538">
          <cell r="B538" t="str">
            <v>BV0434</v>
          </cell>
          <cell r="C538" t="str">
            <v>Lăng Thị Thương</v>
          </cell>
          <cell r="D538" t="str">
            <v>BV0434</v>
          </cell>
          <cell r="E538" t="str">
            <v>x</v>
          </cell>
          <cell r="F538" t="str">
            <v>Điều dưỡng CĐ</v>
          </cell>
          <cell r="G538" t="str">
            <v>TĐ012</v>
          </cell>
          <cell r="H538" t="str">
            <v>Điều dưỡng (hạng IV)</v>
          </cell>
          <cell r="I538" t="str">
            <v>Điều dưỡng (hạng IV)</v>
          </cell>
          <cell r="J538" t="str">
            <v>GM-HS</v>
          </cell>
          <cell r="K538" t="str">
            <v>KP025</v>
          </cell>
          <cell r="L538" t="str">
            <v>Viên chức CMNV</v>
          </cell>
          <cell r="M538">
            <v>0</v>
          </cell>
          <cell r="N538" t="str">
            <v>Viên chức</v>
          </cell>
          <cell r="O538">
            <v>41</v>
          </cell>
          <cell r="P538">
            <v>0</v>
          </cell>
          <cell r="Q538">
            <v>30960</v>
          </cell>
          <cell r="R538" t="str">
            <v>Nùng</v>
          </cell>
          <cell r="S538" t="str">
            <v>15/1/2010</v>
          </cell>
          <cell r="T538" t="str">
            <v>020184002851</v>
          </cell>
          <cell r="U538" t="str">
            <v>Khối Pò Đứa, phường Đông Kinh</v>
          </cell>
          <cell r="W538" t="str">
            <v>000918/LS-CCHN</v>
          </cell>
          <cell r="X538" t="str">
            <v>11/01/2023</v>
          </cell>
          <cell r="Z53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38" t="str">
            <v/>
          </cell>
          <cell r="AC538" t="str">
            <v>0965121389</v>
          </cell>
        </row>
        <row r="539">
          <cell r="B539" t="str">
            <v>BV1175</v>
          </cell>
          <cell r="C539" t="str">
            <v>Ngô Hồng Lan</v>
          </cell>
          <cell r="D539" t="str">
            <v>BV1175</v>
          </cell>
          <cell r="E539" t="str">
            <v>x</v>
          </cell>
          <cell r="F539" t="str">
            <v>Điều dưỡng CĐ</v>
          </cell>
          <cell r="G539" t="str">
            <v>TĐ012</v>
          </cell>
          <cell r="H539" t="str">
            <v>Điều dưỡng (hạng IV)</v>
          </cell>
          <cell r="I539" t="str">
            <v>Điều dưỡng (hạng IV)</v>
          </cell>
          <cell r="J539" t="str">
            <v>GM-HS</v>
          </cell>
          <cell r="K539" t="str">
            <v>KP025</v>
          </cell>
          <cell r="M539">
            <v>0</v>
          </cell>
          <cell r="N539" t="str">
            <v>Viên chức</v>
          </cell>
          <cell r="O539">
            <v>33</v>
          </cell>
          <cell r="P539">
            <v>0</v>
          </cell>
          <cell r="Q539">
            <v>34061</v>
          </cell>
          <cell r="R539" t="str">
            <v>Nùng</v>
          </cell>
          <cell r="S539" t="str">
            <v>20/3/2018</v>
          </cell>
          <cell r="T539" t="str">
            <v>020193000489</v>
          </cell>
          <cell r="U539" t="str">
            <v>Khối 8, phường Đông Kinh</v>
          </cell>
          <cell r="W539" t="str">
            <v>000726/LS-CCHN</v>
          </cell>
          <cell r="X539" t="str">
            <v>25/07/2017</v>
          </cell>
          <cell r="Z53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539" t="str">
            <v/>
          </cell>
          <cell r="AC539">
            <v>389769759</v>
          </cell>
          <cell r="AD539" t="str">
            <v>Chuyển đến 04/5/2022</v>
          </cell>
        </row>
        <row r="540">
          <cell r="B540" t="str">
            <v>BV0067</v>
          </cell>
          <cell r="C540" t="str">
            <v>Hoàng Xuân Cường</v>
          </cell>
          <cell r="D540" t="str">
            <v>BV0067</v>
          </cell>
          <cell r="F540" t="str">
            <v>Điều dưỡng CĐ</v>
          </cell>
          <cell r="G540" t="str">
            <v>TĐ012</v>
          </cell>
          <cell r="H540" t="str">
            <v>Điều dưỡng (hạng IV)</v>
          </cell>
          <cell r="I540" t="str">
            <v>Điều dưỡng (hạng IV)</v>
          </cell>
          <cell r="J540" t="str">
            <v>GM-HS</v>
          </cell>
          <cell r="K540" t="str">
            <v>KP025</v>
          </cell>
          <cell r="L540" t="str">
            <v>Viên chức CMNV</v>
          </cell>
          <cell r="M540">
            <v>0</v>
          </cell>
          <cell r="N540" t="str">
            <v>Viên chức</v>
          </cell>
          <cell r="O540">
            <v>41</v>
          </cell>
          <cell r="P540">
            <v>31105</v>
          </cell>
          <cell r="Q540">
            <v>0</v>
          </cell>
          <cell r="R540" t="str">
            <v>Tày</v>
          </cell>
          <cell r="S540" t="str">
            <v>15/1/2010</v>
          </cell>
          <cell r="T540" t="str">
            <v>020085007541</v>
          </cell>
          <cell r="U540" t="str">
            <v>Khối 21, phường Kỳ Lưà</v>
          </cell>
          <cell r="W540" t="str">
            <v>000789/LS-CCHN</v>
          </cell>
          <cell r="X540" t="str">
            <v>24/06/2013</v>
          </cell>
          <cell r="Z540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540" t="str">
            <v/>
          </cell>
          <cell r="AC540">
            <v>347734288</v>
          </cell>
        </row>
        <row r="541">
          <cell r="B541" t="str">
            <v>BV0445</v>
          </cell>
          <cell r="C541" t="str">
            <v>Nông Thị Len</v>
          </cell>
          <cell r="D541" t="str">
            <v>BV0445</v>
          </cell>
          <cell r="E541" t="str">
            <v>x</v>
          </cell>
          <cell r="F541" t="str">
            <v>Điều dưỡng CĐ</v>
          </cell>
          <cell r="G541" t="str">
            <v>TĐ012</v>
          </cell>
          <cell r="H541" t="str">
            <v>Điều dưỡng (hạng IV)</v>
          </cell>
          <cell r="I541" t="str">
            <v>Điều dưỡng (hạng IV)</v>
          </cell>
          <cell r="J541" t="str">
            <v>GM-HS</v>
          </cell>
          <cell r="K541" t="str">
            <v>KP025</v>
          </cell>
          <cell r="L541" t="str">
            <v>Viên chức CMNV</v>
          </cell>
          <cell r="M541">
            <v>0</v>
          </cell>
          <cell r="N541" t="str">
            <v>Viên chức</v>
          </cell>
          <cell r="O541">
            <v>36</v>
          </cell>
          <cell r="P541">
            <v>0</v>
          </cell>
          <cell r="Q541">
            <v>32917</v>
          </cell>
          <cell r="R541" t="str">
            <v>Tày</v>
          </cell>
          <cell r="S541" t="str">
            <v>10/6/2013</v>
          </cell>
          <cell r="T541" t="str">
            <v>024190004184</v>
          </cell>
          <cell r="U541" t="str">
            <v>Khối 7, phường Tam Thanh</v>
          </cell>
          <cell r="W541" t="str">
            <v>000389/LS-CCHN</v>
          </cell>
          <cell r="X541" t="str">
            <v>11/01/2023</v>
          </cell>
          <cell r="Z54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41" t="str">
            <v/>
          </cell>
          <cell r="AC541" t="str">
            <v>0986559829</v>
          </cell>
        </row>
        <row r="542">
          <cell r="B542" t="str">
            <v>BV0437</v>
          </cell>
          <cell r="C542" t="str">
            <v>Hoàng Thanh Lê</v>
          </cell>
          <cell r="D542" t="str">
            <v>BV0437</v>
          </cell>
          <cell r="E542" t="str">
            <v>x</v>
          </cell>
          <cell r="F542" t="str">
            <v>Điều dưỡng CĐ</v>
          </cell>
          <cell r="G542" t="str">
            <v>TĐ012</v>
          </cell>
          <cell r="H542" t="str">
            <v>Điều dưỡng (hạng IV)</v>
          </cell>
          <cell r="I542" t="str">
            <v>Điều dưỡng (hạng IV)</v>
          </cell>
          <cell r="J542" t="str">
            <v>GM-HS</v>
          </cell>
          <cell r="K542" t="str">
            <v>KP025</v>
          </cell>
          <cell r="L542" t="str">
            <v>Viên chức CMNV</v>
          </cell>
          <cell r="M542">
            <v>0</v>
          </cell>
          <cell r="N542" t="str">
            <v>Viên chức</v>
          </cell>
          <cell r="O542">
            <v>54</v>
          </cell>
          <cell r="P542">
            <v>0</v>
          </cell>
          <cell r="Q542">
            <v>26243</v>
          </cell>
          <cell r="R542" t="str">
            <v>Tày</v>
          </cell>
          <cell r="S542" t="str">
            <v>1/11/1994</v>
          </cell>
          <cell r="T542" t="str">
            <v>020171001940</v>
          </cell>
          <cell r="U542" t="str">
            <v>Khối 10, phường Tam Thanh</v>
          </cell>
          <cell r="W542" t="str">
            <v>001032/LS-CCHN</v>
          </cell>
          <cell r="X542" t="str">
            <v>24/06/2013</v>
          </cell>
          <cell r="Z542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542" t="str">
            <v/>
          </cell>
          <cell r="AC542" t="str">
            <v>0917818506</v>
          </cell>
        </row>
        <row r="543">
          <cell r="B543" t="str">
            <v>BV0442</v>
          </cell>
          <cell r="C543" t="str">
            <v>Nông Thị Bích Ngọc</v>
          </cell>
          <cell r="D543" t="str">
            <v>BV0442</v>
          </cell>
          <cell r="E543" t="str">
            <v>x</v>
          </cell>
          <cell r="F543" t="str">
            <v>Điều dưỡng CĐ</v>
          </cell>
          <cell r="G543" t="str">
            <v>TĐ012</v>
          </cell>
          <cell r="H543" t="str">
            <v>Điều dưỡng (hạng IV)</v>
          </cell>
          <cell r="I543" t="str">
            <v>Điều dưỡng (hạng IV)</v>
          </cell>
          <cell r="J543" t="str">
            <v>GM-HS</v>
          </cell>
          <cell r="K543" t="str">
            <v>KP025</v>
          </cell>
          <cell r="L543" t="str">
            <v>Viên chức CMNV</v>
          </cell>
          <cell r="M543">
            <v>0</v>
          </cell>
          <cell r="N543" t="str">
            <v>Viên chức</v>
          </cell>
          <cell r="O543">
            <v>39</v>
          </cell>
          <cell r="P543">
            <v>0</v>
          </cell>
          <cell r="Q543">
            <v>31733</v>
          </cell>
          <cell r="R543" t="str">
            <v>Nùng</v>
          </cell>
          <cell r="S543" t="str">
            <v>15/1/2010</v>
          </cell>
          <cell r="T543" t="str">
            <v>020186011850</v>
          </cell>
          <cell r="U543" t="str">
            <v>Khối Khòn Pịt, phường Tam Thanh</v>
          </cell>
          <cell r="W543" t="str">
            <v>001039/LS-CCHN</v>
          </cell>
          <cell r="X543" t="str">
            <v>11/01/2023</v>
          </cell>
          <cell r="Z54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43" t="str">
            <v/>
          </cell>
          <cell r="AC543" t="str">
            <v>0916785469</v>
          </cell>
        </row>
        <row r="544">
          <cell r="B544" t="str">
            <v>BV0439</v>
          </cell>
          <cell r="C544" t="str">
            <v>Trần Thị Nguyệt</v>
          </cell>
          <cell r="D544" t="str">
            <v>BV0439</v>
          </cell>
          <cell r="E544" t="str">
            <v>x</v>
          </cell>
          <cell r="F544" t="str">
            <v>Điều dưỡng CĐ</v>
          </cell>
          <cell r="G544" t="str">
            <v>TĐ012</v>
          </cell>
          <cell r="H544" t="str">
            <v>Điều dưỡng (hạng IV)</v>
          </cell>
          <cell r="I544" t="str">
            <v>Điều dưỡng (hạng IV)</v>
          </cell>
          <cell r="J544" t="str">
            <v>GM-HS</v>
          </cell>
          <cell r="K544" t="str">
            <v>KP025</v>
          </cell>
          <cell r="L544" t="str">
            <v>Viên chức CMNV</v>
          </cell>
          <cell r="M544">
            <v>0</v>
          </cell>
          <cell r="N544" t="str">
            <v>Viên chức</v>
          </cell>
          <cell r="O544">
            <v>47</v>
          </cell>
          <cell r="P544">
            <v>0</v>
          </cell>
          <cell r="Q544">
            <v>28797</v>
          </cell>
          <cell r="R544" t="str">
            <v>Kinh</v>
          </cell>
          <cell r="S544" t="str">
            <v>7/11/2006</v>
          </cell>
          <cell r="T544" t="str">
            <v>020178002577</v>
          </cell>
          <cell r="U544" t="str">
            <v>Khố Đại Thắng, phường Lương Văn Tri</v>
          </cell>
          <cell r="W544" t="str">
            <v>001031/LS-CCHN</v>
          </cell>
          <cell r="X544" t="str">
            <v>24/06/2013</v>
          </cell>
          <cell r="Z544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544" t="str">
            <v/>
          </cell>
          <cell r="AC544" t="str">
            <v>0985231388</v>
          </cell>
        </row>
        <row r="545">
          <cell r="B545" t="str">
            <v>BV0443</v>
          </cell>
          <cell r="C545" t="str">
            <v>Vy Huyền Trang</v>
          </cell>
          <cell r="D545" t="str">
            <v>BV0443</v>
          </cell>
          <cell r="E545" t="str">
            <v>x</v>
          </cell>
          <cell r="F545" t="str">
            <v>Điều dưỡng CĐ</v>
          </cell>
          <cell r="G545" t="str">
            <v>TĐ012</v>
          </cell>
          <cell r="H545" t="str">
            <v>Điều dưỡng (hạng IV)</v>
          </cell>
          <cell r="I545" t="str">
            <v>Điều dưỡng (hạng IV)</v>
          </cell>
          <cell r="J545" t="str">
            <v>GM-HS</v>
          </cell>
          <cell r="K545" t="str">
            <v>KP025</v>
          </cell>
          <cell r="L545" t="str">
            <v>Viên chức CMNV</v>
          </cell>
          <cell r="M545">
            <v>0</v>
          </cell>
          <cell r="N545" t="str">
            <v>Viên chức</v>
          </cell>
          <cell r="O545">
            <v>38</v>
          </cell>
          <cell r="P545">
            <v>0</v>
          </cell>
          <cell r="Q545">
            <v>32047</v>
          </cell>
          <cell r="R545" t="str">
            <v>Tày</v>
          </cell>
          <cell r="S545" t="str">
            <v>15/1/2010</v>
          </cell>
          <cell r="T545" t="str">
            <v>020187002812</v>
          </cell>
          <cell r="U545" t="str">
            <v>Khối 8, phường Tam Thanh</v>
          </cell>
          <cell r="W545" t="str">
            <v>001037/LS-CCHN</v>
          </cell>
          <cell r="X545" t="str">
            <v>11/01/2023</v>
          </cell>
          <cell r="Z54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45" t="str">
            <v/>
          </cell>
          <cell r="AC545" t="str">
            <v>0918311304</v>
          </cell>
        </row>
        <row r="546">
          <cell r="B546" t="str">
            <v>BV0444</v>
          </cell>
          <cell r="C546" t="str">
            <v>Vi Thị Hoài Vân</v>
          </cell>
          <cell r="D546" t="str">
            <v>BV0444</v>
          </cell>
          <cell r="E546" t="str">
            <v>x</v>
          </cell>
          <cell r="F546" t="str">
            <v>Điều dưỡng CĐ</v>
          </cell>
          <cell r="G546" t="str">
            <v>TĐ012</v>
          </cell>
          <cell r="H546" t="str">
            <v>Điều dưỡng (hạng IV)</v>
          </cell>
          <cell r="I546" t="str">
            <v>Điều dưỡng (hạng IV)</v>
          </cell>
          <cell r="J546" t="str">
            <v>GM-HS</v>
          </cell>
          <cell r="K546" t="str">
            <v>KP025</v>
          </cell>
          <cell r="L546" t="str">
            <v>Viên chức CMNV</v>
          </cell>
          <cell r="M546">
            <v>0</v>
          </cell>
          <cell r="N546" t="str">
            <v>Viên chức</v>
          </cell>
          <cell r="O546">
            <v>39</v>
          </cell>
          <cell r="P546">
            <v>0</v>
          </cell>
          <cell r="Q546">
            <v>31881</v>
          </cell>
          <cell r="R546" t="str">
            <v>Tày</v>
          </cell>
          <cell r="S546" t="str">
            <v>1/12/2010</v>
          </cell>
          <cell r="T546" t="str">
            <v>020187011075</v>
          </cell>
          <cell r="U546" t="str">
            <v>Khối Trần Quang Khải 1, phường Lương Văn Tri</v>
          </cell>
          <cell r="W546" t="str">
            <v>001040/LS-CCHN</v>
          </cell>
          <cell r="X546" t="str">
            <v>11/01/2023</v>
          </cell>
          <cell r="Z546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46" t="str">
            <v/>
          </cell>
          <cell r="AC546" t="str">
            <v>0972135854</v>
          </cell>
        </row>
        <row r="547">
          <cell r="B547" t="str">
            <v>BV0432</v>
          </cell>
          <cell r="C547" t="str">
            <v>Lương Lệ Mỹ</v>
          </cell>
          <cell r="D547" t="str">
            <v>BV0432</v>
          </cell>
          <cell r="E547" t="str">
            <v>x</v>
          </cell>
          <cell r="F547" t="str">
            <v>Điều dưỡng CĐ</v>
          </cell>
          <cell r="G547" t="str">
            <v>TĐ012</v>
          </cell>
          <cell r="H547" t="str">
            <v>Kỹ thuật y (hạng IV)</v>
          </cell>
          <cell r="I547" t="str">
            <v>Kỹ thuật y (hạng IV)</v>
          </cell>
          <cell r="J547" t="str">
            <v>GM-HS</v>
          </cell>
          <cell r="K547" t="str">
            <v>KP025</v>
          </cell>
          <cell r="L547" t="str">
            <v>Viên chức CMNV</v>
          </cell>
          <cell r="M547">
            <v>0</v>
          </cell>
          <cell r="N547" t="str">
            <v>Viên chức</v>
          </cell>
          <cell r="O547">
            <v>46</v>
          </cell>
          <cell r="P547">
            <v>0</v>
          </cell>
          <cell r="Q547">
            <v>29189</v>
          </cell>
          <cell r="R547" t="str">
            <v>Tày</v>
          </cell>
          <cell r="S547" t="str">
            <v>16/2/2005</v>
          </cell>
          <cell r="T547" t="str">
            <v>020179000458</v>
          </cell>
          <cell r="U547" t="str">
            <v>Khối 21, phường Kỳ Lưà</v>
          </cell>
          <cell r="W547" t="str">
            <v>000188/LS-GPHN</v>
          </cell>
          <cell r="X547">
            <v>45657</v>
          </cell>
          <cell r="Z547" t="str">
            <v>Điều dưỡng</v>
          </cell>
          <cell r="AB547" t="str">
            <v/>
          </cell>
          <cell r="AC547" t="str">
            <v>0916773606</v>
          </cell>
        </row>
        <row r="548">
          <cell r="B548" t="str">
            <v>BV0433</v>
          </cell>
          <cell r="C548" t="str">
            <v>Nông Ngọc Tân</v>
          </cell>
          <cell r="D548" t="str">
            <v>BV0433</v>
          </cell>
          <cell r="F548" t="str">
            <v>Điều dưỡng CĐ</v>
          </cell>
          <cell r="G548" t="str">
            <v>TĐ012</v>
          </cell>
          <cell r="H548" t="str">
            <v>Kỹ thuật y (hạng IV)</v>
          </cell>
          <cell r="I548" t="str">
            <v>Kỹ thuật y (hạng IV)</v>
          </cell>
          <cell r="J548" t="str">
            <v>GM-HS</v>
          </cell>
          <cell r="K548" t="str">
            <v>KP025</v>
          </cell>
          <cell r="L548" t="str">
            <v>Viên chức CMNV</v>
          </cell>
          <cell r="M548">
            <v>0</v>
          </cell>
          <cell r="N548" t="str">
            <v>Viên chức</v>
          </cell>
          <cell r="O548">
            <v>42</v>
          </cell>
          <cell r="P548">
            <v>30571</v>
          </cell>
          <cell r="Q548">
            <v>0</v>
          </cell>
          <cell r="R548" t="str">
            <v>Nùng</v>
          </cell>
          <cell r="S548" t="str">
            <v>1/12/2010</v>
          </cell>
          <cell r="T548" t="str">
            <v>020083004670</v>
          </cell>
          <cell r="U548">
            <v>0</v>
          </cell>
          <cell r="W548" t="str">
            <v>001030/LS-CCHN</v>
          </cell>
          <cell r="X548" t="str">
            <v>11/01/2023</v>
          </cell>
          <cell r="Z54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548" t="str">
            <v/>
          </cell>
          <cell r="AC548">
            <v>919816828</v>
          </cell>
        </row>
        <row r="549">
          <cell r="B549" t="str">
            <v>BV0762</v>
          </cell>
          <cell r="C549" t="str">
            <v>Hoàng Thị Thuận</v>
          </cell>
          <cell r="D549" t="str">
            <v>BV0762</v>
          </cell>
          <cell r="E549" t="str">
            <v>x</v>
          </cell>
          <cell r="F549" t="str">
            <v>Điều dưỡng CĐ</v>
          </cell>
          <cell r="G549" t="str">
            <v>TĐ012</v>
          </cell>
          <cell r="H549" t="str">
            <v>Điều dưỡng (hạng IV)</v>
          </cell>
          <cell r="I549" t="str">
            <v>Điều dưỡng (hạng IV)</v>
          </cell>
          <cell r="J549" t="str">
            <v>GM-HS</v>
          </cell>
          <cell r="K549" t="str">
            <v>KP025</v>
          </cell>
          <cell r="L549" t="str">
            <v>Viên chức CMNV</v>
          </cell>
          <cell r="M549">
            <v>0</v>
          </cell>
          <cell r="N549" t="str">
            <v>Viên chức</v>
          </cell>
          <cell r="O549">
            <v>31</v>
          </cell>
          <cell r="P549">
            <v>0</v>
          </cell>
          <cell r="Q549" t="str">
            <v>23/10/1994</v>
          </cell>
          <cell r="R549" t="str">
            <v>Tày</v>
          </cell>
          <cell r="S549" t="str">
            <v>01/2016</v>
          </cell>
          <cell r="T549" t="str">
            <v>020194007925</v>
          </cell>
          <cell r="U549">
            <v>0</v>
          </cell>
          <cell r="W549" t="str">
            <v>003321/LS-CCHN</v>
          </cell>
          <cell r="X549" t="str">
            <v>20/07/2018</v>
          </cell>
          <cell r="Z54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549" t="str">
            <v/>
          </cell>
          <cell r="AC549" t="str">
            <v>0965331633</v>
          </cell>
          <cell r="AD549" t="str">
            <v>Chuyển đến 10/3/2017</v>
          </cell>
        </row>
        <row r="550">
          <cell r="B550" t="str">
            <v>BV0118</v>
          </cell>
          <cell r="C550" t="str">
            <v>Vi Thị May</v>
          </cell>
          <cell r="D550" t="str">
            <v>BV0118</v>
          </cell>
          <cell r="E550" t="str">
            <v>x</v>
          </cell>
          <cell r="F550" t="str">
            <v>Hộ lý</v>
          </cell>
          <cell r="G550" t="str">
            <v>TĐ047</v>
          </cell>
          <cell r="I550" t="str">
            <v>Hộ lý</v>
          </cell>
          <cell r="J550" t="str">
            <v>GM-HS</v>
          </cell>
          <cell r="K550" t="str">
            <v>KP025</v>
          </cell>
          <cell r="M550">
            <v>0</v>
          </cell>
          <cell r="N550" t="str">
            <v>HĐ theo NĐ161</v>
          </cell>
          <cell r="O550">
            <v>43</v>
          </cell>
          <cell r="P550">
            <v>0</v>
          </cell>
          <cell r="Q550">
            <v>30252</v>
          </cell>
          <cell r="R550" t="str">
            <v>Tày</v>
          </cell>
          <cell r="S550" t="str">
            <v>15/6/2006</v>
          </cell>
          <cell r="T550" t="str">
            <v>020182005394</v>
          </cell>
          <cell r="U550" t="str">
            <v>Khối Trần Quang Khải 1, phường Lương Văn Tri</v>
          </cell>
          <cell r="W550" t="str">
            <v/>
          </cell>
          <cell r="X550" t="str">
            <v/>
          </cell>
          <cell r="Z550" t="str">
            <v/>
          </cell>
          <cell r="AB550" t="str">
            <v/>
          </cell>
          <cell r="AC550" t="str">
            <v>0978716245</v>
          </cell>
          <cell r="AD550" t="str">
            <v>Chuyển từ HĐ68</v>
          </cell>
        </row>
        <row r="551">
          <cell r="B551" t="str">
            <v>BV0203</v>
          </cell>
          <cell r="C551" t="str">
            <v>Vi Thị Hà</v>
          </cell>
          <cell r="D551" t="str">
            <v>BV0203</v>
          </cell>
          <cell r="E551" t="str">
            <v>x</v>
          </cell>
          <cell r="F551" t="str">
            <v>Hộ lý</v>
          </cell>
          <cell r="G551" t="str">
            <v>TĐ047</v>
          </cell>
          <cell r="I551" t="str">
            <v>Hộ lý</v>
          </cell>
          <cell r="J551" t="str">
            <v>GM-HS</v>
          </cell>
          <cell r="K551" t="str">
            <v>KP025</v>
          </cell>
          <cell r="M551">
            <v>0</v>
          </cell>
          <cell r="N551" t="str">
            <v>HĐ theo NĐ161</v>
          </cell>
          <cell r="O551">
            <v>52</v>
          </cell>
          <cell r="P551">
            <v>0</v>
          </cell>
          <cell r="Q551">
            <v>27153</v>
          </cell>
          <cell r="R551" t="str">
            <v>Tày</v>
          </cell>
          <cell r="S551" t="str">
            <v>1/9/2006</v>
          </cell>
          <cell r="T551" t="str">
            <v>020174008039</v>
          </cell>
          <cell r="U551" t="str">
            <v>Khối 10, phường Tam Thanh</v>
          </cell>
          <cell r="W551" t="str">
            <v/>
          </cell>
          <cell r="X551" t="str">
            <v/>
          </cell>
          <cell r="Z551" t="str">
            <v/>
          </cell>
          <cell r="AB551" t="str">
            <v/>
          </cell>
          <cell r="AC551" t="str">
            <v>0369100396</v>
          </cell>
          <cell r="AD551" t="str">
            <v>Chuyển từ HĐ68</v>
          </cell>
        </row>
        <row r="552">
          <cell r="B552" t="str">
            <v>BV0450</v>
          </cell>
          <cell r="C552" t="str">
            <v>Vi Thị Dung</v>
          </cell>
          <cell r="D552" t="str">
            <v>BV0450</v>
          </cell>
          <cell r="E552" t="str">
            <v>x</v>
          </cell>
          <cell r="F552" t="str">
            <v>Điều dưỡng ĐH</v>
          </cell>
          <cell r="G552" t="str">
            <v>TĐ011</v>
          </cell>
          <cell r="H552" t="str">
            <v>Điều dưỡng (hạng III)</v>
          </cell>
          <cell r="I552" t="str">
            <v>Điều dưỡng (hạng III)</v>
          </cell>
          <cell r="J552" t="str">
            <v>Dinh Dưỡng</v>
          </cell>
          <cell r="K552" t="str">
            <v>KP026</v>
          </cell>
          <cell r="L552" t="str">
            <v>Lãnh đạo khoa, phòng</v>
          </cell>
          <cell r="M552" t="str">
            <v>Điều dưỡng trưởng</v>
          </cell>
          <cell r="N552" t="str">
            <v>Viên chức</v>
          </cell>
          <cell r="O552">
            <v>44</v>
          </cell>
          <cell r="P552">
            <v>0</v>
          </cell>
          <cell r="Q552">
            <v>29892</v>
          </cell>
          <cell r="R552" t="str">
            <v>Nùng</v>
          </cell>
          <cell r="S552" t="str">
            <v>1/3/2005</v>
          </cell>
          <cell r="T552" t="str">
            <v>020181002057</v>
          </cell>
          <cell r="U552" t="str">
            <v>Phường Tam Thanh, Tỉnh Lạng Sơn</v>
          </cell>
          <cell r="W552" t="str">
            <v>000798/LS-CCHN</v>
          </cell>
          <cell r="X552" t="str">
            <v>24/06/2013</v>
          </cell>
          <cell r="Z552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552" t="str">
            <v/>
          </cell>
          <cell r="AC552">
            <v>919183795</v>
          </cell>
        </row>
        <row r="553">
          <cell r="B553" t="str">
            <v>BV1236</v>
          </cell>
          <cell r="C553" t="str">
            <v>Nguyễn Thị Thùy Linh</v>
          </cell>
          <cell r="D553" t="str">
            <v>BV1236</v>
          </cell>
          <cell r="E553" t="str">
            <v>x</v>
          </cell>
          <cell r="F553" t="str">
            <v>CN Dinh dưỡng</v>
          </cell>
          <cell r="G553" t="e">
            <v>#N/A</v>
          </cell>
          <cell r="I553" t="str">
            <v>Dinh dưỡng hạng III</v>
          </cell>
          <cell r="J553" t="str">
            <v>Dinh dưỡng</v>
          </cell>
          <cell r="K553" t="str">
            <v>KP026</v>
          </cell>
          <cell r="N553" t="str">
            <v>Viên chức</v>
          </cell>
          <cell r="O553">
            <v>26</v>
          </cell>
          <cell r="P553">
            <v>0</v>
          </cell>
          <cell r="Q553" t="str">
            <v>18/11/1999</v>
          </cell>
          <cell r="R553" t="str">
            <v>Kinh</v>
          </cell>
          <cell r="S553">
            <v>45030</v>
          </cell>
          <cell r="T553" t="str">
            <v>020199005494</v>
          </cell>
          <cell r="U553" t="str">
            <v>125 Nguyễn Phi Khanh. Phường Tam Thanh</v>
          </cell>
          <cell r="W553" t="str">
            <v>000418/LS-GPHN</v>
          </cell>
          <cell r="X553">
            <v>45994</v>
          </cell>
          <cell r="Z553" t="str">
            <v>Dinh dưỡng lâm sàng</v>
          </cell>
          <cell r="AB553" t="str">
            <v/>
          </cell>
          <cell r="AC553">
            <v>962282928</v>
          </cell>
          <cell r="AD553" t="str">
            <v>Thử việc 14/4/2023, Viên chức từ 15/6/2026</v>
          </cell>
        </row>
        <row r="554">
          <cell r="B554" t="str">
            <v>BV0462</v>
          </cell>
          <cell r="C554" t="str">
            <v>Linh Lan Hương</v>
          </cell>
          <cell r="D554" t="str">
            <v>BV0462</v>
          </cell>
          <cell r="E554" t="str">
            <v>x</v>
          </cell>
          <cell r="F554" t="str">
            <v>DSCKI</v>
          </cell>
          <cell r="G554" t="str">
            <v>TĐ007</v>
          </cell>
          <cell r="H554" t="str">
            <v>Dược sĩ (hạng III)</v>
          </cell>
          <cell r="I554" t="str">
            <v>Dược sĩ (hạng III)</v>
          </cell>
          <cell r="J554" t="str">
            <v>Dược</v>
          </cell>
          <cell r="K554" t="str">
            <v>KP028</v>
          </cell>
          <cell r="L554" t="str">
            <v>Lãnh đạo khoa, phòng</v>
          </cell>
          <cell r="M554" t="str">
            <v>Phó trưởng khoa</v>
          </cell>
          <cell r="N554" t="str">
            <v>Viên chức</v>
          </cell>
          <cell r="O554">
            <v>41</v>
          </cell>
          <cell r="P554">
            <v>0</v>
          </cell>
          <cell r="Q554">
            <v>31117</v>
          </cell>
          <cell r="R554" t="str">
            <v>Nùng</v>
          </cell>
          <cell r="S554" t="str">
            <v>30/10/2006</v>
          </cell>
          <cell r="T554" t="str">
            <v>020185003340</v>
          </cell>
          <cell r="U554" t="str">
            <v>Khối 1+2, phường Đông Kinh, Tỉnh Lạng Sơn</v>
          </cell>
          <cell r="W554" t="str">
            <v/>
          </cell>
          <cell r="X554" t="str">
            <v/>
          </cell>
          <cell r="Z554" t="str">
            <v/>
          </cell>
          <cell r="AB554" t="str">
            <v/>
          </cell>
          <cell r="AC554">
            <v>919248628</v>
          </cell>
        </row>
        <row r="555">
          <cell r="B555" t="str">
            <v>BV0765</v>
          </cell>
          <cell r="C555" t="str">
            <v>Bùi Thị Sao Mi</v>
          </cell>
          <cell r="D555" t="str">
            <v>BV0765</v>
          </cell>
          <cell r="E555" t="str">
            <v>x</v>
          </cell>
          <cell r="F555" t="str">
            <v>DSCKI</v>
          </cell>
          <cell r="G555" t="str">
            <v>TĐ007</v>
          </cell>
          <cell r="H555" t="str">
            <v>Dược sĩ (hạng III)</v>
          </cell>
          <cell r="I555" t="str">
            <v>Dược sĩ (hạng III)</v>
          </cell>
          <cell r="J555" t="str">
            <v>Dược</v>
          </cell>
          <cell r="K555" t="str">
            <v>KP028</v>
          </cell>
          <cell r="L555" t="str">
            <v>Viên chức CMNV</v>
          </cell>
          <cell r="M555">
            <v>0</v>
          </cell>
          <cell r="N555" t="str">
            <v>Viên chức</v>
          </cell>
          <cell r="O555">
            <v>33</v>
          </cell>
          <cell r="P555">
            <v>0</v>
          </cell>
          <cell r="Q555">
            <v>33860</v>
          </cell>
          <cell r="R555" t="str">
            <v>Tày</v>
          </cell>
          <cell r="S555" t="str">
            <v>10/2/2017</v>
          </cell>
          <cell r="T555" t="str">
            <v>004192005484</v>
          </cell>
          <cell r="U555">
            <v>0</v>
          </cell>
          <cell r="W555" t="str">
            <v/>
          </cell>
          <cell r="X555" t="str">
            <v/>
          </cell>
          <cell r="Z555" t="str">
            <v/>
          </cell>
          <cell r="AB555" t="str">
            <v/>
          </cell>
          <cell r="AC555" t="str">
            <v>0963209432</v>
          </cell>
        </row>
        <row r="556">
          <cell r="B556" t="str">
            <v>BV0459</v>
          </cell>
          <cell r="C556" t="str">
            <v>Lý Thanh Tâm</v>
          </cell>
          <cell r="D556" t="str">
            <v>BV0459</v>
          </cell>
          <cell r="E556" t="str">
            <v>x</v>
          </cell>
          <cell r="F556" t="str">
            <v>DSCKI</v>
          </cell>
          <cell r="G556" t="str">
            <v>TĐ007</v>
          </cell>
          <cell r="H556" t="str">
            <v>Dược sĩ chính (hạng II)</v>
          </cell>
          <cell r="I556" t="str">
            <v>Dược sĩ chính (hạng II)</v>
          </cell>
          <cell r="J556" t="str">
            <v>Dược</v>
          </cell>
          <cell r="K556" t="str">
            <v>KP028</v>
          </cell>
          <cell r="L556" t="str">
            <v>Lãnh đạo khoa, phòng</v>
          </cell>
          <cell r="M556" t="str">
            <v>Trưởng khoa</v>
          </cell>
          <cell r="N556" t="str">
            <v>Viên chức</v>
          </cell>
          <cell r="O556">
            <v>41</v>
          </cell>
          <cell r="P556">
            <v>0</v>
          </cell>
          <cell r="Q556">
            <v>31209</v>
          </cell>
          <cell r="R556" t="str">
            <v>Nùng</v>
          </cell>
          <cell r="S556" t="str">
            <v>10/6/2013</v>
          </cell>
          <cell r="T556" t="str">
            <v>020185009764</v>
          </cell>
          <cell r="U556">
            <v>0</v>
          </cell>
          <cell r="W556" t="str">
            <v/>
          </cell>
          <cell r="X556" t="str">
            <v/>
          </cell>
          <cell r="Z556" t="str">
            <v/>
          </cell>
          <cell r="AB556" t="str">
            <v/>
          </cell>
          <cell r="AC556">
            <v>984194138</v>
          </cell>
        </row>
        <row r="557">
          <cell r="B557" t="str">
            <v>BV0466</v>
          </cell>
          <cell r="C557" t="str">
            <v>Nguyễn Thị Thùy Dương</v>
          </cell>
          <cell r="D557" t="str">
            <v>BV0466</v>
          </cell>
          <cell r="E557" t="str">
            <v>x</v>
          </cell>
          <cell r="F557" t="str">
            <v>Dược sỹ ĐH</v>
          </cell>
          <cell r="G557" t="str">
            <v>TĐ008</v>
          </cell>
          <cell r="H557" t="str">
            <v>Dược sĩ (hạng III)</v>
          </cell>
          <cell r="I557" t="str">
            <v>Dược sĩ (hạng III)</v>
          </cell>
          <cell r="J557" t="str">
            <v>Dược</v>
          </cell>
          <cell r="K557" t="str">
            <v>KP028</v>
          </cell>
          <cell r="L557" t="str">
            <v>Viên chức CMNV</v>
          </cell>
          <cell r="M557">
            <v>0</v>
          </cell>
          <cell r="N557" t="str">
            <v>Viên chức</v>
          </cell>
          <cell r="O557">
            <v>40</v>
          </cell>
          <cell r="P557">
            <v>0</v>
          </cell>
          <cell r="Q557">
            <v>31611</v>
          </cell>
          <cell r="R557" t="str">
            <v>Tày</v>
          </cell>
          <cell r="S557" t="str">
            <v>1/5/2008</v>
          </cell>
          <cell r="T557" t="str">
            <v>020186002633</v>
          </cell>
          <cell r="U557" t="str">
            <v>Khối 8 phường Tam Thanh - Tỉnh Lạng Sơn</v>
          </cell>
          <cell r="W557" t="str">
            <v/>
          </cell>
          <cell r="X557" t="str">
            <v/>
          </cell>
          <cell r="Z557" t="str">
            <v/>
          </cell>
          <cell r="AB557" t="str">
            <v/>
          </cell>
          <cell r="AC557" t="str">
            <v>0977255338</v>
          </cell>
        </row>
        <row r="558">
          <cell r="B558" t="str">
            <v>BV0998</v>
          </cell>
          <cell r="C558" t="str">
            <v>Ngô Thị Yến</v>
          </cell>
          <cell r="D558" t="str">
            <v>BV0998</v>
          </cell>
          <cell r="E558" t="str">
            <v>x</v>
          </cell>
          <cell r="F558" t="str">
            <v>Dược sỹ ĐH</v>
          </cell>
          <cell r="G558" t="str">
            <v>TĐ008</v>
          </cell>
          <cell r="I558" t="str">
            <v>Dược sĩ (hạng III)</v>
          </cell>
          <cell r="J558" t="str">
            <v>Dược</v>
          </cell>
          <cell r="K558" t="str">
            <v>KP028</v>
          </cell>
          <cell r="N558" t="str">
            <v>Viên chức</v>
          </cell>
          <cell r="O558">
            <v>33</v>
          </cell>
          <cell r="P558">
            <v>0</v>
          </cell>
          <cell r="Q558" t="str">
            <v>22/12/1992</v>
          </cell>
          <cell r="R558" t="str">
            <v>Kinh</v>
          </cell>
          <cell r="S558" t="str">
            <v>09/3/2020</v>
          </cell>
          <cell r="T558" t="str">
            <v>027192000403</v>
          </cell>
          <cell r="U558" t="str">
            <v>50 Phan Đăng Lưu, phường Kỳ Lừa,tỉnh Lạng Sơn</v>
          </cell>
          <cell r="W558" t="str">
            <v/>
          </cell>
          <cell r="X558" t="str">
            <v/>
          </cell>
          <cell r="Z558" t="str">
            <v/>
          </cell>
          <cell r="AB558" t="str">
            <v/>
          </cell>
          <cell r="AD558" t="str">
            <v>Thử việc từ 09/3/2020, Viên chức từ 15/6/2026</v>
          </cell>
        </row>
        <row r="559">
          <cell r="B559" t="str">
            <v>BV0999</v>
          </cell>
          <cell r="C559" t="str">
            <v>Nguyễn Thị Thu Thúy</v>
          </cell>
          <cell r="D559" t="str">
            <v>BV0999</v>
          </cell>
          <cell r="E559" t="str">
            <v>x</v>
          </cell>
          <cell r="F559" t="str">
            <v>Dược sỹ ĐH</v>
          </cell>
          <cell r="G559" t="str">
            <v>TĐ008</v>
          </cell>
          <cell r="I559" t="str">
            <v>Dược sĩ (hạng III)</v>
          </cell>
          <cell r="J559" t="str">
            <v>Dược</v>
          </cell>
          <cell r="K559" t="str">
            <v>KP028</v>
          </cell>
          <cell r="N559" t="str">
            <v>Viên chức</v>
          </cell>
          <cell r="O559">
            <v>33</v>
          </cell>
          <cell r="P559">
            <v>0</v>
          </cell>
          <cell r="Q559" t="str">
            <v>10/01/1993</v>
          </cell>
          <cell r="R559" t="str">
            <v>Kinh</v>
          </cell>
          <cell r="S559" t="str">
            <v>09/3/2020</v>
          </cell>
          <cell r="T559" t="str">
            <v>015193011146</v>
          </cell>
          <cell r="U559" t="str">
            <v>Số 86, đường Ba Sơn, thôn Đồi Chè, phường Tam Thanh tỉnh Lạng Sơn</v>
          </cell>
          <cell r="W559" t="str">
            <v/>
          </cell>
          <cell r="X559" t="str">
            <v/>
          </cell>
          <cell r="Z559" t="str">
            <v/>
          </cell>
          <cell r="AB559" t="str">
            <v/>
          </cell>
          <cell r="AD559" t="str">
            <v>Thử việc từ 09/3/2020, Viên chức từ 15/6/2026</v>
          </cell>
        </row>
        <row r="560">
          <cell r="B560" t="str">
            <v>BV1161</v>
          </cell>
          <cell r="C560" t="str">
            <v>Hoàng Thị Thu Hằng</v>
          </cell>
          <cell r="D560" t="str">
            <v>BV1161</v>
          </cell>
          <cell r="E560" t="str">
            <v>x</v>
          </cell>
          <cell r="F560" t="str">
            <v>Dược sỹ ĐH</v>
          </cell>
          <cell r="G560" t="str">
            <v>TĐ008</v>
          </cell>
          <cell r="H560" t="str">
            <v>Dược sĩ (hạng III)</v>
          </cell>
          <cell r="I560" t="str">
            <v>Dược sĩ (hạng III)</v>
          </cell>
          <cell r="J560" t="str">
            <v>Dược</v>
          </cell>
          <cell r="K560" t="str">
            <v>KP028</v>
          </cell>
          <cell r="L560" t="str">
            <v>Viên chức CMNV</v>
          </cell>
          <cell r="M560">
            <v>0</v>
          </cell>
          <cell r="N560" t="str">
            <v>Viên chức</v>
          </cell>
          <cell r="O560">
            <v>33</v>
          </cell>
          <cell r="P560">
            <v>0</v>
          </cell>
          <cell r="Q560" t="str">
            <v>10/11/1992</v>
          </cell>
          <cell r="R560" t="str">
            <v>Nùng</v>
          </cell>
          <cell r="S560">
            <v>42767</v>
          </cell>
          <cell r="T560" t="str">
            <v>020192004172</v>
          </cell>
          <cell r="U560" t="str">
            <v>Số 6, ngách 3, ngõ 104, đường Lê Đại Hành, phường Đông Kinh</v>
          </cell>
          <cell r="W560" t="str">
            <v/>
          </cell>
          <cell r="X560" t="str">
            <v/>
          </cell>
          <cell r="Z560" t="str">
            <v/>
          </cell>
          <cell r="AB560" t="str">
            <v/>
          </cell>
          <cell r="AD560" t="str">
            <v>Chuyển đến 10/9/2021</v>
          </cell>
        </row>
        <row r="561">
          <cell r="B561" t="str">
            <v>BV1189</v>
          </cell>
          <cell r="C561" t="str">
            <v>Nông Minh Huyền</v>
          </cell>
          <cell r="D561" t="str">
            <v>BV1189</v>
          </cell>
          <cell r="E561" t="str">
            <v>x</v>
          </cell>
          <cell r="F561" t="str">
            <v>Dược sỹ ĐH</v>
          </cell>
          <cell r="G561" t="str">
            <v>TĐ008</v>
          </cell>
          <cell r="I561" t="str">
            <v>Dược sĩ (hạng III)</v>
          </cell>
          <cell r="J561" t="str">
            <v>Dược</v>
          </cell>
          <cell r="K561" t="str">
            <v>KP028</v>
          </cell>
          <cell r="N561" t="str">
            <v>Viên chức</v>
          </cell>
          <cell r="O561">
            <v>27</v>
          </cell>
          <cell r="P561">
            <v>0</v>
          </cell>
          <cell r="Q561" t="str">
            <v>21/4/1999</v>
          </cell>
          <cell r="R561" t="str">
            <v>Nùng</v>
          </cell>
          <cell r="S561">
            <v>44830</v>
          </cell>
          <cell r="T561" t="str">
            <v>020199007693</v>
          </cell>
          <cell r="U561" t="str">
            <v>Số 28/104, đường Lê Đại Hành, P.Đông Kinh, tỉnh Lạng Sơn</v>
          </cell>
          <cell r="W561" t="str">
            <v/>
          </cell>
          <cell r="X561" t="str">
            <v/>
          </cell>
          <cell r="Z561" t="str">
            <v/>
          </cell>
          <cell r="AB561" t="str">
            <v/>
          </cell>
          <cell r="AC561">
            <v>833210499</v>
          </cell>
          <cell r="AD561" t="str">
            <v>Thử việc 26/09/2022, Viên chức từ 15/6/2026</v>
          </cell>
        </row>
        <row r="562">
          <cell r="B562" t="str">
            <v>BV1191</v>
          </cell>
          <cell r="C562" t="str">
            <v>Cam Thị Sơn</v>
          </cell>
          <cell r="D562" t="str">
            <v>BV1191</v>
          </cell>
          <cell r="E562" t="str">
            <v>x</v>
          </cell>
          <cell r="F562" t="str">
            <v>Dược sỹ ĐH</v>
          </cell>
          <cell r="G562" t="str">
            <v>TĐ008</v>
          </cell>
          <cell r="I562" t="str">
            <v>Dược sĩ (hạng III)</v>
          </cell>
          <cell r="J562" t="str">
            <v>Dược</v>
          </cell>
          <cell r="K562" t="str">
            <v>KP028</v>
          </cell>
          <cell r="N562" t="str">
            <v>Viên chức</v>
          </cell>
          <cell r="O562">
            <v>30</v>
          </cell>
          <cell r="P562">
            <v>0</v>
          </cell>
          <cell r="Q562" t="str">
            <v>27/4/1996</v>
          </cell>
          <cell r="R562" t="str">
            <v>Tày</v>
          </cell>
          <cell r="S562">
            <v>44830</v>
          </cell>
          <cell r="T562" t="str">
            <v>020196005371</v>
          </cell>
          <cell r="U562" t="str">
            <v>140 Khu Bản Kho, xã Lộc Bình, tỉnh Lạng Sơn</v>
          </cell>
          <cell r="W562" t="str">
            <v/>
          </cell>
          <cell r="X562" t="str">
            <v/>
          </cell>
          <cell r="Z562" t="str">
            <v/>
          </cell>
          <cell r="AB562" t="str">
            <v/>
          </cell>
          <cell r="AC562" t="str">
            <v>0392183898</v>
          </cell>
          <cell r="AD562" t="str">
            <v>Thử việc 26/09/2022, Viên chức từ 15/6/2026</v>
          </cell>
        </row>
        <row r="563">
          <cell r="B563" t="str">
            <v>BV1218</v>
          </cell>
          <cell r="C563" t="str">
            <v>Hoàng Thảo Chi</v>
          </cell>
          <cell r="D563" t="str">
            <v>BV1218</v>
          </cell>
          <cell r="E563" t="str">
            <v>x</v>
          </cell>
          <cell r="F563" t="str">
            <v>Dược sỹ ĐH</v>
          </cell>
          <cell r="G563" t="str">
            <v>TĐ008</v>
          </cell>
          <cell r="I563" t="str">
            <v>Dược sĩ (hạng III)</v>
          </cell>
          <cell r="J563" t="str">
            <v>Dược</v>
          </cell>
          <cell r="K563" t="str">
            <v>KP028</v>
          </cell>
          <cell r="N563" t="str">
            <v>Viên chức</v>
          </cell>
          <cell r="O563">
            <v>28</v>
          </cell>
          <cell r="P563">
            <v>0</v>
          </cell>
          <cell r="Q563">
            <v>35837</v>
          </cell>
          <cell r="R563" t="str">
            <v>Tày</v>
          </cell>
          <cell r="S563">
            <v>44921</v>
          </cell>
          <cell r="T563" t="str">
            <v>020198003298</v>
          </cell>
          <cell r="U563" t="str">
            <v>Số 17 ngõ 95 Nguyễn Du, phường Đông Kinh, tỉnh Lạng Sơn</v>
          </cell>
          <cell r="W563" t="str">
            <v/>
          </cell>
          <cell r="X563" t="str">
            <v/>
          </cell>
          <cell r="Z563" t="str">
            <v/>
          </cell>
          <cell r="AB563" t="str">
            <v/>
          </cell>
          <cell r="AC563">
            <v>972155682</v>
          </cell>
          <cell r="AD563" t="str">
            <v>Hợp đồng từ 26/12/2022, Viên chức từ 15/6/2026</v>
          </cell>
        </row>
        <row r="564">
          <cell r="B564" t="str">
            <v>BV1224</v>
          </cell>
          <cell r="C564" t="str">
            <v>Phạm Duy</v>
          </cell>
          <cell r="D564" t="str">
            <v>BV1224</v>
          </cell>
          <cell r="F564" t="str">
            <v>Dược sỹ ĐH</v>
          </cell>
          <cell r="G564" t="str">
            <v>TĐ008</v>
          </cell>
          <cell r="I564" t="str">
            <v>Dược sĩ (hạng III)</v>
          </cell>
          <cell r="J564" t="str">
            <v>Dược</v>
          </cell>
          <cell r="K564" t="str">
            <v>KP028</v>
          </cell>
          <cell r="N564" t="str">
            <v>HĐ có thời hạn</v>
          </cell>
          <cell r="O564">
            <v>30</v>
          </cell>
          <cell r="P564" t="str">
            <v>09/09/1995</v>
          </cell>
          <cell r="Q564">
            <v>0</v>
          </cell>
          <cell r="R564" t="str">
            <v>Kinh</v>
          </cell>
          <cell r="S564">
            <v>44991</v>
          </cell>
          <cell r="T564" t="str">
            <v>020095001803</v>
          </cell>
          <cell r="U564" t="str">
            <v>Khối 9, Phường Tam Thanh, tỉnh Lạng Sơn</v>
          </cell>
          <cell r="W564" t="str">
            <v/>
          </cell>
          <cell r="X564" t="str">
            <v/>
          </cell>
          <cell r="Z564" t="str">
            <v/>
          </cell>
          <cell r="AB564" t="str">
            <v/>
          </cell>
          <cell r="AD564" t="str">
            <v>Hợp đồng từ 6/3/2023</v>
          </cell>
        </row>
        <row r="565">
          <cell r="B565" t="str">
            <v>BV1273</v>
          </cell>
          <cell r="C565" t="str">
            <v>Nguyễn Thị Hiền</v>
          </cell>
          <cell r="D565" t="str">
            <v>BV1273</v>
          </cell>
          <cell r="E565" t="str">
            <v>x</v>
          </cell>
          <cell r="F565" t="str">
            <v>Dược sỹ ĐH</v>
          </cell>
          <cell r="G565" t="str">
            <v>TĐ008</v>
          </cell>
          <cell r="I565" t="str">
            <v>Dược sĩ (hạng III)</v>
          </cell>
          <cell r="J565" t="str">
            <v>Dược</v>
          </cell>
          <cell r="K565" t="str">
            <v>KP028</v>
          </cell>
          <cell r="N565" t="str">
            <v>Viên chức</v>
          </cell>
          <cell r="O565">
            <v>29</v>
          </cell>
          <cell r="P565">
            <v>0</v>
          </cell>
          <cell r="Q565" t="str">
            <v>10/3/1997</v>
          </cell>
          <cell r="R565" t="str">
            <v>Kinh</v>
          </cell>
          <cell r="S565">
            <v>45337</v>
          </cell>
          <cell r="T565" t="str">
            <v>038197026268</v>
          </cell>
          <cell r="U565">
            <v>0</v>
          </cell>
          <cell r="W565" t="str">
            <v/>
          </cell>
          <cell r="X565" t="str">
            <v/>
          </cell>
          <cell r="Z565" t="str">
            <v/>
          </cell>
          <cell r="AB565" t="str">
            <v/>
          </cell>
          <cell r="AC565" t="str">
            <v>0981787846</v>
          </cell>
          <cell r="AD565" t="str">
            <v>HĐ 15/02/2024, Viên chức từ 15/6/2026</v>
          </cell>
        </row>
        <row r="566">
          <cell r="B566" t="str">
            <v>BV0482</v>
          </cell>
          <cell r="C566" t="str">
            <v>Hoàng Thị Vân</v>
          </cell>
          <cell r="D566" t="str">
            <v>BV0482</v>
          </cell>
          <cell r="E566" t="str">
            <v>x</v>
          </cell>
          <cell r="F566" t="str">
            <v>Dược sỹ CĐ</v>
          </cell>
          <cell r="G566" t="str">
            <v>TĐ009</v>
          </cell>
          <cell r="I566" t="str">
            <v>Dược (hạng IV)</v>
          </cell>
          <cell r="J566" t="str">
            <v>Dược</v>
          </cell>
          <cell r="K566" t="str">
            <v>KP028</v>
          </cell>
          <cell r="N566" t="str">
            <v>Viên chức</v>
          </cell>
          <cell r="O566">
            <v>39</v>
          </cell>
          <cell r="P566">
            <v>0</v>
          </cell>
          <cell r="Q566">
            <v>31681</v>
          </cell>
          <cell r="R566" t="str">
            <v>Nùng</v>
          </cell>
          <cell r="S566" t="str">
            <v>01/10/2013</v>
          </cell>
          <cell r="T566" t="str">
            <v>020186010366</v>
          </cell>
          <cell r="U566" t="str">
            <v>Khối Bản Viển, phường Tam Thanh, tỉnh Lạng Sơn</v>
          </cell>
          <cell r="W566" t="str">
            <v/>
          </cell>
          <cell r="X566" t="str">
            <v/>
          </cell>
          <cell r="Z566" t="str">
            <v/>
          </cell>
          <cell r="AB566" t="str">
            <v/>
          </cell>
          <cell r="AC566" t="str">
            <v>0366597448</v>
          </cell>
          <cell r="AD566" t="str">
            <v>Chuyển từ HĐ68; đỗ VC 20/5/2026;</v>
          </cell>
        </row>
        <row r="567">
          <cell r="B567" t="str">
            <v>BV0471</v>
          </cell>
          <cell r="C567" t="str">
            <v>Thạch Quỳnh Hoa</v>
          </cell>
          <cell r="D567" t="str">
            <v>BV0471</v>
          </cell>
          <cell r="E567" t="str">
            <v>x</v>
          </cell>
          <cell r="F567" t="str">
            <v>Dược sỹ CĐ</v>
          </cell>
          <cell r="G567" t="str">
            <v>TĐ009</v>
          </cell>
          <cell r="H567" t="str">
            <v>Dược (hạng IV)</v>
          </cell>
          <cell r="I567" t="str">
            <v>Dược (hạng IV)</v>
          </cell>
          <cell r="J567" t="str">
            <v>Dược</v>
          </cell>
          <cell r="K567" t="str">
            <v>KP028</v>
          </cell>
          <cell r="L567" t="str">
            <v>Viên chức CMNV</v>
          </cell>
          <cell r="M567">
            <v>0</v>
          </cell>
          <cell r="N567" t="str">
            <v>Viên chức</v>
          </cell>
          <cell r="O567">
            <v>38</v>
          </cell>
          <cell r="P567">
            <v>0</v>
          </cell>
          <cell r="Q567">
            <v>32322</v>
          </cell>
          <cell r="R567" t="str">
            <v>Tày</v>
          </cell>
          <cell r="S567" t="str">
            <v>15/1/2010</v>
          </cell>
          <cell r="T567" t="str">
            <v>020188002616</v>
          </cell>
          <cell r="U567" t="str">
            <v>26/144 Nhị Thanh, Khối 11 Phường Tam Thanh, Tỉnh Lạng Sơn</v>
          </cell>
          <cell r="W567" t="str">
            <v/>
          </cell>
          <cell r="X567" t="str">
            <v/>
          </cell>
          <cell r="Z567" t="str">
            <v/>
          </cell>
          <cell r="AB567" t="str">
            <v/>
          </cell>
          <cell r="AC567" t="str">
            <v>0912203419</v>
          </cell>
        </row>
        <row r="568">
          <cell r="B568" t="str">
            <v>BV0468</v>
          </cell>
          <cell r="C568" t="str">
            <v>Hà Thị Thu Hương</v>
          </cell>
          <cell r="D568" t="str">
            <v>BV0468</v>
          </cell>
          <cell r="E568" t="str">
            <v>x</v>
          </cell>
          <cell r="F568" t="str">
            <v>Dược sỹ CĐ</v>
          </cell>
          <cell r="G568" t="str">
            <v>TĐ009</v>
          </cell>
          <cell r="H568" t="str">
            <v>Dược (hạng IV)</v>
          </cell>
          <cell r="I568" t="str">
            <v>Dược (hạng IV)</v>
          </cell>
          <cell r="J568" t="str">
            <v>Dược</v>
          </cell>
          <cell r="K568" t="str">
            <v>KP028</v>
          </cell>
          <cell r="L568" t="str">
            <v>Viên chức CMNV</v>
          </cell>
          <cell r="M568">
            <v>0</v>
          </cell>
          <cell r="N568" t="str">
            <v>Viên chức</v>
          </cell>
          <cell r="O568">
            <v>44</v>
          </cell>
          <cell r="P568">
            <v>0</v>
          </cell>
          <cell r="Q568">
            <v>29899</v>
          </cell>
          <cell r="R568" t="str">
            <v>Tày</v>
          </cell>
          <cell r="S568" t="str">
            <v>17/11/2003</v>
          </cell>
          <cell r="T568" t="str">
            <v>020181002318</v>
          </cell>
          <cell r="U568" t="str">
            <v>Khối 12 Phường Kỳ Lừa - Tỉnh Lạng Sơn</v>
          </cell>
          <cell r="W568" t="str">
            <v/>
          </cell>
          <cell r="X568" t="str">
            <v/>
          </cell>
          <cell r="Z568" t="str">
            <v/>
          </cell>
          <cell r="AB568" t="str">
            <v/>
          </cell>
          <cell r="AC568" t="str">
            <v>0912921040</v>
          </cell>
        </row>
        <row r="569">
          <cell r="B569" t="str">
            <v>BV0476</v>
          </cell>
          <cell r="C569" t="str">
            <v>Đào Thị Quang</v>
          </cell>
          <cell r="D569" t="str">
            <v>BV0476</v>
          </cell>
          <cell r="E569" t="str">
            <v>x</v>
          </cell>
          <cell r="F569" t="str">
            <v>Dược sỹ CĐ</v>
          </cell>
          <cell r="G569" t="str">
            <v>TĐ009</v>
          </cell>
          <cell r="H569" t="str">
            <v>Dược (hạng IV)</v>
          </cell>
          <cell r="I569" t="str">
            <v>Dược (hạng IV)</v>
          </cell>
          <cell r="J569" t="str">
            <v>Dược</v>
          </cell>
          <cell r="K569" t="str">
            <v>KP028</v>
          </cell>
          <cell r="L569" t="str">
            <v>Viên chức CMNV</v>
          </cell>
          <cell r="M569">
            <v>0</v>
          </cell>
          <cell r="N569" t="str">
            <v>Viên chức</v>
          </cell>
          <cell r="O569">
            <v>37</v>
          </cell>
          <cell r="P569">
            <v>0</v>
          </cell>
          <cell r="Q569">
            <v>32452</v>
          </cell>
          <cell r="R569" t="str">
            <v>Kinh</v>
          </cell>
          <cell r="S569" t="str">
            <v>10/6/2013</v>
          </cell>
          <cell r="T569" t="str">
            <v>034188017573</v>
          </cell>
          <cell r="U569" t="str">
            <v>Khối Đại Thắng - Phường Lương Văn Tri - Tỉnh Lạng Sơn</v>
          </cell>
          <cell r="W569" t="str">
            <v/>
          </cell>
          <cell r="X569" t="str">
            <v/>
          </cell>
          <cell r="Z569" t="str">
            <v/>
          </cell>
          <cell r="AB569" t="str">
            <v/>
          </cell>
          <cell r="AC569" t="str">
            <v>0913230111</v>
          </cell>
        </row>
        <row r="570">
          <cell r="B570" t="str">
            <v>BV1000</v>
          </cell>
          <cell r="C570" t="str">
            <v>Nguyễn Diệu Quỳnh</v>
          </cell>
          <cell r="D570" t="str">
            <v>BV1000</v>
          </cell>
          <cell r="E570" t="str">
            <v>x</v>
          </cell>
          <cell r="F570" t="str">
            <v>Dược sỹ CĐ</v>
          </cell>
          <cell r="G570" t="str">
            <v>TĐ009</v>
          </cell>
          <cell r="I570" t="str">
            <v>Dược (hạng IV)</v>
          </cell>
          <cell r="J570" t="str">
            <v>Dược</v>
          </cell>
          <cell r="K570" t="str">
            <v>KP028</v>
          </cell>
          <cell r="N570" t="str">
            <v>Viên chức</v>
          </cell>
          <cell r="O570">
            <v>28</v>
          </cell>
          <cell r="P570">
            <v>0</v>
          </cell>
          <cell r="Q570" t="str">
            <v>02/10/1997</v>
          </cell>
          <cell r="R570" t="str">
            <v>Kinh</v>
          </cell>
          <cell r="S570" t="str">
            <v>09/3/2020</v>
          </cell>
          <cell r="T570" t="str">
            <v>020197000358</v>
          </cell>
          <cell r="U570">
            <v>0</v>
          </cell>
          <cell r="W570" t="str">
            <v/>
          </cell>
          <cell r="X570" t="str">
            <v/>
          </cell>
          <cell r="Z570" t="str">
            <v/>
          </cell>
          <cell r="AB570" t="str">
            <v/>
          </cell>
          <cell r="AD570" t="str">
            <v>Thử việc từ 09/3/2020, Viên chức từ 15/6/2026</v>
          </cell>
        </row>
        <row r="571">
          <cell r="B571" t="str">
            <v>BV1110</v>
          </cell>
          <cell r="C571" t="str">
            <v>Nguyễn Thị Huệ</v>
          </cell>
          <cell r="D571" t="str">
            <v>BV1110</v>
          </cell>
          <cell r="E571" t="str">
            <v>x</v>
          </cell>
          <cell r="F571" t="str">
            <v>Dược sỹ CĐ</v>
          </cell>
          <cell r="G571" t="str">
            <v>TĐ009</v>
          </cell>
          <cell r="I571" t="str">
            <v>Dược (hạng IV)</v>
          </cell>
          <cell r="J571" t="str">
            <v>Dược</v>
          </cell>
          <cell r="K571" t="str">
            <v>KP028</v>
          </cell>
          <cell r="N571" t="str">
            <v>HĐ có thời hạn</v>
          </cell>
          <cell r="O571">
            <v>29</v>
          </cell>
          <cell r="P571">
            <v>35465</v>
          </cell>
          <cell r="Q571">
            <v>0</v>
          </cell>
          <cell r="R571" t="str">
            <v>Kinh</v>
          </cell>
          <cell r="S571" t="str">
            <v xml:space="preserve">01/02/2021 </v>
          </cell>
          <cell r="T571" t="str">
            <v>020197001190</v>
          </cell>
          <cell r="U571" t="str">
            <v>25 Đèo Giang, khối Cửa Bắc, phường Lương Văn Tri, tỉnh Lạng Sơn</v>
          </cell>
          <cell r="W571" t="str">
            <v/>
          </cell>
          <cell r="X571" t="str">
            <v/>
          </cell>
          <cell r="Z571" t="str">
            <v/>
          </cell>
          <cell r="AB571" t="str">
            <v/>
          </cell>
          <cell r="AC571">
            <v>393398205</v>
          </cell>
          <cell r="AD571" t="str">
            <v>Thử việc 20/01-31/01/2021</v>
          </cell>
        </row>
        <row r="572">
          <cell r="B572" t="str">
            <v>BV1118</v>
          </cell>
          <cell r="C572" t="str">
            <v>Hoàng Thị Hiền</v>
          </cell>
          <cell r="D572" t="str">
            <v>BV1118</v>
          </cell>
          <cell r="E572" t="str">
            <v>x</v>
          </cell>
          <cell r="F572" t="str">
            <v>Dược sỹ CĐ</v>
          </cell>
          <cell r="G572" t="str">
            <v>TĐ009</v>
          </cell>
          <cell r="H572" t="str">
            <v>Dược (hạng IV)</v>
          </cell>
          <cell r="I572" t="str">
            <v>Dược (hạng IV)</v>
          </cell>
          <cell r="J572" t="str">
            <v>Dược</v>
          </cell>
          <cell r="K572" t="str">
            <v>KP028</v>
          </cell>
          <cell r="L572" t="str">
            <v>Viên chức CMNV</v>
          </cell>
          <cell r="M572">
            <v>0</v>
          </cell>
          <cell r="N572" t="str">
            <v>Viên chức</v>
          </cell>
          <cell r="O572">
            <v>37</v>
          </cell>
          <cell r="P572">
            <v>0</v>
          </cell>
          <cell r="Q572">
            <v>32574</v>
          </cell>
          <cell r="R572" t="str">
            <v>nùng</v>
          </cell>
          <cell r="S572" t="str">
            <v>11/4/2011</v>
          </cell>
          <cell r="T572" t="str">
            <v>020189001756</v>
          </cell>
          <cell r="U572" t="str">
            <v>khối Nà soong, phường Đông kinh, tỉnh Lạng sơn</v>
          </cell>
          <cell r="W572" t="str">
            <v/>
          </cell>
          <cell r="X572" t="str">
            <v/>
          </cell>
          <cell r="Z572" t="str">
            <v/>
          </cell>
          <cell r="AB572" t="str">
            <v/>
          </cell>
          <cell r="AD572" t="str">
            <v>Chuyển đến 05/3/2021</v>
          </cell>
        </row>
        <row r="573">
          <cell r="B573" t="str">
            <v>BV1182</v>
          </cell>
          <cell r="C573" t="str">
            <v>Vi Thanh Hương</v>
          </cell>
          <cell r="D573" t="str">
            <v>BV1182</v>
          </cell>
          <cell r="E573" t="str">
            <v>x</v>
          </cell>
          <cell r="F573" t="str">
            <v>Dược sỹ CĐ</v>
          </cell>
          <cell r="G573" t="str">
            <v>TĐ009</v>
          </cell>
          <cell r="I573" t="str">
            <v>Dược (hạng IV)</v>
          </cell>
          <cell r="J573" t="str">
            <v>Dược</v>
          </cell>
          <cell r="K573" t="str">
            <v>KP028</v>
          </cell>
          <cell r="N573" t="str">
            <v>HĐ có thời hạn</v>
          </cell>
          <cell r="O573">
            <v>32</v>
          </cell>
          <cell r="P573">
            <v>0</v>
          </cell>
          <cell r="Q573">
            <v>34319</v>
          </cell>
          <cell r="R573" t="str">
            <v>Tày</v>
          </cell>
          <cell r="S573" t="str">
            <v>20/6/2022</v>
          </cell>
          <cell r="T573" t="str">
            <v>020193001302</v>
          </cell>
          <cell r="U573" t="str">
            <v>Thôn Thống Nhất 2, xã Chi Lăng, tỉnh Lạng Sơn</v>
          </cell>
          <cell r="W573" t="str">
            <v/>
          </cell>
          <cell r="X573" t="str">
            <v/>
          </cell>
          <cell r="Z573" t="str">
            <v/>
          </cell>
          <cell r="AB573" t="str">
            <v/>
          </cell>
          <cell r="AC573" t="str">
            <v>0397918680</v>
          </cell>
          <cell r="AD573" t="str">
            <v>Hợp đồng 20/06/2022</v>
          </cell>
        </row>
        <row r="574">
          <cell r="B574" t="str">
            <v>BV0825</v>
          </cell>
          <cell r="C574" t="str">
            <v>Chu Hoàng Dưỡng</v>
          </cell>
          <cell r="D574" t="str">
            <v>BV0825</v>
          </cell>
          <cell r="F574" t="str">
            <v>Dược sỹ CĐ</v>
          </cell>
          <cell r="G574" t="str">
            <v>TĐ009</v>
          </cell>
          <cell r="H574" t="str">
            <v>Dược (hạng IV)</v>
          </cell>
          <cell r="I574" t="str">
            <v>Dược (hạng IV)</v>
          </cell>
          <cell r="J574" t="str">
            <v>KSNK</v>
          </cell>
          <cell r="K574" t="str">
            <v>KP036</v>
          </cell>
          <cell r="L574" t="str">
            <v>Viên chức CMNV</v>
          </cell>
          <cell r="M574">
            <v>0</v>
          </cell>
          <cell r="N574" t="str">
            <v>Viên chức</v>
          </cell>
          <cell r="O574">
            <v>39</v>
          </cell>
          <cell r="P574" t="str">
            <v>19/12/1986</v>
          </cell>
          <cell r="Q574">
            <v>0</v>
          </cell>
          <cell r="R574" t="str">
            <v>Tày</v>
          </cell>
          <cell r="S574" t="str">
            <v>15/01/2010</v>
          </cell>
          <cell r="T574" t="str">
            <v>020086002707</v>
          </cell>
          <cell r="U574" t="str">
            <v>Khối Hoàng Tân, phường Tam Thanh, tỉnh Lạng Sơn</v>
          </cell>
          <cell r="W574" t="str">
            <v/>
          </cell>
          <cell r="X574" t="str">
            <v/>
          </cell>
          <cell r="Z574" t="str">
            <v/>
          </cell>
          <cell r="AB574" t="str">
            <v/>
          </cell>
          <cell r="AC574" t="str">
            <v>0978628630</v>
          </cell>
          <cell r="AD574" t="str">
            <v>Chuyển đến 19/3/2018</v>
          </cell>
        </row>
        <row r="575">
          <cell r="B575" t="str">
            <v>BV0469</v>
          </cell>
          <cell r="C575" t="str">
            <v>Vũ Minh Phượng</v>
          </cell>
          <cell r="D575" t="str">
            <v>BV0469</v>
          </cell>
          <cell r="E575" t="str">
            <v>x</v>
          </cell>
          <cell r="F575" t="str">
            <v>Dược sỹ CĐ</v>
          </cell>
          <cell r="G575" t="str">
            <v>TĐ009</v>
          </cell>
          <cell r="H575" t="str">
            <v>Dược (hạng IV)</v>
          </cell>
          <cell r="I575" t="str">
            <v>Dược (hạng IV)</v>
          </cell>
          <cell r="J575" t="str">
            <v>Dược</v>
          </cell>
          <cell r="K575" t="str">
            <v>KP028</v>
          </cell>
          <cell r="L575" t="str">
            <v>Viên chức CMNV</v>
          </cell>
          <cell r="M575">
            <v>0</v>
          </cell>
          <cell r="N575" t="str">
            <v>Viên chức</v>
          </cell>
          <cell r="O575">
            <v>39</v>
          </cell>
          <cell r="P575">
            <v>0</v>
          </cell>
          <cell r="Q575">
            <v>31693</v>
          </cell>
          <cell r="R575" t="str">
            <v>Kinh</v>
          </cell>
          <cell r="S575" t="str">
            <v>2/5/2008</v>
          </cell>
          <cell r="T575" t="str">
            <v>020186008034</v>
          </cell>
          <cell r="U575" t="str">
            <v>Khối Kéo Tào - Phường Kỳ Lừa - Tỉnh Lạng Sơn</v>
          </cell>
          <cell r="W575" t="str">
            <v/>
          </cell>
          <cell r="X575" t="str">
            <v/>
          </cell>
          <cell r="Z575" t="str">
            <v/>
          </cell>
          <cell r="AB575" t="str">
            <v/>
          </cell>
          <cell r="AC575">
            <v>983275720</v>
          </cell>
        </row>
        <row r="576">
          <cell r="B576" t="str">
            <v>BV0475</v>
          </cell>
          <cell r="C576" t="str">
            <v>Lương Bích Thùy</v>
          </cell>
          <cell r="D576" t="str">
            <v>BV0475</v>
          </cell>
          <cell r="E576" t="str">
            <v>x</v>
          </cell>
          <cell r="F576" t="str">
            <v>Dược sỹ CĐ</v>
          </cell>
          <cell r="G576" t="str">
            <v>TĐ009</v>
          </cell>
          <cell r="H576" t="str">
            <v>Dược (hạng IV)</v>
          </cell>
          <cell r="I576" t="str">
            <v>Dược (hạng IV)</v>
          </cell>
          <cell r="J576" t="str">
            <v>Dược</v>
          </cell>
          <cell r="K576" t="str">
            <v>KP028</v>
          </cell>
          <cell r="L576" t="str">
            <v>Viên chức CMNV</v>
          </cell>
          <cell r="M576">
            <v>0</v>
          </cell>
          <cell r="N576" t="str">
            <v>Viên chức</v>
          </cell>
          <cell r="O576">
            <v>38</v>
          </cell>
          <cell r="P576">
            <v>0</v>
          </cell>
          <cell r="Q576">
            <v>32237</v>
          </cell>
          <cell r="R576" t="str">
            <v>Tày</v>
          </cell>
          <cell r="S576" t="str">
            <v>14/1/2011</v>
          </cell>
          <cell r="T576" t="str">
            <v>020188009632</v>
          </cell>
          <cell r="U576" t="str">
            <v>Số 12, ngõ 195, K10, Đ.Bến Bắc, P.Tam Thanh, Tỉnh Lạng Sơn</v>
          </cell>
          <cell r="W576" t="str">
            <v/>
          </cell>
          <cell r="X576" t="str">
            <v/>
          </cell>
          <cell r="Z576" t="str">
            <v/>
          </cell>
          <cell r="AB576" t="str">
            <v/>
          </cell>
          <cell r="AC576">
            <v>943132868</v>
          </cell>
        </row>
        <row r="577">
          <cell r="B577" t="str">
            <v>BV1299</v>
          </cell>
          <cell r="C577" t="str">
            <v>Lương Thị Phương Linh</v>
          </cell>
          <cell r="D577" t="str">
            <v>BV1299</v>
          </cell>
          <cell r="E577" t="str">
            <v>x</v>
          </cell>
          <cell r="F577" t="str">
            <v>Dược sỹ CĐ</v>
          </cell>
          <cell r="G577" t="str">
            <v>TĐ009</v>
          </cell>
          <cell r="I577" t="str">
            <v>Dược (hạng IV)</v>
          </cell>
          <cell r="J577" t="str">
            <v>Dược</v>
          </cell>
          <cell r="K577" t="str">
            <v>KP028</v>
          </cell>
          <cell r="N577" t="str">
            <v>Viên chức</v>
          </cell>
          <cell r="O577">
            <v>27</v>
          </cell>
          <cell r="P577">
            <v>0</v>
          </cell>
          <cell r="Q577" t="str">
            <v>20/09/1998</v>
          </cell>
          <cell r="R577" t="str">
            <v>Tày</v>
          </cell>
          <cell r="S577">
            <v>45673</v>
          </cell>
          <cell r="T577" t="str">
            <v>020198000972</v>
          </cell>
          <cell r="U577" t="str">
            <v>khối 14 Phường Kỳ Lừa - Tỉnh Lạng Sơn</v>
          </cell>
          <cell r="W577" t="str">
            <v/>
          </cell>
          <cell r="X577" t="str">
            <v/>
          </cell>
          <cell r="Z577" t="str">
            <v/>
          </cell>
          <cell r="AB577" t="str">
            <v/>
          </cell>
          <cell r="AC577">
            <v>969846292</v>
          </cell>
          <cell r="AD577" t="str">
            <v>Thử việc 02/01/2025, Viên chức từ 15/6/2026</v>
          </cell>
        </row>
        <row r="578">
          <cell r="B578" t="str">
            <v>BV1187</v>
          </cell>
          <cell r="C578" t="str">
            <v>Vương Thị Lý</v>
          </cell>
          <cell r="D578" t="str">
            <v>BV1187</v>
          </cell>
          <cell r="E578" t="str">
            <v>x</v>
          </cell>
          <cell r="F578" t="str">
            <v>Dược sỹ TC</v>
          </cell>
          <cell r="G578" t="str">
            <v>TĐ010</v>
          </cell>
          <cell r="I578" t="str">
            <v>Dược (hạng IV)</v>
          </cell>
          <cell r="J578" t="str">
            <v>Dược</v>
          </cell>
          <cell r="K578" t="str">
            <v>KP028</v>
          </cell>
          <cell r="N578" t="str">
            <v>HĐ có thời hạn</v>
          </cell>
          <cell r="O578">
            <v>30</v>
          </cell>
          <cell r="P578">
            <v>0</v>
          </cell>
          <cell r="Q578" t="str">
            <v>10/02/1996</v>
          </cell>
          <cell r="R578" t="str">
            <v>Nùng</v>
          </cell>
          <cell r="S578">
            <v>44748</v>
          </cell>
          <cell r="T578" t="str">
            <v>020196004343</v>
          </cell>
          <cell r="U578" t="str">
            <v>22/167 Phai Vệ,phường Đông Kinh,tỉnh Lạng Sơn</v>
          </cell>
          <cell r="W578" t="str">
            <v/>
          </cell>
          <cell r="X578" t="str">
            <v/>
          </cell>
          <cell r="Z578" t="str">
            <v/>
          </cell>
          <cell r="AB578" t="str">
            <v/>
          </cell>
          <cell r="AC578" t="str">
            <v>0374219233</v>
          </cell>
          <cell r="AD578" t="str">
            <v>Hợp đồng 06/7/2022</v>
          </cell>
        </row>
        <row r="579">
          <cell r="B579" t="str">
            <v>BV0485</v>
          </cell>
          <cell r="C579" t="str">
            <v>Nông Thị Nòm</v>
          </cell>
          <cell r="D579" t="str">
            <v>BV0485</v>
          </cell>
          <cell r="E579" t="str">
            <v>x</v>
          </cell>
          <cell r="F579" t="str">
            <v>BSCKI</v>
          </cell>
          <cell r="G579" t="str">
            <v>TĐ003</v>
          </cell>
          <cell r="H579" t="str">
            <v>Bác sĩ chính (hạng II)</v>
          </cell>
          <cell r="I579" t="str">
            <v>Bác sĩ chính (hạng II)</v>
          </cell>
          <cell r="J579" t="str">
            <v>HH-TM</v>
          </cell>
          <cell r="K579" t="str">
            <v>KP029</v>
          </cell>
          <cell r="L579" t="str">
            <v>Lãnh đạo khoa, phòng</v>
          </cell>
          <cell r="M579" t="str">
            <v>Phó trưởng khoa</v>
          </cell>
          <cell r="N579" t="str">
            <v>Viên chức</v>
          </cell>
          <cell r="O579">
            <v>37</v>
          </cell>
          <cell r="P579">
            <v>0</v>
          </cell>
          <cell r="Q579">
            <v>32407</v>
          </cell>
          <cell r="R579" t="str">
            <v>Nùng</v>
          </cell>
          <cell r="S579" t="str">
            <v>01/11/2014</v>
          </cell>
          <cell r="T579" t="str">
            <v>020188011260</v>
          </cell>
          <cell r="U579">
            <v>0</v>
          </cell>
          <cell r="W579" t="str">
            <v>000557/LS-CCHN</v>
          </cell>
          <cell r="X579" t="str">
            <v>13/10/2016</v>
          </cell>
          <cell r="Z579" t="str">
            <v>Chuyên khoa xét nghiệm</v>
          </cell>
          <cell r="AB579" t="str">
            <v/>
          </cell>
          <cell r="AC579" t="str">
            <v>0343810753</v>
          </cell>
        </row>
        <row r="580">
          <cell r="B580" t="str">
            <v>BV0484</v>
          </cell>
          <cell r="C580" t="str">
            <v>Lâm Thị Kiểm</v>
          </cell>
          <cell r="D580" t="str">
            <v>BV0484</v>
          </cell>
          <cell r="E580" t="str">
            <v>x</v>
          </cell>
          <cell r="F580" t="str">
            <v>Bác sĩ</v>
          </cell>
          <cell r="G580" t="str">
            <v>TĐ005</v>
          </cell>
          <cell r="H580" t="str">
            <v>Bác sĩ (hạng III)</v>
          </cell>
          <cell r="I580" t="str">
            <v>Bác sĩ (hạng III)</v>
          </cell>
          <cell r="J580" t="str">
            <v>HH-TM</v>
          </cell>
          <cell r="K580" t="str">
            <v>KP029</v>
          </cell>
          <cell r="L580" t="str">
            <v>Lãnh đạo khoa, phòng</v>
          </cell>
          <cell r="M580" t="str">
            <v>Phó trưởng khoa</v>
          </cell>
          <cell r="N580" t="str">
            <v>Viên chức</v>
          </cell>
          <cell r="O580">
            <v>51</v>
          </cell>
          <cell r="P580">
            <v>0</v>
          </cell>
          <cell r="Q580">
            <v>27315</v>
          </cell>
          <cell r="R580" t="str">
            <v>Tày</v>
          </cell>
          <cell r="S580" t="str">
            <v>1/1/1995</v>
          </cell>
          <cell r="T580" t="str">
            <v>020174001803</v>
          </cell>
          <cell r="U580">
            <v>0</v>
          </cell>
          <cell r="W580" t="str">
            <v>002943/LS-CCHN</v>
          </cell>
          <cell r="X580" t="str">
            <v>13/02/2015</v>
          </cell>
          <cell r="Z580" t="str">
            <v>Chuyên khoa xét nghiệm</v>
          </cell>
          <cell r="AB580" t="str">
            <v/>
          </cell>
          <cell r="AC580">
            <v>919500712</v>
          </cell>
        </row>
        <row r="581">
          <cell r="B581" t="str">
            <v>BV0486</v>
          </cell>
          <cell r="C581" t="str">
            <v>Hoàng Thị Bích Liên</v>
          </cell>
          <cell r="D581" t="str">
            <v>BV0486</v>
          </cell>
          <cell r="E581" t="str">
            <v>x</v>
          </cell>
          <cell r="F581" t="str">
            <v>KTY ĐH</v>
          </cell>
          <cell r="G581" t="str">
            <v>TĐ014</v>
          </cell>
          <cell r="H581" t="str">
            <v>Kỹ thuật y (hạng III)</v>
          </cell>
          <cell r="I581" t="str">
            <v>Kỹ thuật y (hạng III)</v>
          </cell>
          <cell r="J581" t="str">
            <v>HH-TM</v>
          </cell>
          <cell r="K581" t="str">
            <v>KP029</v>
          </cell>
          <cell r="L581" t="str">
            <v>Lãnh đạo khoa, phòng</v>
          </cell>
          <cell r="M581" t="str">
            <v>Kỹ thuật y trưởng</v>
          </cell>
          <cell r="N581" t="str">
            <v>Viên chức</v>
          </cell>
          <cell r="O581">
            <v>43</v>
          </cell>
          <cell r="P581">
            <v>0</v>
          </cell>
          <cell r="Q581">
            <v>30242</v>
          </cell>
          <cell r="R581" t="str">
            <v>Nùng</v>
          </cell>
          <cell r="S581" t="str">
            <v>16/2/2005</v>
          </cell>
          <cell r="T581" t="str">
            <v>020182003084</v>
          </cell>
          <cell r="U581">
            <v>0</v>
          </cell>
          <cell r="W581" t="str">
            <v>001057/LS-CCHN</v>
          </cell>
          <cell r="X581" t="str">
            <v>24/06/2013</v>
          </cell>
          <cell r="Z581" t="str">
            <v>Theo quy định tại Thông tư số 23/2009/TT-BYT ngày 01/12/2009 của Bộ Y tế ban hành tiêu chuẩn nghiệp vụ các ngạch viên chức kỹ thuật y học</v>
          </cell>
          <cell r="AB581" t="str">
            <v/>
          </cell>
          <cell r="AC581">
            <v>915116536</v>
          </cell>
        </row>
        <row r="582">
          <cell r="B582" t="str">
            <v>BV0487</v>
          </cell>
          <cell r="C582" t="str">
            <v>Hoàng Thị Thúy</v>
          </cell>
          <cell r="D582" t="str">
            <v>BV0487</v>
          </cell>
          <cell r="E582" t="str">
            <v>x</v>
          </cell>
          <cell r="F582" t="str">
            <v>KTY ĐH</v>
          </cell>
          <cell r="G582" t="str">
            <v>TĐ014</v>
          </cell>
          <cell r="H582" t="str">
            <v>Kỹ thuật y (hạng III)</v>
          </cell>
          <cell r="I582" t="str">
            <v>Kỹ thuật y (hạng III)</v>
          </cell>
          <cell r="J582" t="str">
            <v>HH-TM</v>
          </cell>
          <cell r="K582" t="str">
            <v>KP029</v>
          </cell>
          <cell r="L582" t="str">
            <v>Viên chức CMNV</v>
          </cell>
          <cell r="M582">
            <v>0</v>
          </cell>
          <cell r="N582" t="str">
            <v>Viên chức</v>
          </cell>
          <cell r="O582">
            <v>40</v>
          </cell>
          <cell r="P582">
            <v>0</v>
          </cell>
          <cell r="Q582">
            <v>31633</v>
          </cell>
          <cell r="R582" t="str">
            <v>Nùng</v>
          </cell>
          <cell r="S582" t="str">
            <v>15/1/2010</v>
          </cell>
          <cell r="T582" t="str">
            <v>020186011507</v>
          </cell>
          <cell r="U582">
            <v>0</v>
          </cell>
          <cell r="W582" t="str">
            <v>001060/LS-CCHN</v>
          </cell>
          <cell r="X582" t="str">
            <v>02/08/2022</v>
          </cell>
          <cell r="Z582" t="str">
            <v>KTV xét nghiệm. Theo quy định tại Thông tư số 23/2009/TTLT-BYT-BNV ngày 01/12/2009 của Bộ Y tế ban hành tiêu chuẩn nghiệp vụ các ngạch viên chức kỹ thuật y học</v>
          </cell>
          <cell r="AB582" t="str">
            <v/>
          </cell>
          <cell r="AC582" t="str">
            <v>0834666852</v>
          </cell>
        </row>
        <row r="583">
          <cell r="B583" t="str">
            <v>BV0493</v>
          </cell>
          <cell r="C583" t="str">
            <v>Trần Thị Thanh Tuyền</v>
          </cell>
          <cell r="D583" t="str">
            <v>BV0493</v>
          </cell>
          <cell r="E583" t="str">
            <v>x</v>
          </cell>
          <cell r="F583" t="str">
            <v>KTY ĐH</v>
          </cell>
          <cell r="G583" t="str">
            <v>TĐ014</v>
          </cell>
          <cell r="H583" t="str">
            <v>Kỹ thuật y (hạng III)</v>
          </cell>
          <cell r="I583" t="str">
            <v>Kỹ thuật y (hạng III)</v>
          </cell>
          <cell r="J583" t="str">
            <v>HH-TM</v>
          </cell>
          <cell r="K583" t="str">
            <v>KP029</v>
          </cell>
          <cell r="L583" t="str">
            <v>Viên chức CMNV</v>
          </cell>
          <cell r="M583">
            <v>0</v>
          </cell>
          <cell r="N583" t="str">
            <v>Viên chức</v>
          </cell>
          <cell r="O583">
            <v>37</v>
          </cell>
          <cell r="P583">
            <v>0</v>
          </cell>
          <cell r="Q583">
            <v>32458</v>
          </cell>
          <cell r="R583" t="str">
            <v>Nùng</v>
          </cell>
          <cell r="S583" t="str">
            <v>1/12/2010</v>
          </cell>
          <cell r="T583" t="str">
            <v>020188007278</v>
          </cell>
          <cell r="U583">
            <v>0</v>
          </cell>
          <cell r="W583" t="str">
            <v>001061/LS-CCHN</v>
          </cell>
          <cell r="X583" t="str">
            <v>02/08/2022</v>
          </cell>
          <cell r="Z583" t="str">
            <v>Chuyên khoa xét nghiệm</v>
          </cell>
          <cell r="AB583" t="str">
            <v/>
          </cell>
          <cell r="AC583" t="str">
            <v>0988846823</v>
          </cell>
        </row>
        <row r="584">
          <cell r="B584" t="str">
            <v>BV0492</v>
          </cell>
          <cell r="C584" t="str">
            <v>Bế Thị Thu Trang</v>
          </cell>
          <cell r="D584" t="str">
            <v>BV0492</v>
          </cell>
          <cell r="E584" t="str">
            <v>x</v>
          </cell>
          <cell r="F584" t="str">
            <v>KTY ĐH</v>
          </cell>
          <cell r="G584" t="str">
            <v>TĐ014</v>
          </cell>
          <cell r="H584" t="str">
            <v>Kỹ thuật y (hạng III)</v>
          </cell>
          <cell r="I584" t="str">
            <v>Kỹ thuật y (hạng III)</v>
          </cell>
          <cell r="J584" t="str">
            <v>HH-TM</v>
          </cell>
          <cell r="K584" t="str">
            <v>KP029</v>
          </cell>
          <cell r="L584" t="str">
            <v>Viên chức CMNV</v>
          </cell>
          <cell r="M584">
            <v>0</v>
          </cell>
          <cell r="N584" t="str">
            <v>Viên chức</v>
          </cell>
          <cell r="O584">
            <v>37</v>
          </cell>
          <cell r="P584">
            <v>0</v>
          </cell>
          <cell r="Q584">
            <v>32405</v>
          </cell>
          <cell r="R584" t="str">
            <v>Tày</v>
          </cell>
          <cell r="S584" t="str">
            <v>15/1/2010</v>
          </cell>
          <cell r="T584" t="str">
            <v>020188010653</v>
          </cell>
          <cell r="U584">
            <v>0</v>
          </cell>
          <cell r="W584" t="str">
            <v>004550/LS-CCHN</v>
          </cell>
          <cell r="X584" t="str">
            <v>26/08/2022</v>
          </cell>
          <cell r="Z584" t="str">
            <v>Chuyên khoa xét nghiệm</v>
          </cell>
          <cell r="AB584" t="str">
            <v/>
          </cell>
          <cell r="AC584">
            <v>912909383</v>
          </cell>
        </row>
        <row r="585">
          <cell r="B585" t="str">
            <v>BV0488</v>
          </cell>
          <cell r="C585" t="str">
            <v>Doãn Hồng Oanh</v>
          </cell>
          <cell r="D585" t="str">
            <v>BV0488</v>
          </cell>
          <cell r="E585" t="str">
            <v>x</v>
          </cell>
          <cell r="F585" t="str">
            <v>KTY ĐH</v>
          </cell>
          <cell r="G585" t="str">
            <v>TĐ014</v>
          </cell>
          <cell r="H585" t="str">
            <v>Kỹ thuật y (hạng III)</v>
          </cell>
          <cell r="I585" t="str">
            <v>Kỹ thuật y (hạng III)</v>
          </cell>
          <cell r="J585" t="str">
            <v>HH-TM</v>
          </cell>
          <cell r="K585" t="str">
            <v>KP029</v>
          </cell>
          <cell r="L585" t="str">
            <v>Viên chức CMNV</v>
          </cell>
          <cell r="M585">
            <v>0</v>
          </cell>
          <cell r="N585" t="str">
            <v>Viên chức</v>
          </cell>
          <cell r="O585">
            <v>45</v>
          </cell>
          <cell r="P585">
            <v>0</v>
          </cell>
          <cell r="Q585">
            <v>29791</v>
          </cell>
          <cell r="R585" t="str">
            <v>Kinh</v>
          </cell>
          <cell r="S585" t="str">
            <v>16/2/2005</v>
          </cell>
          <cell r="T585" t="str">
            <v>038181038230</v>
          </cell>
          <cell r="U585">
            <v>0</v>
          </cell>
          <cell r="W585" t="str">
            <v>001059/LS-CCHN</v>
          </cell>
          <cell r="X585" t="str">
            <v>26/08/2022</v>
          </cell>
          <cell r="Z585" t="str">
            <v>Chuyên khoa xét nghiệm</v>
          </cell>
          <cell r="AB585" t="str">
            <v/>
          </cell>
          <cell r="AC585">
            <v>389900881</v>
          </cell>
        </row>
        <row r="586">
          <cell r="B586" t="str">
            <v>BV1319</v>
          </cell>
          <cell r="C586" t="str">
            <v>Đặng Phương Thảo</v>
          </cell>
          <cell r="D586" t="str">
            <v>BV1319</v>
          </cell>
          <cell r="E586" t="str">
            <v>x</v>
          </cell>
          <cell r="F586" t="str">
            <v>KTY ĐH</v>
          </cell>
          <cell r="G586" t="str">
            <v>TĐ014</v>
          </cell>
          <cell r="I586" t="str">
            <v>Kỹ thuật y (hạng III)</v>
          </cell>
          <cell r="J586" t="str">
            <v>HH-TM</v>
          </cell>
          <cell r="K586" t="str">
            <v>KP029</v>
          </cell>
          <cell r="N586" t="str">
            <v>HĐ có thời hạn</v>
          </cell>
          <cell r="O586">
            <v>25</v>
          </cell>
          <cell r="P586">
            <v>0</v>
          </cell>
          <cell r="Q586" t="str">
            <v>12/1/2001</v>
          </cell>
          <cell r="R586" t="str">
            <v>Kinh</v>
          </cell>
          <cell r="S586">
            <v>45783</v>
          </cell>
          <cell r="T586" t="str">
            <v>030301014212</v>
          </cell>
          <cell r="U586">
            <v>0</v>
          </cell>
          <cell r="W586" t="str">
            <v>000236/LS-GPHN</v>
          </cell>
          <cell r="X586">
            <v>45747</v>
          </cell>
          <cell r="Z586" t="str">
            <v>Xét nghiệm y học</v>
          </cell>
          <cell r="AB586" t="str">
            <v/>
          </cell>
          <cell r="AC586" t="str">
            <v>0346733258</v>
          </cell>
          <cell r="AD586" t="str">
            <v>HĐ 06/05/2025</v>
          </cell>
        </row>
        <row r="587">
          <cell r="B587" t="str">
            <v>BV0806</v>
          </cell>
          <cell r="C587" t="str">
            <v>Nông Thị Dung</v>
          </cell>
          <cell r="D587" t="str">
            <v>BV0806</v>
          </cell>
          <cell r="E587" t="str">
            <v>x</v>
          </cell>
          <cell r="F587" t="str">
            <v>KTY CĐ</v>
          </cell>
          <cell r="G587" t="str">
            <v>TĐ015</v>
          </cell>
          <cell r="H587" t="str">
            <v>Kỹ thuật y (hạng IV)</v>
          </cell>
          <cell r="I587" t="str">
            <v>Kỹ thuật y (hạng IV)</v>
          </cell>
          <cell r="J587" t="str">
            <v>HH-TM</v>
          </cell>
          <cell r="K587" t="str">
            <v>KP029</v>
          </cell>
          <cell r="L587" t="str">
            <v>Viên chức CMNV</v>
          </cell>
          <cell r="M587">
            <v>0</v>
          </cell>
          <cell r="N587" t="str">
            <v>Viên chức</v>
          </cell>
          <cell r="O587">
            <v>33</v>
          </cell>
          <cell r="P587">
            <v>0</v>
          </cell>
          <cell r="Q587" t="str">
            <v>07/08/1993</v>
          </cell>
          <cell r="R587" t="str">
            <v>Tày</v>
          </cell>
          <cell r="S587" t="str">
            <v>10/1/2016</v>
          </cell>
          <cell r="T587" t="str">
            <v>020193001575</v>
          </cell>
          <cell r="U587">
            <v>0</v>
          </cell>
          <cell r="W587" t="str">
            <v>002082/LS-CCHN</v>
          </cell>
          <cell r="X587" t="str">
            <v>29/08/2017</v>
          </cell>
          <cell r="Z587" t="str">
            <v>Kỹ thuật viên xét nghiệm</v>
          </cell>
          <cell r="AB587" t="str">
            <v/>
          </cell>
          <cell r="AC587">
            <v>986431921</v>
          </cell>
          <cell r="AD587" t="str">
            <v>Chuyển đến 01/9/2017</v>
          </cell>
        </row>
        <row r="588">
          <cell r="B588" t="str">
            <v>BV0766</v>
          </cell>
          <cell r="C588" t="str">
            <v>Trần Thị Thủy</v>
          </cell>
          <cell r="D588" t="str">
            <v>BV0766</v>
          </cell>
          <cell r="E588" t="str">
            <v>x</v>
          </cell>
          <cell r="F588" t="str">
            <v>KTY CĐ</v>
          </cell>
          <cell r="G588" t="str">
            <v>TĐ015</v>
          </cell>
          <cell r="I588" t="str">
            <v>Kỹ thuật y (hạng IV)</v>
          </cell>
          <cell r="J588" t="str">
            <v>HH-TM</v>
          </cell>
          <cell r="K588" t="str">
            <v>KP029</v>
          </cell>
          <cell r="N588" t="str">
            <v>Viên chức</v>
          </cell>
          <cell r="O588">
            <v>30</v>
          </cell>
          <cell r="P588">
            <v>0</v>
          </cell>
          <cell r="Q588">
            <v>34966</v>
          </cell>
          <cell r="R588" t="str">
            <v>Nùng</v>
          </cell>
          <cell r="S588" t="str">
            <v>01/01/2017</v>
          </cell>
          <cell r="T588" t="str">
            <v>020195001863</v>
          </cell>
          <cell r="U588">
            <v>0</v>
          </cell>
          <cell r="W588" t="str">
            <v>003318/LS-CCHN</v>
          </cell>
          <cell r="X588" t="str">
            <v>20/07/2018</v>
          </cell>
          <cell r="Z588" t="str">
            <v>Kỹ thuật viên xét nghiệm</v>
          </cell>
          <cell r="AB588" t="str">
            <v/>
          </cell>
          <cell r="AC588">
            <v>963247738</v>
          </cell>
          <cell r="AD588" t="str">
            <v>HĐ01/01/2017; Đỗ VC 20/5/2026</v>
          </cell>
        </row>
        <row r="589">
          <cell r="B589" t="str">
            <v>BV0491</v>
          </cell>
          <cell r="C589" t="str">
            <v>Triệu Thị Đào</v>
          </cell>
          <cell r="D589" t="str">
            <v>BV0491</v>
          </cell>
          <cell r="E589" t="str">
            <v>x</v>
          </cell>
          <cell r="F589" t="str">
            <v>KTY CĐ</v>
          </cell>
          <cell r="G589" t="str">
            <v>TĐ015</v>
          </cell>
          <cell r="H589" t="str">
            <v>Kỹ thuật y (hạng IV)</v>
          </cell>
          <cell r="I589" t="str">
            <v>Kỹ thuật y (hạng IV)</v>
          </cell>
          <cell r="J589" t="str">
            <v>HH-TM</v>
          </cell>
          <cell r="K589" t="str">
            <v>KP029</v>
          </cell>
          <cell r="L589" t="str">
            <v>Viên chức CMNV</v>
          </cell>
          <cell r="M589">
            <v>0</v>
          </cell>
          <cell r="N589" t="str">
            <v>Viên chức</v>
          </cell>
          <cell r="O589">
            <v>43</v>
          </cell>
          <cell r="P589">
            <v>0</v>
          </cell>
          <cell r="Q589">
            <v>30424</v>
          </cell>
          <cell r="R589" t="str">
            <v>Nùng</v>
          </cell>
          <cell r="S589" t="str">
            <v>8/12/2008</v>
          </cell>
          <cell r="T589" t="str">
            <v>020183003468</v>
          </cell>
          <cell r="U589">
            <v>0</v>
          </cell>
          <cell r="W589" t="str">
            <v>001058/LS-CCHN</v>
          </cell>
          <cell r="X589" t="str">
            <v>24/06/2013</v>
          </cell>
          <cell r="Z589" t="str">
            <v>Theo quy định tại Thông tư số 23/2009/TT-BYT ngày 01/12/2009 của Bộ Y tế ban hành tiêu chuẩn nghiệp vụ các ngạch viên chức kỹ thuật y học</v>
          </cell>
          <cell r="AB589" t="str">
            <v/>
          </cell>
          <cell r="AC589" t="str">
            <v>0984324298</v>
          </cell>
        </row>
        <row r="590">
          <cell r="B590" t="str">
            <v>BV0828</v>
          </cell>
          <cell r="C590" t="str">
            <v>Triệu Thị Lên</v>
          </cell>
          <cell r="D590" t="str">
            <v>BV0828</v>
          </cell>
          <cell r="E590" t="str">
            <v>x</v>
          </cell>
          <cell r="F590" t="str">
            <v>KTY CĐ</v>
          </cell>
          <cell r="G590" t="str">
            <v>TĐ015</v>
          </cell>
          <cell r="H590" t="str">
            <v>Kỹ thuật y (hạng IV)</v>
          </cell>
          <cell r="I590" t="str">
            <v>Kỹ thuật y (hạng IV)</v>
          </cell>
          <cell r="J590" t="str">
            <v>HH-TM</v>
          </cell>
          <cell r="K590" t="str">
            <v>KP029</v>
          </cell>
          <cell r="L590" t="str">
            <v>Viên chức CMNV</v>
          </cell>
          <cell r="M590">
            <v>0</v>
          </cell>
          <cell r="N590" t="str">
            <v>Viên chức</v>
          </cell>
          <cell r="O590">
            <v>39</v>
          </cell>
          <cell r="P590">
            <v>0</v>
          </cell>
          <cell r="Q590" t="str">
            <v>03/01/1987</v>
          </cell>
          <cell r="R590" t="str">
            <v>Tày</v>
          </cell>
          <cell r="S590" t="str">
            <v>10/6/2013</v>
          </cell>
          <cell r="T590" t="str">
            <v>006187003732</v>
          </cell>
          <cell r="U590">
            <v>0</v>
          </cell>
          <cell r="W590" t="str">
            <v>003324/LS-CCHN</v>
          </cell>
          <cell r="X590" t="str">
            <v>20/07/2018</v>
          </cell>
          <cell r="Z590" t="str">
            <v>Kỹ thuật viên xét nghiệm</v>
          </cell>
          <cell r="AB590" t="str">
            <v/>
          </cell>
          <cell r="AC590">
            <v>975921690</v>
          </cell>
          <cell r="AD590" t="str">
            <v>Chuyển đến 19/3/2018</v>
          </cell>
        </row>
        <row r="591">
          <cell r="B591" t="str">
            <v>BV0494</v>
          </cell>
          <cell r="C591" t="str">
            <v>Hoàng Huy Thưởng</v>
          </cell>
          <cell r="D591" t="str">
            <v>BV0494</v>
          </cell>
          <cell r="F591" t="str">
            <v>KTY CĐ</v>
          </cell>
          <cell r="G591" t="str">
            <v>TĐ015</v>
          </cell>
          <cell r="H591" t="str">
            <v>Kỹ thuật y (hạng IV)</v>
          </cell>
          <cell r="I591" t="str">
            <v>Kỹ thuật y (hạng IV)</v>
          </cell>
          <cell r="J591" t="str">
            <v>HH-TM</v>
          </cell>
          <cell r="K591" t="str">
            <v>KP029</v>
          </cell>
          <cell r="L591" t="str">
            <v>Viên chức CMNV</v>
          </cell>
          <cell r="M591">
            <v>0</v>
          </cell>
          <cell r="N591" t="str">
            <v>Viên chức</v>
          </cell>
          <cell r="O591">
            <v>40</v>
          </cell>
          <cell r="P591">
            <v>31459</v>
          </cell>
          <cell r="Q591">
            <v>0</v>
          </cell>
          <cell r="R591" t="str">
            <v>Tày</v>
          </cell>
          <cell r="S591" t="str">
            <v>1/12/2010</v>
          </cell>
          <cell r="T591" t="str">
            <v>020086010366</v>
          </cell>
          <cell r="U591">
            <v>0</v>
          </cell>
          <cell r="W591" t="str">
            <v>001062/LS-CCHN</v>
          </cell>
          <cell r="X591" t="str">
            <v>24/06/2013</v>
          </cell>
          <cell r="Z591" t="str">
            <v>Theo quy định tại Thông tư số 23/2009/TT-BYT ngày 01/12/2009 của Bộ Y tế ban hành tiêu chuẩn nghiệp vụ các ngạch viên chức kỹ thuật y học</v>
          </cell>
          <cell r="AB591" t="str">
            <v/>
          </cell>
          <cell r="AC591">
            <v>972566630</v>
          </cell>
        </row>
        <row r="592">
          <cell r="B592" t="str">
            <v>BV0454</v>
          </cell>
          <cell r="C592" t="str">
            <v>La Thị Hiền</v>
          </cell>
          <cell r="D592" t="str">
            <v>BV0454</v>
          </cell>
          <cell r="E592" t="str">
            <v>x</v>
          </cell>
          <cell r="F592" t="str">
            <v>Hộ Lý</v>
          </cell>
          <cell r="G592" t="str">
            <v>TĐ047</v>
          </cell>
          <cell r="I592" t="str">
            <v>Hộ Lý</v>
          </cell>
          <cell r="J592" t="str">
            <v>HH-TM</v>
          </cell>
          <cell r="K592" t="str">
            <v>KP029</v>
          </cell>
          <cell r="M592">
            <v>0</v>
          </cell>
          <cell r="N592" t="str">
            <v>HĐ theo NĐ161</v>
          </cell>
          <cell r="O592">
            <v>44</v>
          </cell>
          <cell r="P592">
            <v>0</v>
          </cell>
          <cell r="Q592">
            <v>29953</v>
          </cell>
          <cell r="R592" t="str">
            <v>Kinh</v>
          </cell>
          <cell r="S592" t="str">
            <v>1/11/2004</v>
          </cell>
          <cell r="T592" t="str">
            <v>020182002366</v>
          </cell>
          <cell r="U592">
            <v>0</v>
          </cell>
          <cell r="W592" t="str">
            <v/>
          </cell>
          <cell r="X592" t="str">
            <v/>
          </cell>
          <cell r="Z592" t="str">
            <v/>
          </cell>
          <cell r="AB592" t="str">
            <v/>
          </cell>
          <cell r="AC592" t="str">
            <v>0915326358</v>
          </cell>
          <cell r="AD592" t="str">
            <v>Chuyển từ HĐ68</v>
          </cell>
        </row>
        <row r="593">
          <cell r="B593" t="str">
            <v>BV0496</v>
          </cell>
          <cell r="C593" t="str">
            <v>Vũ Thị Vy</v>
          </cell>
          <cell r="D593" t="str">
            <v>BV0496</v>
          </cell>
          <cell r="E593" t="str">
            <v>x</v>
          </cell>
          <cell r="F593" t="str">
            <v>BSCKII</v>
          </cell>
          <cell r="G593" t="str">
            <v>TĐ001</v>
          </cell>
          <cell r="H593" t="str">
            <v>Bác sĩ chính (hạng II)</v>
          </cell>
          <cell r="I593" t="str">
            <v>Bác sĩ chính (hạng II)</v>
          </cell>
          <cell r="J593" t="str">
            <v>HS-VS</v>
          </cell>
          <cell r="K593" t="str">
            <v>KP030</v>
          </cell>
          <cell r="L593" t="str">
            <v>Lãnh đạo khoa, phòng</v>
          </cell>
          <cell r="M593" t="str">
            <v>Trưởng khoa</v>
          </cell>
          <cell r="N593" t="str">
            <v>Viên chức</v>
          </cell>
          <cell r="O593">
            <v>47</v>
          </cell>
          <cell r="P593">
            <v>0</v>
          </cell>
          <cell r="Q593">
            <v>28757</v>
          </cell>
          <cell r="R593" t="str">
            <v>Kinh</v>
          </cell>
          <cell r="S593" t="str">
            <v>17/2/2003</v>
          </cell>
          <cell r="T593" t="str">
            <v>019178002341</v>
          </cell>
          <cell r="U593" t="str">
            <v>Số 17, Thác Mạ 4, Phường Đông Kinh.</v>
          </cell>
          <cell r="W593" t="str">
            <v>000125/LS-CCHN</v>
          </cell>
          <cell r="X593" t="str">
            <v>28/06/2012</v>
          </cell>
          <cell r="Z593" t="str">
            <v>Chuyên khoa xét nghiệm</v>
          </cell>
          <cell r="AB593" t="str">
            <v/>
          </cell>
          <cell r="AC593">
            <v>963800896</v>
          </cell>
        </row>
        <row r="594">
          <cell r="B594" t="str">
            <v>BV0701</v>
          </cell>
          <cell r="C594" t="str">
            <v>Hoàng Diệu Linh</v>
          </cell>
          <cell r="D594" t="str">
            <v>BV0701</v>
          </cell>
          <cell r="E594" t="str">
            <v>x</v>
          </cell>
          <cell r="F594" t="str">
            <v>BSCKI</v>
          </cell>
          <cell r="G594" t="str">
            <v>TĐ003</v>
          </cell>
          <cell r="H594" t="str">
            <v>Bác sĩ chính (hạng II)</v>
          </cell>
          <cell r="I594" t="str">
            <v>Bác sĩ chính (hạng II)</v>
          </cell>
          <cell r="J594" t="str">
            <v>HS-VS</v>
          </cell>
          <cell r="K594" t="str">
            <v>KP030</v>
          </cell>
          <cell r="L594" t="str">
            <v>Lãnh đạo khoa, phòng</v>
          </cell>
          <cell r="M594" t="str">
            <v>Phó trưởng khoa</v>
          </cell>
          <cell r="N594" t="str">
            <v>Viên chức</v>
          </cell>
          <cell r="O594">
            <v>38</v>
          </cell>
          <cell r="P594">
            <v>0</v>
          </cell>
          <cell r="Q594" t="str">
            <v>24/6/1988</v>
          </cell>
          <cell r="R594" t="str">
            <v>Tày</v>
          </cell>
          <cell r="S594" t="str">
            <v>01/11/2014</v>
          </cell>
          <cell r="T594" t="str">
            <v>020188009059</v>
          </cell>
          <cell r="U594" t="str">
            <v>Số 126, khối Hoàng Thượng, phường Tam Thanh.</v>
          </cell>
          <cell r="W594" t="str">
            <v>000409/LS-CCHN</v>
          </cell>
          <cell r="X594" t="str">
            <v>01/06/2016</v>
          </cell>
          <cell r="Z594" t="str">
            <v>Chuyên khoa xét nghiệm</v>
          </cell>
          <cell r="AB594" t="str">
            <v/>
          </cell>
          <cell r="AC594" t="str">
            <v>0399067105</v>
          </cell>
        </row>
        <row r="595">
          <cell r="B595" t="str">
            <v>BV0503</v>
          </cell>
          <cell r="C595" t="str">
            <v>Vũ Bích Thủy</v>
          </cell>
          <cell r="D595" t="str">
            <v>BV0503</v>
          </cell>
          <cell r="E595" t="str">
            <v>x</v>
          </cell>
          <cell r="F595" t="str">
            <v>KTY ĐH</v>
          </cell>
          <cell r="G595" t="str">
            <v>TĐ014</v>
          </cell>
          <cell r="H595" t="str">
            <v>Kỹ thuật y (hạng III)</v>
          </cell>
          <cell r="I595" t="str">
            <v>Kỹ thuật y (hạng III)</v>
          </cell>
          <cell r="J595" t="str">
            <v>HS-VS</v>
          </cell>
          <cell r="K595" t="str">
            <v>KP030</v>
          </cell>
          <cell r="L595" t="str">
            <v>Viên chức CMNV</v>
          </cell>
          <cell r="M595" t="str">
            <v>Phụ trách điều dưỡng</v>
          </cell>
          <cell r="N595" t="str">
            <v>Viên chức</v>
          </cell>
          <cell r="O595">
            <v>42</v>
          </cell>
          <cell r="P595">
            <v>0</v>
          </cell>
          <cell r="Q595">
            <v>30768</v>
          </cell>
          <cell r="R595" t="str">
            <v>Kinh</v>
          </cell>
          <cell r="S595" t="str">
            <v>10/6/2013</v>
          </cell>
          <cell r="T595" t="str">
            <v>020184002853</v>
          </cell>
          <cell r="U595" t="str">
            <v>Số 20, ngõ 195, đường Bến Bắc, Phường Tam Thanh.</v>
          </cell>
          <cell r="W595" t="str">
            <v>000448/LS-CCHN</v>
          </cell>
          <cell r="X595" t="str">
            <v>18/07/2016</v>
          </cell>
          <cell r="Z595" t="str">
            <v>Chuyên khoa xét nghiệm</v>
          </cell>
          <cell r="AB595" t="str">
            <v/>
          </cell>
          <cell r="AC595">
            <v>986668996</v>
          </cell>
        </row>
        <row r="596">
          <cell r="B596" t="str">
            <v>BV0813</v>
          </cell>
          <cell r="C596" t="str">
            <v>Trần Thị Thảo</v>
          </cell>
          <cell r="D596" t="str">
            <v>BV0813</v>
          </cell>
          <cell r="E596" t="str">
            <v>x</v>
          </cell>
          <cell r="F596" t="str">
            <v>KTY ĐH</v>
          </cell>
          <cell r="G596" t="str">
            <v>TĐ014</v>
          </cell>
          <cell r="I596" t="str">
            <v>Kỹ thuật y (hạng III)</v>
          </cell>
          <cell r="J596" t="str">
            <v>HS-VS</v>
          </cell>
          <cell r="K596" t="str">
            <v>KP030</v>
          </cell>
          <cell r="N596" t="str">
            <v>Viên chức</v>
          </cell>
          <cell r="O596">
            <v>32</v>
          </cell>
          <cell r="P596">
            <v>0</v>
          </cell>
          <cell r="Q596" t="str">
            <v>11/08/1993</v>
          </cell>
          <cell r="R596" t="str">
            <v>Nùng</v>
          </cell>
          <cell r="S596" t="str">
            <v>13/12/2017</v>
          </cell>
          <cell r="T596" t="str">
            <v>020193002184</v>
          </cell>
          <cell r="U596" t="str">
            <v>Khối Tân Lập, phường Đông Kinh.</v>
          </cell>
          <cell r="W596" t="str">
            <v>003400/LS-CCHN</v>
          </cell>
          <cell r="X596" t="str">
            <v>21/11/2018</v>
          </cell>
          <cell r="Z596" t="str">
            <v>Chuyên khoa xét nghiệm</v>
          </cell>
          <cell r="AB596" t="str">
            <v/>
          </cell>
          <cell r="AC596">
            <v>399395368</v>
          </cell>
          <cell r="AD596" t="str">
            <v>HĐ 13/12/2017; đỗ VC 20/5/2026;</v>
          </cell>
        </row>
        <row r="597">
          <cell r="B597" t="str">
            <v>BV0955</v>
          </cell>
          <cell r="C597" t="str">
            <v>Phan Thị Vân Anh</v>
          </cell>
          <cell r="D597" t="str">
            <v>BV0955</v>
          </cell>
          <cell r="E597" t="str">
            <v>x</v>
          </cell>
          <cell r="F597" t="str">
            <v>KTY ĐH</v>
          </cell>
          <cell r="G597" t="str">
            <v>TĐ014</v>
          </cell>
          <cell r="I597" t="str">
            <v>Kỹ thuật y (hạng III)</v>
          </cell>
          <cell r="J597" t="str">
            <v>HS-VS</v>
          </cell>
          <cell r="K597" t="str">
            <v>KP030</v>
          </cell>
          <cell r="N597" t="str">
            <v>Viên chức</v>
          </cell>
          <cell r="O597">
            <v>28</v>
          </cell>
          <cell r="P597">
            <v>0</v>
          </cell>
          <cell r="Q597">
            <v>35667</v>
          </cell>
          <cell r="R597" t="str">
            <v>Kinh</v>
          </cell>
          <cell r="S597" t="str">
            <v>23/10/2019</v>
          </cell>
          <cell r="T597" t="str">
            <v>020197009034</v>
          </cell>
          <cell r="U597" t="str">
            <v>Thôn Diễn, Hữu Liên, Tỉnh Lạng Sơn.</v>
          </cell>
          <cell r="W597" t="str">
            <v>004016/LS-CCHN</v>
          </cell>
          <cell r="X597" t="str">
            <v>21/10/2020</v>
          </cell>
          <cell r="Z597" t="str">
            <v>Chuyên khoa xét nghiệm</v>
          </cell>
          <cell r="AB597" t="str">
            <v/>
          </cell>
          <cell r="AD597" t="str">
            <v>Thử việc 23/10/2019, Viên chức từ 15/6/2026</v>
          </cell>
        </row>
        <row r="598">
          <cell r="B598" t="str">
            <v>BV1124</v>
          </cell>
          <cell r="C598" t="str">
            <v>Trần Thị Thanh Huyền</v>
          </cell>
          <cell r="D598" t="str">
            <v>BV1124</v>
          </cell>
          <cell r="E598" t="str">
            <v>x</v>
          </cell>
          <cell r="F598" t="str">
            <v>KTY ĐH</v>
          </cell>
          <cell r="G598" t="str">
            <v>TĐ014</v>
          </cell>
          <cell r="I598" t="str">
            <v>Kỹ thuật y (hạng III)</v>
          </cell>
          <cell r="J598" t="str">
            <v>HS-VS</v>
          </cell>
          <cell r="K598" t="str">
            <v>KP030</v>
          </cell>
          <cell r="N598" t="str">
            <v>Viên chức</v>
          </cell>
          <cell r="O598">
            <v>30</v>
          </cell>
          <cell r="P598">
            <v>0</v>
          </cell>
          <cell r="Q598">
            <v>34969</v>
          </cell>
          <cell r="R598" t="str">
            <v>Nùng</v>
          </cell>
          <cell r="S598">
            <v>44326</v>
          </cell>
          <cell r="T598" t="str">
            <v>020195001963</v>
          </cell>
          <cell r="U598" t="str">
            <v>Số 48, đường Ngô Thì Sỹ, phường Tam Thanh.</v>
          </cell>
          <cell r="V598">
            <v>44602</v>
          </cell>
          <cell r="W598" t="str">
            <v/>
          </cell>
          <cell r="X598" t="str">
            <v/>
          </cell>
          <cell r="Z598" t="str">
            <v/>
          </cell>
          <cell r="AB598" t="str">
            <v/>
          </cell>
          <cell r="AC598">
            <v>865197603</v>
          </cell>
          <cell r="AD598" t="str">
            <v>Hợp đồng từ 10/5/2021 (thử việc đến 31/5/2021), Viên chức từ 15/6/2026</v>
          </cell>
        </row>
        <row r="599">
          <cell r="B599" t="str">
            <v>BV0507</v>
          </cell>
          <cell r="C599" t="str">
            <v>Hoàng Thị Hường</v>
          </cell>
          <cell r="D599" t="str">
            <v>BV0507</v>
          </cell>
          <cell r="E599" t="str">
            <v>x</v>
          </cell>
          <cell r="F599" t="str">
            <v>KTY ĐH</v>
          </cell>
          <cell r="G599" t="str">
            <v>TĐ014</v>
          </cell>
          <cell r="H599" t="str">
            <v>Kỹ thuật y (hạng III)</v>
          </cell>
          <cell r="I599" t="str">
            <v>Kỹ thuật y (hạng III)</v>
          </cell>
          <cell r="J599" t="str">
            <v>HS-VS</v>
          </cell>
          <cell r="K599" t="str">
            <v>KP030</v>
          </cell>
          <cell r="L599" t="str">
            <v>Viên chức CMNV</v>
          </cell>
          <cell r="M599">
            <v>0</v>
          </cell>
          <cell r="N599" t="str">
            <v>Viên chức</v>
          </cell>
          <cell r="O599">
            <v>41</v>
          </cell>
          <cell r="P599">
            <v>0</v>
          </cell>
          <cell r="Q599">
            <v>30992</v>
          </cell>
          <cell r="R599" t="str">
            <v>Tày</v>
          </cell>
          <cell r="S599" t="str">
            <v>15/1/2010</v>
          </cell>
          <cell r="T599" t="str">
            <v>020184007464</v>
          </cell>
          <cell r="U599" t="str">
            <v>Khối Yên Thành, phường Đông Kinh, tỉnh Lạng Sơn</v>
          </cell>
          <cell r="W599" t="str">
            <v>001068/LS-CCHN</v>
          </cell>
          <cell r="X599" t="str">
            <v>04/11/2022</v>
          </cell>
          <cell r="Z599" t="str">
            <v>Chuyên khoa xét nghiệm</v>
          </cell>
          <cell r="AB599" t="str">
            <v/>
          </cell>
          <cell r="AC599" t="str">
            <v>0387356824</v>
          </cell>
        </row>
        <row r="600">
          <cell r="B600" t="str">
            <v>BV0509</v>
          </cell>
          <cell r="C600" t="str">
            <v>Hoàng Thị Mai Thành</v>
          </cell>
          <cell r="D600" t="str">
            <v>BV0509</v>
          </cell>
          <cell r="E600" t="str">
            <v>x</v>
          </cell>
          <cell r="F600" t="str">
            <v>KTY ĐH</v>
          </cell>
          <cell r="G600" t="str">
            <v>TĐ014</v>
          </cell>
          <cell r="H600" t="str">
            <v>Kỹ thuật y (hạng III)</v>
          </cell>
          <cell r="I600" t="str">
            <v>Kỹ thuật y (hạng III)</v>
          </cell>
          <cell r="J600" t="str">
            <v>HS-VS</v>
          </cell>
          <cell r="K600" t="str">
            <v>KP030</v>
          </cell>
          <cell r="L600" t="str">
            <v>Viên chức CMNV</v>
          </cell>
          <cell r="M600">
            <v>0</v>
          </cell>
          <cell r="N600" t="str">
            <v>Viên chức</v>
          </cell>
          <cell r="O600">
            <v>42</v>
          </cell>
          <cell r="P600">
            <v>0</v>
          </cell>
          <cell r="Q600">
            <v>30905</v>
          </cell>
          <cell r="R600" t="str">
            <v>Tày</v>
          </cell>
          <cell r="S600" t="str">
            <v>1/12/2008</v>
          </cell>
          <cell r="T600" t="str">
            <v>020184000826</v>
          </cell>
          <cell r="U600" t="str">
            <v>Số 3, tổ 2, khối 26, phường Kỳ Lừa.</v>
          </cell>
          <cell r="W600" t="str">
            <v>001072/LS-CCHN</v>
          </cell>
          <cell r="X600">
            <v>44869</v>
          </cell>
          <cell r="Z600" t="str">
            <v>Chuyên khoa xét nghiệm</v>
          </cell>
          <cell r="AB600" t="str">
            <v/>
          </cell>
          <cell r="AC600" t="str">
            <v>0983721208</v>
          </cell>
        </row>
        <row r="601">
          <cell r="B601" t="str">
            <v>BV0510</v>
          </cell>
          <cell r="C601" t="str">
            <v>Hoàng Thị Kim Hải</v>
          </cell>
          <cell r="D601" t="str">
            <v>BV0510</v>
          </cell>
          <cell r="E601" t="str">
            <v>x</v>
          </cell>
          <cell r="F601" t="str">
            <v>KTY CĐ</v>
          </cell>
          <cell r="G601" t="str">
            <v>TĐ015</v>
          </cell>
          <cell r="I601" t="str">
            <v>Kỹ thuật y (hạng IV)</v>
          </cell>
          <cell r="J601" t="str">
            <v>HS-VS</v>
          </cell>
          <cell r="K601" t="str">
            <v>KP030</v>
          </cell>
          <cell r="N601" t="str">
            <v>Viên chức</v>
          </cell>
          <cell r="O601">
            <v>33</v>
          </cell>
          <cell r="P601">
            <v>0</v>
          </cell>
          <cell r="Q601">
            <v>34032</v>
          </cell>
          <cell r="R601" t="str">
            <v>Nùng</v>
          </cell>
          <cell r="S601" t="str">
            <v>1/1/2015</v>
          </cell>
          <cell r="T601" t="str">
            <v>020193002196</v>
          </cell>
          <cell r="U601" t="str">
            <v>Xã Nhân Lý, tỉnh Lạng Sơn.</v>
          </cell>
          <cell r="W601" t="str">
            <v>000555/LS-CCHN</v>
          </cell>
          <cell r="X601" t="str">
            <v>13/10/2016</v>
          </cell>
          <cell r="Z601" t="str">
            <v>Kỹ thuật viên xét nghiệm</v>
          </cell>
          <cell r="AB601" t="str">
            <v/>
          </cell>
          <cell r="AC601" t="str">
            <v>0359158734</v>
          </cell>
          <cell r="AD601" t="str">
            <v>HĐ1/1/2015; Đỗ VC 20/5/2026</v>
          </cell>
        </row>
        <row r="602">
          <cell r="B602" t="str">
            <v>BV0498</v>
          </cell>
          <cell r="C602" t="str">
            <v>Nông Thị Hằng</v>
          </cell>
          <cell r="D602" t="str">
            <v>BV0498</v>
          </cell>
          <cell r="E602" t="str">
            <v>x</v>
          </cell>
          <cell r="F602" t="str">
            <v>KTY CĐ</v>
          </cell>
          <cell r="G602" t="str">
            <v>TĐ015</v>
          </cell>
          <cell r="H602" t="str">
            <v>Kỹ thuật y (hạng IV)</v>
          </cell>
          <cell r="I602" t="str">
            <v>Kỹ thuật y (hạng IV)</v>
          </cell>
          <cell r="J602" t="str">
            <v>HS-VS</v>
          </cell>
          <cell r="K602" t="str">
            <v>KP030</v>
          </cell>
          <cell r="L602" t="str">
            <v>Viên chức CMNV</v>
          </cell>
          <cell r="M602">
            <v>0</v>
          </cell>
          <cell r="N602" t="str">
            <v>Viên chức</v>
          </cell>
          <cell r="O602">
            <v>53</v>
          </cell>
          <cell r="P602">
            <v>0</v>
          </cell>
          <cell r="Q602">
            <v>26541</v>
          </cell>
          <cell r="R602" t="str">
            <v>Tày</v>
          </cell>
          <cell r="S602" t="str">
            <v>1/6/1996</v>
          </cell>
          <cell r="T602" t="str">
            <v>020172001990</v>
          </cell>
          <cell r="U602" t="str">
            <v>Số 18, tổ 2, Khối 13, ngõ 205, đường Nguyễn Du, phường Đông Kinh.</v>
          </cell>
          <cell r="W602" t="str">
            <v>001069/LS-CCHN</v>
          </cell>
          <cell r="X602" t="str">
            <v>24/06/2013</v>
          </cell>
          <cell r="Z602" t="str">
            <v>Theo quy định tại Thông tư số 23/2009/TT-BYT ngày 01/12/2009 của Bộ Y tế ban hành tiêu chuẩn nghiệp vụ các ngạch viên chức kỹ thuật y học</v>
          </cell>
          <cell r="AB602" t="str">
            <v/>
          </cell>
          <cell r="AC602" t="str">
            <v>0979160526</v>
          </cell>
        </row>
        <row r="603">
          <cell r="B603" t="str">
            <v>BV0501</v>
          </cell>
          <cell r="C603" t="str">
            <v>Đặng Thị Thảo</v>
          </cell>
          <cell r="D603" t="str">
            <v>BV0501</v>
          </cell>
          <cell r="E603" t="str">
            <v>x</v>
          </cell>
          <cell r="F603" t="str">
            <v>KTY CĐ</v>
          </cell>
          <cell r="G603" t="str">
            <v>TĐ015</v>
          </cell>
          <cell r="H603" t="str">
            <v>Kỹ thuật y (hạng IV)</v>
          </cell>
          <cell r="I603" t="str">
            <v>Kỹ thuật y (hạng IV)</v>
          </cell>
          <cell r="J603" t="str">
            <v>HS-VS</v>
          </cell>
          <cell r="K603" t="str">
            <v>KP030</v>
          </cell>
          <cell r="L603" t="str">
            <v>Viên chức CMNV</v>
          </cell>
          <cell r="M603">
            <v>0</v>
          </cell>
          <cell r="N603" t="str">
            <v>Viên chức</v>
          </cell>
          <cell r="O603">
            <v>34</v>
          </cell>
          <cell r="P603">
            <v>0</v>
          </cell>
          <cell r="Q603">
            <v>33638</v>
          </cell>
          <cell r="R603" t="str">
            <v>Tày</v>
          </cell>
          <cell r="S603" t="str">
            <v>01/11/2014</v>
          </cell>
          <cell r="T603" t="str">
            <v>020192000910</v>
          </cell>
          <cell r="U603" t="str">
            <v>Số 314, khối 18, đường Ngô Quyền, phường Đông Kinh.</v>
          </cell>
          <cell r="W603" t="str">
            <v>000556/LS-CCHN</v>
          </cell>
          <cell r="X603">
            <v>42656</v>
          </cell>
          <cell r="Z603" t="str">
            <v>Kỹ thuật viên xét nghiệm</v>
          </cell>
          <cell r="AB603" t="str">
            <v/>
          </cell>
          <cell r="AC603" t="str">
            <v>0374635865</v>
          </cell>
        </row>
        <row r="604">
          <cell r="B604" t="str">
            <v>BV1041</v>
          </cell>
          <cell r="C604" t="str">
            <v>Vi Thị Hiển</v>
          </cell>
          <cell r="D604" t="str">
            <v>BV1041</v>
          </cell>
          <cell r="E604" t="str">
            <v>x</v>
          </cell>
          <cell r="F604" t="str">
            <v>KTY CĐ</v>
          </cell>
          <cell r="G604" t="str">
            <v>TĐ015</v>
          </cell>
          <cell r="I604" t="str">
            <v>Kỹ thuật y (hạng IV)</v>
          </cell>
          <cell r="J604" t="str">
            <v>HS-VS</v>
          </cell>
          <cell r="K604" t="str">
            <v>KP030</v>
          </cell>
          <cell r="N604" t="str">
            <v>Viên chức</v>
          </cell>
          <cell r="O604">
            <v>32</v>
          </cell>
          <cell r="P604">
            <v>0</v>
          </cell>
          <cell r="Q604" t="str">
            <v>07/11/1993</v>
          </cell>
          <cell r="R604" t="str">
            <v>Tày</v>
          </cell>
          <cell r="S604" t="str">
            <v>13/7/2020</v>
          </cell>
          <cell r="T604" t="str">
            <v>020193002195</v>
          </cell>
          <cell r="U604">
            <v>0</v>
          </cell>
          <cell r="V604">
            <v>44299</v>
          </cell>
          <cell r="W604" t="str">
            <v>000665/LS-CCHN</v>
          </cell>
          <cell r="X604">
            <v>0</v>
          </cell>
          <cell r="Z604" t="str">
            <v>Kỹ thuật viên xét nghiệm</v>
          </cell>
          <cell r="AB604" t="str">
            <v/>
          </cell>
          <cell r="AC604" t="str">
            <v>0374635866</v>
          </cell>
          <cell r="AD604" t="str">
            <v>Thử việc từ 13/7/2020; đỗ VC 20/5/2026;</v>
          </cell>
        </row>
        <row r="605">
          <cell r="B605" t="str">
            <v>BV0827</v>
          </cell>
          <cell r="C605" t="str">
            <v>Hoàng Văn Lượng</v>
          </cell>
          <cell r="D605" t="str">
            <v>BV0827</v>
          </cell>
          <cell r="F605" t="str">
            <v>KTY CĐ</v>
          </cell>
          <cell r="G605" t="str">
            <v>TĐ015</v>
          </cell>
          <cell r="H605" t="str">
            <v>Kỹ thuật y (hạng IV)</v>
          </cell>
          <cell r="I605" t="str">
            <v>Kỹ thuật y (hạng IV)</v>
          </cell>
          <cell r="J605" t="str">
            <v>HS-VS</v>
          </cell>
          <cell r="K605" t="str">
            <v>KP030</v>
          </cell>
          <cell r="L605" t="str">
            <v>Viên chức CMNV</v>
          </cell>
          <cell r="M605">
            <v>0</v>
          </cell>
          <cell r="N605" t="str">
            <v>Viên chức</v>
          </cell>
          <cell r="O605">
            <v>34</v>
          </cell>
          <cell r="P605" t="str">
            <v>28/5/1992</v>
          </cell>
          <cell r="Q605">
            <v>0</v>
          </cell>
          <cell r="R605" t="str">
            <v>Nùng</v>
          </cell>
          <cell r="S605" t="str">
            <v>01/11/2014</v>
          </cell>
          <cell r="T605" t="str">
            <v>020092007266</v>
          </cell>
          <cell r="U605">
            <v>0</v>
          </cell>
          <cell r="W605" t="str">
            <v>000368/LS-CCHN</v>
          </cell>
          <cell r="X605" t="str">
            <v>01/06/2016</v>
          </cell>
          <cell r="Z605" t="str">
            <v>Kỹ thuật viên xét nghiệm</v>
          </cell>
          <cell r="AB605" t="str">
            <v/>
          </cell>
          <cell r="AC605" t="str">
            <v>0977421251</v>
          </cell>
          <cell r="AD605" t="str">
            <v>Chuyển đến 19/3/2018</v>
          </cell>
        </row>
        <row r="606">
          <cell r="B606" t="str">
            <v>BV0502</v>
          </cell>
          <cell r="C606" t="str">
            <v>Đỗ Thanh Thủy</v>
          </cell>
          <cell r="D606" t="str">
            <v>BV0502</v>
          </cell>
          <cell r="E606" t="str">
            <v>x</v>
          </cell>
          <cell r="F606" t="str">
            <v>KTY CĐ</v>
          </cell>
          <cell r="G606" t="str">
            <v>TĐ015</v>
          </cell>
          <cell r="H606" t="str">
            <v>Kỹ thuật y (hạng IV)</v>
          </cell>
          <cell r="I606" t="str">
            <v>Kỹ thuật y (hạng IV)</v>
          </cell>
          <cell r="J606" t="str">
            <v>HS-VS</v>
          </cell>
          <cell r="K606" t="str">
            <v>KP030</v>
          </cell>
          <cell r="L606" t="str">
            <v>Viên chức CMNV</v>
          </cell>
          <cell r="M606">
            <v>0</v>
          </cell>
          <cell r="N606" t="str">
            <v>Viên chức</v>
          </cell>
          <cell r="O606">
            <v>38</v>
          </cell>
          <cell r="P606">
            <v>0</v>
          </cell>
          <cell r="Q606">
            <v>32137</v>
          </cell>
          <cell r="R606" t="str">
            <v>Kinh</v>
          </cell>
          <cell r="S606" t="str">
            <v>10/6/2013</v>
          </cell>
          <cell r="T606" t="str">
            <v>024187021077</v>
          </cell>
          <cell r="U606" t="str">
            <v>Thôn Còn Nàn, xã Ba Sơn, tỉnh Lạng Sơn.</v>
          </cell>
          <cell r="W606" t="str">
            <v>001064/LS-CCHN</v>
          </cell>
          <cell r="X606" t="str">
            <v>24/06/2013</v>
          </cell>
          <cell r="Z606" t="str">
            <v>Theo quy định tại Thông tư số 23/2009/TT-BYT ngày 01/12/2009 của Bộ Y tế ban hành tiêu chuẩn nghiệp vụ các ngạch viên chức kỹ thuật y học</v>
          </cell>
          <cell r="AB606" t="str">
            <v/>
          </cell>
          <cell r="AC606">
            <v>972943262</v>
          </cell>
        </row>
        <row r="607">
          <cell r="B607" t="str">
            <v>BV0505</v>
          </cell>
          <cell r="C607" t="str">
            <v>Thi Thị Thuận</v>
          </cell>
          <cell r="D607" t="str">
            <v>BV0505</v>
          </cell>
          <cell r="E607" t="str">
            <v>x</v>
          </cell>
          <cell r="F607" t="str">
            <v>KTY TC</v>
          </cell>
          <cell r="G607" t="str">
            <v>TĐ016</v>
          </cell>
          <cell r="H607" t="str">
            <v>Kỹ thuật y (hạng IV)</v>
          </cell>
          <cell r="I607" t="str">
            <v>Kỹ thuật y (hạng IV)</v>
          </cell>
          <cell r="J607" t="str">
            <v>HS-VS</v>
          </cell>
          <cell r="K607" t="str">
            <v>KP030</v>
          </cell>
          <cell r="L607" t="str">
            <v>Viên chức CMNV</v>
          </cell>
          <cell r="M607">
            <v>0</v>
          </cell>
          <cell r="N607" t="str">
            <v>Viên chức</v>
          </cell>
          <cell r="O607">
            <v>56</v>
          </cell>
          <cell r="P607">
            <v>0</v>
          </cell>
          <cell r="Q607">
            <v>25486</v>
          </cell>
          <cell r="R607" t="str">
            <v>Tày</v>
          </cell>
          <cell r="S607" t="str">
            <v>7/5/1990</v>
          </cell>
          <cell r="T607" t="str">
            <v>020169001841</v>
          </cell>
          <cell r="U607">
            <v>0</v>
          </cell>
          <cell r="W607" t="str">
            <v>000174/LS-CCHN</v>
          </cell>
          <cell r="X607" t="str">
            <v>01/08/2012</v>
          </cell>
          <cell r="Z607" t="str">
            <v>Thực hiện kỹ thuật chuyên môn xét nghiệm</v>
          </cell>
          <cell r="AB607" t="str">
            <v/>
          </cell>
          <cell r="AC607" t="str">
            <v>0364527693</v>
          </cell>
        </row>
        <row r="608">
          <cell r="B608" t="str">
            <v>BV0452</v>
          </cell>
          <cell r="C608" t="str">
            <v>Vi Thị Đông</v>
          </cell>
          <cell r="D608" t="str">
            <v>BV0452</v>
          </cell>
          <cell r="E608" t="str">
            <v>x</v>
          </cell>
          <cell r="F608" t="str">
            <v>Hộ lý</v>
          </cell>
          <cell r="G608" t="str">
            <v>TĐ047</v>
          </cell>
          <cell r="I608" t="str">
            <v>Hộ lý</v>
          </cell>
          <cell r="J608" t="str">
            <v>HS-VS</v>
          </cell>
          <cell r="K608" t="str">
            <v>KP030</v>
          </cell>
          <cell r="M608">
            <v>0</v>
          </cell>
          <cell r="N608" t="str">
            <v>HĐ theo NĐ161</v>
          </cell>
          <cell r="O608">
            <v>53</v>
          </cell>
          <cell r="P608">
            <v>0</v>
          </cell>
          <cell r="Q608">
            <v>26725</v>
          </cell>
          <cell r="R608" t="str">
            <v>Tày</v>
          </cell>
          <cell r="S608" t="str">
            <v>10/5/1999</v>
          </cell>
          <cell r="T608" t="str">
            <v>020173002029</v>
          </cell>
          <cell r="U608" t="str">
            <v>Số 9B, ngõ 109, đường Nguyễn Du, phường Đông Kinh.</v>
          </cell>
          <cell r="W608" t="str">
            <v/>
          </cell>
          <cell r="X608" t="str">
            <v/>
          </cell>
          <cell r="Z608" t="str">
            <v/>
          </cell>
          <cell r="AB608" t="str">
            <v/>
          </cell>
          <cell r="AC608" t="str">
            <v>0355284728</v>
          </cell>
          <cell r="AD608" t="str">
            <v>Chuyển từ HĐ68</v>
          </cell>
        </row>
        <row r="609">
          <cell r="B609" t="str">
            <v>BV0538</v>
          </cell>
          <cell r="C609" t="str">
            <v>Nguyễn Thu Trang</v>
          </cell>
          <cell r="D609" t="str">
            <v>BV0538</v>
          </cell>
          <cell r="E609" t="str">
            <v>x</v>
          </cell>
          <cell r="F609" t="str">
            <v>BSCKI</v>
          </cell>
          <cell r="G609" t="str">
            <v>TĐ003</v>
          </cell>
          <cell r="H609" t="str">
            <v>Bác sĩ chính (hạng II)</v>
          </cell>
          <cell r="I609" t="str">
            <v>Bác sĩ chính (hạng II)</v>
          </cell>
          <cell r="J609" t="str">
            <v>TDCN</v>
          </cell>
          <cell r="K609" t="str">
            <v>KP033</v>
          </cell>
          <cell r="L609" t="str">
            <v>Lãnh đạo khoa, phòng</v>
          </cell>
          <cell r="M609" t="str">
            <v>Phó trưởng khoa</v>
          </cell>
          <cell r="N609" t="str">
            <v>Viên chức</v>
          </cell>
          <cell r="O609">
            <v>38</v>
          </cell>
          <cell r="P609">
            <v>0</v>
          </cell>
          <cell r="Q609">
            <v>32061</v>
          </cell>
          <cell r="R609" t="str">
            <v>Kinh</v>
          </cell>
          <cell r="S609" t="str">
            <v>10/6/2013</v>
          </cell>
          <cell r="T609" t="str">
            <v>020187000669</v>
          </cell>
          <cell r="U609" t="str">
            <v>Số 74 - Bến bắc - P. Tam Thanh - Tỉnh Lạng Sơn</v>
          </cell>
          <cell r="V609">
            <v>41800</v>
          </cell>
          <cell r="W609" t="str">
            <v>003064/LS-CCHN</v>
          </cell>
          <cell r="X609" t="str">
            <v>11/01/2023</v>
          </cell>
          <cell r="Z609" t="str">
            <v>Khám bệnh, chữa bệnh Nội khoa</v>
          </cell>
          <cell r="AB609" t="str">
            <v/>
          </cell>
          <cell r="AC609" t="str">
            <v>0979343858</v>
          </cell>
        </row>
        <row r="610">
          <cell r="B610" t="str">
            <v>BV0537</v>
          </cell>
          <cell r="C610" t="str">
            <v>Đoàn Văn Sang</v>
          </cell>
          <cell r="D610" t="str">
            <v>BV0537</v>
          </cell>
          <cell r="F610" t="str">
            <v>Thạc sỹ</v>
          </cell>
          <cell r="G610" t="str">
            <v>TĐ004</v>
          </cell>
          <cell r="H610" t="str">
            <v>Bác sĩ chính (hạng II)</v>
          </cell>
          <cell r="I610" t="str">
            <v>Bác sĩ chính (hạng II)</v>
          </cell>
          <cell r="J610" t="str">
            <v>TDCN</v>
          </cell>
          <cell r="K610" t="str">
            <v>KP033</v>
          </cell>
          <cell r="L610" t="str">
            <v>Lãnh đạo khoa, phòng</v>
          </cell>
          <cell r="M610" t="str">
            <v>Trưởng khoa</v>
          </cell>
          <cell r="N610" t="str">
            <v>Viên chức</v>
          </cell>
          <cell r="O610">
            <v>47</v>
          </cell>
          <cell r="P610">
            <v>28985</v>
          </cell>
          <cell r="Q610">
            <v>0</v>
          </cell>
          <cell r="R610" t="str">
            <v>Kinh</v>
          </cell>
          <cell r="S610" t="str">
            <v>1/1/2003</v>
          </cell>
          <cell r="T610" t="str">
            <v>036079030081</v>
          </cell>
          <cell r="U610" t="str">
            <v>D5/103, khối 8, phường Đông Kinh, tỉnh Lạng Sơn</v>
          </cell>
          <cell r="W610" t="str">
            <v>001088/LS-CCHN</v>
          </cell>
          <cell r="X610" t="str">
            <v>11/01/2023</v>
          </cell>
          <cell r="Z610" t="str">
            <v>Khám bệnh, chữa bệnh Nội khoa</v>
          </cell>
          <cell r="AB610" t="str">
            <v/>
          </cell>
          <cell r="AC610" t="str">
            <v>0949219581</v>
          </cell>
        </row>
        <row r="611">
          <cell r="B611" t="str">
            <v>BV0943</v>
          </cell>
          <cell r="C611" t="str">
            <v>Hoàng Thị Mỹ Linh</v>
          </cell>
          <cell r="D611" t="str">
            <v>BV0943</v>
          </cell>
          <cell r="E611" t="str">
            <v>x</v>
          </cell>
          <cell r="F611" t="str">
            <v>Bác sĩ</v>
          </cell>
          <cell r="G611" t="str">
            <v>TĐ005</v>
          </cell>
          <cell r="I611" t="str">
            <v>Bác sĩ (hạng III)</v>
          </cell>
          <cell r="J611" t="str">
            <v>TDCN</v>
          </cell>
          <cell r="K611" t="str">
            <v>KP033</v>
          </cell>
          <cell r="N611" t="str">
            <v>HĐ có thời hạn</v>
          </cell>
          <cell r="O611">
            <v>32</v>
          </cell>
          <cell r="P611">
            <v>0</v>
          </cell>
          <cell r="Q611" t="str">
            <v>01/9/1993</v>
          </cell>
          <cell r="R611" t="str">
            <v>Tày</v>
          </cell>
          <cell r="S611" t="str">
            <v>26/8/2019</v>
          </cell>
          <cell r="T611" t="str">
            <v>008193000997</v>
          </cell>
          <cell r="U611" t="str">
            <v>Khối Hoàng Thượng, P. Tam Thanh, Tỉnh Lạng Sơn</v>
          </cell>
          <cell r="W611" t="str">
            <v>004297/LS-CCHN</v>
          </cell>
          <cell r="X611" t="str">
            <v>20/07/2021</v>
          </cell>
          <cell r="Z611" t="str">
            <v>Khám bệnh chữa bệnh Nội khoa</v>
          </cell>
          <cell r="AB611" t="str">
            <v/>
          </cell>
          <cell r="AC611" t="str">
            <v>0366176124</v>
          </cell>
          <cell r="AD611" t="str">
            <v>Thử việc 26/8/2019</v>
          </cell>
        </row>
        <row r="612">
          <cell r="B612" t="str">
            <v>BV0836</v>
          </cell>
          <cell r="C612" t="str">
            <v>Nguyễn Ngọc Linh</v>
          </cell>
          <cell r="D612" t="str">
            <v>BV0836</v>
          </cell>
          <cell r="F612" t="str">
            <v>Bác sĩ</v>
          </cell>
          <cell r="G612" t="str">
            <v>TĐ005</v>
          </cell>
          <cell r="H612" t="str">
            <v>Bác sĩ (hạng III)</v>
          </cell>
          <cell r="I612" t="str">
            <v>Bác sĩ (hạng III)</v>
          </cell>
          <cell r="J612" t="str">
            <v>TDCN</v>
          </cell>
          <cell r="K612" t="str">
            <v>KP033</v>
          </cell>
          <cell r="L612" t="str">
            <v>Viên chức CMNV</v>
          </cell>
          <cell r="M612">
            <v>0</v>
          </cell>
          <cell r="N612" t="str">
            <v>Viên chức</v>
          </cell>
          <cell r="O612">
            <v>36</v>
          </cell>
          <cell r="P612" t="str">
            <v>04/11/1989</v>
          </cell>
          <cell r="Q612">
            <v>0</v>
          </cell>
          <cell r="R612" t="str">
            <v>Tày</v>
          </cell>
          <cell r="S612" t="str">
            <v>20/3/2018</v>
          </cell>
          <cell r="T612" t="str">
            <v>020089009421</v>
          </cell>
          <cell r="U612" t="str">
            <v>Khối Trung Cấp, P. Đông Kinh, Tỉnh Lạng Sơn</v>
          </cell>
          <cell r="W612" t="str">
            <v>003574/LS-CCHN</v>
          </cell>
          <cell r="X612" t="str">
            <v>20/09/2019</v>
          </cell>
          <cell r="Z612" t="str">
            <v>Khám bệnh, chữa bệnh Nội khoa</v>
          </cell>
          <cell r="AB612" t="str">
            <v/>
          </cell>
          <cell r="AC612">
            <v>965399858</v>
          </cell>
          <cell r="AD612" t="str">
            <v>BC 20/3/2018</v>
          </cell>
        </row>
        <row r="613">
          <cell r="B613" t="str">
            <v>BV0024</v>
          </cell>
          <cell r="C613" t="str">
            <v>Mã Thị Thủy</v>
          </cell>
          <cell r="D613" t="str">
            <v>BV0024</v>
          </cell>
          <cell r="E613" t="str">
            <v>x</v>
          </cell>
          <cell r="F613" t="str">
            <v>Điều dưỡng ĐH</v>
          </cell>
          <cell r="G613" t="str">
            <v>TĐ011</v>
          </cell>
          <cell r="H613" t="str">
            <v>Điều dưỡng (hạng III)</v>
          </cell>
          <cell r="I613" t="str">
            <v>Điều dưỡng (hạng III)</v>
          </cell>
          <cell r="J613" t="str">
            <v>TDCN</v>
          </cell>
          <cell r="K613" t="str">
            <v>KP033</v>
          </cell>
          <cell r="L613" t="str">
            <v>Lãnh đạo khoa, phòng</v>
          </cell>
          <cell r="M613" t="str">
            <v>Điều dưỡng trưởng</v>
          </cell>
          <cell r="N613" t="str">
            <v>Viên chức</v>
          </cell>
          <cell r="O613">
            <v>38</v>
          </cell>
          <cell r="P613">
            <v>0</v>
          </cell>
          <cell r="Q613">
            <v>32194</v>
          </cell>
          <cell r="R613" t="str">
            <v>Tày</v>
          </cell>
          <cell r="S613" t="str">
            <v>15/1/2010</v>
          </cell>
          <cell r="T613" t="str">
            <v>020188006197</v>
          </cell>
          <cell r="U613" t="str">
            <v>Số nhà 06/37/128, Mỹ Sơn, khối 9. P. Đông Kinh, tỉnh Lạng Sơn</v>
          </cell>
          <cell r="W613" t="str">
            <v>000750/LS-CCHN</v>
          </cell>
          <cell r="X613" t="str">
            <v>11/01/2023</v>
          </cell>
          <cell r="Z613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613" t="str">
            <v/>
          </cell>
          <cell r="AC613" t="str">
            <v>0812480555</v>
          </cell>
        </row>
        <row r="614">
          <cell r="B614" t="str">
            <v>BV0540</v>
          </cell>
          <cell r="C614" t="str">
            <v>Hoàng Thị Hiển</v>
          </cell>
          <cell r="D614" t="str">
            <v>BV0540</v>
          </cell>
          <cell r="E614" t="str">
            <v>x</v>
          </cell>
          <cell r="F614" t="str">
            <v>Điều dưỡng ĐH</v>
          </cell>
          <cell r="G614" t="str">
            <v>TĐ011</v>
          </cell>
          <cell r="H614" t="str">
            <v>Điều dưỡng (hạng III)</v>
          </cell>
          <cell r="I614" t="str">
            <v>Điều dưỡng (hạng III)</v>
          </cell>
          <cell r="J614" t="str">
            <v>TDCN</v>
          </cell>
          <cell r="K614" t="str">
            <v>KP033</v>
          </cell>
          <cell r="L614" t="str">
            <v>Viên chức CMNV</v>
          </cell>
          <cell r="M614">
            <v>0</v>
          </cell>
          <cell r="N614" t="str">
            <v>Viên chức</v>
          </cell>
          <cell r="O614">
            <v>52</v>
          </cell>
          <cell r="P614">
            <v>0</v>
          </cell>
          <cell r="Q614">
            <v>26969</v>
          </cell>
          <cell r="R614" t="str">
            <v>Tày</v>
          </cell>
          <cell r="S614" t="str">
            <v>19/10/1994</v>
          </cell>
          <cell r="T614" t="str">
            <v>020173006195</v>
          </cell>
          <cell r="U614" t="str">
            <v>Số nhà 36, đường Nguyễn Thái Học, Khối Cửa Đông, P. Lương Văn Tri, tỉnh Lạng Sơn</v>
          </cell>
          <cell r="W614" t="str">
            <v>001092/LS-CCHN</v>
          </cell>
          <cell r="X614" t="str">
            <v>24/06/2013</v>
          </cell>
          <cell r="Z614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614" t="str">
            <v/>
          </cell>
          <cell r="AC614" t="str">
            <v>0985812888</v>
          </cell>
        </row>
        <row r="615">
          <cell r="B615" t="str">
            <v>BV0234</v>
          </cell>
          <cell r="C615" t="str">
            <v>Chu Văn Huân</v>
          </cell>
          <cell r="D615" t="str">
            <v>BV0234</v>
          </cell>
          <cell r="F615" t="str">
            <v>Điều dưỡng CĐ</v>
          </cell>
          <cell r="G615" t="str">
            <v>TĐ012</v>
          </cell>
          <cell r="H615" t="str">
            <v>Điều dưỡng (hạng IV)</v>
          </cell>
          <cell r="I615" t="str">
            <v>Điều dưỡng (hạng IV)</v>
          </cell>
          <cell r="J615" t="str">
            <v>TDCN</v>
          </cell>
          <cell r="K615" t="str">
            <v>KP033</v>
          </cell>
          <cell r="L615" t="str">
            <v>Viên chức CMNV</v>
          </cell>
          <cell r="M615">
            <v>0</v>
          </cell>
          <cell r="N615" t="str">
            <v>Viên chức</v>
          </cell>
          <cell r="O615">
            <v>41</v>
          </cell>
          <cell r="P615">
            <v>31188</v>
          </cell>
          <cell r="Q615">
            <v>0</v>
          </cell>
          <cell r="R615" t="str">
            <v>Nùng</v>
          </cell>
          <cell r="S615" t="str">
            <v>14/1/2011</v>
          </cell>
          <cell r="T615" t="str">
            <v>020085000537</v>
          </cell>
          <cell r="U615" t="str">
            <v>Số nhà 120, khối 23, P. Kỳ Lừa, tỉnh Lạng Sơn</v>
          </cell>
          <cell r="W615" t="str">
            <v>000949/LS-CCHN</v>
          </cell>
          <cell r="X615" t="str">
            <v>11/01/2023</v>
          </cell>
          <cell r="Z61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615" t="str">
            <v/>
          </cell>
          <cell r="AC615">
            <v>987812889</v>
          </cell>
        </row>
        <row r="616">
          <cell r="B616" t="str">
            <v>BV0541</v>
          </cell>
          <cell r="C616" t="str">
            <v>Nông Thị Kim Hoa</v>
          </cell>
          <cell r="D616" t="str">
            <v>BV0541</v>
          </cell>
          <cell r="E616" t="str">
            <v>x</v>
          </cell>
          <cell r="F616" t="str">
            <v>Điều dưỡng CĐ</v>
          </cell>
          <cell r="G616" t="str">
            <v>TĐ012</v>
          </cell>
          <cell r="H616" t="str">
            <v>Điều dưỡng (hạng IV)</v>
          </cell>
          <cell r="I616" t="str">
            <v>Điều dưỡng (hạng IV)</v>
          </cell>
          <cell r="J616" t="str">
            <v>TDCN</v>
          </cell>
          <cell r="K616" t="str">
            <v>KP033</v>
          </cell>
          <cell r="L616" t="str">
            <v>Viên chức CMNV</v>
          </cell>
          <cell r="M616">
            <v>0</v>
          </cell>
          <cell r="N616" t="str">
            <v>Viên chức</v>
          </cell>
          <cell r="O616">
            <v>52</v>
          </cell>
          <cell r="P616">
            <v>0</v>
          </cell>
          <cell r="Q616">
            <v>27208</v>
          </cell>
          <cell r="R616" t="str">
            <v>Tày</v>
          </cell>
          <cell r="S616" t="str">
            <v>1/11/1994</v>
          </cell>
          <cell r="T616" t="str">
            <v>020174007079</v>
          </cell>
          <cell r="U616" t="str">
            <v>số 5 dãy B3 tập thể xi măng, khối Tân lập, phường Đông Kinh, Tỉnh lạng Sơn</v>
          </cell>
          <cell r="W616" t="str">
            <v>000824/LS-CCHN</v>
          </cell>
          <cell r="X616" t="str">
            <v>24/06/2013</v>
          </cell>
          <cell r="Z616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616" t="str">
            <v/>
          </cell>
          <cell r="AC616" t="str">
            <v>0915998927</v>
          </cell>
        </row>
        <row r="617">
          <cell r="B617" t="str">
            <v>BV0545</v>
          </cell>
          <cell r="C617" t="str">
            <v>Lã Bích Hiệp</v>
          </cell>
          <cell r="D617" t="str">
            <v>BV0545</v>
          </cell>
          <cell r="E617" t="str">
            <v>x</v>
          </cell>
          <cell r="F617" t="str">
            <v>Điều dưỡng CĐ</v>
          </cell>
          <cell r="G617" t="str">
            <v>TĐ012</v>
          </cell>
          <cell r="H617" t="str">
            <v>Điều dưỡng (hạng IV)</v>
          </cell>
          <cell r="I617" t="str">
            <v>Điều dưỡng (hạng IV)</v>
          </cell>
          <cell r="J617" t="str">
            <v>TDCN</v>
          </cell>
          <cell r="K617" t="str">
            <v>KP033</v>
          </cell>
          <cell r="L617" t="str">
            <v>Viên chức CMNV</v>
          </cell>
          <cell r="M617">
            <v>0</v>
          </cell>
          <cell r="N617" t="str">
            <v>Viên chức</v>
          </cell>
          <cell r="O617">
            <v>43</v>
          </cell>
          <cell r="P617">
            <v>0</v>
          </cell>
          <cell r="Q617">
            <v>30522</v>
          </cell>
          <cell r="R617" t="str">
            <v>Tày</v>
          </cell>
          <cell r="S617" t="str">
            <v>8/12/2008</v>
          </cell>
          <cell r="T617" t="str">
            <v>020183001555</v>
          </cell>
          <cell r="U617" t="str">
            <v xml:space="preserve">Số 40, ngõ 15, khối 27, P. Kỳ Lừa </v>
          </cell>
          <cell r="W617" t="str">
            <v>001095/LS-CCHN</v>
          </cell>
          <cell r="X617" t="str">
            <v>11/01/2023</v>
          </cell>
          <cell r="Z617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617" t="str">
            <v/>
          </cell>
          <cell r="AC617" t="str">
            <v>0949285655</v>
          </cell>
        </row>
        <row r="618">
          <cell r="B618" t="str">
            <v>BV0542</v>
          </cell>
          <cell r="C618" t="str">
            <v>Hoàng Thanh Hương</v>
          </cell>
          <cell r="D618" t="str">
            <v>BV0542</v>
          </cell>
          <cell r="E618" t="str">
            <v>x</v>
          </cell>
          <cell r="F618" t="str">
            <v>Điều dưỡng CĐ</v>
          </cell>
          <cell r="G618" t="str">
            <v>TĐ012</v>
          </cell>
          <cell r="H618" t="str">
            <v>Điều dưỡng (hạng IV)</v>
          </cell>
          <cell r="I618" t="str">
            <v>Điều dưỡng (hạng IV)</v>
          </cell>
          <cell r="J618" t="str">
            <v>TDCN</v>
          </cell>
          <cell r="K618" t="str">
            <v>KP033</v>
          </cell>
          <cell r="L618" t="str">
            <v>Viên chức CMNV</v>
          </cell>
          <cell r="M618">
            <v>0</v>
          </cell>
          <cell r="N618" t="str">
            <v>Viên chức</v>
          </cell>
          <cell r="O618">
            <v>51</v>
          </cell>
          <cell r="P618">
            <v>0</v>
          </cell>
          <cell r="Q618">
            <v>27342</v>
          </cell>
          <cell r="R618" t="str">
            <v>Tày</v>
          </cell>
          <cell r="S618" t="str">
            <v>1/11/1994</v>
          </cell>
          <cell r="T618" t="str">
            <v>020174004487</v>
          </cell>
          <cell r="U618" t="str">
            <v>390, Trần Đăng Ninh, Khối 11, P. Kỳ Lừa, tỉnh Lạng Sơn</v>
          </cell>
          <cell r="W618" t="str">
            <v>001091/LS-CCHN</v>
          </cell>
          <cell r="X618" t="str">
            <v>11/01/2023</v>
          </cell>
          <cell r="Z61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618" t="str">
            <v/>
          </cell>
          <cell r="AC618" t="str">
            <v>0949223729</v>
          </cell>
        </row>
        <row r="619">
          <cell r="B619" t="str">
            <v>BV0543</v>
          </cell>
          <cell r="C619" t="str">
            <v>Lăng Kim Liên</v>
          </cell>
          <cell r="D619" t="str">
            <v>BV0543</v>
          </cell>
          <cell r="E619" t="str">
            <v>x</v>
          </cell>
          <cell r="F619" t="str">
            <v>Điều dưỡng CĐ</v>
          </cell>
          <cell r="G619" t="str">
            <v>TĐ012</v>
          </cell>
          <cell r="H619" t="str">
            <v>Điều dưỡng (hạng IV)</v>
          </cell>
          <cell r="I619" t="str">
            <v>Điều dưỡng (hạng IV)</v>
          </cell>
          <cell r="J619" t="str">
            <v>TDCN</v>
          </cell>
          <cell r="K619" t="str">
            <v>KP033</v>
          </cell>
          <cell r="L619" t="str">
            <v>Viên chức CMNV</v>
          </cell>
          <cell r="M619">
            <v>0</v>
          </cell>
          <cell r="N619" t="str">
            <v>Viên chức</v>
          </cell>
          <cell r="O619">
            <v>54</v>
          </cell>
          <cell r="P619">
            <v>0</v>
          </cell>
          <cell r="Q619">
            <v>26345</v>
          </cell>
          <cell r="R619" t="str">
            <v>Nùng</v>
          </cell>
          <cell r="S619" t="str">
            <v>11/10/1995</v>
          </cell>
          <cell r="T619" t="str">
            <v>020172000383</v>
          </cell>
          <cell r="U619" t="str">
            <v>Số 5/80 Tô Thị, khối 7, P. Tam Thanh, tỉnh Lạng Sơn</v>
          </cell>
          <cell r="W619" t="str">
            <v>001093/LS-CCHN</v>
          </cell>
          <cell r="X619" t="str">
            <v>11/01/2023</v>
          </cell>
          <cell r="Z61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619" t="str">
            <v/>
          </cell>
          <cell r="AC619" t="str">
            <v>0916989366</v>
          </cell>
        </row>
        <row r="620">
          <cell r="B620" t="str">
            <v>BV0916</v>
          </cell>
          <cell r="C620" t="str">
            <v>Hà Kim Thoa</v>
          </cell>
          <cell r="D620" t="str">
            <v>BV0916</v>
          </cell>
          <cell r="E620" t="str">
            <v>x</v>
          </cell>
          <cell r="F620" t="str">
            <v>Điều dưỡng CĐ</v>
          </cell>
          <cell r="G620" t="str">
            <v>TĐ012</v>
          </cell>
          <cell r="I620" t="str">
            <v>Điều dưỡng (hạng IV)</v>
          </cell>
          <cell r="J620" t="str">
            <v>TDCN</v>
          </cell>
          <cell r="K620" t="str">
            <v>KP033</v>
          </cell>
          <cell r="N620" t="str">
            <v>Viên chức</v>
          </cell>
          <cell r="O620">
            <v>33</v>
          </cell>
          <cell r="P620">
            <v>0</v>
          </cell>
          <cell r="Q620" t="str">
            <v>12/03/1993</v>
          </cell>
          <cell r="R620" t="str">
            <v>Tày</v>
          </cell>
          <cell r="S620" t="str">
            <v>17/4/2019</v>
          </cell>
          <cell r="T620" t="str">
            <v>020193001390</v>
          </cell>
          <cell r="U620" t="str">
            <v>Khối Hoàng Thượng, P. Tam Thanh, Tỉnh Lạng Sơn</v>
          </cell>
          <cell r="W620" t="str">
            <v>003723/LS-CCHN</v>
          </cell>
          <cell r="X620" t="str">
            <v>22/05/2020</v>
          </cell>
          <cell r="Z62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20" t="str">
            <v/>
          </cell>
          <cell r="AC620">
            <v>972247976</v>
          </cell>
          <cell r="AD620" t="str">
            <v>Thử việc 17/4/2019-31/5/2019, Viên chức từ 15/6/2026</v>
          </cell>
        </row>
        <row r="621">
          <cell r="B621" t="str">
            <v>BV0548</v>
          </cell>
          <cell r="C621" t="str">
            <v>Triệu Văn Tuân</v>
          </cell>
          <cell r="D621" t="str">
            <v>BV0548</v>
          </cell>
          <cell r="F621" t="str">
            <v>Điều dưỡng CĐ</v>
          </cell>
          <cell r="G621" t="str">
            <v>TĐ012</v>
          </cell>
          <cell r="H621" t="str">
            <v>Điều dưỡng (hạng IV)</v>
          </cell>
          <cell r="I621" t="str">
            <v>Điều dưỡng (hạng IV)</v>
          </cell>
          <cell r="J621" t="str">
            <v>TDCN</v>
          </cell>
          <cell r="K621" t="str">
            <v>KP033</v>
          </cell>
          <cell r="L621" t="str">
            <v>Viên chức CMNV</v>
          </cell>
          <cell r="M621">
            <v>0</v>
          </cell>
          <cell r="N621" t="str">
            <v>Viên chức</v>
          </cell>
          <cell r="O621">
            <v>45</v>
          </cell>
          <cell r="P621">
            <v>29587</v>
          </cell>
          <cell r="Q621">
            <v>0</v>
          </cell>
          <cell r="R621" t="str">
            <v>Nùng</v>
          </cell>
          <cell r="S621" t="str">
            <v>17/11/2003</v>
          </cell>
          <cell r="T621" t="str">
            <v>020081000254</v>
          </cell>
          <cell r="U621" t="str">
            <v>Số nhà 101/19, Thác Trà, khối Trần Quang Khải, p. Lương Văn Tri, tỉnh Lạng Sơn</v>
          </cell>
          <cell r="W621" t="str">
            <v>000775/LS-CCHN</v>
          </cell>
          <cell r="X621" t="str">
            <v>11/01/2023</v>
          </cell>
          <cell r="Z621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621" t="str">
            <v/>
          </cell>
          <cell r="AC621" t="str">
            <v>0915492388</v>
          </cell>
        </row>
        <row r="622">
          <cell r="B622" t="str">
            <v>BV0064</v>
          </cell>
          <cell r="C622" t="str">
            <v>Dương Thị Cương</v>
          </cell>
          <cell r="D622" t="str">
            <v>BV0064</v>
          </cell>
          <cell r="E622" t="str">
            <v>x</v>
          </cell>
          <cell r="F622" t="str">
            <v>Điều dưỡng CĐ</v>
          </cell>
          <cell r="G622" t="str">
            <v>TĐ012</v>
          </cell>
          <cell r="H622" t="str">
            <v>Điều dưỡng (hạng IV)</v>
          </cell>
          <cell r="I622" t="str">
            <v>Điều dưỡng (hạng IV)</v>
          </cell>
          <cell r="J622" t="str">
            <v>TDCN</v>
          </cell>
          <cell r="K622" t="str">
            <v>KP033</v>
          </cell>
          <cell r="L622" t="str">
            <v>Viên chức CMNV</v>
          </cell>
          <cell r="M622">
            <v>0</v>
          </cell>
          <cell r="N622" t="str">
            <v>Viên chức</v>
          </cell>
          <cell r="O622">
            <v>39</v>
          </cell>
          <cell r="P622">
            <v>0</v>
          </cell>
          <cell r="Q622">
            <v>31855</v>
          </cell>
          <cell r="R622" t="str">
            <v>Tày</v>
          </cell>
          <cell r="S622" t="str">
            <v>15/1/2010</v>
          </cell>
          <cell r="T622" t="str">
            <v>020187002807</v>
          </cell>
          <cell r="U622" t="str">
            <v>Số 6, Cao Thắng, P. Kỳ Lừa, tỉnh Lạng Sơn</v>
          </cell>
          <cell r="W622" t="str">
            <v>000787/LS-CCHN</v>
          </cell>
          <cell r="X622" t="str">
            <v>11/01/2023</v>
          </cell>
          <cell r="Z622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622" t="str">
            <v/>
          </cell>
          <cell r="AC622">
            <v>917325388</v>
          </cell>
        </row>
        <row r="623">
          <cell r="B623" t="str">
            <v>BV0562</v>
          </cell>
          <cell r="C623" t="str">
            <v>Hoàng Thị Hồng Nhung</v>
          </cell>
          <cell r="D623" t="str">
            <v>BV0562</v>
          </cell>
          <cell r="E623" t="str">
            <v>x</v>
          </cell>
          <cell r="F623" t="str">
            <v>Hộ lý</v>
          </cell>
          <cell r="G623" t="str">
            <v>TĐ047</v>
          </cell>
          <cell r="I623" t="str">
            <v>Hộ lý</v>
          </cell>
          <cell r="J623" t="str">
            <v>TDCN</v>
          </cell>
          <cell r="K623" t="str">
            <v>KP033</v>
          </cell>
          <cell r="M623">
            <v>0</v>
          </cell>
          <cell r="N623" t="str">
            <v>HĐ theo NĐ161</v>
          </cell>
          <cell r="O623">
            <v>54</v>
          </cell>
          <cell r="P623">
            <v>0</v>
          </cell>
          <cell r="Q623">
            <v>26331</v>
          </cell>
          <cell r="R623" t="str">
            <v>Tày</v>
          </cell>
          <cell r="S623" t="str">
            <v>10/5/1999</v>
          </cell>
          <cell r="T623" t="str">
            <v>020172008378</v>
          </cell>
          <cell r="U623" t="str">
            <v>198, Tô Thi, P. Tam Thanh</v>
          </cell>
          <cell r="W623" t="str">
            <v/>
          </cell>
          <cell r="X623" t="str">
            <v/>
          </cell>
          <cell r="Z623" t="str">
            <v/>
          </cell>
          <cell r="AB623" t="str">
            <v/>
          </cell>
          <cell r="AC623" t="str">
            <v>0985063588</v>
          </cell>
          <cell r="AD623" t="str">
            <v>Chuyển từ HĐ68</v>
          </cell>
        </row>
        <row r="624">
          <cell r="B624" t="str">
            <v>BV0514</v>
          </cell>
          <cell r="C624" t="str">
            <v>Lý Kiên Trung</v>
          </cell>
          <cell r="D624" t="str">
            <v>BV0514</v>
          </cell>
          <cell r="F624" t="str">
            <v>BSCKI</v>
          </cell>
          <cell r="G624" t="str">
            <v>TĐ003</v>
          </cell>
          <cell r="H624" t="str">
            <v>Bác sĩ chính (hạng II)</v>
          </cell>
          <cell r="I624" t="str">
            <v>Bác sĩ chính (hạng II)</v>
          </cell>
          <cell r="J624" t="str">
            <v>CĐHA</v>
          </cell>
          <cell r="K624" t="str">
            <v>KP034</v>
          </cell>
          <cell r="L624" t="str">
            <v>Lãnh đạo khoa, phòng</v>
          </cell>
          <cell r="M624" t="str">
            <v>Trưởng khoa</v>
          </cell>
          <cell r="N624" t="str">
            <v>Viên chức</v>
          </cell>
          <cell r="O624">
            <v>42</v>
          </cell>
          <cell r="P624">
            <v>30614</v>
          </cell>
          <cell r="Q624">
            <v>0</v>
          </cell>
          <cell r="R624" t="str">
            <v>Nùng</v>
          </cell>
          <cell r="S624" t="str">
            <v>15/1/2010</v>
          </cell>
          <cell r="T624" t="str">
            <v>020083007940</v>
          </cell>
          <cell r="U624">
            <v>0</v>
          </cell>
          <cell r="W624" t="str">
            <v>003062/LS-CCHN</v>
          </cell>
          <cell r="X624" t="str">
            <v>11/01/2023</v>
          </cell>
          <cell r="Z624" t="str">
            <v>Chuyên khoa Chẩn đoán hình ảnh</v>
          </cell>
          <cell r="AB624" t="str">
            <v/>
          </cell>
          <cell r="AC624">
            <v>359933345</v>
          </cell>
        </row>
        <row r="625">
          <cell r="B625" t="str">
            <v>BV0497</v>
          </cell>
          <cell r="C625" t="str">
            <v>Hoàng Thế Xuân</v>
          </cell>
          <cell r="D625" t="str">
            <v>BV0497</v>
          </cell>
          <cell r="F625" t="str">
            <v>BSCKI</v>
          </cell>
          <cell r="G625" t="str">
            <v>TĐ003</v>
          </cell>
          <cell r="H625" t="str">
            <v>Bác sĩ chính (hạng II)</v>
          </cell>
          <cell r="I625" t="str">
            <v>Bác sĩ chính (hạng II)</v>
          </cell>
          <cell r="J625" t="str">
            <v>CĐHA</v>
          </cell>
          <cell r="K625" t="str">
            <v>KP034</v>
          </cell>
          <cell r="L625" t="str">
            <v>Lãnh đạo khoa, phòng</v>
          </cell>
          <cell r="M625" t="str">
            <v>Phó trưởng khoa</v>
          </cell>
          <cell r="N625" t="str">
            <v>Viên chức</v>
          </cell>
          <cell r="O625">
            <v>38</v>
          </cell>
          <cell r="P625">
            <v>32055</v>
          </cell>
          <cell r="Q625">
            <v>0</v>
          </cell>
          <cell r="R625" t="str">
            <v>Nùng</v>
          </cell>
          <cell r="S625" t="str">
            <v>01/11/2014</v>
          </cell>
          <cell r="T625" t="str">
            <v>020087005089</v>
          </cell>
          <cell r="U625">
            <v>0</v>
          </cell>
          <cell r="W625" t="str">
            <v>003649/LS-CCHN</v>
          </cell>
          <cell r="X625" t="str">
            <v>29/11/2019</v>
          </cell>
          <cell r="Z625" t="str">
            <v>Chuyên khoa Chẩn đoán hình ảnh</v>
          </cell>
          <cell r="AB625" t="str">
            <v/>
          </cell>
          <cell r="AC625" t="str">
            <v>0975267160</v>
          </cell>
        </row>
        <row r="626">
          <cell r="B626" t="str">
            <v>BV0755</v>
          </cell>
          <cell r="C626" t="str">
            <v>Lương Khánh Tú</v>
          </cell>
          <cell r="D626" t="str">
            <v>BV0755</v>
          </cell>
          <cell r="E626" t="str">
            <v>x</v>
          </cell>
          <cell r="F626" t="str">
            <v>Bác sĩ</v>
          </cell>
          <cell r="G626" t="str">
            <v>TĐ005</v>
          </cell>
          <cell r="H626" t="str">
            <v>Bác sĩ (hạng III)</v>
          </cell>
          <cell r="I626" t="str">
            <v>Bác sĩ (hạng III)</v>
          </cell>
          <cell r="J626" t="str">
            <v>CĐHA</v>
          </cell>
          <cell r="K626" t="str">
            <v>KP034</v>
          </cell>
          <cell r="L626" t="str">
            <v>Viên chức CMNV</v>
          </cell>
          <cell r="M626">
            <v>0</v>
          </cell>
          <cell r="N626" t="str">
            <v>Viên chức</v>
          </cell>
          <cell r="O626">
            <v>36</v>
          </cell>
          <cell r="P626">
            <v>0</v>
          </cell>
          <cell r="Q626" t="str">
            <v>17/6/1990</v>
          </cell>
          <cell r="R626" t="str">
            <v>Kinh</v>
          </cell>
          <cell r="S626" t="str">
            <v>20/3/2018</v>
          </cell>
          <cell r="T626" t="str">
            <v>020190007103</v>
          </cell>
          <cell r="U626" t="str">
            <v>146. Đường Mỹ Sơn. Phường Đông Kinh. Tp Lạng Sơn</v>
          </cell>
          <cell r="W626" t="str">
            <v>003590/LS-CCHN</v>
          </cell>
          <cell r="X626" t="str">
            <v>20/09/2019</v>
          </cell>
          <cell r="Z626" t="str">
            <v>Khám bệnh, chữa bệnh Nội khoa</v>
          </cell>
          <cell r="AB626" t="str">
            <v/>
          </cell>
          <cell r="AC626" t="str">
            <v>0368223108</v>
          </cell>
          <cell r="AD626" t="str">
            <v>HĐ 01/2017; BC 20/3/2018</v>
          </cell>
        </row>
        <row r="627">
          <cell r="B627" t="str">
            <v>BV0517</v>
          </cell>
          <cell r="C627" t="str">
            <v>Nguyễn Thị Bách</v>
          </cell>
          <cell r="D627" t="str">
            <v>BV0517</v>
          </cell>
          <cell r="E627" t="str">
            <v>x</v>
          </cell>
          <cell r="F627" t="str">
            <v>Bác sĩ</v>
          </cell>
          <cell r="G627" t="str">
            <v>TĐ005</v>
          </cell>
          <cell r="H627" t="str">
            <v>Bác sĩ (hạng III)</v>
          </cell>
          <cell r="I627" t="str">
            <v>Bác sĩ (hạng III)</v>
          </cell>
          <cell r="J627" t="str">
            <v>CĐHA</v>
          </cell>
          <cell r="K627" t="str">
            <v>KP034</v>
          </cell>
          <cell r="L627" t="str">
            <v>Viên chức CMNV</v>
          </cell>
          <cell r="M627">
            <v>0</v>
          </cell>
          <cell r="N627" t="str">
            <v>Viên chức</v>
          </cell>
          <cell r="O627">
            <v>36</v>
          </cell>
          <cell r="P627">
            <v>0</v>
          </cell>
          <cell r="Q627">
            <v>32905</v>
          </cell>
          <cell r="R627" t="str">
            <v>Tày</v>
          </cell>
          <cell r="S627" t="str">
            <v>01/11/2014</v>
          </cell>
          <cell r="T627" t="str">
            <v>020190009668</v>
          </cell>
          <cell r="U627" t="str">
            <v>1/288 đường Nhị Thanh, phường Tam Thanh, tỉnh Lạng Sơn</v>
          </cell>
          <cell r="W627" t="str">
            <v>002144/LS-CCHN</v>
          </cell>
          <cell r="X627" t="str">
            <v>01/12/2017</v>
          </cell>
          <cell r="Z627" t="str">
            <v>Chuyên khoa Chẩn đoán hình ảnh</v>
          </cell>
          <cell r="AB627" t="str">
            <v/>
          </cell>
          <cell r="AC627" t="str">
            <v>0986889351</v>
          </cell>
        </row>
        <row r="628">
          <cell r="B628" t="str">
            <v>BV0678</v>
          </cell>
          <cell r="C628" t="str">
            <v>Hoàng Trọng Hiếu</v>
          </cell>
          <cell r="D628" t="str">
            <v>BV0678</v>
          </cell>
          <cell r="F628" t="str">
            <v>BSCKI</v>
          </cell>
          <cell r="G628" t="str">
            <v>TĐ003</v>
          </cell>
          <cell r="H628" t="str">
            <v>Bác sĩ (hạng III)</v>
          </cell>
          <cell r="I628" t="str">
            <v>Bác sĩ (hạng III)</v>
          </cell>
          <cell r="J628" t="str">
            <v>CĐHA</v>
          </cell>
          <cell r="K628" t="str">
            <v>KP034</v>
          </cell>
          <cell r="L628" t="str">
            <v>Viên chức CMNV</v>
          </cell>
          <cell r="M628">
            <v>0</v>
          </cell>
          <cell r="N628" t="str">
            <v>Viên chức</v>
          </cell>
          <cell r="O628">
            <v>36</v>
          </cell>
          <cell r="P628" t="str">
            <v>14/3/1990</v>
          </cell>
          <cell r="Q628">
            <v>0</v>
          </cell>
          <cell r="R628" t="str">
            <v>Tày</v>
          </cell>
          <cell r="S628" t="str">
            <v>10/01/2016</v>
          </cell>
          <cell r="T628" t="str">
            <v>020090010415</v>
          </cell>
          <cell r="U628">
            <v>0</v>
          </cell>
          <cell r="W628" t="str">
            <v>003319/LS-CCHN</v>
          </cell>
          <cell r="X628" t="str">
            <v>20/07/2018</v>
          </cell>
          <cell r="Z628" t="str">
            <v>Khám bệnh, chữa bệnh Nội khoa</v>
          </cell>
          <cell r="AB628" t="str">
            <v/>
          </cell>
          <cell r="AC628" t="str">
            <v>0344207196</v>
          </cell>
        </row>
        <row r="629">
          <cell r="B629" t="str">
            <v>BV1223</v>
          </cell>
          <cell r="C629" t="str">
            <v>Hoàng Thị Thanh Mai</v>
          </cell>
          <cell r="D629" t="str">
            <v>BV1223</v>
          </cell>
          <cell r="E629" t="str">
            <v>x</v>
          </cell>
          <cell r="F629" t="str">
            <v>Bác sĩ</v>
          </cell>
          <cell r="G629" t="str">
            <v>TĐ005</v>
          </cell>
          <cell r="I629" t="str">
            <v>Bác sĩ (hạng III)</v>
          </cell>
          <cell r="J629" t="str">
            <v>CĐHA</v>
          </cell>
          <cell r="K629" t="str">
            <v>KP034</v>
          </cell>
          <cell r="N629" t="str">
            <v>Viên chức</v>
          </cell>
          <cell r="O629">
            <v>29</v>
          </cell>
          <cell r="P629">
            <v>0</v>
          </cell>
          <cell r="Q629" t="str">
            <v>27/11/1996</v>
          </cell>
          <cell r="R629" t="str">
            <v>Nùng</v>
          </cell>
          <cell r="S629">
            <v>44991</v>
          </cell>
          <cell r="T629" t="str">
            <v>020196001363</v>
          </cell>
          <cell r="U629">
            <v>0</v>
          </cell>
          <cell r="W629" t="str">
            <v>004490/LS-CCHN</v>
          </cell>
          <cell r="X629" t="str">
            <v>06/04/2022</v>
          </cell>
          <cell r="Z629" t="str">
            <v>Khám bệnh chữa bệnh Nội khoa</v>
          </cell>
          <cell r="AB629" t="str">
            <v/>
          </cell>
          <cell r="AC629" t="str">
            <v>0339650542</v>
          </cell>
          <cell r="AD629" t="str">
            <v>Thử việc 11/8/2020, thanh lý 31/3/2021; HĐ lại 06/3/2023, Viên chức từ 15/6/2026</v>
          </cell>
        </row>
        <row r="630">
          <cell r="B630" t="str">
            <v>BV1228</v>
          </cell>
          <cell r="C630" t="str">
            <v>Trần Hoàng Vân Anh</v>
          </cell>
          <cell r="D630" t="str">
            <v>BV1228</v>
          </cell>
          <cell r="E630" t="str">
            <v>x</v>
          </cell>
          <cell r="F630" t="str">
            <v>Bác sĩ</v>
          </cell>
          <cell r="G630" t="str">
            <v>TĐ005</v>
          </cell>
          <cell r="I630" t="str">
            <v>Bác sĩ (hạng III)</v>
          </cell>
          <cell r="J630" t="str">
            <v>CĐHA</v>
          </cell>
          <cell r="K630" t="str">
            <v>KP034</v>
          </cell>
          <cell r="N630" t="str">
            <v>HĐ có thời hạn</v>
          </cell>
          <cell r="O630">
            <v>30</v>
          </cell>
          <cell r="P630">
            <v>0</v>
          </cell>
          <cell r="Q630" t="str">
            <v>06/05/1996</v>
          </cell>
          <cell r="R630" t="str">
            <v>Tày</v>
          </cell>
          <cell r="S630">
            <v>45030</v>
          </cell>
          <cell r="T630" t="str">
            <v>020196008058</v>
          </cell>
          <cell r="U630" t="str">
            <v>311 Nhị Thanh, Phường Tam Thanh, Thành phố Lạng sơn.</v>
          </cell>
          <cell r="V630">
            <v>45396</v>
          </cell>
          <cell r="W630" t="str">
            <v>000057/LS-GPHN</v>
          </cell>
          <cell r="X630">
            <v>0</v>
          </cell>
          <cell r="Z630" t="str">
            <v>Chuyên khoa Nội khoa</v>
          </cell>
          <cell r="AB630" t="str">
            <v/>
          </cell>
          <cell r="AC630" t="str">
            <v>0858180646</v>
          </cell>
          <cell r="AD630" t="str">
            <v>Thử việc 14/4/2023</v>
          </cell>
        </row>
        <row r="631">
          <cell r="B631" t="str">
            <v>BV1276</v>
          </cell>
          <cell r="C631" t="str">
            <v>Lương Thị Lan Hương</v>
          </cell>
          <cell r="D631" t="str">
            <v>BV1276</v>
          </cell>
          <cell r="E631" t="str">
            <v>x</v>
          </cell>
          <cell r="F631" t="str">
            <v>Bác sĩ</v>
          </cell>
          <cell r="G631" t="str">
            <v>TĐ005</v>
          </cell>
          <cell r="I631" t="str">
            <v>Bác sĩ (hạng III)</v>
          </cell>
          <cell r="J631" t="str">
            <v>CĐHA</v>
          </cell>
          <cell r="K631" t="str">
            <v>KP034</v>
          </cell>
          <cell r="N631" t="str">
            <v>Viên chức</v>
          </cell>
          <cell r="O631">
            <v>28</v>
          </cell>
          <cell r="P631">
            <v>0</v>
          </cell>
          <cell r="Q631" t="str">
            <v>20/02/1998</v>
          </cell>
          <cell r="R631" t="str">
            <v>Tày</v>
          </cell>
          <cell r="S631" t="str">
            <v>02/4/2024</v>
          </cell>
          <cell r="T631" t="str">
            <v>020198005844</v>
          </cell>
          <cell r="U631">
            <v>0</v>
          </cell>
          <cell r="V631">
            <v>45870</v>
          </cell>
          <cell r="W631" t="str">
            <v>000359/LS-GPHN</v>
          </cell>
          <cell r="X631">
            <v>45917</v>
          </cell>
          <cell r="Z631" t="str">
            <v>Y khoa</v>
          </cell>
          <cell r="AB631" t="str">
            <v/>
          </cell>
          <cell r="AC631" t="str">
            <v>0356995792</v>
          </cell>
          <cell r="AD631" t="str">
            <v>Thử việc 02/4/2024, Viên chức từ 15/6/2026</v>
          </cell>
        </row>
        <row r="632">
          <cell r="B632" t="str">
            <v>BV1214</v>
          </cell>
          <cell r="C632" t="str">
            <v>Phạm Quốc Khánh</v>
          </cell>
          <cell r="D632" t="str">
            <v>BV1214</v>
          </cell>
          <cell r="F632" t="str">
            <v>Bác sĩ</v>
          </cell>
          <cell r="G632" t="str">
            <v>TĐ005</v>
          </cell>
          <cell r="I632" t="str">
            <v>Bác sĩ (hạng III)</v>
          </cell>
          <cell r="J632" t="str">
            <v>CĐHA</v>
          </cell>
          <cell r="K632" t="str">
            <v>KP034</v>
          </cell>
          <cell r="N632" t="str">
            <v>HĐ có thời hạn</v>
          </cell>
          <cell r="O632">
            <v>29</v>
          </cell>
          <cell r="P632">
            <v>35397</v>
          </cell>
          <cell r="Q632">
            <v>0</v>
          </cell>
          <cell r="R632" t="str">
            <v>Tày</v>
          </cell>
          <cell r="S632">
            <v>45698</v>
          </cell>
          <cell r="T632" t="str">
            <v>020096003142</v>
          </cell>
          <cell r="U632">
            <v>0</v>
          </cell>
          <cell r="W632" t="str">
            <v/>
          </cell>
          <cell r="X632" t="str">
            <v/>
          </cell>
          <cell r="Z632" t="str">
            <v/>
          </cell>
          <cell r="AB632">
            <v>0</v>
          </cell>
          <cell r="AC632" t="str">
            <v>0328064195</v>
          </cell>
          <cell r="AD632" t="str">
            <v>Thử việc 10/10/2022; Nghỉ để tham gia nghĩa vụ quân sự 31/01/2023; đi làm lại 10/2/2025</v>
          </cell>
        </row>
        <row r="633">
          <cell r="B633" t="str">
            <v>BV0530</v>
          </cell>
          <cell r="C633" t="str">
            <v>Hoàng Trung Diện</v>
          </cell>
          <cell r="D633" t="str">
            <v>BV0530</v>
          </cell>
          <cell r="F633" t="str">
            <v>Điều dưỡng ĐH</v>
          </cell>
          <cell r="G633" t="str">
            <v>TĐ011</v>
          </cell>
          <cell r="H633" t="str">
            <v>Điều dưỡng (hạng III)</v>
          </cell>
          <cell r="I633" t="str">
            <v>Điều dưỡng (hạng III)</v>
          </cell>
          <cell r="J633" t="str">
            <v>CĐHA</v>
          </cell>
          <cell r="K633" t="str">
            <v>KP034</v>
          </cell>
          <cell r="L633" t="str">
            <v>Viên chức CMNV</v>
          </cell>
          <cell r="M633">
            <v>0</v>
          </cell>
          <cell r="N633" t="str">
            <v>Viên chức</v>
          </cell>
          <cell r="O633">
            <v>40</v>
          </cell>
          <cell r="P633">
            <v>31583</v>
          </cell>
          <cell r="Q633">
            <v>0</v>
          </cell>
          <cell r="R633" t="str">
            <v>Tày</v>
          </cell>
          <cell r="S633" t="str">
            <v>1/12/2010</v>
          </cell>
          <cell r="T633" t="str">
            <v>020086009258</v>
          </cell>
          <cell r="U633">
            <v>0</v>
          </cell>
          <cell r="W633" t="str">
            <v>001083/LS-CCHN</v>
          </cell>
          <cell r="X633" t="str">
            <v>11/12/2022</v>
          </cell>
          <cell r="Z63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33" t="str">
            <v/>
          </cell>
          <cell r="AC633">
            <v>986188486</v>
          </cell>
        </row>
        <row r="634">
          <cell r="B634" t="str">
            <v>BV0531</v>
          </cell>
          <cell r="C634" t="str">
            <v>Lâm Minh Mạnh</v>
          </cell>
          <cell r="D634" t="str">
            <v>BV0531</v>
          </cell>
          <cell r="F634" t="str">
            <v>Điều dưỡng ĐH</v>
          </cell>
          <cell r="G634" t="str">
            <v>TĐ011</v>
          </cell>
          <cell r="H634" t="str">
            <v>Điều dưỡng (hạng III)</v>
          </cell>
          <cell r="I634" t="str">
            <v>Điều dưỡng (hạng III)</v>
          </cell>
          <cell r="J634" t="str">
            <v>CĐHA</v>
          </cell>
          <cell r="K634" t="str">
            <v>KP034</v>
          </cell>
          <cell r="L634" t="str">
            <v>Viên chức CMNV</v>
          </cell>
          <cell r="M634">
            <v>0</v>
          </cell>
          <cell r="N634" t="str">
            <v>Viên chức</v>
          </cell>
          <cell r="O634">
            <v>37</v>
          </cell>
          <cell r="P634">
            <v>32388</v>
          </cell>
          <cell r="Q634">
            <v>0</v>
          </cell>
          <cell r="R634" t="str">
            <v>Nùng</v>
          </cell>
          <cell r="S634" t="str">
            <v>14/1/2011</v>
          </cell>
          <cell r="T634" t="str">
            <v>020088007133</v>
          </cell>
          <cell r="U634" t="str">
            <v>Số 82/38 - Lê Quý Đôn - Phường Tam Thanh - Tỉnh Lạng Sơn</v>
          </cell>
          <cell r="W634" t="str">
            <v>001084/LS-CCHN</v>
          </cell>
          <cell r="X634" t="str">
            <v>11/12/2022</v>
          </cell>
          <cell r="Z63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34" t="str">
            <v/>
          </cell>
          <cell r="AC634" t="str">
            <v>0979640617</v>
          </cell>
        </row>
        <row r="635">
          <cell r="B635" t="str">
            <v>BV0529</v>
          </cell>
          <cell r="C635" t="str">
            <v>Hoàng Ngọc Quảng</v>
          </cell>
          <cell r="D635" t="str">
            <v>BV0529</v>
          </cell>
          <cell r="F635" t="str">
            <v>Điều dưỡng ĐH</v>
          </cell>
          <cell r="G635" t="str">
            <v>TĐ011</v>
          </cell>
          <cell r="H635" t="str">
            <v>Điều dưỡng (hạng III)</v>
          </cell>
          <cell r="I635" t="str">
            <v>Điều dưỡng (hạng III)</v>
          </cell>
          <cell r="J635" t="str">
            <v>CĐHA</v>
          </cell>
          <cell r="K635" t="str">
            <v>KP034</v>
          </cell>
          <cell r="L635" t="str">
            <v>Viên chức CMNV</v>
          </cell>
          <cell r="M635">
            <v>0</v>
          </cell>
          <cell r="N635" t="str">
            <v>Viên chức</v>
          </cell>
          <cell r="O635">
            <v>42</v>
          </cell>
          <cell r="P635">
            <v>30697</v>
          </cell>
          <cell r="Q635">
            <v>0</v>
          </cell>
          <cell r="R635" t="str">
            <v>Tày</v>
          </cell>
          <cell r="S635" t="str">
            <v>15/1/2010</v>
          </cell>
          <cell r="T635" t="str">
            <v>020084002830</v>
          </cell>
          <cell r="U635" t="str">
            <v>28/91, Khối 7, Đường Lê Đại Hành, Phường Đông Kinh, Tỉnh Lạng Sơn</v>
          </cell>
          <cell r="W635" t="str">
            <v>001082/LS-CCHN</v>
          </cell>
          <cell r="X635" t="str">
            <v>11/12/2022</v>
          </cell>
          <cell r="Z635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35" t="str">
            <v/>
          </cell>
          <cell r="AC635" t="str">
            <v>0983966025</v>
          </cell>
        </row>
        <row r="636">
          <cell r="B636" t="str">
            <v>BV0528</v>
          </cell>
          <cell r="C636" t="str">
            <v>Lưu Viết Hoàn</v>
          </cell>
          <cell r="D636" t="str">
            <v>BV0528</v>
          </cell>
          <cell r="F636" t="str">
            <v>Điều dưỡng ĐH</v>
          </cell>
          <cell r="G636" t="str">
            <v>TĐ011</v>
          </cell>
          <cell r="H636" t="str">
            <v>Điều dưỡng (hạng III)</v>
          </cell>
          <cell r="I636" t="str">
            <v>Điều dưỡng (hạng III)</v>
          </cell>
          <cell r="J636" t="str">
            <v>CĐHA</v>
          </cell>
          <cell r="K636" t="str">
            <v>KP034</v>
          </cell>
          <cell r="L636" t="str">
            <v>Viên chức CMNV</v>
          </cell>
          <cell r="M636">
            <v>0</v>
          </cell>
          <cell r="N636" t="str">
            <v>Viên chức</v>
          </cell>
          <cell r="O636">
            <v>38</v>
          </cell>
          <cell r="P636">
            <v>32013</v>
          </cell>
          <cell r="Q636">
            <v>0</v>
          </cell>
          <cell r="R636" t="str">
            <v>Nùng</v>
          </cell>
          <cell r="S636" t="str">
            <v>1/12/2008</v>
          </cell>
          <cell r="T636" t="str">
            <v>020087007956</v>
          </cell>
          <cell r="U636" t="str">
            <v>Khối Hoàng Tâm, Phường Tam Thanh, Tỉnh Lạng Sơn.</v>
          </cell>
          <cell r="W636" t="str">
            <v>001081/LS-CCHN</v>
          </cell>
          <cell r="X636" t="str">
            <v>11/12/2022</v>
          </cell>
          <cell r="Z636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36" t="str">
            <v/>
          </cell>
          <cell r="AC636" t="str">
            <v>0832355666</v>
          </cell>
        </row>
        <row r="637">
          <cell r="B637" t="str">
            <v>BV0527</v>
          </cell>
          <cell r="C637" t="str">
            <v>Ngô Thị Thúy</v>
          </cell>
          <cell r="D637" t="str">
            <v>BV0527</v>
          </cell>
          <cell r="E637" t="str">
            <v>x</v>
          </cell>
          <cell r="F637" t="str">
            <v>Điều dưỡng CĐ</v>
          </cell>
          <cell r="G637" t="str">
            <v>TĐ012</v>
          </cell>
          <cell r="H637" t="str">
            <v>Điều dưỡng (hạng IV)</v>
          </cell>
          <cell r="I637" t="str">
            <v>Điều dưỡng (hạng IV)</v>
          </cell>
          <cell r="J637" t="str">
            <v>CĐHA</v>
          </cell>
          <cell r="K637" t="str">
            <v>KP034</v>
          </cell>
          <cell r="L637" t="str">
            <v>Viên chức CMNV</v>
          </cell>
          <cell r="M637">
            <v>0</v>
          </cell>
          <cell r="N637" t="str">
            <v>Viên chức</v>
          </cell>
          <cell r="O637">
            <v>46</v>
          </cell>
          <cell r="P637">
            <v>0</v>
          </cell>
          <cell r="Q637">
            <v>29285</v>
          </cell>
          <cell r="R637" t="str">
            <v>Nùng</v>
          </cell>
          <cell r="S637" t="str">
            <v>16/2/2005</v>
          </cell>
          <cell r="T637" t="str">
            <v>020180009169</v>
          </cell>
          <cell r="U637">
            <v>0</v>
          </cell>
          <cell r="W637" t="str">
            <v>001080/LS-CCHN</v>
          </cell>
          <cell r="X637" t="str">
            <v>11/12/2022</v>
          </cell>
          <cell r="Z63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37" t="str">
            <v/>
          </cell>
          <cell r="AC637" t="str">
            <v>0919501171</v>
          </cell>
        </row>
        <row r="638">
          <cell r="B638" t="str">
            <v>BV0105</v>
          </cell>
          <cell r="C638" t="str">
            <v>Hứa Quang Phong</v>
          </cell>
          <cell r="D638" t="str">
            <v>BV0105</v>
          </cell>
          <cell r="F638" t="str">
            <v>Điều dưỡng CĐ</v>
          </cell>
          <cell r="G638" t="str">
            <v>TĐ012</v>
          </cell>
          <cell r="H638" t="str">
            <v>Điều dưỡng (hạng IV)</v>
          </cell>
          <cell r="I638" t="str">
            <v>Điều dưỡng (hạng IV)</v>
          </cell>
          <cell r="J638" t="str">
            <v>CĐHA</v>
          </cell>
          <cell r="K638" t="str">
            <v>KP034</v>
          </cell>
          <cell r="L638" t="str">
            <v>Viên chức CMNV</v>
          </cell>
          <cell r="M638">
            <v>0</v>
          </cell>
          <cell r="N638" t="str">
            <v>Viên chức</v>
          </cell>
          <cell r="O638">
            <v>39</v>
          </cell>
          <cell r="P638">
            <v>31677</v>
          </cell>
          <cell r="Q638">
            <v>0</v>
          </cell>
          <cell r="R638" t="str">
            <v>Tày</v>
          </cell>
          <cell r="S638" t="str">
            <v>01/12/2010</v>
          </cell>
          <cell r="T638" t="str">
            <v xml:space="preserve"> 020086000547</v>
          </cell>
          <cell r="U638" t="str">
            <v>Số nhà 2 khối 22 - phường kỳ lừa- tỉnh Lạng Sơn</v>
          </cell>
          <cell r="W638" t="str">
            <v>000814/LS-CCHN</v>
          </cell>
          <cell r="X638" t="str">
            <v>11/12/2022</v>
          </cell>
          <cell r="Z63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38" t="str">
            <v/>
          </cell>
          <cell r="AC638">
            <v>986022249</v>
          </cell>
        </row>
        <row r="639">
          <cell r="B639" t="str">
            <v>BV0824</v>
          </cell>
          <cell r="C639" t="str">
            <v>Lô Hoàng Cương</v>
          </cell>
          <cell r="D639" t="str">
            <v>BV0824</v>
          </cell>
          <cell r="F639" t="str">
            <v>Điều dưỡng CĐ</v>
          </cell>
          <cell r="G639" t="str">
            <v>TĐ012</v>
          </cell>
          <cell r="H639" t="str">
            <v>Điều dưỡng (hạng IV)</v>
          </cell>
          <cell r="I639" t="str">
            <v>Điều dưỡng (hạng IV)</v>
          </cell>
          <cell r="J639" t="str">
            <v>CĐHA</v>
          </cell>
          <cell r="K639" t="str">
            <v>KP034</v>
          </cell>
          <cell r="L639" t="str">
            <v>Viên chức CMNV</v>
          </cell>
          <cell r="M639">
            <v>0</v>
          </cell>
          <cell r="N639" t="str">
            <v>Viên chức</v>
          </cell>
          <cell r="O639">
            <v>40</v>
          </cell>
          <cell r="P639" t="str">
            <v>19/10/1985</v>
          </cell>
          <cell r="Q639">
            <v>0</v>
          </cell>
          <cell r="R639" t="str">
            <v>Tày</v>
          </cell>
          <cell r="S639" t="str">
            <v>15/01/2010</v>
          </cell>
          <cell r="T639" t="str">
            <v>020085008231</v>
          </cell>
          <cell r="U639" t="str">
            <v>Khối 5 - Phường Kỳ Lừa - Tỉnh Lạng Sơn</v>
          </cell>
          <cell r="W639" t="str">
            <v>002951/LS-CCHN</v>
          </cell>
          <cell r="X639" t="str">
            <v>11/01/2023</v>
          </cell>
          <cell r="Z639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639" t="str">
            <v/>
          </cell>
          <cell r="AC639">
            <v>399891545</v>
          </cell>
          <cell r="AD639" t="str">
            <v>Chuyển đến 19/3/2018</v>
          </cell>
        </row>
        <row r="640">
          <cell r="B640" t="str">
            <v>BV0532</v>
          </cell>
          <cell r="C640" t="str">
            <v>Nguyễn Xuân Mai</v>
          </cell>
          <cell r="D640" t="str">
            <v>BV0532</v>
          </cell>
          <cell r="F640" t="str">
            <v>Điều dưỡng CĐ</v>
          </cell>
          <cell r="G640" t="str">
            <v>TĐ012</v>
          </cell>
          <cell r="H640" t="str">
            <v>Điều dưỡng (hạng IV)</v>
          </cell>
          <cell r="I640" t="str">
            <v>Điều dưỡng (hạng IV)</v>
          </cell>
          <cell r="J640" t="str">
            <v>CĐHA</v>
          </cell>
          <cell r="K640" t="str">
            <v>KP034</v>
          </cell>
          <cell r="L640" t="str">
            <v>Viên chức CMNV</v>
          </cell>
          <cell r="M640">
            <v>0</v>
          </cell>
          <cell r="N640" t="str">
            <v>Viên chức</v>
          </cell>
          <cell r="O640">
            <v>41</v>
          </cell>
          <cell r="P640">
            <v>30918</v>
          </cell>
          <cell r="Q640">
            <v>0</v>
          </cell>
          <cell r="R640" t="str">
            <v>tày</v>
          </cell>
          <cell r="S640" t="str">
            <v>1/12/2008</v>
          </cell>
          <cell r="T640" t="str">
            <v>020084002301</v>
          </cell>
          <cell r="U640">
            <v>0</v>
          </cell>
          <cell r="W640" t="str">
            <v>001085/LS-CCHN</v>
          </cell>
          <cell r="X640" t="str">
            <v>11/12/2022</v>
          </cell>
          <cell r="Z640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40" t="str">
            <v/>
          </cell>
          <cell r="AC640" t="str">
            <v>0963855806</v>
          </cell>
        </row>
        <row r="641">
          <cell r="B641" t="str">
            <v>BV0520</v>
          </cell>
          <cell r="C641" t="str">
            <v>Nguyễn Trung Hiếu</v>
          </cell>
          <cell r="D641" t="str">
            <v>BV0520</v>
          </cell>
          <cell r="F641" t="str">
            <v>KTY ĐH</v>
          </cell>
          <cell r="G641" t="str">
            <v>TĐ014</v>
          </cell>
          <cell r="H641" t="str">
            <v>Kỹ thuật y (hạng III)</v>
          </cell>
          <cell r="I641" t="str">
            <v>Kỹ thuật y (hạng III)</v>
          </cell>
          <cell r="J641" t="str">
            <v>CĐHA</v>
          </cell>
          <cell r="K641" t="str">
            <v>KP034</v>
          </cell>
          <cell r="L641" t="str">
            <v>Viên chức CMNV</v>
          </cell>
          <cell r="M641">
            <v>0</v>
          </cell>
          <cell r="N641" t="str">
            <v>Viên chức</v>
          </cell>
          <cell r="O641">
            <v>44</v>
          </cell>
          <cell r="P641">
            <v>30132</v>
          </cell>
          <cell r="Q641">
            <v>0</v>
          </cell>
          <cell r="R641" t="str">
            <v>Tày</v>
          </cell>
          <cell r="S641" t="str">
            <v>15/1/2010</v>
          </cell>
          <cell r="T641" t="str">
            <v>020082006345</v>
          </cell>
          <cell r="U641" t="str">
            <v>20/195 khối 10 đường bến bắc phường tam thanh tỉnh lạng sơn</v>
          </cell>
          <cell r="W641" t="str">
            <v>001075/LS-CCHN</v>
          </cell>
          <cell r="X641" t="str">
            <v>24/06/2013</v>
          </cell>
          <cell r="Z641" t="str">
            <v>Theo quy định tại Thông tư số 23/2009/TT-BYT ngày 01/12/2009 của Bộ Y tế ban hành tiêu chuẩn nghiệp vụ các ngạch viên chức kỹ thuật y học</v>
          </cell>
          <cell r="AB641" t="str">
            <v/>
          </cell>
          <cell r="AC641" t="str">
            <v>0912123448</v>
          </cell>
        </row>
        <row r="642">
          <cell r="B642" t="str">
            <v>BV0519</v>
          </cell>
          <cell r="C642" t="str">
            <v>Trương Hùng Khoan</v>
          </cell>
          <cell r="D642" t="str">
            <v>BV0519</v>
          </cell>
          <cell r="F642" t="str">
            <v>KTY ĐH</v>
          </cell>
          <cell r="G642" t="str">
            <v>TĐ014</v>
          </cell>
          <cell r="H642" t="str">
            <v>Kỹ thuật y (hạng III)</v>
          </cell>
          <cell r="I642" t="str">
            <v>Kỹ thuật y (hạng III)</v>
          </cell>
          <cell r="J642" t="str">
            <v>CĐHA</v>
          </cell>
          <cell r="K642" t="str">
            <v>KP034</v>
          </cell>
          <cell r="L642" t="str">
            <v>Viên chức CMNV</v>
          </cell>
          <cell r="M642">
            <v>0</v>
          </cell>
          <cell r="N642" t="str">
            <v>Viên chức</v>
          </cell>
          <cell r="O642">
            <v>54</v>
          </cell>
          <cell r="P642">
            <v>26472</v>
          </cell>
          <cell r="Q642">
            <v>0</v>
          </cell>
          <cell r="R642" t="str">
            <v>Tày</v>
          </cell>
          <cell r="S642" t="str">
            <v>10/10/1996</v>
          </cell>
          <cell r="T642" t="str">
            <v xml:space="preserve"> 020072011408</v>
          </cell>
          <cell r="U642" t="str">
            <v>Khối 29 phường kỳ lừa tỉnh Lạng Sơn</v>
          </cell>
          <cell r="W642" t="str">
            <v>000170/LS-CCHN</v>
          </cell>
          <cell r="X642" t="str">
            <v>01/08/2012</v>
          </cell>
          <cell r="Z642" t="str">
            <v>Thực hiện kỹ thuật chuyên môn về hình ảnh y học</v>
          </cell>
          <cell r="AB642" t="str">
            <v/>
          </cell>
          <cell r="AC642" t="str">
            <v>0982492668</v>
          </cell>
        </row>
        <row r="643">
          <cell r="B643" t="str">
            <v>BV0518</v>
          </cell>
          <cell r="C643" t="str">
            <v>Nguyễn Anh Tuấn</v>
          </cell>
          <cell r="D643" t="str">
            <v>BV0518</v>
          </cell>
          <cell r="F643" t="str">
            <v>KTY ĐH</v>
          </cell>
          <cell r="G643" t="str">
            <v>TĐ014</v>
          </cell>
          <cell r="H643" t="str">
            <v>Kỹ thuật y (hạng III)</v>
          </cell>
          <cell r="I643" t="str">
            <v>Kỹ thuật y (hạng III)</v>
          </cell>
          <cell r="J643" t="str">
            <v>CĐHA</v>
          </cell>
          <cell r="K643" t="str">
            <v>KP034</v>
          </cell>
          <cell r="L643" t="str">
            <v>Lãnh đạo khoa, phòng</v>
          </cell>
          <cell r="M643" t="str">
            <v>Kỹ thuật y trưởng</v>
          </cell>
          <cell r="N643" t="str">
            <v>Viên chức</v>
          </cell>
          <cell r="O643">
            <v>52</v>
          </cell>
          <cell r="P643">
            <v>26972</v>
          </cell>
          <cell r="Q643">
            <v>0</v>
          </cell>
          <cell r="R643" t="str">
            <v>Kinh</v>
          </cell>
          <cell r="S643" t="str">
            <v>3/12/1993</v>
          </cell>
          <cell r="T643" t="str">
            <v>020073012412</v>
          </cell>
          <cell r="U643">
            <v>0</v>
          </cell>
          <cell r="W643" t="str">
            <v>000173/LS-CCHN</v>
          </cell>
          <cell r="X643" t="str">
            <v>01/08/2012</v>
          </cell>
          <cell r="Z643" t="str">
            <v>Thực hiện kỹ thuật chuyên môn về hình ảnh y học</v>
          </cell>
          <cell r="AB643" t="str">
            <v/>
          </cell>
          <cell r="AC643">
            <v>985922666</v>
          </cell>
        </row>
        <row r="644">
          <cell r="B644" t="str">
            <v>BV0997</v>
          </cell>
          <cell r="C644" t="str">
            <v>Bạch Tiến Cường</v>
          </cell>
          <cell r="D644" t="str">
            <v>BV0997</v>
          </cell>
          <cell r="F644" t="str">
            <v>KTY ĐH</v>
          </cell>
          <cell r="G644" t="str">
            <v>TĐ014</v>
          </cell>
          <cell r="H644" t="str">
            <v>Kỹ thuật y (hạng III)</v>
          </cell>
          <cell r="I644" t="str">
            <v>Kỹ thuật y (hạng III)</v>
          </cell>
          <cell r="J644" t="str">
            <v>CĐHA</v>
          </cell>
          <cell r="K644" t="str">
            <v>KP034</v>
          </cell>
          <cell r="L644" t="str">
            <v>Viên chức CMNV</v>
          </cell>
          <cell r="M644">
            <v>0</v>
          </cell>
          <cell r="N644" t="str">
            <v>Viên chức</v>
          </cell>
          <cell r="O644">
            <v>34</v>
          </cell>
          <cell r="P644">
            <v>33634</v>
          </cell>
          <cell r="Q644">
            <v>0</v>
          </cell>
          <cell r="R644" t="str">
            <v>Kinh</v>
          </cell>
          <cell r="S644" t="str">
            <v>11/01/2016</v>
          </cell>
          <cell r="T644" t="str">
            <v xml:space="preserve"> 020092000434</v>
          </cell>
          <cell r="U644" t="str">
            <v>Thôn Trung Tâm - Xã Chi Lăng - Tỉnh Lạng Sơn</v>
          </cell>
          <cell r="W644" t="str">
            <v>002106/LS-CCHN</v>
          </cell>
          <cell r="X644" t="str">
            <v>30/10/2017</v>
          </cell>
          <cell r="Z644" t="str">
            <v>Kỹ thuật viên hình ảnh y học</v>
          </cell>
          <cell r="AB644" t="str">
            <v/>
          </cell>
          <cell r="AC644">
            <v>357973696</v>
          </cell>
          <cell r="AD644" t="str">
            <v>Chuyển đến 17/2/2020</v>
          </cell>
        </row>
        <row r="645">
          <cell r="B645" t="str">
            <v>BV0524</v>
          </cell>
          <cell r="C645" t="str">
            <v>Trần Trung Dũng</v>
          </cell>
          <cell r="D645" t="str">
            <v>BV0524</v>
          </cell>
          <cell r="F645" t="str">
            <v>KTY ĐH</v>
          </cell>
          <cell r="G645" t="str">
            <v>TĐ014</v>
          </cell>
          <cell r="H645" t="str">
            <v>Kỹ thuật y (hạng III)</v>
          </cell>
          <cell r="I645" t="str">
            <v>Kỹ thuật y (hạng III)</v>
          </cell>
          <cell r="J645" t="str">
            <v>CĐHA</v>
          </cell>
          <cell r="K645" t="str">
            <v>KP034</v>
          </cell>
          <cell r="L645" t="str">
            <v>Viên chức CMNV</v>
          </cell>
          <cell r="M645">
            <v>0</v>
          </cell>
          <cell r="N645" t="str">
            <v>Viên chức</v>
          </cell>
          <cell r="O645">
            <v>43</v>
          </cell>
          <cell r="P645">
            <v>30198</v>
          </cell>
          <cell r="Q645">
            <v>0</v>
          </cell>
          <cell r="R645" t="str">
            <v>Nùng</v>
          </cell>
          <cell r="S645" t="str">
            <v>16/2/2005</v>
          </cell>
          <cell r="T645" t="str">
            <v>020082002266</v>
          </cell>
          <cell r="U645" t="str">
            <v>Khối 6 phường Tam Thanh - Tỉnh Lạng Sơn</v>
          </cell>
          <cell r="W645" t="str">
            <v>000171/LS-CCHN</v>
          </cell>
          <cell r="X645" t="str">
            <v>01/08/2012</v>
          </cell>
          <cell r="Z645" t="str">
            <v>Thực hiện kỹ thuật chuyên môn về hình ảnh y học</v>
          </cell>
          <cell r="AB645" t="str">
            <v/>
          </cell>
          <cell r="AC645" t="str">
            <v>0988191666</v>
          </cell>
        </row>
        <row r="646">
          <cell r="B646" t="str">
            <v>BV0521</v>
          </cell>
          <cell r="C646" t="str">
            <v>Hoàng Văn Bé</v>
          </cell>
          <cell r="D646" t="str">
            <v>BV0521</v>
          </cell>
          <cell r="F646" t="str">
            <v>KTY CĐ</v>
          </cell>
          <cell r="G646" t="str">
            <v>TĐ015</v>
          </cell>
          <cell r="H646" t="str">
            <v>Kỹ thuật y (hạng IV)</v>
          </cell>
          <cell r="I646" t="str">
            <v>Kỹ thuật y (hạng IV)</v>
          </cell>
          <cell r="J646" t="str">
            <v>CĐHA</v>
          </cell>
          <cell r="K646" t="str">
            <v>KP034</v>
          </cell>
          <cell r="L646" t="str">
            <v>Viên chức CMNV</v>
          </cell>
          <cell r="M646">
            <v>0</v>
          </cell>
          <cell r="N646" t="str">
            <v>Viên chức</v>
          </cell>
          <cell r="O646">
            <v>53</v>
          </cell>
          <cell r="P646">
            <v>26764</v>
          </cell>
          <cell r="Q646">
            <v>0</v>
          </cell>
          <cell r="R646" t="str">
            <v>Tày</v>
          </cell>
          <cell r="S646" t="str">
            <v>1/1/1998</v>
          </cell>
          <cell r="T646" t="str">
            <v>020073010283</v>
          </cell>
          <cell r="U646" t="str">
            <v>Bản Kho, Xã Lộc Bình, Tỉnh Lạng Sơn</v>
          </cell>
          <cell r="W646" t="str">
            <v>001076/LS-CCHN</v>
          </cell>
          <cell r="X646" t="str">
            <v>24/06/2013</v>
          </cell>
          <cell r="Z646" t="str">
            <v>Theo quy định tại Thông tư số 23/2009/TT-BYT ngày 01/12/2009 của Bộ Y tế ban hành tiêu chuẩn nghiệp vụ các ngạch viên chức kỹ thuật y học</v>
          </cell>
          <cell r="AB646" t="str">
            <v/>
          </cell>
          <cell r="AC646" t="str">
            <v>0852916888</v>
          </cell>
        </row>
        <row r="647">
          <cell r="B647" t="str">
            <v>BV0850</v>
          </cell>
          <cell r="C647" t="str">
            <v>Dương Minh Thiện</v>
          </cell>
          <cell r="D647" t="str">
            <v>BV0850</v>
          </cell>
          <cell r="F647" t="str">
            <v>KTY CĐ</v>
          </cell>
          <cell r="G647" t="str">
            <v>TĐ015</v>
          </cell>
          <cell r="I647" t="str">
            <v>Kỹ thuật y (hạng IV)</v>
          </cell>
          <cell r="J647" t="str">
            <v>CĐHA</v>
          </cell>
          <cell r="K647" t="str">
            <v>KP034</v>
          </cell>
          <cell r="N647" t="str">
            <v>Viên chức</v>
          </cell>
          <cell r="O647">
            <v>30</v>
          </cell>
          <cell r="P647" t="str">
            <v>10/02/1996</v>
          </cell>
          <cell r="Q647">
            <v>0</v>
          </cell>
          <cell r="R647" t="str">
            <v>Kinh</v>
          </cell>
          <cell r="S647" t="str">
            <v>05/9/2018</v>
          </cell>
          <cell r="T647" t="str">
            <v>020096000947</v>
          </cell>
          <cell r="U647">
            <v>0</v>
          </cell>
          <cell r="W647" t="str">
            <v>003798/LS-CCHN</v>
          </cell>
          <cell r="X647" t="str">
            <v>21/07/2020</v>
          </cell>
          <cell r="Z64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47" t="str">
            <v/>
          </cell>
          <cell r="AC647">
            <v>354349630</v>
          </cell>
          <cell r="AD647" t="str">
            <v>HĐ 5/9/2018; đỗ VC 20/5/2026;</v>
          </cell>
        </row>
        <row r="648">
          <cell r="B648" t="str">
            <v>BV0526</v>
          </cell>
          <cell r="C648" t="str">
            <v>Hoàng Văn Sỹ</v>
          </cell>
          <cell r="D648" t="str">
            <v>BV0526</v>
          </cell>
          <cell r="F648" t="str">
            <v>KTY CĐ</v>
          </cell>
          <cell r="G648" t="str">
            <v>TĐ015</v>
          </cell>
          <cell r="H648" t="str">
            <v>Kỹ thuật y (hạng IV)</v>
          </cell>
          <cell r="I648" t="str">
            <v>Kỹ thuật y (hạng IV)</v>
          </cell>
          <cell r="J648" t="str">
            <v>CĐHA</v>
          </cell>
          <cell r="K648" t="str">
            <v>KP034</v>
          </cell>
          <cell r="L648" t="str">
            <v>Viên chức CMNV</v>
          </cell>
          <cell r="M648">
            <v>0</v>
          </cell>
          <cell r="N648" t="str">
            <v>Viên chức</v>
          </cell>
          <cell r="O648">
            <v>41</v>
          </cell>
          <cell r="P648">
            <v>31106</v>
          </cell>
          <cell r="Q648">
            <v>0</v>
          </cell>
          <cell r="R648" t="str">
            <v>Tày</v>
          </cell>
          <cell r="S648" t="str">
            <v>1/12/2008</v>
          </cell>
          <cell r="T648" t="str">
            <v>020085035562</v>
          </cell>
          <cell r="U648" t="str">
            <v>Số 7A/2, Hoàng Thanh, Khối Hoàng Thanh, Phường Tam Thanh, Tỉnh Lạng Sơn</v>
          </cell>
          <cell r="W648" t="str">
            <v>001079/LS-CCHN</v>
          </cell>
          <cell r="X648" t="str">
            <v>11/12/2022</v>
          </cell>
          <cell r="Z64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48" t="str">
            <v/>
          </cell>
          <cell r="AC648" t="str">
            <v>0839255888</v>
          </cell>
        </row>
        <row r="649">
          <cell r="B649" t="str">
            <v>BV0523</v>
          </cell>
          <cell r="C649" t="str">
            <v>Hoàng Văn Hòa</v>
          </cell>
          <cell r="D649" t="str">
            <v>BV0523</v>
          </cell>
          <cell r="F649" t="str">
            <v>KTY CĐ</v>
          </cell>
          <cell r="G649" t="str">
            <v>TĐ015</v>
          </cell>
          <cell r="H649" t="str">
            <v>Kỹ thuật y (hạng IV)</v>
          </cell>
          <cell r="I649" t="str">
            <v>Kỹ thuật y (hạng IV)</v>
          </cell>
          <cell r="J649" t="str">
            <v>CĐHA</v>
          </cell>
          <cell r="K649" t="str">
            <v>KP034</v>
          </cell>
          <cell r="L649" t="str">
            <v>Viên chức CMNV</v>
          </cell>
          <cell r="M649">
            <v>0</v>
          </cell>
          <cell r="N649" t="str">
            <v>Viên chức</v>
          </cell>
          <cell r="O649">
            <v>51</v>
          </cell>
          <cell r="P649">
            <v>27518</v>
          </cell>
          <cell r="Q649">
            <v>0</v>
          </cell>
          <cell r="R649" t="str">
            <v>Tày</v>
          </cell>
          <cell r="S649" t="str">
            <v>17/11/2003</v>
          </cell>
          <cell r="T649" t="str">
            <v xml:space="preserve"> 020075000344</v>
          </cell>
          <cell r="U649" t="str">
            <v>Khối Hoàng Tân - Phường Tam Thanh - tp. Lạng Sơn</v>
          </cell>
          <cell r="W649" t="str">
            <v>001078/LS-CCHN</v>
          </cell>
          <cell r="X649" t="str">
            <v>11/12/2022</v>
          </cell>
          <cell r="Z64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49" t="str">
            <v/>
          </cell>
          <cell r="AC649" t="str">
            <v>0984575888</v>
          </cell>
        </row>
        <row r="650">
          <cell r="B650" t="str">
            <v>BV0525</v>
          </cell>
          <cell r="C650" t="str">
            <v>Hoàng Tư Vấn</v>
          </cell>
          <cell r="D650" t="str">
            <v>BV0525</v>
          </cell>
          <cell r="F650" t="str">
            <v>KTY CĐ</v>
          </cell>
          <cell r="G650" t="str">
            <v>TĐ015</v>
          </cell>
          <cell r="H650" t="str">
            <v>Kỹ thuật y (hạng IV)</v>
          </cell>
          <cell r="I650" t="str">
            <v>Kỹ thuật y (hạng IV)</v>
          </cell>
          <cell r="J650" t="str">
            <v>CĐHA</v>
          </cell>
          <cell r="K650" t="str">
            <v>KP034</v>
          </cell>
          <cell r="L650" t="str">
            <v>Viên chức CMNV</v>
          </cell>
          <cell r="M650">
            <v>0</v>
          </cell>
          <cell r="N650" t="str">
            <v>Viên chức</v>
          </cell>
          <cell r="O650">
            <v>42</v>
          </cell>
          <cell r="P650">
            <v>30612</v>
          </cell>
          <cell r="Q650">
            <v>0</v>
          </cell>
          <cell r="R650" t="str">
            <v>Tày</v>
          </cell>
          <cell r="S650" t="str">
            <v>07/11/2006</v>
          </cell>
          <cell r="T650" t="str">
            <v>020083003406</v>
          </cell>
          <cell r="U650">
            <v>0</v>
          </cell>
          <cell r="W650" t="str">
            <v>001077/LS-CCHN</v>
          </cell>
          <cell r="X650" t="str">
            <v>24/06/2013</v>
          </cell>
          <cell r="Z650" t="str">
            <v>Theo quy định tại Thông tư số 23/2009/TT-BYT ngày 01/12/2009 của Bộ Y tế ban hành tiêu chuẩn nghiệp vụ các ngạch viên chức kỹ thuật y học</v>
          </cell>
          <cell r="AB650" t="str">
            <v/>
          </cell>
          <cell r="AC650" t="str">
            <v>0856839888</v>
          </cell>
        </row>
        <row r="651">
          <cell r="B651" t="str">
            <v>BV1279</v>
          </cell>
          <cell r="C651" t="str">
            <v>Dương Đức Anh</v>
          </cell>
          <cell r="D651" t="str">
            <v>BV1279</v>
          </cell>
          <cell r="F651" t="str">
            <v>KTY CĐ</v>
          </cell>
          <cell r="G651" t="str">
            <v>TĐ015</v>
          </cell>
          <cell r="I651" t="str">
            <v>Kỹ thuật y (hạng IV)</v>
          </cell>
          <cell r="J651" t="str">
            <v>CĐHA</v>
          </cell>
          <cell r="K651" t="str">
            <v>KP034</v>
          </cell>
          <cell r="N651" t="str">
            <v>HĐ có thời hạn</v>
          </cell>
          <cell r="O651">
            <v>23</v>
          </cell>
          <cell r="P651">
            <v>37564</v>
          </cell>
          <cell r="Q651">
            <v>0</v>
          </cell>
          <cell r="R651" t="str">
            <v>Kinh</v>
          </cell>
          <cell r="S651" t="str">
            <v>15/4/2024</v>
          </cell>
          <cell r="T651" t="str">
            <v>020202003960</v>
          </cell>
          <cell r="U651">
            <v>0</v>
          </cell>
          <cell r="V651">
            <v>45689</v>
          </cell>
          <cell r="W651" t="str">
            <v>000352/LS-GPHN</v>
          </cell>
          <cell r="X651">
            <v>45917</v>
          </cell>
          <cell r="Z651" t="str">
            <v>Hình ảnh y học</v>
          </cell>
          <cell r="AB651" t="str">
            <v/>
          </cell>
          <cell r="AC651" t="str">
            <v>0978106842</v>
          </cell>
          <cell r="AD651" t="str">
            <v>Thử việc 01/4/2024</v>
          </cell>
        </row>
        <row r="652">
          <cell r="B652" t="str">
            <v>BV0422</v>
          </cell>
          <cell r="C652" t="str">
            <v>Vũ Thủy Tiên</v>
          </cell>
          <cell r="D652" t="str">
            <v>BV0422</v>
          </cell>
          <cell r="E652" t="str">
            <v>x</v>
          </cell>
          <cell r="F652" t="str">
            <v>Hộ sinh CĐ</v>
          </cell>
          <cell r="G652" t="str">
            <v>TĐ018</v>
          </cell>
          <cell r="H652" t="str">
            <v>Hộ sinh (hạng IV)</v>
          </cell>
          <cell r="I652" t="str">
            <v>Hộ sinh (hạng IV)</v>
          </cell>
          <cell r="J652" t="str">
            <v>CĐHA</v>
          </cell>
          <cell r="K652" t="str">
            <v>KP034</v>
          </cell>
          <cell r="L652" t="str">
            <v>Viên chức CMNV</v>
          </cell>
          <cell r="M652">
            <v>0</v>
          </cell>
          <cell r="N652" t="str">
            <v>Viên chức</v>
          </cell>
          <cell r="O652">
            <v>42</v>
          </cell>
          <cell r="P652">
            <v>0</v>
          </cell>
          <cell r="Q652">
            <v>30553</v>
          </cell>
          <cell r="R652" t="str">
            <v>Kinh</v>
          </cell>
          <cell r="S652" t="str">
            <v>15/1/2010</v>
          </cell>
          <cell r="T652" t="str">
            <v>020183007766</v>
          </cell>
          <cell r="U652" t="str">
            <v>Số 7 ngõ 2 Phường Đông Kinh tỉnh Lạng Sơn</v>
          </cell>
          <cell r="W652" t="str">
            <v>000745/LS-CCHN</v>
          </cell>
          <cell r="X652">
            <v>0</v>
          </cell>
          <cell r="Z652" t="str">
            <v>Theo Quy định tại Thông tư số 12/2011/TT-BYT ngày 15/3/2011 của Bộ Y tế quy định tiêu chuẩn các ngạch viên chức hộ sinh</v>
          </cell>
          <cell r="AB652" t="str">
            <v/>
          </cell>
          <cell r="AC652" t="str">
            <v>0965212466</v>
          </cell>
        </row>
        <row r="653">
          <cell r="B653" t="str">
            <v>BV0204</v>
          </cell>
          <cell r="C653" t="str">
            <v>Ngô Thị Lý</v>
          </cell>
          <cell r="D653" t="str">
            <v>BV0204</v>
          </cell>
          <cell r="E653" t="str">
            <v>x</v>
          </cell>
          <cell r="F653" t="str">
            <v>Hộ lý</v>
          </cell>
          <cell r="G653" t="str">
            <v>TĐ047</v>
          </cell>
          <cell r="I653" t="str">
            <v>Hộ lý</v>
          </cell>
          <cell r="J653" t="str">
            <v>CĐHA</v>
          </cell>
          <cell r="K653" t="str">
            <v>KP034</v>
          </cell>
          <cell r="M653">
            <v>0</v>
          </cell>
          <cell r="N653" t="str">
            <v>HĐ theo NĐ161</v>
          </cell>
          <cell r="O653">
            <v>55</v>
          </cell>
          <cell r="P653">
            <v>0</v>
          </cell>
          <cell r="Q653">
            <v>26012</v>
          </cell>
          <cell r="R653" t="str">
            <v>Tày</v>
          </cell>
          <cell r="S653" t="str">
            <v>8/11/1993</v>
          </cell>
          <cell r="T653" t="str">
            <v>020171011075</v>
          </cell>
          <cell r="U653" t="str">
            <v>Số 70 Nhị Thanh - phường Tam Thanh - tp. Lạng Sơn</v>
          </cell>
          <cell r="W653" t="str">
            <v/>
          </cell>
          <cell r="X653" t="str">
            <v/>
          </cell>
          <cell r="Z653" t="str">
            <v/>
          </cell>
          <cell r="AB653" t="str">
            <v/>
          </cell>
          <cell r="AC653" t="str">
            <v>0838485558</v>
          </cell>
          <cell r="AD653" t="str">
            <v>Chuyển từ HĐ68</v>
          </cell>
        </row>
        <row r="654">
          <cell r="B654" t="str">
            <v>BV0550</v>
          </cell>
          <cell r="C654" t="str">
            <v>Chu Văn Hải</v>
          </cell>
          <cell r="D654" t="str">
            <v>BV0550</v>
          </cell>
          <cell r="F654" t="str">
            <v>BSCKI</v>
          </cell>
          <cell r="G654" t="str">
            <v>TĐ003</v>
          </cell>
          <cell r="H654" t="str">
            <v>Bác sĩ chính (hạng II)</v>
          </cell>
          <cell r="I654" t="str">
            <v>Bác sĩ chính (hạng II)</v>
          </cell>
          <cell r="J654" t="str">
            <v>GPB</v>
          </cell>
          <cell r="K654" t="str">
            <v>KP035</v>
          </cell>
          <cell r="L654" t="str">
            <v>Lãnh đạo khoa, phòng</v>
          </cell>
          <cell r="M654" t="str">
            <v>Trưởng khoa</v>
          </cell>
          <cell r="N654" t="str">
            <v>Viên chức</v>
          </cell>
          <cell r="O654">
            <v>57</v>
          </cell>
          <cell r="P654">
            <v>25121</v>
          </cell>
          <cell r="Q654">
            <v>0</v>
          </cell>
          <cell r="R654" t="str">
            <v>Tày</v>
          </cell>
          <cell r="S654" t="str">
            <v>1/7/1992</v>
          </cell>
          <cell r="T654" t="str">
            <v>020068005074</v>
          </cell>
          <cell r="U654" t="str">
            <v>Số 39 ngõ 195 Đường Bến Bắc Phường Tam Thanh</v>
          </cell>
          <cell r="W654" t="str">
            <v>000072/LS-CCHN</v>
          </cell>
          <cell r="X654" t="str">
            <v>11/01/2023</v>
          </cell>
          <cell r="Z654" t="str">
            <v>Bác sĩ chuyên khoa Giải phẫu bệnh</v>
          </cell>
          <cell r="AB654" t="str">
            <v/>
          </cell>
          <cell r="AC654" t="str">
            <v>0347315588</v>
          </cell>
        </row>
        <row r="655">
          <cell r="B655" t="str">
            <v>BV0739</v>
          </cell>
          <cell r="C655" t="str">
            <v>Nguyễn Thị Thường</v>
          </cell>
          <cell r="D655" t="str">
            <v>BV0739</v>
          </cell>
          <cell r="E655" t="str">
            <v>x</v>
          </cell>
          <cell r="F655" t="str">
            <v>BSCKI</v>
          </cell>
          <cell r="G655" t="str">
            <v>TĐ003</v>
          </cell>
          <cell r="H655" t="str">
            <v>Bác sĩ (hạng III)</v>
          </cell>
          <cell r="I655" t="str">
            <v>Bác sĩ (hạng III)</v>
          </cell>
          <cell r="J655" t="str">
            <v>GPB</v>
          </cell>
          <cell r="K655" t="str">
            <v>KP035</v>
          </cell>
          <cell r="L655" t="str">
            <v>Lãnh đạo khoa, phòng</v>
          </cell>
          <cell r="M655" t="str">
            <v>Phó trưởng khoa</v>
          </cell>
          <cell r="N655" t="str">
            <v>Viên chức</v>
          </cell>
          <cell r="O655">
            <v>40</v>
          </cell>
          <cell r="P655">
            <v>0</v>
          </cell>
          <cell r="Q655" t="str">
            <v>08/02/1986</v>
          </cell>
          <cell r="R655" t="str">
            <v>Kinh</v>
          </cell>
          <cell r="S655" t="str">
            <v>05/6/2013</v>
          </cell>
          <cell r="T655" t="str">
            <v>020186006250</v>
          </cell>
          <cell r="U655" t="str">
            <v>Trần Quang Khải - P. Lương Văn Tri</v>
          </cell>
          <cell r="W655" t="str">
            <v>003390/LS-CCHN</v>
          </cell>
          <cell r="X655" t="str">
            <v>21/11/2018</v>
          </cell>
          <cell r="Z655" t="str">
            <v>Chuyên khoa xét nghiệm; chuyên khoa Giải phẫu bệnh</v>
          </cell>
          <cell r="AB655" t="str">
            <v/>
          </cell>
          <cell r="AC655" t="str">
            <v>0915595855</v>
          </cell>
          <cell r="AD655" t="str">
            <v>Kiêm nhiệm Phòng QLCL 01/10/2022</v>
          </cell>
        </row>
        <row r="656">
          <cell r="B656" t="str">
            <v>BV0544</v>
          </cell>
          <cell r="C656" t="str">
            <v>Nguyễn Thị Nga</v>
          </cell>
          <cell r="D656" t="str">
            <v>BV0544</v>
          </cell>
          <cell r="E656" t="str">
            <v>x</v>
          </cell>
          <cell r="F656" t="str">
            <v>Điều dưỡng ĐH</v>
          </cell>
          <cell r="G656" t="str">
            <v>TĐ011</v>
          </cell>
          <cell r="H656" t="str">
            <v>Điều dưỡng (hạng III)</v>
          </cell>
          <cell r="I656" t="str">
            <v>Điều dưỡng (hạng III)</v>
          </cell>
          <cell r="J656" t="str">
            <v>GPB</v>
          </cell>
          <cell r="K656" t="str">
            <v>KP035</v>
          </cell>
          <cell r="L656" t="str">
            <v>Lãnh đạo khoa, phòng</v>
          </cell>
          <cell r="M656" t="str">
            <v>Điều dưỡng trưởng</v>
          </cell>
          <cell r="N656" t="str">
            <v>Viên chức</v>
          </cell>
          <cell r="O656">
            <v>44</v>
          </cell>
          <cell r="P656">
            <v>0</v>
          </cell>
          <cell r="Q656">
            <v>29955</v>
          </cell>
          <cell r="R656" t="str">
            <v>Kinh</v>
          </cell>
          <cell r="S656" t="str">
            <v>17/11/2003</v>
          </cell>
          <cell r="T656" t="str">
            <v>024182001620</v>
          </cell>
          <cell r="U656" t="str">
            <v>Số 34 phố Đào Duy Từ - Khối 6 - Phường Đông Kinh</v>
          </cell>
          <cell r="W656" t="str">
            <v>001094/LS-CCHN</v>
          </cell>
          <cell r="X656" t="str">
            <v>11/12/2022</v>
          </cell>
          <cell r="Z656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56" t="str">
            <v/>
          </cell>
          <cell r="AC656" t="str">
            <v>0914345358</v>
          </cell>
        </row>
        <row r="657">
          <cell r="B657" t="str">
            <v>BV0108</v>
          </cell>
          <cell r="C657" t="str">
            <v>Nông Thị Hồng Điệp</v>
          </cell>
          <cell r="D657" t="str">
            <v>BV0108</v>
          </cell>
          <cell r="E657" t="str">
            <v>x</v>
          </cell>
          <cell r="F657" t="str">
            <v>Điều dưỡng CĐ</v>
          </cell>
          <cell r="G657" t="str">
            <v>TĐ012</v>
          </cell>
          <cell r="H657" t="str">
            <v>Điều dưỡng (hạng IV)</v>
          </cell>
          <cell r="I657" t="str">
            <v>Điều dưỡng (hạng IV)</v>
          </cell>
          <cell r="J657" t="str">
            <v>GPB</v>
          </cell>
          <cell r="K657" t="str">
            <v>KP035</v>
          </cell>
          <cell r="L657" t="str">
            <v>Viên chức CMNV</v>
          </cell>
          <cell r="M657">
            <v>0</v>
          </cell>
          <cell r="N657" t="str">
            <v>Viên chức</v>
          </cell>
          <cell r="O657">
            <v>47</v>
          </cell>
          <cell r="P657">
            <v>0</v>
          </cell>
          <cell r="Q657">
            <v>28899</v>
          </cell>
          <cell r="R657" t="str">
            <v>Tày</v>
          </cell>
          <cell r="S657" t="str">
            <v>16/2/2005</v>
          </cell>
          <cell r="T657" t="str">
            <v>020179005644</v>
          </cell>
          <cell r="U657" t="str">
            <v>Số 35/260 đường Phai Vệ - K.16 - P. Đông Kinh</v>
          </cell>
          <cell r="W657" t="str">
            <v>000808/LS-CCHN</v>
          </cell>
          <cell r="X657" t="str">
            <v>11/12/2022</v>
          </cell>
          <cell r="Z65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57" t="str">
            <v/>
          </cell>
          <cell r="AC657" t="str">
            <v>0989205742</v>
          </cell>
        </row>
        <row r="658">
          <cell r="B658" t="str">
            <v>BV0822</v>
          </cell>
          <cell r="C658" t="str">
            <v>Hoàng Đức Thịnh</v>
          </cell>
          <cell r="D658" t="str">
            <v>BV0822</v>
          </cell>
          <cell r="F658" t="str">
            <v>Điều dưỡng CĐ</v>
          </cell>
          <cell r="G658" t="str">
            <v>TĐ012</v>
          </cell>
          <cell r="H658" t="str">
            <v>Điều dưỡng (hạng IV)</v>
          </cell>
          <cell r="I658" t="str">
            <v>Điều dưỡng (hạng IV)</v>
          </cell>
          <cell r="J658" t="str">
            <v>GPB</v>
          </cell>
          <cell r="K658" t="str">
            <v>KP035</v>
          </cell>
          <cell r="L658" t="str">
            <v>Viên chức CMNV</v>
          </cell>
          <cell r="M658">
            <v>0</v>
          </cell>
          <cell r="N658" t="str">
            <v>Viên chức</v>
          </cell>
          <cell r="O658">
            <v>40</v>
          </cell>
          <cell r="P658" t="str">
            <v>19/11/1985</v>
          </cell>
          <cell r="Q658">
            <v>0</v>
          </cell>
          <cell r="R658" t="str">
            <v>Tày</v>
          </cell>
          <cell r="S658" t="str">
            <v>05/6/2013</v>
          </cell>
          <cell r="T658" t="str">
            <v>020085009682</v>
          </cell>
          <cell r="U658" t="str">
            <v>Thôn Hoàng Tâm - P. Tam Thanh</v>
          </cell>
          <cell r="W658" t="str">
            <v>002934/LS-CCHN</v>
          </cell>
          <cell r="X658" t="str">
            <v>11/12/2022</v>
          </cell>
          <cell r="Z658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58" t="str">
            <v/>
          </cell>
          <cell r="AC658" t="str">
            <v>0979606807</v>
          </cell>
          <cell r="AD658" t="str">
            <v>Chuyển đến 19/3/2018</v>
          </cell>
        </row>
        <row r="659">
          <cell r="B659" t="str">
            <v>BV0304</v>
          </cell>
          <cell r="C659" t="str">
            <v>Võ Thị Hương</v>
          </cell>
          <cell r="D659" t="str">
            <v>BV0304</v>
          </cell>
          <cell r="E659" t="str">
            <v>x</v>
          </cell>
          <cell r="F659" t="str">
            <v>Điều dưỡng CĐ</v>
          </cell>
          <cell r="G659" t="str">
            <v>TĐ012</v>
          </cell>
          <cell r="H659" t="str">
            <v>Điều dưỡng (hạng IV)</v>
          </cell>
          <cell r="I659" t="str">
            <v>Điều dưỡng (hạng IV)</v>
          </cell>
          <cell r="J659" t="str">
            <v>GPB</v>
          </cell>
          <cell r="K659" t="str">
            <v>KP035</v>
          </cell>
          <cell r="L659" t="str">
            <v>Viên chức CMNV</v>
          </cell>
          <cell r="M659">
            <v>0</v>
          </cell>
          <cell r="N659" t="str">
            <v>Viên chức</v>
          </cell>
          <cell r="O659">
            <v>49</v>
          </cell>
          <cell r="P659">
            <v>0</v>
          </cell>
          <cell r="Q659">
            <v>28226</v>
          </cell>
          <cell r="R659" t="str">
            <v>Kinh</v>
          </cell>
          <cell r="S659" t="str">
            <v>1/1/2003</v>
          </cell>
          <cell r="T659" t="str">
            <v>020177008975</v>
          </cell>
          <cell r="U659" t="str">
            <v>Số 11, ngõ 548 khối 12, Phường Đông Kinh</v>
          </cell>
          <cell r="W659" t="str">
            <v>001043/LS-CCHN</v>
          </cell>
          <cell r="X659" t="str">
            <v>11/12/2022</v>
          </cell>
          <cell r="Z659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59" t="str">
            <v/>
          </cell>
          <cell r="AC659" t="str">
            <v>0915534789</v>
          </cell>
        </row>
        <row r="660">
          <cell r="B660" t="str">
            <v>BV0553</v>
          </cell>
          <cell r="C660" t="str">
            <v>Nguyễn Tiến Lâm</v>
          </cell>
          <cell r="D660" t="str">
            <v>BV0553</v>
          </cell>
          <cell r="F660" t="str">
            <v>KTY ĐH</v>
          </cell>
          <cell r="G660" t="str">
            <v>TĐ014</v>
          </cell>
          <cell r="H660" t="str">
            <v>Kỹ thuật y (hạng III)</v>
          </cell>
          <cell r="I660" t="str">
            <v>Kỹ thuật y (hạng III)</v>
          </cell>
          <cell r="J660" t="str">
            <v>GPB</v>
          </cell>
          <cell r="K660" t="str">
            <v>KP035</v>
          </cell>
          <cell r="L660" t="str">
            <v>Viên chức CMNV</v>
          </cell>
          <cell r="M660">
            <v>0</v>
          </cell>
          <cell r="N660" t="str">
            <v>Viên chức</v>
          </cell>
          <cell r="O660">
            <v>40</v>
          </cell>
          <cell r="P660">
            <v>31486</v>
          </cell>
          <cell r="Q660">
            <v>0</v>
          </cell>
          <cell r="R660">
            <v>0</v>
          </cell>
          <cell r="S660" t="str">
            <v>1/12/2008</v>
          </cell>
          <cell r="T660" t="str">
            <v>020086002685</v>
          </cell>
          <cell r="U660" t="str">
            <v>Khối Đại Sơn - P. Kỳ Lừa</v>
          </cell>
          <cell r="W660" t="str">
            <v>001099/LS-CCHN</v>
          </cell>
          <cell r="X660" t="str">
            <v>11/12/2022</v>
          </cell>
          <cell r="Z660" t="str">
            <v>Chuyên khoa xét nghiệm</v>
          </cell>
          <cell r="AB660" t="str">
            <v/>
          </cell>
          <cell r="AC660">
            <v>396906811</v>
          </cell>
        </row>
        <row r="661">
          <cell r="B661" t="str">
            <v>BV0144</v>
          </cell>
          <cell r="C661" t="str">
            <v>Hà Thị Kim</v>
          </cell>
          <cell r="D661" t="str">
            <v>BV0144</v>
          </cell>
          <cell r="E661" t="str">
            <v>x</v>
          </cell>
          <cell r="F661" t="str">
            <v>Hộ Lý</v>
          </cell>
          <cell r="G661" t="str">
            <v>TĐ047</v>
          </cell>
          <cell r="I661" t="str">
            <v>Hộ Lý</v>
          </cell>
          <cell r="J661" t="str">
            <v>GPB</v>
          </cell>
          <cell r="K661" t="str">
            <v>KP035</v>
          </cell>
          <cell r="M661">
            <v>0</v>
          </cell>
          <cell r="N661" t="str">
            <v>HĐ theo NĐ161</v>
          </cell>
          <cell r="O661">
            <v>50</v>
          </cell>
          <cell r="P661">
            <v>0</v>
          </cell>
          <cell r="Q661">
            <v>27956</v>
          </cell>
          <cell r="R661" t="str">
            <v>Nùng</v>
          </cell>
          <cell r="S661" t="str">
            <v>5/3/2012</v>
          </cell>
          <cell r="T661" t="str">
            <v>020176005390</v>
          </cell>
          <cell r="U661" t="str">
            <v>Khu Nhà ở xã hội - P. Đông Kinh</v>
          </cell>
          <cell r="W661" t="str">
            <v/>
          </cell>
          <cell r="X661" t="str">
            <v/>
          </cell>
          <cell r="Z661" t="str">
            <v/>
          </cell>
          <cell r="AB661" t="str">
            <v/>
          </cell>
          <cell r="AC661" t="str">
            <v>0367518763</v>
          </cell>
          <cell r="AD661" t="str">
            <v>Chuyển từ HĐ68</v>
          </cell>
        </row>
        <row r="662">
          <cell r="B662" t="str">
            <v>BV0472</v>
          </cell>
          <cell r="C662" t="str">
            <v>Lộc Thị Nga</v>
          </cell>
          <cell r="D662" t="str">
            <v>BV0472</v>
          </cell>
          <cell r="E662" t="str">
            <v>x</v>
          </cell>
          <cell r="F662" t="str">
            <v>Dược sỹ CĐ</v>
          </cell>
          <cell r="G662" t="str">
            <v>TĐ009</v>
          </cell>
          <cell r="H662" t="str">
            <v>Dược (hạng IV)</v>
          </cell>
          <cell r="I662" t="str">
            <v>Dược (hạng IV)</v>
          </cell>
          <cell r="J662" t="str">
            <v>KSNK</v>
          </cell>
          <cell r="K662" t="str">
            <v>KP036</v>
          </cell>
          <cell r="L662" t="str">
            <v>Viên chức CMNV</v>
          </cell>
          <cell r="M662">
            <v>0</v>
          </cell>
          <cell r="N662" t="str">
            <v>Viên chức</v>
          </cell>
          <cell r="O662">
            <v>42</v>
          </cell>
          <cell r="P662">
            <v>0</v>
          </cell>
          <cell r="Q662">
            <v>30854</v>
          </cell>
          <cell r="R662" t="str">
            <v>Tày</v>
          </cell>
          <cell r="S662" t="str">
            <v>15/1/2010</v>
          </cell>
          <cell r="T662" t="str">
            <v>020184009589</v>
          </cell>
          <cell r="U662" t="str">
            <v>Khối Phai Luông, phường Kỳ Lừa, tỉnh Lạng Sơn</v>
          </cell>
          <cell r="W662" t="str">
            <v/>
          </cell>
          <cell r="X662" t="str">
            <v/>
          </cell>
          <cell r="Z662" t="str">
            <v/>
          </cell>
          <cell r="AB662" t="str">
            <v/>
          </cell>
          <cell r="AC662">
            <v>916331189</v>
          </cell>
        </row>
        <row r="663">
          <cell r="B663" t="str">
            <v>BV0222</v>
          </cell>
          <cell r="C663" t="str">
            <v>Hoàng Thị Thùy</v>
          </cell>
          <cell r="D663" t="str">
            <v>BV0222</v>
          </cell>
          <cell r="E663" t="str">
            <v>x</v>
          </cell>
          <cell r="F663" t="str">
            <v>Điều dưỡng ĐH</v>
          </cell>
          <cell r="G663" t="str">
            <v>TĐ011</v>
          </cell>
          <cell r="H663" t="str">
            <v>Điều dưỡng (hạng III)</v>
          </cell>
          <cell r="I663" t="str">
            <v>Điều dưỡng (hạng III)</v>
          </cell>
          <cell r="J663" t="str">
            <v>KSNK</v>
          </cell>
          <cell r="K663" t="str">
            <v>KP036</v>
          </cell>
          <cell r="L663" t="str">
            <v>Viên chức CMNV</v>
          </cell>
          <cell r="M663" t="str">
            <v>Phụ trách điều dưỡng</v>
          </cell>
          <cell r="N663" t="str">
            <v>Viên chức</v>
          </cell>
          <cell r="O663">
            <v>41</v>
          </cell>
          <cell r="P663">
            <v>0</v>
          </cell>
          <cell r="Q663">
            <v>31124</v>
          </cell>
          <cell r="R663" t="str">
            <v>Tày</v>
          </cell>
          <cell r="S663" t="str">
            <v>01/12/2008</v>
          </cell>
          <cell r="T663" t="str">
            <v>020185002499</v>
          </cell>
          <cell r="U663" t="str">
            <v>SN 65/85 phố Muối, Khối 9, phường Tam Thanh, tỉnh Lạng Sơn</v>
          </cell>
          <cell r="W663" t="str">
            <v>000934/LS-CCHN</v>
          </cell>
          <cell r="X663" t="str">
            <v>11/12/2022</v>
          </cell>
          <cell r="Z66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63" t="str">
            <v/>
          </cell>
          <cell r="AC663">
            <v>948313838</v>
          </cell>
        </row>
        <row r="664">
          <cell r="B664" t="str">
            <v>BV0720</v>
          </cell>
          <cell r="C664" t="str">
            <v>Hoàng Ánh Dương</v>
          </cell>
          <cell r="D664" t="str">
            <v>BV0720</v>
          </cell>
          <cell r="F664" t="str">
            <v>Điều dưỡng CĐ</v>
          </cell>
          <cell r="G664" t="str">
            <v>TĐ012</v>
          </cell>
          <cell r="I664" t="str">
            <v>Điều dưỡng (hạng IV)</v>
          </cell>
          <cell r="J664" t="str">
            <v>KSNK</v>
          </cell>
          <cell r="K664" t="str">
            <v>KP036</v>
          </cell>
          <cell r="N664" t="str">
            <v>Viên chức</v>
          </cell>
          <cell r="O664">
            <v>32</v>
          </cell>
          <cell r="P664" t="str">
            <v>08/6/1994</v>
          </cell>
          <cell r="Q664">
            <v>0</v>
          </cell>
          <cell r="R664" t="str">
            <v>Nùng</v>
          </cell>
          <cell r="S664" t="str">
            <v xml:space="preserve"> 29/8/2016</v>
          </cell>
          <cell r="T664" t="str">
            <v xml:space="preserve">020094001059 </v>
          </cell>
          <cell r="U664" t="str">
            <v>SN 74 đường Ba Sơn, khối Pàn Pè, phường Tam Thanh, tỉnh Lạng Sơn</v>
          </cell>
          <cell r="W664" t="str">
            <v>003396/LS-CCHN</v>
          </cell>
          <cell r="X664" t="str">
            <v>21/11/2018</v>
          </cell>
          <cell r="Z66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64" t="str">
            <v/>
          </cell>
          <cell r="AC664" t="str">
            <v>0975639243</v>
          </cell>
          <cell r="AD664" t="str">
            <v>HĐ 29/8/2016; Đỗ VC 20/5/2026</v>
          </cell>
        </row>
        <row r="665">
          <cell r="B665" t="str">
            <v>BV0339</v>
          </cell>
          <cell r="C665" t="str">
            <v>Hoàng Trung Thực</v>
          </cell>
          <cell r="D665" t="str">
            <v>BV0339</v>
          </cell>
          <cell r="F665" t="str">
            <v>Điều dưỡng CĐ</v>
          </cell>
          <cell r="G665" t="str">
            <v>TĐ012</v>
          </cell>
          <cell r="H665" t="str">
            <v>Điều dưỡng (hạng IV)</v>
          </cell>
          <cell r="I665" t="str">
            <v>Điều dưỡng (hạng IV)</v>
          </cell>
          <cell r="J665" t="str">
            <v>KSNK</v>
          </cell>
          <cell r="K665" t="str">
            <v>KP036</v>
          </cell>
          <cell r="L665" t="str">
            <v>Viên chức CMNV</v>
          </cell>
          <cell r="M665">
            <v>0</v>
          </cell>
          <cell r="N665" t="str">
            <v>Viên chức</v>
          </cell>
          <cell r="O665">
            <v>43</v>
          </cell>
          <cell r="P665">
            <v>30440</v>
          </cell>
          <cell r="Q665">
            <v>0</v>
          </cell>
          <cell r="R665" t="str">
            <v>Nùng</v>
          </cell>
          <cell r="S665" t="str">
            <v>01/12/2008</v>
          </cell>
          <cell r="T665" t="str">
            <v>020083002549</v>
          </cell>
          <cell r="U665" t="str">
            <v>sn 21 ngõ 99 Nguyễn Phi Khanh phường Tam Thanh tỉnh Lạng Sơn</v>
          </cell>
          <cell r="W665" t="str">
            <v>000382/LS-CCHN</v>
          </cell>
          <cell r="X665" t="str">
            <v>06/01/2016</v>
          </cell>
          <cell r="Z665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65" t="str">
            <v/>
          </cell>
          <cell r="AC665">
            <v>914289818</v>
          </cell>
        </row>
        <row r="666">
          <cell r="B666" t="str">
            <v>BV0557</v>
          </cell>
          <cell r="C666" t="str">
            <v>Lương Thị Cúc</v>
          </cell>
          <cell r="D666" t="str">
            <v>BV0557</v>
          </cell>
          <cell r="E666" t="str">
            <v>x</v>
          </cell>
          <cell r="F666" t="str">
            <v>Điều dưỡng CĐ</v>
          </cell>
          <cell r="G666" t="str">
            <v>TĐ012</v>
          </cell>
          <cell r="H666" t="str">
            <v>Điều dưỡng (hạng IV)</v>
          </cell>
          <cell r="I666" t="str">
            <v>Điều dưỡng (hạng IV)</v>
          </cell>
          <cell r="J666" t="str">
            <v>KSNK</v>
          </cell>
          <cell r="K666" t="str">
            <v>KP036</v>
          </cell>
          <cell r="L666" t="str">
            <v>Viên chức CMNV</v>
          </cell>
          <cell r="M666">
            <v>0</v>
          </cell>
          <cell r="N666" t="str">
            <v>Viên chức</v>
          </cell>
          <cell r="O666">
            <v>52</v>
          </cell>
          <cell r="P666">
            <v>0</v>
          </cell>
          <cell r="Q666">
            <v>27125</v>
          </cell>
          <cell r="R666" t="str">
            <v>Tày</v>
          </cell>
          <cell r="S666" t="str">
            <v>17/2/2003</v>
          </cell>
          <cell r="T666" t="str">
            <v>020174007587</v>
          </cell>
          <cell r="U666" t="str">
            <v>Khối Phai Duốc, phường Đông Kinh, tỉnh Lạng Sơn</v>
          </cell>
          <cell r="W666" t="str">
            <v>001101/LS-CCHN</v>
          </cell>
          <cell r="X666">
            <v>0</v>
          </cell>
          <cell r="Z666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666" t="str">
            <v/>
          </cell>
          <cell r="AC666" t="str">
            <v>0399690437</v>
          </cell>
        </row>
        <row r="667">
          <cell r="B667" t="str">
            <v>BV0558</v>
          </cell>
          <cell r="C667" t="str">
            <v>Nguyễn Lệ Hà</v>
          </cell>
          <cell r="D667" t="str">
            <v>BV0558</v>
          </cell>
          <cell r="E667" t="str">
            <v>x</v>
          </cell>
          <cell r="F667" t="str">
            <v>Điều dưỡng CĐ</v>
          </cell>
          <cell r="G667" t="str">
            <v>TĐ012</v>
          </cell>
          <cell r="H667" t="str">
            <v>Điều dưỡng (hạng IV)</v>
          </cell>
          <cell r="I66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J667" t="str">
            <v>KSNK</v>
          </cell>
          <cell r="K667" t="str">
            <v>KP036</v>
          </cell>
          <cell r="L667" t="str">
            <v>Viên chức CMNV</v>
          </cell>
          <cell r="M667">
            <v>0</v>
          </cell>
          <cell r="N667" t="str">
            <v>Viên chức</v>
          </cell>
          <cell r="O667">
            <v>37</v>
          </cell>
          <cell r="P667">
            <v>0</v>
          </cell>
          <cell r="Q667">
            <v>32383</v>
          </cell>
          <cell r="R667" t="str">
            <v>Kinh</v>
          </cell>
          <cell r="S667" t="str">
            <v>15/1/2010</v>
          </cell>
          <cell r="T667" t="str">
            <v>020188011242</v>
          </cell>
          <cell r="U667" t="str">
            <v>SN 18, đường Lê Lợi, Khối 3, phường Đông Kinh, tỉnh Lạng Sơn</v>
          </cell>
          <cell r="W667" t="str">
            <v>001102/LS-CCHN</v>
          </cell>
          <cell r="X667" t="str">
            <v>24/06/2013</v>
          </cell>
          <cell r="Z667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667" t="str">
            <v/>
          </cell>
          <cell r="AC667" t="str">
            <v>0975166286</v>
          </cell>
        </row>
        <row r="668">
          <cell r="B668" t="str">
            <v>BV1173</v>
          </cell>
          <cell r="C668" t="str">
            <v>Hoàng Thị Xì</v>
          </cell>
          <cell r="D668" t="str">
            <v>BV1173</v>
          </cell>
          <cell r="E668" t="str">
            <v>x</v>
          </cell>
          <cell r="F668" t="str">
            <v>Kỹ sư</v>
          </cell>
          <cell r="G668" t="str">
            <v>TĐ029</v>
          </cell>
          <cell r="I668" t="str">
            <v>Kỹ sư (hạng III)</v>
          </cell>
          <cell r="J668" t="str">
            <v>KSNK</v>
          </cell>
          <cell r="K668" t="str">
            <v>KP036</v>
          </cell>
          <cell r="N668" t="str">
            <v>Viên chức</v>
          </cell>
          <cell r="O668">
            <v>29</v>
          </cell>
          <cell r="P668">
            <v>0</v>
          </cell>
          <cell r="Q668" t="str">
            <v>12/02/1997</v>
          </cell>
          <cell r="R668" t="str">
            <v>Nùng</v>
          </cell>
          <cell r="S668">
            <v>44623</v>
          </cell>
          <cell r="T668" t="str">
            <v>020197007925</v>
          </cell>
          <cell r="U668" t="str">
            <v>Khối Đại Sơn, phường Kỳ Lừa, tỉnh Lạng Sơn</v>
          </cell>
          <cell r="W668" t="str">
            <v/>
          </cell>
          <cell r="X668" t="str">
            <v/>
          </cell>
          <cell r="Z668" t="str">
            <v/>
          </cell>
          <cell r="AB668" t="str">
            <v/>
          </cell>
          <cell r="AD668" t="str">
            <v>Thử việc từ 01/3/2022, Viên chức từ 15/6/2026</v>
          </cell>
        </row>
        <row r="669">
          <cell r="B669" t="str">
            <v>BV1323</v>
          </cell>
          <cell r="C669" t="str">
            <v>Nguyễn Thị Ngọc Anh</v>
          </cell>
          <cell r="D669" t="str">
            <v>BV1323</v>
          </cell>
          <cell r="E669" t="str">
            <v>x</v>
          </cell>
          <cell r="F669" t="str">
            <v>YTCC</v>
          </cell>
          <cell r="G669" t="str">
            <v>TĐ036</v>
          </cell>
          <cell r="I669" t="str">
            <v>Y tế công cộng (hạng III)</v>
          </cell>
          <cell r="J669" t="str">
            <v>KSNK</v>
          </cell>
          <cell r="K669" t="str">
            <v>KP036</v>
          </cell>
          <cell r="N669" t="str">
            <v>Viên chức</v>
          </cell>
          <cell r="O669">
            <v>24</v>
          </cell>
          <cell r="P669">
            <v>0</v>
          </cell>
          <cell r="Q669" t="str">
            <v>22/9/2001</v>
          </cell>
          <cell r="R669" t="str">
            <v>Kinh</v>
          </cell>
          <cell r="S669">
            <v>45810</v>
          </cell>
          <cell r="T669" t="str">
            <v>020301004621</v>
          </cell>
          <cell r="U669" t="str">
            <v>SN 27/12 đường Bắc Sơn, Khối 2, phường Đông Kinh, tỉnh Lạng Sơn</v>
          </cell>
          <cell r="W669" t="str">
            <v/>
          </cell>
          <cell r="X669" t="str">
            <v/>
          </cell>
          <cell r="Z669" t="str">
            <v/>
          </cell>
          <cell r="AB669" t="str">
            <v/>
          </cell>
          <cell r="AC669" t="str">
            <v>0384655027</v>
          </cell>
          <cell r="AD669" t="str">
            <v>HĐ 02/6/2025, Viên chức từ 15/6/2026</v>
          </cell>
        </row>
        <row r="670">
          <cell r="B670" t="str">
            <v>BV0420</v>
          </cell>
          <cell r="C670" t="str">
            <v>Hoàng Thị Phương</v>
          </cell>
          <cell r="D670" t="str">
            <v>BV0420</v>
          </cell>
          <cell r="E670" t="str">
            <v>x</v>
          </cell>
          <cell r="F670" t="str">
            <v>Hộ lý</v>
          </cell>
          <cell r="G670" t="str">
            <v>TĐ047</v>
          </cell>
          <cell r="I670" t="str">
            <v>Hộ lý</v>
          </cell>
          <cell r="J670" t="str">
            <v>KSNK</v>
          </cell>
          <cell r="K670" t="str">
            <v>KP036</v>
          </cell>
          <cell r="M670">
            <v>0</v>
          </cell>
          <cell r="N670" t="str">
            <v>HĐ theo NĐ161</v>
          </cell>
          <cell r="O670">
            <v>52</v>
          </cell>
          <cell r="P670">
            <v>0</v>
          </cell>
          <cell r="Q670">
            <v>27091</v>
          </cell>
          <cell r="R670" t="str">
            <v>Tày</v>
          </cell>
          <cell r="S670" t="str">
            <v>1/2/2005</v>
          </cell>
          <cell r="T670" t="str">
            <v>020174004286</v>
          </cell>
          <cell r="U670" t="str">
            <v>Thôn Pò Mỏ, Phường Đông Kinh, Tỉnh Lạng Sơn</v>
          </cell>
          <cell r="W670" t="str">
            <v/>
          </cell>
          <cell r="X670" t="str">
            <v/>
          </cell>
          <cell r="Z670" t="str">
            <v/>
          </cell>
          <cell r="AB670" t="str">
            <v/>
          </cell>
          <cell r="AC670" t="str">
            <v>0919597828</v>
          </cell>
          <cell r="AD670" t="str">
            <v>Chuyển từ HĐ68</v>
          </cell>
        </row>
        <row r="671">
          <cell r="B671" t="str">
            <v>BV0239</v>
          </cell>
          <cell r="C671" t="str">
            <v>Nông Thị Đường</v>
          </cell>
          <cell r="D671" t="str">
            <v>BV0239</v>
          </cell>
          <cell r="E671" t="str">
            <v>x</v>
          </cell>
          <cell r="F671" t="str">
            <v>Hộ lý</v>
          </cell>
          <cell r="G671" t="str">
            <v>TĐ047</v>
          </cell>
          <cell r="I671" t="str">
            <v>Hộ lý</v>
          </cell>
          <cell r="J671" t="str">
            <v>Mắt</v>
          </cell>
          <cell r="K671" t="str">
            <v>KP023</v>
          </cell>
          <cell r="M671">
            <v>0</v>
          </cell>
          <cell r="N671" t="str">
            <v>HĐ theo NĐ161</v>
          </cell>
          <cell r="O671">
            <v>53</v>
          </cell>
          <cell r="P671">
            <v>0</v>
          </cell>
          <cell r="Q671">
            <v>26536</v>
          </cell>
          <cell r="R671" t="str">
            <v>Tày</v>
          </cell>
          <cell r="S671" t="str">
            <v>10/5/1999</v>
          </cell>
          <cell r="T671" t="str">
            <v>020172001332</v>
          </cell>
          <cell r="U671" t="str">
            <v>số 4 ngõ 575 Bà Triệu, phường Đông Kinh, tỉnh Lạng Sơn</v>
          </cell>
          <cell r="W671" t="str">
            <v/>
          </cell>
          <cell r="X671" t="str">
            <v/>
          </cell>
          <cell r="Z671" t="str">
            <v/>
          </cell>
          <cell r="AB671" t="str">
            <v/>
          </cell>
          <cell r="AC671" t="str">
            <v>0973058962</v>
          </cell>
          <cell r="AD671" t="str">
            <v>Chuyển từ HĐ68</v>
          </cell>
        </row>
        <row r="672">
          <cell r="B672" t="str">
            <v>BV0880</v>
          </cell>
          <cell r="C672" t="str">
            <v>Dương Thu Hiền</v>
          </cell>
          <cell r="D672" t="str">
            <v>BV0880</v>
          </cell>
          <cell r="E672" t="str">
            <v>x</v>
          </cell>
          <cell r="F672" t="str">
            <v>Hộ Lý</v>
          </cell>
          <cell r="G672" t="str">
            <v>TĐ047</v>
          </cell>
          <cell r="I672" t="str">
            <v>Hộ Lý</v>
          </cell>
          <cell r="J672" t="str">
            <v>KSNK</v>
          </cell>
          <cell r="K672" t="str">
            <v>KP036</v>
          </cell>
          <cell r="N672" t="str">
            <v>HĐ có thời hạn</v>
          </cell>
          <cell r="O672">
            <v>39</v>
          </cell>
          <cell r="P672">
            <v>0</v>
          </cell>
          <cell r="Q672" t="str">
            <v>01/12/1986</v>
          </cell>
          <cell r="R672" t="str">
            <v>Tày</v>
          </cell>
          <cell r="S672" t="str">
            <v>01/11/2018</v>
          </cell>
          <cell r="T672" t="str">
            <v>020186010960</v>
          </cell>
          <cell r="U672" t="str">
            <v>Khối Nà Hán, Phường Kỳ Lừa,Tỉnh Lạng Sơn</v>
          </cell>
          <cell r="W672" t="str">
            <v/>
          </cell>
          <cell r="X672" t="str">
            <v/>
          </cell>
          <cell r="Z672" t="str">
            <v/>
          </cell>
          <cell r="AB672" t="str">
            <v/>
          </cell>
          <cell r="AC672" t="str">
            <v>0344880918</v>
          </cell>
          <cell r="AD672" t="str">
            <v>Thử việc T11/2018</v>
          </cell>
        </row>
        <row r="673">
          <cell r="B673" t="str">
            <v>BV1131</v>
          </cell>
          <cell r="C673" t="str">
            <v>Lê Thị Phượng</v>
          </cell>
          <cell r="D673" t="str">
            <v>BV1131</v>
          </cell>
          <cell r="E673" t="str">
            <v>x</v>
          </cell>
          <cell r="F673" t="str">
            <v>NVPV</v>
          </cell>
          <cell r="G673" t="str">
            <v>TĐ048</v>
          </cell>
          <cell r="I673" t="str">
            <v>NVPV</v>
          </cell>
          <cell r="J673" t="str">
            <v>KSNK</v>
          </cell>
          <cell r="K673" t="str">
            <v>KP036</v>
          </cell>
          <cell r="N673" t="str">
            <v>HĐ có thời hạn</v>
          </cell>
          <cell r="O673">
            <v>48</v>
          </cell>
          <cell r="P673">
            <v>0</v>
          </cell>
          <cell r="Q673" t="str">
            <v>07/11/1977</v>
          </cell>
          <cell r="R673" t="str">
            <v>Kinh</v>
          </cell>
          <cell r="S673" t="str">
            <v xml:space="preserve"> 02/8/2021</v>
          </cell>
          <cell r="T673" t="str">
            <v>024177018862</v>
          </cell>
          <cell r="U673" t="str">
            <v xml:space="preserve">SN 9/45 Ngõ 105 Lê Lợi, Khối 4, phường Đông Kinh, tỉnh Lạng Sơn. </v>
          </cell>
          <cell r="W673" t="str">
            <v/>
          </cell>
          <cell r="X673" t="str">
            <v/>
          </cell>
          <cell r="Z673" t="str">
            <v/>
          </cell>
          <cell r="AB673" t="str">
            <v/>
          </cell>
          <cell r="AD673" t="str">
            <v>Thử việc 02/8/2021</v>
          </cell>
        </row>
        <row r="674">
          <cell r="B674" t="str">
            <v>BV0567</v>
          </cell>
          <cell r="C674" t="str">
            <v>Triệu Văn Hải</v>
          </cell>
          <cell r="D674" t="str">
            <v>BV0567</v>
          </cell>
          <cell r="F674" t="str">
            <v>NVPV</v>
          </cell>
          <cell r="G674" t="str">
            <v>TĐ048</v>
          </cell>
          <cell r="I674" t="str">
            <v>NVPV</v>
          </cell>
          <cell r="J674" t="str">
            <v>KSNK</v>
          </cell>
          <cell r="K674" t="str">
            <v>KP036</v>
          </cell>
          <cell r="M674">
            <v>0</v>
          </cell>
          <cell r="N674" t="str">
            <v>HĐ theo NĐ161</v>
          </cell>
          <cell r="O674">
            <v>49</v>
          </cell>
          <cell r="P674">
            <v>28347</v>
          </cell>
          <cell r="Q674">
            <v>0</v>
          </cell>
          <cell r="R674" t="str">
            <v>Nùng</v>
          </cell>
          <cell r="S674" t="str">
            <v>1/4/2010</v>
          </cell>
          <cell r="T674" t="str">
            <v xml:space="preserve">020076007530 </v>
          </cell>
          <cell r="U674" t="str">
            <v>SN 25 ngõ 238, đường Trần Quang Khải, Khối 2, phường Lương Văn Tri, tỉnh Lạng Sơn</v>
          </cell>
          <cell r="W674" t="str">
            <v/>
          </cell>
          <cell r="X674" t="str">
            <v/>
          </cell>
          <cell r="Z674" t="str">
            <v/>
          </cell>
          <cell r="AB674" t="str">
            <v/>
          </cell>
          <cell r="AC674">
            <v>977255531</v>
          </cell>
          <cell r="AD674" t="str">
            <v>Chuyển từ HĐ68</v>
          </cell>
        </row>
        <row r="675">
          <cell r="B675" t="str">
            <v>BV0566</v>
          </cell>
          <cell r="C675" t="str">
            <v>Linh Chí Thiệu</v>
          </cell>
          <cell r="D675" t="str">
            <v>BV0566</v>
          </cell>
          <cell r="F675" t="str">
            <v>NVPV</v>
          </cell>
          <cell r="G675" t="str">
            <v>TĐ048</v>
          </cell>
          <cell r="I675" t="str">
            <v>NVPV</v>
          </cell>
          <cell r="J675" t="str">
            <v>KSNK</v>
          </cell>
          <cell r="K675" t="str">
            <v>KP036</v>
          </cell>
          <cell r="M675">
            <v>0</v>
          </cell>
          <cell r="N675" t="str">
            <v>HĐ theo NĐ161</v>
          </cell>
          <cell r="O675">
            <v>51</v>
          </cell>
          <cell r="P675">
            <v>27303</v>
          </cell>
          <cell r="Q675">
            <v>0</v>
          </cell>
          <cell r="R675" t="str">
            <v>Nùng</v>
          </cell>
          <cell r="S675" t="str">
            <v>1/4/2010</v>
          </cell>
          <cell r="T675" t="str">
            <v>020074001373</v>
          </cell>
          <cell r="U675" t="str">
            <v>Số 20, Ngõ 5, Khối Pàn Pè, Phường Tam Thanh, Tỉnh Lạng Sơn</v>
          </cell>
          <cell r="W675" t="str">
            <v/>
          </cell>
          <cell r="X675" t="str">
            <v/>
          </cell>
          <cell r="Z675" t="str">
            <v/>
          </cell>
          <cell r="AB675" t="str">
            <v/>
          </cell>
          <cell r="AC675" t="str">
            <v>0963116475</v>
          </cell>
          <cell r="AD675" t="str">
            <v>Chuyển từ HĐ68</v>
          </cell>
        </row>
        <row r="676">
          <cell r="B676" t="str">
            <v>BV0767</v>
          </cell>
          <cell r="C676" t="str">
            <v>Hoàng Văn Hiếu</v>
          </cell>
          <cell r="D676" t="str">
            <v>BV0767</v>
          </cell>
          <cell r="F676" t="str">
            <v>NVPV</v>
          </cell>
          <cell r="G676" t="str">
            <v>TĐ048</v>
          </cell>
          <cell r="I676" t="str">
            <v>NVPV</v>
          </cell>
          <cell r="J676" t="str">
            <v>KSNK</v>
          </cell>
          <cell r="K676" t="str">
            <v>KP036</v>
          </cell>
          <cell r="N676" t="str">
            <v>HĐ có thời hạn</v>
          </cell>
          <cell r="O676">
            <v>34</v>
          </cell>
          <cell r="P676" t="str">
            <v>13/8/1991</v>
          </cell>
          <cell r="Q676">
            <v>0</v>
          </cell>
          <cell r="R676" t="str">
            <v>Tày</v>
          </cell>
          <cell r="S676" t="str">
            <v>01/04/2017</v>
          </cell>
          <cell r="T676" t="str">
            <v>020091011184</v>
          </cell>
          <cell r="U676" t="str">
            <v>Khối Nà Soong, Phường Đông Kinh, Tỉnh Lạng Sơn</v>
          </cell>
          <cell r="W676" t="str">
            <v/>
          </cell>
          <cell r="X676" t="str">
            <v/>
          </cell>
          <cell r="Z676" t="str">
            <v/>
          </cell>
          <cell r="AB676" t="str">
            <v/>
          </cell>
          <cell r="AC676" t="str">
            <v>0825002622</v>
          </cell>
        </row>
        <row r="677">
          <cell r="B677" t="str">
            <v>BV1269</v>
          </cell>
          <cell r="C677" t="str">
            <v>Vi Thị Mai</v>
          </cell>
          <cell r="D677" t="str">
            <v>BV1269</v>
          </cell>
          <cell r="E677" t="str">
            <v>x</v>
          </cell>
          <cell r="F677" t="str">
            <v>NVPV</v>
          </cell>
          <cell r="G677" t="str">
            <v>TĐ048</v>
          </cell>
          <cell r="I677" t="str">
            <v>NVPV</v>
          </cell>
          <cell r="J677" t="str">
            <v>KSNK</v>
          </cell>
          <cell r="K677" t="str">
            <v>KP036</v>
          </cell>
          <cell r="N677" t="str">
            <v>HĐ có thời hạn</v>
          </cell>
          <cell r="O677">
            <v>37</v>
          </cell>
          <cell r="P677">
            <v>0</v>
          </cell>
          <cell r="Q677" t="str">
            <v>19/12/1988</v>
          </cell>
          <cell r="R677" t="str">
            <v>Tày</v>
          </cell>
          <cell r="S677">
            <v>45293</v>
          </cell>
          <cell r="T677" t="str">
            <v>020168003581</v>
          </cell>
          <cell r="U677" t="str">
            <v xml:space="preserve">Khối 10, Phường Đông Kinh, Tỉnh Lạng Sơn </v>
          </cell>
          <cell r="W677" t="str">
            <v/>
          </cell>
          <cell r="X677" t="str">
            <v/>
          </cell>
          <cell r="Z677" t="str">
            <v/>
          </cell>
          <cell r="AB677" t="str">
            <v/>
          </cell>
          <cell r="AC677" t="str">
            <v>0949815669</v>
          </cell>
          <cell r="AD677" t="str">
            <v>HĐ 02/01/2024</v>
          </cell>
        </row>
        <row r="678">
          <cell r="B678" t="str">
            <v>BV1305</v>
          </cell>
          <cell r="C678" t="str">
            <v>Tô Thị Hiếu </v>
          </cell>
          <cell r="D678" t="str">
            <v>BV1305</v>
          </cell>
          <cell r="E678" t="str">
            <v>x</v>
          </cell>
          <cell r="F678" t="str">
            <v>NVPV</v>
          </cell>
          <cell r="G678" t="str">
            <v>TĐ048</v>
          </cell>
          <cell r="I678" t="str">
            <v>NVPV</v>
          </cell>
          <cell r="J678" t="str">
            <v>KSNK</v>
          </cell>
          <cell r="K678" t="str">
            <v>KP036</v>
          </cell>
          <cell r="N678" t="str">
            <v>HĐ có thời hạn</v>
          </cell>
          <cell r="O678">
            <v>40</v>
          </cell>
          <cell r="P678">
            <v>0</v>
          </cell>
          <cell r="Q678" t="str">
            <v>06/10/1985</v>
          </cell>
          <cell r="R678" t="str">
            <v>Tày</v>
          </cell>
          <cell r="S678">
            <v>45664</v>
          </cell>
          <cell r="T678" t="str">
            <v>020185010442</v>
          </cell>
          <cell r="U678" t="str">
            <v>Khối 16, phường Đông Kinh, tỉnh Lạng Sơn</v>
          </cell>
          <cell r="W678" t="str">
            <v/>
          </cell>
          <cell r="X678" t="str">
            <v/>
          </cell>
          <cell r="Z678" t="str">
            <v/>
          </cell>
          <cell r="AB678" t="str">
            <v/>
          </cell>
          <cell r="AC678">
            <v>346742915</v>
          </cell>
          <cell r="AD678" t="str">
            <v>Thử việc 02/01/2025</v>
          </cell>
        </row>
        <row r="679">
          <cell r="B679" t="str">
            <v>BV1307</v>
          </cell>
          <cell r="C679" t="str">
            <v>Lý Thị Phương</v>
          </cell>
          <cell r="D679" t="str">
            <v>BV1307</v>
          </cell>
          <cell r="E679" t="str">
            <v>x</v>
          </cell>
          <cell r="F679" t="str">
            <v>Hộ lý</v>
          </cell>
          <cell r="G679" t="str">
            <v>TĐ047</v>
          </cell>
          <cell r="I679" t="str">
            <v>NVPV</v>
          </cell>
          <cell r="J679" t="str">
            <v>KSNK</v>
          </cell>
          <cell r="K679" t="str">
            <v>KP036</v>
          </cell>
          <cell r="N679" t="str">
            <v>HĐ có thời hạn</v>
          </cell>
          <cell r="O679">
            <v>35</v>
          </cell>
          <cell r="P679">
            <v>0</v>
          </cell>
          <cell r="Q679" t="str">
            <v>27/10/1990</v>
          </cell>
          <cell r="R679" t="str">
            <v>Nùng</v>
          </cell>
          <cell r="S679">
            <v>45748</v>
          </cell>
          <cell r="T679" t="str">
            <v>020190005412</v>
          </cell>
          <cell r="U679" t="str">
            <v>Thôn Nhất Tâm, Xã Đồng Đăng,Tỉnh Lạng Sơn</v>
          </cell>
          <cell r="W679" t="str">
            <v/>
          </cell>
          <cell r="X679" t="str">
            <v/>
          </cell>
          <cell r="Z679" t="str">
            <v/>
          </cell>
          <cell r="AB679" t="str">
            <v/>
          </cell>
          <cell r="AC679">
            <v>977306985</v>
          </cell>
          <cell r="AD679" t="str">
            <v>Thử việc 01/4/2025</v>
          </cell>
        </row>
        <row r="680">
          <cell r="B680" t="str">
            <v>BV0927</v>
          </cell>
          <cell r="C680" t="str">
            <v>Đỗ Nhật Tùng</v>
          </cell>
          <cell r="D680" t="str">
            <v>BV0927</v>
          </cell>
          <cell r="F680" t="str">
            <v>Y học dự phòng</v>
          </cell>
          <cell r="G680" t="str">
            <v>TĐ051</v>
          </cell>
          <cell r="I680" t="str">
            <v>Bác sĩ Y học dự phòng (hạng III)</v>
          </cell>
          <cell r="J680" t="str">
            <v>KSNK</v>
          </cell>
          <cell r="K680" t="str">
            <v>KP036</v>
          </cell>
          <cell r="N680" t="str">
            <v>HĐ có thời hạn</v>
          </cell>
          <cell r="O680">
            <v>32</v>
          </cell>
          <cell r="P680" t="str">
            <v>21/10/1993</v>
          </cell>
          <cell r="Q680">
            <v>0</v>
          </cell>
          <cell r="R680" t="str">
            <v>Kinh</v>
          </cell>
          <cell r="S680" t="str">
            <v>15/8/2019</v>
          </cell>
          <cell r="T680" t="str">
            <v>020093008213</v>
          </cell>
          <cell r="U680" t="str">
            <v>SN 109 đường Tam Thanh, Khối 11, phường Tam Thanh, tỉnh Lạng Sơn</v>
          </cell>
          <cell r="W680" t="str">
            <v>004336/LS-CCHN</v>
          </cell>
          <cell r="X680" t="str">
            <v>17/8/2021</v>
          </cell>
          <cell r="Z680" t="str">
            <v>Phát hiện và xử trí các bệnh thông thường; xử trí ban đầu một số trường hợp cấp cứu tại cộng đồng</v>
          </cell>
          <cell r="AB680" t="str">
            <v/>
          </cell>
          <cell r="AC680" t="str">
            <v>0328125626</v>
          </cell>
          <cell r="AD680" t="str">
            <v>Thử việc 15/8/2019</v>
          </cell>
        </row>
        <row r="681">
          <cell r="B681" t="str">
            <v>BV0097</v>
          </cell>
          <cell r="C681" t="str">
            <v>Nguyễn Thị Oanh</v>
          </cell>
          <cell r="D681" t="str">
            <v>BV0097</v>
          </cell>
          <cell r="E681" t="str">
            <v>x</v>
          </cell>
          <cell r="F681" t="str">
            <v>ĐDCKI</v>
          </cell>
          <cell r="G681" t="e">
            <v>#N/A</v>
          </cell>
          <cell r="H681" t="str">
            <v>Điều dưỡng (hạng II)</v>
          </cell>
          <cell r="I681" t="str">
            <v>Điều dưỡng (hạng II)</v>
          </cell>
          <cell r="J681" t="str">
            <v>KSNK</v>
          </cell>
          <cell r="K681" t="str">
            <v>KP036</v>
          </cell>
          <cell r="L681" t="str">
            <v>Lãnh đạo khoa, phòng</v>
          </cell>
          <cell r="M681" t="str">
            <v>Trưởng khoa</v>
          </cell>
          <cell r="N681" t="str">
            <v>Viên chức</v>
          </cell>
          <cell r="O681">
            <v>45</v>
          </cell>
          <cell r="P681">
            <v>0</v>
          </cell>
          <cell r="Q681">
            <v>29647</v>
          </cell>
          <cell r="R681" t="str">
            <v>Kinh</v>
          </cell>
          <cell r="S681" t="str">
            <v>16/2/2005</v>
          </cell>
          <cell r="T681" t="str">
            <v>030181010513</v>
          </cell>
          <cell r="U681" t="str">
            <v xml:space="preserve">SN 19, Tinh Dầu 2, Khối 3, phường Đông Kinh, tỉnh Lạng Sơn </v>
          </cell>
          <cell r="W681" t="str">
            <v>000802/LS-CCHN</v>
          </cell>
          <cell r="X681" t="str">
            <v>24/06/2013</v>
          </cell>
          <cell r="Z681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681" t="str">
            <v/>
          </cell>
          <cell r="AC681">
            <v>949275558</v>
          </cell>
        </row>
        <row r="682">
          <cell r="B682" t="str">
            <v>BV0409</v>
          </cell>
          <cell r="C682" t="str">
            <v>Chu Thị Bích Thoan</v>
          </cell>
          <cell r="D682" t="str">
            <v>BV0409</v>
          </cell>
          <cell r="E682" t="str">
            <v>x</v>
          </cell>
          <cell r="F682" t="str">
            <v>ĐDCKI</v>
          </cell>
          <cell r="G682" t="e">
            <v>#N/A</v>
          </cell>
          <cell r="H682" t="str">
            <v>Điều dưỡng (hạng III)</v>
          </cell>
          <cell r="I682" t="str">
            <v>Điều dưỡng (hạng III)</v>
          </cell>
          <cell r="J682" t="str">
            <v>KSNK</v>
          </cell>
          <cell r="K682" t="str">
            <v>KP036</v>
          </cell>
          <cell r="L682" t="str">
            <v>Lãnh đạo khoa, phòng</v>
          </cell>
          <cell r="M682" t="str">
            <v>Phó trưởng khoa</v>
          </cell>
          <cell r="N682" t="str">
            <v>Viên chức</v>
          </cell>
          <cell r="O682">
            <v>50</v>
          </cell>
          <cell r="P682">
            <v>0</v>
          </cell>
          <cell r="Q682">
            <v>27765</v>
          </cell>
          <cell r="R682" t="str">
            <v>Nùng</v>
          </cell>
          <cell r="S682" t="str">
            <v>16/2/2005</v>
          </cell>
          <cell r="T682" t="str">
            <v>020176006409</v>
          </cell>
          <cell r="U682" t="str">
            <v>SN 31/3 đường Nguyễn Du, Khối 1, phường Đông Kinh, tỉnh Lạng Sơn</v>
          </cell>
          <cell r="W682" t="str">
            <v>001041/LS-CCHN</v>
          </cell>
          <cell r="X682" t="str">
            <v>24/06/2013</v>
          </cell>
          <cell r="Z682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682" t="str">
            <v/>
          </cell>
          <cell r="AC682">
            <v>915674818</v>
          </cell>
        </row>
        <row r="683">
          <cell r="B683" t="str">
            <v>BV0897</v>
          </cell>
          <cell r="C683" t="str">
            <v>Mông Thị Bích Thùy</v>
          </cell>
          <cell r="D683" t="str">
            <v>BV0897</v>
          </cell>
          <cell r="E683" t="str">
            <v>x</v>
          </cell>
          <cell r="F683" t="str">
            <v>Điều dưỡng ĐH</v>
          </cell>
          <cell r="G683" t="str">
            <v>TĐ011</v>
          </cell>
          <cell r="H683" t="str">
            <v>Điều dưỡng (hạng III)</v>
          </cell>
          <cell r="I683" t="str">
            <v>Điều dưỡng (hạng III)</v>
          </cell>
          <cell r="J683" t="str">
            <v>Điều dưỡng</v>
          </cell>
          <cell r="K683" t="str">
            <v>KP037</v>
          </cell>
          <cell r="L683" t="str">
            <v>Viên chức CMNV</v>
          </cell>
          <cell r="N683" t="str">
            <v>Viên chức</v>
          </cell>
          <cell r="O683">
            <v>28</v>
          </cell>
          <cell r="P683">
            <v>0</v>
          </cell>
          <cell r="Q683" t="str">
            <v>25/08/1997</v>
          </cell>
          <cell r="R683" t="str">
            <v>Nùng</v>
          </cell>
          <cell r="S683" t="str">
            <v>17/4/2019</v>
          </cell>
          <cell r="T683" t="str">
            <v>020197000299</v>
          </cell>
          <cell r="U683" t="str">
            <v>Số 215 Văn Vỉ, Phường Lương Văn Tri, Lạng Sơn</v>
          </cell>
          <cell r="W683" t="str">
            <v>003730/LS-CCHN</v>
          </cell>
          <cell r="X683">
            <v>43973</v>
          </cell>
          <cell r="Z683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83" t="str">
            <v/>
          </cell>
          <cell r="AC683">
            <v>356797430</v>
          </cell>
          <cell r="AD683" t="str">
            <v>Thử việc 17/4/2019; thanh lý HĐ 01/01/2024; VC chuyển đến 01/11/2024</v>
          </cell>
        </row>
        <row r="684">
          <cell r="B684" t="str">
            <v>BV0920</v>
          </cell>
          <cell r="C684" t="str">
            <v>Phùng Thị Thùy Linh</v>
          </cell>
          <cell r="D684" t="str">
            <v>BV0920</v>
          </cell>
          <cell r="E684" t="str">
            <v>x</v>
          </cell>
          <cell r="F684" t="str">
            <v>Điều dưỡng ĐH</v>
          </cell>
          <cell r="G684" t="str">
            <v>TĐ011</v>
          </cell>
          <cell r="H684" t="str">
            <v>Điều dưỡng (hạng IV)</v>
          </cell>
          <cell r="I684" t="str">
            <v>Điều dưỡng (hạng IV)</v>
          </cell>
          <cell r="J684" t="str">
            <v>Điều dưỡng</v>
          </cell>
          <cell r="K684" t="str">
            <v>KP037</v>
          </cell>
          <cell r="L684" t="str">
            <v>Viên chức CMNV</v>
          </cell>
          <cell r="M684">
            <v>0</v>
          </cell>
          <cell r="N684" t="str">
            <v>Viên chức</v>
          </cell>
          <cell r="O684">
            <v>33</v>
          </cell>
          <cell r="P684">
            <v>0</v>
          </cell>
          <cell r="Q684">
            <v>34122</v>
          </cell>
          <cell r="R684" t="str">
            <v>Nùng</v>
          </cell>
          <cell r="S684" t="str">
            <v>01/2/2017</v>
          </cell>
          <cell r="T684" t="str">
            <v>020193006464</v>
          </cell>
          <cell r="U684" t="str">
            <v>Khối 7, phường Tam Thanh, tỉnh Lạng Sơn</v>
          </cell>
          <cell r="W684" t="str">
            <v>003237/LS-CCHN</v>
          </cell>
          <cell r="X684" t="str">
            <v>09/05/2018</v>
          </cell>
          <cell r="Z684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84">
            <v>0</v>
          </cell>
          <cell r="AD684" t="str">
            <v>Chuyển đến 01/8/2019</v>
          </cell>
        </row>
        <row r="685">
          <cell r="B685" t="str">
            <v>BV1132</v>
          </cell>
          <cell r="C685" t="str">
            <v>Vy Thị Tình</v>
          </cell>
          <cell r="D685" t="str">
            <v>BV1132</v>
          </cell>
          <cell r="E685" t="str">
            <v>x</v>
          </cell>
          <cell r="F685" t="str">
            <v>Hộ Lý</v>
          </cell>
          <cell r="G685" t="str">
            <v>TĐ047</v>
          </cell>
          <cell r="I685" t="str">
            <v>Hộ Lý</v>
          </cell>
          <cell r="J685" t="str">
            <v>Điều dưỡng</v>
          </cell>
          <cell r="K685" t="str">
            <v>KP037</v>
          </cell>
          <cell r="N685" t="str">
            <v>HĐ có thời hạn</v>
          </cell>
          <cell r="O685">
            <v>39</v>
          </cell>
          <cell r="P685">
            <v>0</v>
          </cell>
          <cell r="Q685" t="str">
            <v>29/09/1986</v>
          </cell>
          <cell r="R685" t="str">
            <v>Tày</v>
          </cell>
          <cell r="S685">
            <v>44410</v>
          </cell>
          <cell r="T685" t="str">
            <v>020186011671</v>
          </cell>
          <cell r="U685" t="str">
            <v>Bệnh viện đa khoa tỉnh Lạng Sơn, Khối Đại Sơn, Phường Kỳ Lừa</v>
          </cell>
          <cell r="W685" t="str">
            <v/>
          </cell>
          <cell r="X685" t="str">
            <v/>
          </cell>
          <cell r="Z685" t="str">
            <v/>
          </cell>
          <cell r="AB685" t="str">
            <v/>
          </cell>
          <cell r="AC685">
            <v>979250866</v>
          </cell>
          <cell r="AD685" t="str">
            <v>Thử việc 02/8/2021</v>
          </cell>
        </row>
        <row r="686">
          <cell r="B686" t="str">
            <v>BV1245</v>
          </cell>
          <cell r="C686" t="str">
            <v>Lương Thị Lưu</v>
          </cell>
          <cell r="D686" t="str">
            <v>BV1245</v>
          </cell>
          <cell r="E686" t="str">
            <v>x</v>
          </cell>
          <cell r="F686" t="str">
            <v>Hộ lý</v>
          </cell>
          <cell r="G686" t="str">
            <v>TĐ047</v>
          </cell>
          <cell r="I686" t="str">
            <v>NVPV</v>
          </cell>
          <cell r="J686" t="str">
            <v>GM-HS</v>
          </cell>
          <cell r="K686" t="str">
            <v>KP025</v>
          </cell>
          <cell r="N686" t="str">
            <v>HĐ có thời hạn</v>
          </cell>
          <cell r="O686">
            <v>48</v>
          </cell>
          <cell r="P686">
            <v>0</v>
          </cell>
          <cell r="Q686">
            <v>28508</v>
          </cell>
          <cell r="R686" t="str">
            <v>Tày</v>
          </cell>
          <cell r="S686">
            <v>45112</v>
          </cell>
          <cell r="T686" t="str">
            <v>020178002664</v>
          </cell>
          <cell r="U686" t="str">
            <v>Khối Tân Lập, phường Đông Kinh</v>
          </cell>
          <cell r="W686" t="str">
            <v/>
          </cell>
          <cell r="X686" t="str">
            <v/>
          </cell>
          <cell r="Z686" t="str">
            <v/>
          </cell>
          <cell r="AB686" t="str">
            <v/>
          </cell>
          <cell r="AD686" t="str">
            <v>Hợp đồng 05/7/2023</v>
          </cell>
        </row>
        <row r="687">
          <cell r="B687" t="str">
            <v>BV0100</v>
          </cell>
          <cell r="C687" t="str">
            <v>Nguyễn Thị Thu Thương</v>
          </cell>
          <cell r="D687" t="str">
            <v>BV0100</v>
          </cell>
          <cell r="E687" t="str">
            <v>x</v>
          </cell>
          <cell r="F687" t="str">
            <v>ThS Điều dưỡng</v>
          </cell>
          <cell r="G687" t="e">
            <v>#N/A</v>
          </cell>
          <cell r="H687" t="str">
            <v>Điều dưỡng (hạng III)</v>
          </cell>
          <cell r="I687" t="str">
            <v>Điều dưỡng (hạng III)</v>
          </cell>
          <cell r="J687" t="str">
            <v>Điều dưỡng</v>
          </cell>
          <cell r="K687" t="str">
            <v>KP037</v>
          </cell>
          <cell r="L687" t="str">
            <v>Lãnh đạo khoa, phòng</v>
          </cell>
          <cell r="M687" t="str">
            <v>Phó trưởng phòng/ Điều dưỡng trưởng</v>
          </cell>
          <cell r="N687" t="str">
            <v>Viên chức</v>
          </cell>
          <cell r="O687">
            <v>39</v>
          </cell>
          <cell r="P687">
            <v>0</v>
          </cell>
          <cell r="Q687">
            <v>31959</v>
          </cell>
          <cell r="R687" t="str">
            <v>Kinh</v>
          </cell>
          <cell r="S687" t="str">
            <v>15/1/2010</v>
          </cell>
          <cell r="T687" t="str">
            <v>025187009369</v>
          </cell>
          <cell r="U687" t="str">
            <v>SN 14 ngách 2 ngõ 195 Bến Bắc, Phường Tam Thanh, tỉnh Lạng Sơn</v>
          </cell>
          <cell r="W687" t="str">
            <v>000806/LS-CCHN</v>
          </cell>
          <cell r="X687" t="str">
            <v>11/12/2022</v>
          </cell>
          <cell r="Z68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687" t="str">
            <v/>
          </cell>
          <cell r="AC687">
            <v>943098229</v>
          </cell>
        </row>
        <row r="688">
          <cell r="B688" t="str">
            <v>BV0212</v>
          </cell>
          <cell r="C688" t="str">
            <v>Nguyễn Thị Liễu</v>
          </cell>
          <cell r="D688" t="str">
            <v>BV0212</v>
          </cell>
          <cell r="E688" t="str">
            <v>x</v>
          </cell>
          <cell r="F688" t="str">
            <v>ĐDCKI</v>
          </cell>
          <cell r="G688" t="e">
            <v>#N/A</v>
          </cell>
          <cell r="H688" t="str">
            <v>Điều dưỡng (hạng III)</v>
          </cell>
          <cell r="I688" t="str">
            <v>Điều dưỡng (hạng III)</v>
          </cell>
          <cell r="J688" t="str">
            <v>Điều dưỡng</v>
          </cell>
          <cell r="K688" t="str">
            <v>KP037</v>
          </cell>
          <cell r="L688" t="str">
            <v>Lãnh đạo khoa, phòng</v>
          </cell>
          <cell r="M688" t="str">
            <v>Trưởng phòng</v>
          </cell>
          <cell r="N688" t="str">
            <v>Viên chức</v>
          </cell>
          <cell r="O688">
            <v>51</v>
          </cell>
          <cell r="P688">
            <v>0</v>
          </cell>
          <cell r="Q688">
            <v>27373</v>
          </cell>
          <cell r="R688" t="str">
            <v>Kinh</v>
          </cell>
          <cell r="S688" t="str">
            <v>19/4/1997</v>
          </cell>
          <cell r="T688" t="str">
            <v>027174003321</v>
          </cell>
          <cell r="U688" t="str">
            <v>Số 36, Nguyễn Thượng Hiền, Khối 15, Phường kỳ Lừa, tỉnh Lạng Sơn</v>
          </cell>
          <cell r="W688" t="str">
            <v>000930/LS-CCHN</v>
          </cell>
          <cell r="X688" t="str">
            <v>11/01/2023</v>
          </cell>
          <cell r="Z688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688" t="str">
            <v/>
          </cell>
          <cell r="AC688" t="str">
            <v>0919502595</v>
          </cell>
        </row>
        <row r="689">
          <cell r="B689" t="str">
            <v>BV0480</v>
          </cell>
          <cell r="C689" t="str">
            <v>Đinh Thị Huyền Trang</v>
          </cell>
          <cell r="D689" t="str">
            <v>BV0480</v>
          </cell>
          <cell r="E689" t="str">
            <v>x</v>
          </cell>
          <cell r="F689" t="str">
            <v>DSCKI</v>
          </cell>
          <cell r="G689" t="str">
            <v>TĐ007</v>
          </cell>
          <cell r="H689" t="str">
            <v>Dược sĩ (hạng III)</v>
          </cell>
          <cell r="I689" t="str">
            <v>Dược sĩ (hạng III)</v>
          </cell>
          <cell r="J689" t="str">
            <v>VT-TTBYT</v>
          </cell>
          <cell r="K689" t="str">
            <v>KP038</v>
          </cell>
          <cell r="L689" t="str">
            <v>Viên chức CMNV</v>
          </cell>
          <cell r="M689">
            <v>0</v>
          </cell>
          <cell r="N689" t="str">
            <v>Viên chức</v>
          </cell>
          <cell r="O689">
            <v>43</v>
          </cell>
          <cell r="P689">
            <v>0</v>
          </cell>
          <cell r="Q689">
            <v>30322</v>
          </cell>
          <cell r="R689" t="str">
            <v>Nùng</v>
          </cell>
          <cell r="S689" t="str">
            <v>12/1/2008</v>
          </cell>
          <cell r="T689" t="str">
            <v>020183011151</v>
          </cell>
          <cell r="U689" t="str">
            <v>Số 48 khu Hoà Bình, xã Lộc Bình, tỉnh Lạng Sơn</v>
          </cell>
          <cell r="W689" t="str">
            <v/>
          </cell>
          <cell r="X689" t="str">
            <v/>
          </cell>
          <cell r="Z689" t="str">
            <v/>
          </cell>
          <cell r="AB689" t="str">
            <v/>
          </cell>
          <cell r="AC689" t="str">
            <v>0912946184</v>
          </cell>
        </row>
        <row r="690">
          <cell r="B690" t="str">
            <v>BV0465</v>
          </cell>
          <cell r="C690" t="str">
            <v>Hứa Thị Thu Hà</v>
          </cell>
          <cell r="D690" t="str">
            <v>BV0465</v>
          </cell>
          <cell r="E690" t="str">
            <v>x</v>
          </cell>
          <cell r="F690" t="str">
            <v>Dược sỹ ĐH</v>
          </cell>
          <cell r="G690" t="str">
            <v>TĐ008</v>
          </cell>
          <cell r="H690" t="str">
            <v>Dược sĩ (hạng III)</v>
          </cell>
          <cell r="I690" t="str">
            <v>Dược sĩ (hạng III)</v>
          </cell>
          <cell r="J690" t="str">
            <v>VT-TTBYT</v>
          </cell>
          <cell r="K690" t="str">
            <v>KP038</v>
          </cell>
          <cell r="L690" t="str">
            <v>Viên chức CMNV</v>
          </cell>
          <cell r="M690">
            <v>0</v>
          </cell>
          <cell r="N690" t="str">
            <v>Viên chức</v>
          </cell>
          <cell r="O690">
            <v>38</v>
          </cell>
          <cell r="P690">
            <v>0</v>
          </cell>
          <cell r="Q690">
            <v>32011</v>
          </cell>
          <cell r="R690" t="str">
            <v>Nùng</v>
          </cell>
          <cell r="S690" t="str">
            <v>1/5/2008</v>
          </cell>
          <cell r="T690" t="str">
            <v>020187002312</v>
          </cell>
          <cell r="U690" t="str">
            <v>06/311 Bà Triệu, Khối 6 Phường Kỳ Lừa,Tỉnh Lạng sơn</v>
          </cell>
          <cell r="W690" t="str">
            <v/>
          </cell>
          <cell r="X690" t="str">
            <v/>
          </cell>
          <cell r="Z690" t="str">
            <v/>
          </cell>
          <cell r="AB690" t="str">
            <v/>
          </cell>
          <cell r="AC690" t="str">
            <v>0984816818</v>
          </cell>
        </row>
        <row r="691">
          <cell r="B691" t="str">
            <v>BV0461</v>
          </cell>
          <cell r="C691" t="str">
            <v>Hoàng Bích Thủy</v>
          </cell>
          <cell r="D691" t="str">
            <v>BV0461</v>
          </cell>
          <cell r="E691" t="str">
            <v>x</v>
          </cell>
          <cell r="F691" t="str">
            <v>Dược sỹ ĐH</v>
          </cell>
          <cell r="G691" t="str">
            <v>TĐ008</v>
          </cell>
          <cell r="H691" t="str">
            <v>Dược sĩ (hạng III)</v>
          </cell>
          <cell r="I691" t="str">
            <v>Dược sĩ (hạng III)</v>
          </cell>
          <cell r="J691" t="str">
            <v>VT-TTBYT</v>
          </cell>
          <cell r="K691" t="str">
            <v>KP038</v>
          </cell>
          <cell r="L691" t="str">
            <v>Lãnh đạo khoa, phòng</v>
          </cell>
          <cell r="M691" t="str">
            <v>Phó trưởng phòng</v>
          </cell>
          <cell r="N691" t="str">
            <v>Viên chức</v>
          </cell>
          <cell r="O691">
            <v>42</v>
          </cell>
          <cell r="P691">
            <v>0</v>
          </cell>
          <cell r="Q691">
            <v>30632</v>
          </cell>
          <cell r="R691" t="str">
            <v>Tày</v>
          </cell>
          <cell r="S691" t="str">
            <v>16/2/2005</v>
          </cell>
          <cell r="T691" t="str">
            <v>020183002634</v>
          </cell>
          <cell r="U691" t="str">
            <v>Khối 8, phường Đông Kinh, tỉnh Lạng Sơn</v>
          </cell>
          <cell r="W691" t="str">
            <v/>
          </cell>
          <cell r="X691" t="str">
            <v/>
          </cell>
          <cell r="Z691" t="str">
            <v/>
          </cell>
          <cell r="AB691" t="str">
            <v/>
          </cell>
          <cell r="AC691">
            <v>982202585</v>
          </cell>
        </row>
        <row r="692">
          <cell r="B692" t="str">
            <v>BV0474</v>
          </cell>
          <cell r="C692" t="str">
            <v>Nghiêm Lan Hương</v>
          </cell>
          <cell r="D692" t="str">
            <v>BV0474</v>
          </cell>
          <cell r="E692" t="str">
            <v>x</v>
          </cell>
          <cell r="F692" t="str">
            <v>Dược sỹ CĐ</v>
          </cell>
          <cell r="G692" t="str">
            <v>TĐ009</v>
          </cell>
          <cell r="H692" t="str">
            <v>Dược (hạng IV)</v>
          </cell>
          <cell r="I692" t="str">
            <v>Dược (hạng IV)</v>
          </cell>
          <cell r="J692" t="str">
            <v>VT-TTBYT</v>
          </cell>
          <cell r="K692" t="str">
            <v>KP038</v>
          </cell>
          <cell r="L692" t="str">
            <v>Viên chức CMNV</v>
          </cell>
          <cell r="M692">
            <v>0</v>
          </cell>
          <cell r="N692" t="str">
            <v>Viên chức</v>
          </cell>
          <cell r="O692">
            <v>37</v>
          </cell>
          <cell r="P692">
            <v>0</v>
          </cell>
          <cell r="Q692">
            <v>32685</v>
          </cell>
          <cell r="R692" t="str">
            <v>Nùng</v>
          </cell>
          <cell r="S692" t="str">
            <v>1/12/2010</v>
          </cell>
          <cell r="T692" t="str">
            <v>020189002644</v>
          </cell>
          <cell r="U692" t="str">
            <v xml:space="preserve">216 Trần Đăng Ninh, Khối 10 phường Kỳ Lừa, tỉnh Lạng Sơn </v>
          </cell>
          <cell r="W692" t="str">
            <v/>
          </cell>
          <cell r="X692" t="str">
            <v/>
          </cell>
          <cell r="Z692" t="str">
            <v/>
          </cell>
          <cell r="AB692" t="str">
            <v/>
          </cell>
          <cell r="AC692" t="str">
            <v>0962823889</v>
          </cell>
        </row>
        <row r="693">
          <cell r="B693" t="str">
            <v>BV0479</v>
          </cell>
          <cell r="C693" t="str">
            <v>Đỗ Diệu Thúy</v>
          </cell>
          <cell r="D693" t="str">
            <v>BV0479</v>
          </cell>
          <cell r="E693" t="str">
            <v>x</v>
          </cell>
          <cell r="F693" t="str">
            <v>Dược sỹ CĐ</v>
          </cell>
          <cell r="G693" t="str">
            <v>TĐ009</v>
          </cell>
          <cell r="H693" t="str">
            <v>Dược (hạng IV)</v>
          </cell>
          <cell r="I693" t="str">
            <v>Dược (hạng IV)</v>
          </cell>
          <cell r="J693" t="str">
            <v>VT-TTBYT</v>
          </cell>
          <cell r="K693" t="str">
            <v>KP038</v>
          </cell>
          <cell r="L693" t="str">
            <v>Viên chức CMNV</v>
          </cell>
          <cell r="M693">
            <v>0</v>
          </cell>
          <cell r="N693" t="str">
            <v>Viên chức</v>
          </cell>
          <cell r="O693">
            <v>37</v>
          </cell>
          <cell r="P693">
            <v>0</v>
          </cell>
          <cell r="Q693">
            <v>32421</v>
          </cell>
          <cell r="R693" t="str">
            <v>Kinh</v>
          </cell>
          <cell r="S693" t="str">
            <v>01/11/2014</v>
          </cell>
          <cell r="T693" t="str">
            <v>020188001358</v>
          </cell>
          <cell r="U693" t="str">
            <v>95D Ngô Quyền, Khối 11, Phường Đông Kinh, Tỉnh Lạng Sơn</v>
          </cell>
          <cell r="W693" t="str">
            <v/>
          </cell>
          <cell r="X693" t="str">
            <v/>
          </cell>
          <cell r="Z693" t="str">
            <v/>
          </cell>
          <cell r="AB693" t="str">
            <v/>
          </cell>
          <cell r="AC693" t="str">
            <v>0978345001</v>
          </cell>
        </row>
        <row r="694">
          <cell r="B694" t="str">
            <v>BV0446</v>
          </cell>
          <cell r="C694" t="str">
            <v>Nguyễn Thị Huế</v>
          </cell>
          <cell r="D694" t="str">
            <v>BV0446</v>
          </cell>
          <cell r="E694" t="str">
            <v>x</v>
          </cell>
          <cell r="F694" t="str">
            <v>Dược sỹ CĐ</v>
          </cell>
          <cell r="G694" t="str">
            <v>TĐ009</v>
          </cell>
          <cell r="I694" t="str">
            <v>Dược (hạng IV)</v>
          </cell>
          <cell r="J694" t="str">
            <v>VT-TTBYT</v>
          </cell>
          <cell r="K694" t="str">
            <v>KP038</v>
          </cell>
          <cell r="N694" t="str">
            <v>Viên chức</v>
          </cell>
          <cell r="O694">
            <v>42</v>
          </cell>
          <cell r="P694">
            <v>0</v>
          </cell>
          <cell r="Q694">
            <v>30553</v>
          </cell>
          <cell r="R694" t="str">
            <v>Kinh</v>
          </cell>
          <cell r="S694" t="str">
            <v>1/3/2005</v>
          </cell>
          <cell r="T694" t="str">
            <v>015183000846</v>
          </cell>
          <cell r="U694" t="str">
            <v>31/173 Ngô Quyền, K8, Đông Kinh, tỉnh Lạng Sơn</v>
          </cell>
          <cell r="W694" t="str">
            <v/>
          </cell>
          <cell r="X694" t="str">
            <v/>
          </cell>
          <cell r="Z694" t="str">
            <v/>
          </cell>
          <cell r="AB694" t="str">
            <v/>
          </cell>
          <cell r="AC694" t="str">
            <v>0916378366</v>
          </cell>
          <cell r="AD694" t="str">
            <v>Chuyển từ HĐ68, Viên chức từ 15/6/2026</v>
          </cell>
        </row>
        <row r="695">
          <cell r="B695" t="str">
            <v>BV0477</v>
          </cell>
          <cell r="C695" t="str">
            <v>Hoàng Lan Thịnh</v>
          </cell>
          <cell r="D695" t="str">
            <v>BV0477</v>
          </cell>
          <cell r="E695" t="str">
            <v>x</v>
          </cell>
          <cell r="F695" t="str">
            <v>Dược sỹ CĐ</v>
          </cell>
          <cell r="G695" t="str">
            <v>TĐ009</v>
          </cell>
          <cell r="H695" t="str">
            <v>Dược (hạng IV)</v>
          </cell>
          <cell r="I695" t="str">
            <v>Dược (hạng IV)</v>
          </cell>
          <cell r="J695" t="str">
            <v>VT-TTBYT</v>
          </cell>
          <cell r="K695" t="str">
            <v>KP038</v>
          </cell>
          <cell r="L695" t="str">
            <v>Viên chức CMNV</v>
          </cell>
          <cell r="M695">
            <v>0</v>
          </cell>
          <cell r="N695" t="str">
            <v>Viên chức</v>
          </cell>
          <cell r="O695">
            <v>38</v>
          </cell>
          <cell r="P695">
            <v>0</v>
          </cell>
          <cell r="Q695">
            <v>32197</v>
          </cell>
          <cell r="R695" t="str">
            <v>Tày</v>
          </cell>
          <cell r="S695" t="str">
            <v>10/6/2013</v>
          </cell>
          <cell r="T695" t="str">
            <v>020188002921</v>
          </cell>
          <cell r="U695" t="str">
            <v>Khối 11, Phường Tam Thanh, Tỉnh Lạng Sơn</v>
          </cell>
          <cell r="W695" t="str">
            <v/>
          </cell>
          <cell r="X695" t="str">
            <v/>
          </cell>
          <cell r="Z695" t="str">
            <v/>
          </cell>
          <cell r="AB695" t="str">
            <v/>
          </cell>
          <cell r="AC695" t="str">
            <v>0973754656</v>
          </cell>
        </row>
        <row r="696">
          <cell r="B696" t="str">
            <v>BV0473</v>
          </cell>
          <cell r="C696" t="str">
            <v>Đào Minh An</v>
          </cell>
          <cell r="D696" t="str">
            <v>BV0473</v>
          </cell>
          <cell r="E696" t="str">
            <v>x</v>
          </cell>
          <cell r="F696" t="str">
            <v>Dược sỹ CĐ</v>
          </cell>
          <cell r="G696" t="str">
            <v>TĐ009</v>
          </cell>
          <cell r="H696" t="str">
            <v>Dược (hạng IV)</v>
          </cell>
          <cell r="I696" t="str">
            <v>Dược (hạng IV)</v>
          </cell>
          <cell r="J696" t="str">
            <v>VT-TTBYT</v>
          </cell>
          <cell r="K696" t="str">
            <v>KP038</v>
          </cell>
          <cell r="L696" t="str">
            <v>Viên chức CMNV</v>
          </cell>
          <cell r="M696">
            <v>0</v>
          </cell>
          <cell r="N696" t="str">
            <v>Viên chức</v>
          </cell>
          <cell r="O696">
            <v>39</v>
          </cell>
          <cell r="P696">
            <v>0</v>
          </cell>
          <cell r="Q696">
            <v>31669</v>
          </cell>
          <cell r="R696" t="str">
            <v>Nùng</v>
          </cell>
          <cell r="S696" t="str">
            <v>1/12/2010</v>
          </cell>
          <cell r="T696" t="str">
            <v>020186002928</v>
          </cell>
          <cell r="U696" t="str">
            <v>Khối 18, Ngô Quyền , Phường Đông Kinh, Tỉnh Lạng Sơn</v>
          </cell>
          <cell r="W696" t="str">
            <v/>
          </cell>
          <cell r="X696" t="str">
            <v/>
          </cell>
          <cell r="Z696" t="str">
            <v/>
          </cell>
          <cell r="AB696" t="str">
            <v/>
          </cell>
          <cell r="AC696" t="str">
            <v>0979184238</v>
          </cell>
        </row>
        <row r="697">
          <cell r="B697" t="str">
            <v>BV0579</v>
          </cell>
          <cell r="C697" t="str">
            <v>Bùi Mạnh Ước</v>
          </cell>
          <cell r="D697" t="str">
            <v>BV0579</v>
          </cell>
          <cell r="F697" t="str">
            <v>Kỹ sư</v>
          </cell>
          <cell r="G697" t="str">
            <v>TĐ029</v>
          </cell>
          <cell r="H697" t="str">
            <v>Kỹ sư (hạng III)</v>
          </cell>
          <cell r="I697" t="str">
            <v>Kỹ sư (hạng III)</v>
          </cell>
          <cell r="J697" t="str">
            <v>VT-TTBYT</v>
          </cell>
          <cell r="K697" t="str">
            <v>KP038</v>
          </cell>
          <cell r="L697" t="str">
            <v>Lãnh đạo khoa, phòng</v>
          </cell>
          <cell r="M697" t="str">
            <v>Trưởng phòng</v>
          </cell>
          <cell r="N697" t="str">
            <v>Viên chức</v>
          </cell>
          <cell r="O697">
            <v>43</v>
          </cell>
          <cell r="P697">
            <v>30505</v>
          </cell>
          <cell r="Q697">
            <v>0</v>
          </cell>
          <cell r="R697" t="str">
            <v>Kinh</v>
          </cell>
          <cell r="S697" t="str">
            <v>10/6/2013</v>
          </cell>
          <cell r="T697" t="str">
            <v>036083016039</v>
          </cell>
          <cell r="U697" t="str">
            <v>Khối 11, phường Tam Thanh, tỉnh Lạng Sơn</v>
          </cell>
          <cell r="W697" t="str">
            <v/>
          </cell>
          <cell r="X697" t="str">
            <v/>
          </cell>
          <cell r="Z697" t="str">
            <v/>
          </cell>
          <cell r="AB697" t="str">
            <v/>
          </cell>
          <cell r="AC697" t="str">
            <v>0986123321</v>
          </cell>
        </row>
        <row r="698">
          <cell r="B698" t="str">
            <v>BV0577</v>
          </cell>
          <cell r="C698" t="str">
            <v>Ma Duy Tường</v>
          </cell>
          <cell r="D698" t="str">
            <v>BV0577</v>
          </cell>
          <cell r="F698" t="str">
            <v>Kỹ sư</v>
          </cell>
          <cell r="G698" t="str">
            <v>TĐ029</v>
          </cell>
          <cell r="H698" t="str">
            <v>Cán sự</v>
          </cell>
          <cell r="I698" t="str">
            <v>Cán sự</v>
          </cell>
          <cell r="J698" t="str">
            <v>VT-TTBYT</v>
          </cell>
          <cell r="K698" t="str">
            <v>KP038</v>
          </cell>
          <cell r="L698" t="str">
            <v>Viên chức CMNV</v>
          </cell>
          <cell r="M698">
            <v>0</v>
          </cell>
          <cell r="N698" t="str">
            <v>Viên chức</v>
          </cell>
          <cell r="O698">
            <v>57</v>
          </cell>
          <cell r="P698">
            <v>25162</v>
          </cell>
          <cell r="Q698">
            <v>0</v>
          </cell>
          <cell r="R698" t="str">
            <v>Tày</v>
          </cell>
          <cell r="S698" t="str">
            <v>6/6/1989</v>
          </cell>
          <cell r="T698" t="str">
            <v>020068003970</v>
          </cell>
          <cell r="U698" t="str">
            <v>Khối 3, P. Tam Thanh, tỉnh LS</v>
          </cell>
          <cell r="W698" t="str">
            <v/>
          </cell>
          <cell r="X698" t="str">
            <v/>
          </cell>
          <cell r="Z698" t="str">
            <v/>
          </cell>
          <cell r="AB698" t="str">
            <v/>
          </cell>
          <cell r="AC698" t="str">
            <v>0912203099</v>
          </cell>
        </row>
        <row r="699">
          <cell r="B699" t="str">
            <v>BV0751</v>
          </cell>
          <cell r="C699" t="str">
            <v>Lý Minh Thức</v>
          </cell>
          <cell r="D699" t="str">
            <v>BV0751</v>
          </cell>
          <cell r="F699" t="str">
            <v>Kỹ sư</v>
          </cell>
          <cell r="G699" t="str">
            <v>TĐ029</v>
          </cell>
          <cell r="I699" t="str">
            <v>Kỹ sư (hạng III)</v>
          </cell>
          <cell r="J699" t="str">
            <v>VT-TTBYT</v>
          </cell>
          <cell r="K699" t="str">
            <v>KP038</v>
          </cell>
          <cell r="N699" t="str">
            <v>Viên chức</v>
          </cell>
          <cell r="O699">
            <v>39</v>
          </cell>
          <cell r="P699">
            <v>31845</v>
          </cell>
          <cell r="Q699">
            <v>0</v>
          </cell>
          <cell r="R699" t="str">
            <v>Tày</v>
          </cell>
          <cell r="S699" t="str">
            <v xml:space="preserve"> 02/10/2017</v>
          </cell>
          <cell r="T699" t="str">
            <v>020087006810</v>
          </cell>
          <cell r="U699" t="str">
            <v>Số nhà 5/2, khối 26, Phường Kỳ Lừa, Tỉnh Lạng Sơn</v>
          </cell>
          <cell r="W699" t="str">
            <v/>
          </cell>
          <cell r="X699" t="str">
            <v/>
          </cell>
          <cell r="Z699" t="str">
            <v/>
          </cell>
          <cell r="AB699" t="str">
            <v/>
          </cell>
          <cell r="AC699">
            <v>983647097</v>
          </cell>
          <cell r="AD699" t="str">
            <v>HĐ 02/10/2017; Đỗ VC 20/5/2026</v>
          </cell>
        </row>
        <row r="700">
          <cell r="B700" t="str">
            <v>BV1179</v>
          </cell>
          <cell r="C700" t="str">
            <v>Mông Đức Thuận</v>
          </cell>
          <cell r="D700" t="str">
            <v>BV1179</v>
          </cell>
          <cell r="F700" t="str">
            <v>Kỹ sư</v>
          </cell>
          <cell r="G700" t="str">
            <v>TĐ029</v>
          </cell>
          <cell r="I700" t="str">
            <v>Kỹ sư (hạng III)</v>
          </cell>
          <cell r="J700" t="str">
            <v>VT-TTBYT</v>
          </cell>
          <cell r="K700" t="str">
            <v>KP038</v>
          </cell>
          <cell r="N700" t="str">
            <v>Viên chức</v>
          </cell>
          <cell r="O700">
            <v>42</v>
          </cell>
          <cell r="P700" t="str">
            <v>06/9/1983</v>
          </cell>
          <cell r="Q700">
            <v>0</v>
          </cell>
          <cell r="R700" t="str">
            <v>Nùng</v>
          </cell>
          <cell r="S700">
            <v>44718</v>
          </cell>
          <cell r="T700" t="str">
            <v>020083002203</v>
          </cell>
          <cell r="U700" t="str">
            <v>Đường 14 Nam Hoàng Đồng , Phường Tam Thanh, tỉnh Lạng Sơn</v>
          </cell>
          <cell r="W700" t="str">
            <v/>
          </cell>
          <cell r="X700" t="str">
            <v/>
          </cell>
          <cell r="Z700" t="str">
            <v/>
          </cell>
          <cell r="AB700" t="str">
            <v/>
          </cell>
          <cell r="AC700" t="str">
            <v>0915583378</v>
          </cell>
          <cell r="AD700" t="str">
            <v>Hợp đồng 06/6/2022, Viên chức từ 15/6/2026</v>
          </cell>
        </row>
        <row r="701">
          <cell r="B701" t="str">
            <v>BV0804</v>
          </cell>
          <cell r="C701" t="str">
            <v>Lương Thanh Nhàn</v>
          </cell>
          <cell r="D701" t="str">
            <v>BV0804</v>
          </cell>
          <cell r="E701" t="str">
            <v>x</v>
          </cell>
          <cell r="F701" t="str">
            <v>YTCC</v>
          </cell>
          <cell r="G701" t="str">
            <v>TĐ036</v>
          </cell>
          <cell r="I701" t="str">
            <v>Y tế công cộng (hạng III)</v>
          </cell>
          <cell r="J701" t="str">
            <v>VT-TTBYT</v>
          </cell>
          <cell r="K701" t="str">
            <v>KP038</v>
          </cell>
          <cell r="N701" t="str">
            <v>Viên chức</v>
          </cell>
          <cell r="O701">
            <v>31</v>
          </cell>
          <cell r="P701">
            <v>0</v>
          </cell>
          <cell r="Q701" t="str">
            <v>30/10/1994</v>
          </cell>
          <cell r="R701" t="str">
            <v>Tày</v>
          </cell>
          <cell r="S701" t="str">
            <v xml:space="preserve"> 02/10/2017</v>
          </cell>
          <cell r="T701" t="str">
            <v>020194001881</v>
          </cell>
          <cell r="U701" t="str">
            <v>Thôn Lăng Xè, xã Lộc Bình, tỉnh Lạng Sơn</v>
          </cell>
          <cell r="W701" t="str">
            <v/>
          </cell>
          <cell r="X701" t="str">
            <v/>
          </cell>
          <cell r="Z701" t="str">
            <v/>
          </cell>
          <cell r="AB701" t="str">
            <v/>
          </cell>
          <cell r="AC701" t="str">
            <v>0968940994</v>
          </cell>
          <cell r="AD701" t="str">
            <v>HĐ 02/10/2017; Đỗ VC 20/5/2026</v>
          </cell>
        </row>
        <row r="702">
          <cell r="B702" t="str">
            <v>BV0578</v>
          </cell>
          <cell r="C702" t="str">
            <v>Hứa Trọng Tôn</v>
          </cell>
          <cell r="D702" t="str">
            <v>BV0578</v>
          </cell>
          <cell r="F702" t="str">
            <v>CĐ y sinh</v>
          </cell>
          <cell r="G702" t="str">
            <v>TĐ040</v>
          </cell>
          <cell r="H702" t="str">
            <v>Kỹ thuật viên (hạng IV)</v>
          </cell>
          <cell r="I702" t="str">
            <v>Kỹ thuật viên (hạng IV)</v>
          </cell>
          <cell r="J702" t="str">
            <v>VT-TTBYT</v>
          </cell>
          <cell r="K702" t="str">
            <v>KP038</v>
          </cell>
          <cell r="L702" t="str">
            <v>Viên chức CMNV</v>
          </cell>
          <cell r="M702">
            <v>0</v>
          </cell>
          <cell r="N702" t="str">
            <v>Viên chức</v>
          </cell>
          <cell r="O702">
            <v>56</v>
          </cell>
          <cell r="P702">
            <v>25676</v>
          </cell>
          <cell r="Q702">
            <v>0</v>
          </cell>
          <cell r="R702" t="str">
            <v>Nùng</v>
          </cell>
          <cell r="S702" t="str">
            <v>12/4/1995</v>
          </cell>
          <cell r="T702" t="str">
            <v>001070106465</v>
          </cell>
          <cell r="U702" t="str">
            <v>107 đường Hùng Vương, khối Hoàng Hoa Thám, Phường Lương Văn Tri, tỉnh Lạng Sơn</v>
          </cell>
          <cell r="W702" t="str">
            <v/>
          </cell>
          <cell r="X702" t="str">
            <v/>
          </cell>
          <cell r="Z702" t="str">
            <v/>
          </cell>
          <cell r="AB702" t="str">
            <v/>
          </cell>
          <cell r="AC702" t="str">
            <v>0915696858</v>
          </cell>
        </row>
        <row r="703">
          <cell r="B703" t="str">
            <v>BV0580</v>
          </cell>
          <cell r="C703" t="str">
            <v>Ma Bá Tiếp</v>
          </cell>
          <cell r="D703" t="str">
            <v>BV0580</v>
          </cell>
          <cell r="F703" t="str">
            <v>CV cao đẳng</v>
          </cell>
          <cell r="G703" t="str">
            <v>TĐ041</v>
          </cell>
          <cell r="H703" t="str">
            <v>Kỹ thuật viên (hạng IV)</v>
          </cell>
          <cell r="I703" t="str">
            <v>Kỹ thuật viên (hạng IV)</v>
          </cell>
          <cell r="J703" t="str">
            <v>VT-TTBYT</v>
          </cell>
          <cell r="K703" t="str">
            <v>KP038</v>
          </cell>
          <cell r="L703" t="str">
            <v>Viên chức CMNV</v>
          </cell>
          <cell r="M703">
            <v>0</v>
          </cell>
          <cell r="N703" t="str">
            <v>Viên chức</v>
          </cell>
          <cell r="O703">
            <v>36</v>
          </cell>
          <cell r="P703">
            <v>33004</v>
          </cell>
          <cell r="Q703">
            <v>0</v>
          </cell>
          <cell r="R703" t="str">
            <v>Tày</v>
          </cell>
          <cell r="S703" t="str">
            <v>10/6/2013</v>
          </cell>
          <cell r="T703" t="str">
            <v>020090005465</v>
          </cell>
          <cell r="U703" t="str">
            <v xml:space="preserve">33 Bông lau 2,tổ 10 khối 7, Phường Kỳ Lừa </v>
          </cell>
          <cell r="W703" t="str">
            <v/>
          </cell>
          <cell r="X703" t="str">
            <v/>
          </cell>
          <cell r="Z703" t="str">
            <v/>
          </cell>
          <cell r="AB703" t="str">
            <v/>
          </cell>
          <cell r="AC703" t="str">
            <v>0988130531</v>
          </cell>
        </row>
        <row r="704">
          <cell r="B704" t="str">
            <v>BV0585</v>
          </cell>
          <cell r="C704" t="str">
            <v>Lưu Đức Anh</v>
          </cell>
          <cell r="D704" t="str">
            <v>BV0585</v>
          </cell>
          <cell r="F704" t="str">
            <v>NVKT</v>
          </cell>
          <cell r="G704" t="str">
            <v>TĐ046</v>
          </cell>
          <cell r="I704" t="str">
            <v>NVKT</v>
          </cell>
          <cell r="J704" t="str">
            <v>VT-TTBYT</v>
          </cell>
          <cell r="K704" t="str">
            <v>KP038</v>
          </cell>
          <cell r="M704">
            <v>0</v>
          </cell>
          <cell r="N704" t="str">
            <v>HĐ theo NĐ161</v>
          </cell>
          <cell r="O704">
            <v>37</v>
          </cell>
          <cell r="P704">
            <v>32455</v>
          </cell>
          <cell r="Q704">
            <v>0</v>
          </cell>
          <cell r="R704" t="str">
            <v>Kinh</v>
          </cell>
          <cell r="S704" t="str">
            <v>1/12/2008</v>
          </cell>
          <cell r="T704" t="str">
            <v>020088002781</v>
          </cell>
          <cell r="U704" t="str">
            <v>18/3 Nguyễn Du, Phường Đông Kinh, Lạng Sơn</v>
          </cell>
          <cell r="W704" t="str">
            <v/>
          </cell>
          <cell r="X704" t="str">
            <v/>
          </cell>
          <cell r="Z704" t="str">
            <v/>
          </cell>
          <cell r="AB704" t="str">
            <v/>
          </cell>
          <cell r="AC704">
            <v>988181078</v>
          </cell>
          <cell r="AD704" t="str">
            <v>Chuyển từ HĐ68</v>
          </cell>
        </row>
        <row r="705">
          <cell r="B705" t="str">
            <v>BV0582</v>
          </cell>
          <cell r="C705" t="str">
            <v>Trịnh Tuấn Hùng</v>
          </cell>
          <cell r="D705" t="str">
            <v>BV0582</v>
          </cell>
          <cell r="F705" t="str">
            <v>NVKT</v>
          </cell>
          <cell r="G705" t="str">
            <v>TĐ046</v>
          </cell>
          <cell r="I705" t="str">
            <v>NVKT</v>
          </cell>
          <cell r="J705" t="str">
            <v>VT-TTBYT</v>
          </cell>
          <cell r="K705" t="str">
            <v>KP038</v>
          </cell>
          <cell r="M705">
            <v>0</v>
          </cell>
          <cell r="N705" t="str">
            <v>HĐ theo NĐ161</v>
          </cell>
          <cell r="O705">
            <v>53</v>
          </cell>
          <cell r="P705">
            <v>26740</v>
          </cell>
          <cell r="Q705">
            <v>0</v>
          </cell>
          <cell r="R705" t="str">
            <v>Kinh</v>
          </cell>
          <cell r="S705" t="str">
            <v>17/2/2003</v>
          </cell>
          <cell r="T705" t="str">
            <v>020073002108</v>
          </cell>
          <cell r="U705" t="str">
            <v>SN 5 ngõ 7 Đường Hùng Vương Phường Lương Văn Chi, Lạng Sơn</v>
          </cell>
          <cell r="W705" t="str">
            <v/>
          </cell>
          <cell r="X705" t="str">
            <v/>
          </cell>
          <cell r="Z705" t="str">
            <v/>
          </cell>
          <cell r="AB705" t="str">
            <v/>
          </cell>
          <cell r="AC705" t="str">
            <v>0915477965</v>
          </cell>
          <cell r="AD705" t="str">
            <v>Chuyển từ HĐ68</v>
          </cell>
        </row>
        <row r="706">
          <cell r="B706" t="str">
            <v>BV1002</v>
          </cell>
          <cell r="C706" t="str">
            <v>Nguyễn Văn Lý</v>
          </cell>
          <cell r="D706" t="str">
            <v>BV1002</v>
          </cell>
          <cell r="F706" t="str">
            <v>ThS KTYS</v>
          </cell>
          <cell r="G706" t="e">
            <v>#N/A</v>
          </cell>
          <cell r="I706" t="str">
            <v>Kỹ sư (hạng III)</v>
          </cell>
          <cell r="J706" t="str">
            <v>VT-TTBYT</v>
          </cell>
          <cell r="K706" t="str">
            <v>KP038</v>
          </cell>
          <cell r="N706" t="str">
            <v>Viên chức</v>
          </cell>
          <cell r="O706">
            <v>46</v>
          </cell>
          <cell r="P706">
            <v>29396</v>
          </cell>
          <cell r="Q706">
            <v>0</v>
          </cell>
          <cell r="R706" t="str">
            <v>Kinh</v>
          </cell>
          <cell r="S706" t="str">
            <v>01/4/2020</v>
          </cell>
          <cell r="T706" t="str">
            <v>020080004410</v>
          </cell>
          <cell r="U706" t="str">
            <v>Thôn Đồng Bụt, xã Yên Bình, tỉnh Lạng Sơn</v>
          </cell>
          <cell r="W706" t="str">
            <v/>
          </cell>
          <cell r="X706" t="str">
            <v/>
          </cell>
          <cell r="Z706" t="str">
            <v/>
          </cell>
          <cell r="AB706" t="str">
            <v/>
          </cell>
          <cell r="AC706">
            <v>355893333</v>
          </cell>
          <cell r="AD706" t="str">
            <v>Hợp đồng từ 01/4/2020, Viên chức từ 15/6/2026</v>
          </cell>
        </row>
        <row r="707">
          <cell r="B707" t="str">
            <v>BV0821</v>
          </cell>
          <cell r="C707" t="str">
            <v>Trần Đức Vinh</v>
          </cell>
          <cell r="D707" t="str">
            <v>BV0821</v>
          </cell>
          <cell r="F707" t="str">
            <v>BSCKI</v>
          </cell>
          <cell r="G707" t="str">
            <v>TĐ003</v>
          </cell>
          <cell r="H707" t="str">
            <v>Bác sĩ chính (hạng II)</v>
          </cell>
          <cell r="I707" t="str">
            <v>Bác sĩ chính (hạng II)</v>
          </cell>
          <cell r="J707" t="str">
            <v>TCCB</v>
          </cell>
          <cell r="K707" t="str">
            <v>KP039</v>
          </cell>
          <cell r="L707" t="str">
            <v>Lãnh đạo khoa, phòng</v>
          </cell>
          <cell r="M707" t="str">
            <v>Trưởng phòng</v>
          </cell>
          <cell r="N707" t="str">
            <v>Viên chức</v>
          </cell>
          <cell r="O707">
            <v>54</v>
          </cell>
          <cell r="P707" t="str">
            <v>19/8/1971</v>
          </cell>
          <cell r="Q707">
            <v>0</v>
          </cell>
          <cell r="R707" t="str">
            <v>Kinh</v>
          </cell>
          <cell r="S707" t="str">
            <v>25/4/1997</v>
          </cell>
          <cell r="T707" t="str">
            <v>020071007745</v>
          </cell>
          <cell r="U707" t="str">
            <v>Số 10, ngõ 10a, đường Bắc Sơn, Phường Kỳ Lừa, tỉnh Lạng Sơn</v>
          </cell>
          <cell r="W707" t="str">
            <v>001242/LS-CCHN</v>
          </cell>
          <cell r="X707" t="str">
            <v>19/07/2013</v>
          </cell>
          <cell r="Z707" t="str">
            <v>Khám bệnh chữa bệnh chuyên khoa Mắt</v>
          </cell>
          <cell r="AB707">
            <v>0</v>
          </cell>
          <cell r="AC707" t="str">
            <v>0915988189</v>
          </cell>
          <cell r="AD707" t="str">
            <v>Chuyển đến 19/3/2018</v>
          </cell>
        </row>
        <row r="708">
          <cell r="B708" t="str">
            <v>BV0666</v>
          </cell>
          <cell r="C708" t="str">
            <v>Hoàng Tuấn Anh</v>
          </cell>
          <cell r="D708" t="str">
            <v>BV0666</v>
          </cell>
          <cell r="F708" t="str">
            <v>TC CNTT</v>
          </cell>
          <cell r="G708" t="str">
            <v>TĐ028</v>
          </cell>
          <cell r="H708" t="str">
            <v>Công nghệ thông tin (hạng IV)</v>
          </cell>
          <cell r="I708" t="str">
            <v>Công nghệ thông tin (hạng IV)</v>
          </cell>
          <cell r="J708" t="str">
            <v>TCCB</v>
          </cell>
          <cell r="K708" t="str">
            <v>KP039</v>
          </cell>
          <cell r="L708" t="str">
            <v>Viên chức CMNV</v>
          </cell>
          <cell r="M708">
            <v>0</v>
          </cell>
          <cell r="N708" t="str">
            <v>Viên chức</v>
          </cell>
          <cell r="O708">
            <v>52</v>
          </cell>
          <cell r="P708">
            <v>27080</v>
          </cell>
          <cell r="Q708">
            <v>0</v>
          </cell>
          <cell r="R708" t="str">
            <v>Tày</v>
          </cell>
          <cell r="S708" t="str">
            <v>3/2/1993</v>
          </cell>
          <cell r="T708" t="str">
            <v>020074003896</v>
          </cell>
          <cell r="U708" t="str">
            <v>Phường Đông Kinh, tỉnh Lạng Sơn</v>
          </cell>
          <cell r="W708" t="str">
            <v/>
          </cell>
          <cell r="X708" t="str">
            <v/>
          </cell>
          <cell r="Z708" t="str">
            <v/>
          </cell>
          <cell r="AB708" t="str">
            <v/>
          </cell>
          <cell r="AC708" t="str">
            <v>0916519996</v>
          </cell>
        </row>
        <row r="709">
          <cell r="B709" t="str">
            <v>BV0592</v>
          </cell>
          <cell r="C709" t="str">
            <v>Đoàn Trung Tuấn</v>
          </cell>
          <cell r="D709" t="str">
            <v>BV0592</v>
          </cell>
          <cell r="F709" t="str">
            <v>ĐH QTNL</v>
          </cell>
          <cell r="G709" t="str">
            <v>TĐ031</v>
          </cell>
          <cell r="H709" t="str">
            <v>Chuyên viên</v>
          </cell>
          <cell r="I709" t="str">
            <v>Chuyên viên về tổng hợp</v>
          </cell>
          <cell r="J709" t="str">
            <v>TCCB</v>
          </cell>
          <cell r="K709" t="str">
            <v>KP039</v>
          </cell>
          <cell r="L709" t="str">
            <v>Viên chức CMNV</v>
          </cell>
          <cell r="M709">
            <v>0</v>
          </cell>
          <cell r="N709" t="str">
            <v>Viên chức</v>
          </cell>
          <cell r="O709">
            <v>36</v>
          </cell>
          <cell r="P709">
            <v>32840</v>
          </cell>
          <cell r="Q709">
            <v>0</v>
          </cell>
          <cell r="R709" t="str">
            <v>Tày</v>
          </cell>
          <cell r="S709" t="str">
            <v>01/11/2014</v>
          </cell>
          <cell r="T709" t="str">
            <v>020089006691</v>
          </cell>
          <cell r="U709" t="str">
            <v>Khu Hòa Bình, Xã Lộc Bình, Tỉnh Lạng Sơn</v>
          </cell>
          <cell r="W709" t="str">
            <v/>
          </cell>
          <cell r="X709" t="str">
            <v/>
          </cell>
          <cell r="Z709" t="str">
            <v/>
          </cell>
          <cell r="AB709" t="str">
            <v/>
          </cell>
          <cell r="AC709" t="str">
            <v>0396889866</v>
          </cell>
        </row>
        <row r="710">
          <cell r="B710" t="str">
            <v>BV0593</v>
          </cell>
          <cell r="C710" t="str">
            <v>Hoàng Thị Ngọc Mai</v>
          </cell>
          <cell r="D710" t="str">
            <v>BV0593</v>
          </cell>
          <cell r="E710" t="str">
            <v>x</v>
          </cell>
          <cell r="F710" t="str">
            <v>ThS QTNL</v>
          </cell>
          <cell r="G710" t="e">
            <v>#N/A</v>
          </cell>
          <cell r="H710" t="str">
            <v>Chuyên viên</v>
          </cell>
          <cell r="I710" t="str">
            <v>Chuyên viên về tổng hợp</v>
          </cell>
          <cell r="J710" t="str">
            <v>TCCB</v>
          </cell>
          <cell r="K710" t="str">
            <v>KP039</v>
          </cell>
          <cell r="L710" t="str">
            <v>Lãnh đạo khoa, phòng</v>
          </cell>
          <cell r="M710" t="str">
            <v>Phó trưởng phòng</v>
          </cell>
          <cell r="N710" t="str">
            <v>Viên chức</v>
          </cell>
          <cell r="O710">
            <v>34</v>
          </cell>
          <cell r="P710">
            <v>0</v>
          </cell>
          <cell r="Q710" t="str">
            <v>11/4/1992</v>
          </cell>
          <cell r="R710" t="str">
            <v>Nùng</v>
          </cell>
          <cell r="S710" t="str">
            <v>10/1/2016</v>
          </cell>
          <cell r="T710" t="str">
            <v>020192002278</v>
          </cell>
          <cell r="U710" t="str">
            <v>Phường Tam Thanh, tỉnh Lạng Sơn</v>
          </cell>
          <cell r="W710" t="str">
            <v/>
          </cell>
          <cell r="X710" t="str">
            <v/>
          </cell>
          <cell r="Z710" t="str">
            <v/>
          </cell>
          <cell r="AB710" t="str">
            <v/>
          </cell>
          <cell r="AC710" t="str">
            <v>0823456611</v>
          </cell>
        </row>
        <row r="711">
          <cell r="B711" t="str">
            <v>BV0852</v>
          </cell>
          <cell r="C711" t="str">
            <v>Hoàng Thị Hường</v>
          </cell>
          <cell r="D711" t="str">
            <v>BV0852</v>
          </cell>
          <cell r="E711" t="str">
            <v>x</v>
          </cell>
          <cell r="F711" t="str">
            <v>Cử nhân Luật</v>
          </cell>
          <cell r="G711" t="str">
            <v>TĐ033</v>
          </cell>
          <cell r="H711" t="str">
            <v>Chuyên viên</v>
          </cell>
          <cell r="I711" t="str">
            <v>Chuyên viên về pháp chế</v>
          </cell>
          <cell r="J711" t="str">
            <v>TCCB</v>
          </cell>
          <cell r="K711" t="str">
            <v>KP039</v>
          </cell>
          <cell r="L711" t="str">
            <v>Viên chức CMNV</v>
          </cell>
          <cell r="M711">
            <v>0</v>
          </cell>
          <cell r="N711" t="str">
            <v>Viên chức</v>
          </cell>
          <cell r="O711">
            <v>41</v>
          </cell>
          <cell r="P711">
            <v>0</v>
          </cell>
          <cell r="Q711">
            <v>31025</v>
          </cell>
          <cell r="R711" t="str">
            <v>Tày</v>
          </cell>
          <cell r="S711" t="str">
            <v>01/11/2019</v>
          </cell>
          <cell r="T711" t="str">
            <v>020184001479</v>
          </cell>
          <cell r="U711">
            <v>0</v>
          </cell>
          <cell r="W711" t="str">
            <v/>
          </cell>
          <cell r="X711" t="str">
            <v/>
          </cell>
          <cell r="Z711" t="str">
            <v/>
          </cell>
          <cell r="AB711" t="str">
            <v/>
          </cell>
          <cell r="AC711">
            <v>395996289</v>
          </cell>
          <cell r="AD711" t="str">
            <v>TD 01/11/2018</v>
          </cell>
        </row>
        <row r="712">
          <cell r="B712" t="str">
            <v>BV1116</v>
          </cell>
          <cell r="C712" t="str">
            <v>Nguyễn Ngọc Anh</v>
          </cell>
          <cell r="D712" t="str">
            <v>BV1116</v>
          </cell>
          <cell r="E712" t="str">
            <v>x</v>
          </cell>
          <cell r="F712" t="str">
            <v>Cử nhân BH</v>
          </cell>
          <cell r="G712" t="str">
            <v>TĐ034</v>
          </cell>
          <cell r="I712" t="str">
            <v>Chuyên viên về tổng hợp</v>
          </cell>
          <cell r="J712" t="str">
            <v>TCCB</v>
          </cell>
          <cell r="K712" t="str">
            <v>KP039</v>
          </cell>
          <cell r="N712" t="str">
            <v>Viên chức</v>
          </cell>
          <cell r="O712">
            <v>31</v>
          </cell>
          <cell r="P712">
            <v>0</v>
          </cell>
          <cell r="Q712">
            <v>34714</v>
          </cell>
          <cell r="R712" t="str">
            <v>Tày</v>
          </cell>
          <cell r="S712" t="str">
            <v>04/3/2021</v>
          </cell>
          <cell r="T712" t="str">
            <v>020195005716</v>
          </cell>
          <cell r="U712" t="str">
            <v>Phường Đông Kinh, tỉnh Lạng Sơn</v>
          </cell>
          <cell r="W712" t="str">
            <v/>
          </cell>
          <cell r="X712" t="str">
            <v/>
          </cell>
          <cell r="Z712" t="str">
            <v/>
          </cell>
          <cell r="AB712" t="str">
            <v/>
          </cell>
          <cell r="AC712">
            <v>979530589</v>
          </cell>
          <cell r="AD712" t="str">
            <v>Hợp đồng 02/03/2021 (TV02/3-31/3), Viên chức từ 15/6/2026</v>
          </cell>
        </row>
        <row r="713">
          <cell r="B713" t="str">
            <v>BV0798</v>
          </cell>
          <cell r="C713" t="str">
            <v>Trần Thị Lan</v>
          </cell>
          <cell r="D713" t="str">
            <v>BV0798</v>
          </cell>
          <cell r="E713" t="str">
            <v>x</v>
          </cell>
          <cell r="F713" t="str">
            <v>ThS Luật</v>
          </cell>
          <cell r="G713" t="e">
            <v>#N/A</v>
          </cell>
          <cell r="I713" t="str">
            <v>Chuyên viên về pháp chế</v>
          </cell>
          <cell r="J713" t="str">
            <v>TCCB</v>
          </cell>
          <cell r="K713" t="str">
            <v>KP039</v>
          </cell>
          <cell r="N713" t="str">
            <v>Viên chức</v>
          </cell>
          <cell r="O713">
            <v>33</v>
          </cell>
          <cell r="P713">
            <v>0</v>
          </cell>
          <cell r="Q713">
            <v>33947</v>
          </cell>
          <cell r="R713" t="str">
            <v>Tày</v>
          </cell>
          <cell r="S713" t="str">
            <v>22/5/2017</v>
          </cell>
          <cell r="T713" t="str">
            <v>020192010818</v>
          </cell>
          <cell r="U713" t="str">
            <v>Phường Đông Kinh, tỉnh Lạng Sơn</v>
          </cell>
          <cell r="W713" t="str">
            <v/>
          </cell>
          <cell r="X713" t="str">
            <v/>
          </cell>
          <cell r="Z713" t="str">
            <v/>
          </cell>
          <cell r="AB713" t="str">
            <v/>
          </cell>
          <cell r="AC713">
            <v>975025192</v>
          </cell>
          <cell r="AD713" t="str">
            <v>HĐ22/5/2017; Đỗ VC 20/5/2026</v>
          </cell>
        </row>
        <row r="714">
          <cell r="B714" t="str">
            <v>BV0995</v>
          </cell>
          <cell r="C714" t="str">
            <v>Phạm Bạch Trúc Linh</v>
          </cell>
          <cell r="D714" t="str">
            <v>BV0995</v>
          </cell>
          <cell r="E714" t="str">
            <v>x</v>
          </cell>
          <cell r="F714" t="str">
            <v>Cử nhân CTH</v>
          </cell>
          <cell r="G714" t="e">
            <v>#N/A</v>
          </cell>
          <cell r="I714" t="str">
            <v>Chuyên viên về tổng hợp</v>
          </cell>
          <cell r="J714" t="str">
            <v>TCCB</v>
          </cell>
          <cell r="K714" t="str">
            <v>KP039</v>
          </cell>
          <cell r="N714" t="str">
            <v>Viên chức</v>
          </cell>
          <cell r="O714">
            <v>30</v>
          </cell>
          <cell r="P714">
            <v>0</v>
          </cell>
          <cell r="Q714">
            <v>35245</v>
          </cell>
          <cell r="R714" t="str">
            <v>Kinh</v>
          </cell>
          <cell r="S714" t="str">
            <v>18/12/2019</v>
          </cell>
          <cell r="T714" t="str">
            <v>02019600295</v>
          </cell>
          <cell r="U714" t="str">
            <v>Phường Kỳ Lừa, tỉnh Lạng Sơn</v>
          </cell>
          <cell r="W714" t="str">
            <v/>
          </cell>
          <cell r="X714" t="str">
            <v/>
          </cell>
          <cell r="Z714" t="str">
            <v/>
          </cell>
          <cell r="AB714" t="str">
            <v/>
          </cell>
          <cell r="AC714" t="str">
            <v>0977821318</v>
          </cell>
          <cell r="AD714" t="str">
            <v>Thử việc 20/12/2019, Viên chức từ 15/6/2026</v>
          </cell>
        </row>
        <row r="715">
          <cell r="B715" t="str">
            <v>BV0058</v>
          </cell>
          <cell r="C715" t="str">
            <v>Vy Thị Thu Hằng</v>
          </cell>
          <cell r="D715" t="str">
            <v>BV0058</v>
          </cell>
          <cell r="E715" t="str">
            <v>x</v>
          </cell>
          <cell r="F715" t="str">
            <v>Điều dưỡng ĐH</v>
          </cell>
          <cell r="G715" t="str">
            <v>TĐ011</v>
          </cell>
          <cell r="H715" t="str">
            <v>Điều dưỡng (hạng III)</v>
          </cell>
          <cell r="I715" t="str">
            <v>Điều dưỡng (hạng III)</v>
          </cell>
          <cell r="J715" t="str">
            <v>HCQT</v>
          </cell>
          <cell r="K715" t="str">
            <v>KP040</v>
          </cell>
          <cell r="L715" t="str">
            <v>Lãnh đạo khoa, phòng</v>
          </cell>
          <cell r="M715" t="str">
            <v>Trưởng phòng</v>
          </cell>
          <cell r="N715" t="str">
            <v>Viên chức</v>
          </cell>
          <cell r="O715">
            <v>43</v>
          </cell>
          <cell r="P715">
            <v>0</v>
          </cell>
          <cell r="Q715">
            <v>30391</v>
          </cell>
          <cell r="R715" t="str">
            <v>Tày</v>
          </cell>
          <cell r="S715" t="str">
            <v>7/11/2006</v>
          </cell>
          <cell r="T715" t="str">
            <v>008183001214</v>
          </cell>
          <cell r="U715" t="str">
            <v>Số nhà 25, tổ 1, khối 26, Phường Kỳ Lừa, tỉnh Lạng Sơn</v>
          </cell>
          <cell r="W715" t="str">
            <v>000774/LS-CCHN</v>
          </cell>
          <cell r="X715" t="str">
            <v>11/12/2022</v>
          </cell>
          <cell r="Z715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715" t="str">
            <v/>
          </cell>
          <cell r="AC715">
            <v>984274318</v>
          </cell>
        </row>
        <row r="716">
          <cell r="B716" t="str">
            <v>BV0596</v>
          </cell>
          <cell r="C716" t="str">
            <v>Phạm Văn Bình</v>
          </cell>
          <cell r="D716" t="str">
            <v>BV0596</v>
          </cell>
          <cell r="F716" t="str">
            <v>Điều dưỡng ĐH</v>
          </cell>
          <cell r="G716" t="str">
            <v>TĐ011</v>
          </cell>
          <cell r="H716" t="str">
            <v>Điều dưỡng (hạng III)</v>
          </cell>
          <cell r="I716" t="str">
            <v>Điều dưỡng (hạng III)</v>
          </cell>
          <cell r="J716" t="str">
            <v>HCQT</v>
          </cell>
          <cell r="K716" t="str">
            <v>KP040</v>
          </cell>
          <cell r="L716" t="str">
            <v>Lãnh đạo khoa, phòng</v>
          </cell>
          <cell r="M716" t="str">
            <v>Phó trưởng phòng</v>
          </cell>
          <cell r="N716" t="str">
            <v>Viên chức</v>
          </cell>
          <cell r="O716">
            <v>54</v>
          </cell>
          <cell r="P716">
            <v>26197</v>
          </cell>
          <cell r="Q716">
            <v>0</v>
          </cell>
          <cell r="R716" t="str">
            <v>Kinh</v>
          </cell>
          <cell r="S716" t="str">
            <v>10/1/1996</v>
          </cell>
          <cell r="T716" t="str">
            <v>020071000384</v>
          </cell>
          <cell r="U716" t="str">
            <v>Khối 1, Phường Kỳ Lừa, tỉnh Lạng Sơn</v>
          </cell>
          <cell r="W716" t="str">
            <v>001104/LS-CCHN</v>
          </cell>
          <cell r="X716" t="str">
            <v>24/06/2013</v>
          </cell>
          <cell r="Z716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716" t="str">
            <v/>
          </cell>
          <cell r="AC716" t="str">
            <v>0912259060</v>
          </cell>
        </row>
        <row r="717">
          <cell r="B717" t="str">
            <v>BV0626</v>
          </cell>
          <cell r="C717" t="str">
            <v>Trần Mậu Quý</v>
          </cell>
          <cell r="D717" t="str">
            <v>BV0626</v>
          </cell>
          <cell r="F717" t="str">
            <v>KTCĐ</v>
          </cell>
          <cell r="G717" t="str">
            <v>TĐ022</v>
          </cell>
          <cell r="I717" t="str">
            <v>Kế toán viên trung cấp (hạng IV)</v>
          </cell>
          <cell r="J717" t="str">
            <v>HCQT</v>
          </cell>
          <cell r="K717" t="str">
            <v>KP040</v>
          </cell>
          <cell r="N717" t="str">
            <v>Viên chức</v>
          </cell>
          <cell r="O717">
            <v>46</v>
          </cell>
          <cell r="P717">
            <v>29110</v>
          </cell>
          <cell r="Q717">
            <v>0</v>
          </cell>
          <cell r="R717" t="str">
            <v>Kinh</v>
          </cell>
          <cell r="S717" t="str">
            <v>5/1/2015</v>
          </cell>
          <cell r="T717" t="str">
            <v>020079009951</v>
          </cell>
          <cell r="U717">
            <v>0</v>
          </cell>
          <cell r="W717" t="str">
            <v/>
          </cell>
          <cell r="X717" t="str">
            <v/>
          </cell>
          <cell r="Z717" t="str">
            <v/>
          </cell>
          <cell r="AB717" t="str">
            <v/>
          </cell>
          <cell r="AC717" t="str">
            <v>0978407185</v>
          </cell>
          <cell r="AD717" t="str">
            <v>Viên chức từ 15/6/2026</v>
          </cell>
        </row>
        <row r="718">
          <cell r="B718" t="str">
            <v>BV0621</v>
          </cell>
          <cell r="C718" t="str">
            <v>Hoàng Thị Dầm</v>
          </cell>
          <cell r="D718" t="str">
            <v>BV0621</v>
          </cell>
          <cell r="E718" t="str">
            <v>x</v>
          </cell>
          <cell r="F718" t="str">
            <v>KTCĐ</v>
          </cell>
          <cell r="G718" t="str">
            <v>TĐ022</v>
          </cell>
          <cell r="I718" t="str">
            <v>Kế toán viên trung cấp (hạng IV)</v>
          </cell>
          <cell r="J718" t="str">
            <v>HCQT</v>
          </cell>
          <cell r="K718" t="str">
            <v>KP040</v>
          </cell>
          <cell r="N718" t="str">
            <v>Viên chức</v>
          </cell>
          <cell r="O718">
            <v>37</v>
          </cell>
          <cell r="P718">
            <v>0</v>
          </cell>
          <cell r="Q718">
            <v>32482</v>
          </cell>
          <cell r="R718" t="str">
            <v>Tày</v>
          </cell>
          <cell r="S718" t="str">
            <v>1/2/2013</v>
          </cell>
          <cell r="T718" t="str">
            <v>020188005204</v>
          </cell>
          <cell r="U718" t="str">
            <v xml:space="preserve"> 55, Phố Muối, khối 1, Phường Tam Thanh, Tỉnh Lạng Sơn</v>
          </cell>
          <cell r="W718" t="str">
            <v/>
          </cell>
          <cell r="X718" t="str">
            <v/>
          </cell>
          <cell r="Z718" t="str">
            <v/>
          </cell>
          <cell r="AB718" t="str">
            <v/>
          </cell>
          <cell r="AC718" t="str">
            <v>0963083288</v>
          </cell>
          <cell r="AD718" t="str">
            <v>Chuyển từ HĐ68, Viên chức từ 15/6/2026</v>
          </cell>
        </row>
        <row r="719">
          <cell r="B719" t="str">
            <v>BV0598</v>
          </cell>
          <cell r="C719" t="str">
            <v>Lê Ngọc Ân</v>
          </cell>
          <cell r="D719" t="str">
            <v>BV0598</v>
          </cell>
          <cell r="F719" t="str">
            <v>Kỹ sư</v>
          </cell>
          <cell r="G719" t="str">
            <v>TĐ029</v>
          </cell>
          <cell r="H719" t="str">
            <v>Kỹ sư (hạng III)</v>
          </cell>
          <cell r="I719" t="str">
            <v>Kỹ sư (hạng III)</v>
          </cell>
          <cell r="J719" t="str">
            <v>HCQT</v>
          </cell>
          <cell r="K719" t="str">
            <v>KP040</v>
          </cell>
          <cell r="L719" t="str">
            <v>Viên chức CMNV</v>
          </cell>
          <cell r="M719">
            <v>0</v>
          </cell>
          <cell r="N719" t="str">
            <v>Viên chức</v>
          </cell>
          <cell r="O719">
            <v>47</v>
          </cell>
          <cell r="P719">
            <v>28735</v>
          </cell>
          <cell r="Q719">
            <v>0</v>
          </cell>
          <cell r="R719" t="str">
            <v>Tày</v>
          </cell>
          <cell r="S719" t="str">
            <v>1/12/2008</v>
          </cell>
          <cell r="T719" t="str">
            <v>020078002034</v>
          </cell>
          <cell r="U719">
            <v>0</v>
          </cell>
          <cell r="W719" t="str">
            <v/>
          </cell>
          <cell r="X719" t="str">
            <v/>
          </cell>
          <cell r="Z719" t="str">
            <v/>
          </cell>
          <cell r="AB719" t="str">
            <v/>
          </cell>
          <cell r="AC719">
            <v>982143202</v>
          </cell>
        </row>
        <row r="720">
          <cell r="B720" t="str">
            <v>BV0600</v>
          </cell>
          <cell r="C720" t="str">
            <v>Triệu Thị Hằng</v>
          </cell>
          <cell r="D720" t="str">
            <v>BV0600</v>
          </cell>
          <cell r="E720" t="str">
            <v>x</v>
          </cell>
          <cell r="F720" t="str">
            <v>ThS Quản lý công</v>
          </cell>
          <cell r="G720" t="e">
            <v>#N/A</v>
          </cell>
          <cell r="H720" t="str">
            <v>Chuyên viên</v>
          </cell>
          <cell r="I720" t="str">
            <v>Chuyên viên về HCVP</v>
          </cell>
          <cell r="J720" t="str">
            <v>HCQT</v>
          </cell>
          <cell r="K720" t="str">
            <v>KP040</v>
          </cell>
          <cell r="L720" t="str">
            <v>Lãnh đạo khoa, phòng</v>
          </cell>
          <cell r="M720" t="str">
            <v>Phó trưởng phòng</v>
          </cell>
          <cell r="N720" t="str">
            <v>Viên chức</v>
          </cell>
          <cell r="O720">
            <v>37</v>
          </cell>
          <cell r="P720">
            <v>0</v>
          </cell>
          <cell r="Q720">
            <v>32433</v>
          </cell>
          <cell r="R720" t="str">
            <v>Dao</v>
          </cell>
          <cell r="S720" t="str">
            <v>10/6/2013</v>
          </cell>
          <cell r="T720" t="str">
            <v>020188012707</v>
          </cell>
          <cell r="U720">
            <v>0</v>
          </cell>
          <cell r="W720" t="str">
            <v/>
          </cell>
          <cell r="X720" t="str">
            <v/>
          </cell>
          <cell r="Z720" t="str">
            <v/>
          </cell>
          <cell r="AB720" t="str">
            <v/>
          </cell>
          <cell r="AC720">
            <v>917238286</v>
          </cell>
        </row>
        <row r="721">
          <cell r="B721" t="str">
            <v>BV0819</v>
          </cell>
          <cell r="C721" t="str">
            <v>Lưu Mai Hương</v>
          </cell>
          <cell r="D721" t="str">
            <v>BV0819</v>
          </cell>
          <cell r="E721" t="str">
            <v>x</v>
          </cell>
          <cell r="F721" t="str">
            <v>Cử nhân HC</v>
          </cell>
          <cell r="G721" t="str">
            <v>TĐ035</v>
          </cell>
          <cell r="H721" t="str">
            <v>Chuyên viên</v>
          </cell>
          <cell r="I721" t="str">
            <v>Chuyên viên về HCVP</v>
          </cell>
          <cell r="J721" t="str">
            <v>HCQT</v>
          </cell>
          <cell r="K721" t="str">
            <v>KP040</v>
          </cell>
          <cell r="L721" t="str">
            <v>Viên chức CMNV</v>
          </cell>
          <cell r="M721">
            <v>0</v>
          </cell>
          <cell r="N721" t="str">
            <v>Viên chức</v>
          </cell>
          <cell r="O721">
            <v>30</v>
          </cell>
          <cell r="P721">
            <v>0</v>
          </cell>
          <cell r="Q721">
            <v>35045</v>
          </cell>
          <cell r="R721" t="str">
            <v>Kinh</v>
          </cell>
          <cell r="S721" t="str">
            <v>11/12/2018</v>
          </cell>
          <cell r="T721" t="str">
            <v>020195006010</v>
          </cell>
          <cell r="U721">
            <v>0</v>
          </cell>
          <cell r="W721" t="str">
            <v/>
          </cell>
          <cell r="X721" t="str">
            <v/>
          </cell>
          <cell r="Z721" t="str">
            <v/>
          </cell>
          <cell r="AB721" t="str">
            <v/>
          </cell>
          <cell r="AC721">
            <v>815678891</v>
          </cell>
          <cell r="AD721" t="str">
            <v>HĐ từ 12/12/2017; BC 5/4/2019</v>
          </cell>
        </row>
        <row r="722">
          <cell r="B722" t="str">
            <v>BV0620</v>
          </cell>
          <cell r="C722" t="str">
            <v>Lý Minh Hường</v>
          </cell>
          <cell r="D722" t="str">
            <v>BV0620</v>
          </cell>
          <cell r="E722" t="str">
            <v>x</v>
          </cell>
          <cell r="F722" t="str">
            <v>Cử nhân HC</v>
          </cell>
          <cell r="G722" t="str">
            <v>TĐ035</v>
          </cell>
          <cell r="H722" t="str">
            <v>Chuyên viên</v>
          </cell>
          <cell r="I722" t="str">
            <v>Chuyên viên về HCVP</v>
          </cell>
          <cell r="J722" t="str">
            <v>HCQT</v>
          </cell>
          <cell r="K722" t="str">
            <v>KP040</v>
          </cell>
          <cell r="L722" t="str">
            <v>Viên chức CMNV</v>
          </cell>
          <cell r="M722">
            <v>0</v>
          </cell>
          <cell r="N722" t="str">
            <v>Viên chức</v>
          </cell>
          <cell r="O722">
            <v>45</v>
          </cell>
          <cell r="P722">
            <v>0</v>
          </cell>
          <cell r="Q722">
            <v>29614</v>
          </cell>
          <cell r="R722" t="str">
            <v>Kinh</v>
          </cell>
          <cell r="S722" t="str">
            <v>15/4/2008</v>
          </cell>
          <cell r="T722" t="str">
            <v>020181009302</v>
          </cell>
          <cell r="U722" t="str">
            <v>Khối 6, Phường Đông Kinh, tỉnh Lạng Sơn</v>
          </cell>
          <cell r="W722" t="str">
            <v/>
          </cell>
          <cell r="X722" t="str">
            <v/>
          </cell>
          <cell r="Z722" t="str">
            <v/>
          </cell>
          <cell r="AB722" t="str">
            <v/>
          </cell>
          <cell r="AC722" t="str">
            <v>0914333183</v>
          </cell>
        </row>
        <row r="723">
          <cell r="B723" t="str">
            <v>BV0612</v>
          </cell>
          <cell r="C723" t="str">
            <v>Nguyễn Thị Hà</v>
          </cell>
          <cell r="D723" t="str">
            <v>BV0612</v>
          </cell>
          <cell r="E723" t="str">
            <v>x</v>
          </cell>
          <cell r="F723" t="str">
            <v>Văn thư</v>
          </cell>
          <cell r="G723" t="str">
            <v>TĐ042</v>
          </cell>
          <cell r="H723" t="str">
            <v>Văn thư viên trung cấp</v>
          </cell>
          <cell r="I723" t="str">
            <v>Văn thư viên trung cấp</v>
          </cell>
          <cell r="J723" t="str">
            <v>HCQT</v>
          </cell>
          <cell r="K723" t="str">
            <v>KP040</v>
          </cell>
          <cell r="L723" t="str">
            <v>Viên chức CMNV</v>
          </cell>
          <cell r="M723">
            <v>0</v>
          </cell>
          <cell r="N723" t="str">
            <v>Viên chức</v>
          </cell>
          <cell r="O723">
            <v>53</v>
          </cell>
          <cell r="P723">
            <v>0</v>
          </cell>
          <cell r="Q723">
            <v>26566</v>
          </cell>
          <cell r="R723" t="str">
            <v>Kinh</v>
          </cell>
          <cell r="S723" t="str">
            <v>10/6/2013</v>
          </cell>
          <cell r="T723" t="str">
            <v>020172001989</v>
          </cell>
          <cell r="U723" t="str">
            <v>Khối 11, Phường tam thanh, tỉnh Lạng Sơn</v>
          </cell>
          <cell r="W723" t="str">
            <v/>
          </cell>
          <cell r="X723" t="str">
            <v/>
          </cell>
          <cell r="Z723" t="str">
            <v/>
          </cell>
          <cell r="AB723" t="str">
            <v/>
          </cell>
          <cell r="AC723" t="str">
            <v>0976841629</v>
          </cell>
        </row>
        <row r="724">
          <cell r="B724" t="str">
            <v>BV0601</v>
          </cell>
          <cell r="C724" t="str">
            <v>Lương Viết Bảo</v>
          </cell>
          <cell r="D724" t="str">
            <v>BV0601</v>
          </cell>
          <cell r="F724" t="str">
            <v>Lái xe</v>
          </cell>
          <cell r="G724" t="str">
            <v>TĐ043</v>
          </cell>
          <cell r="H724" t="str">
            <v>Nhân viên</v>
          </cell>
          <cell r="I724" t="str">
            <v>NVLX</v>
          </cell>
          <cell r="J724" t="str">
            <v>HCQT</v>
          </cell>
          <cell r="K724" t="str">
            <v>KP040</v>
          </cell>
          <cell r="L724" t="str">
            <v>VC thừa hành, phục vụ</v>
          </cell>
          <cell r="M724">
            <v>0</v>
          </cell>
          <cell r="N724" t="str">
            <v>Viên chức</v>
          </cell>
          <cell r="O724">
            <v>61</v>
          </cell>
          <cell r="P724">
            <v>23847</v>
          </cell>
          <cell r="Q724">
            <v>0</v>
          </cell>
          <cell r="R724" t="str">
            <v>Tày</v>
          </cell>
          <cell r="S724" t="str">
            <v>1/7/1985</v>
          </cell>
          <cell r="T724" t="str">
            <v>020065001559</v>
          </cell>
          <cell r="U724" t="str">
            <v>36 Bông Lau, Khối 14, phường Kỳ Lừa, tỉnh Lạng Sơn</v>
          </cell>
          <cell r="W724" t="str">
            <v/>
          </cell>
          <cell r="X724" t="str">
            <v/>
          </cell>
          <cell r="Z724" t="str">
            <v/>
          </cell>
          <cell r="AB724" t="str">
            <v/>
          </cell>
          <cell r="AC724" t="str">
            <v>0915459658</v>
          </cell>
        </row>
        <row r="725">
          <cell r="B725" t="str">
            <v>BV0603</v>
          </cell>
          <cell r="C725" t="str">
            <v>Dương Công Đức</v>
          </cell>
          <cell r="D725" t="str">
            <v>BV0603</v>
          </cell>
          <cell r="F725" t="str">
            <v>Lái xe</v>
          </cell>
          <cell r="G725" t="str">
            <v>TĐ043</v>
          </cell>
          <cell r="I725" t="str">
            <v>NVLX</v>
          </cell>
          <cell r="J725" t="str">
            <v>HCQT</v>
          </cell>
          <cell r="K725" t="str">
            <v>KP040</v>
          </cell>
          <cell r="M725">
            <v>0</v>
          </cell>
          <cell r="N725" t="str">
            <v>HĐ theo NĐ161</v>
          </cell>
          <cell r="O725">
            <v>39</v>
          </cell>
          <cell r="P725">
            <v>31871</v>
          </cell>
          <cell r="Q725">
            <v>0</v>
          </cell>
          <cell r="R725" t="str">
            <v>Tày</v>
          </cell>
          <cell r="S725" t="str">
            <v>5/5/2009</v>
          </cell>
          <cell r="T725" t="str">
            <v>020087002180</v>
          </cell>
          <cell r="U725">
            <v>0</v>
          </cell>
          <cell r="W725" t="str">
            <v/>
          </cell>
          <cell r="X725" t="str">
            <v/>
          </cell>
          <cell r="Z725" t="str">
            <v/>
          </cell>
          <cell r="AB725" t="str">
            <v/>
          </cell>
          <cell r="AC725" t="str">
            <v>0981769586</v>
          </cell>
          <cell r="AD725" t="str">
            <v>Chuyển từ HĐ68</v>
          </cell>
        </row>
        <row r="726">
          <cell r="B726" t="str">
            <v>BV0606</v>
          </cell>
          <cell r="C726" t="str">
            <v>Hà Văn Hàm</v>
          </cell>
          <cell r="D726" t="str">
            <v>BV0606</v>
          </cell>
          <cell r="F726" t="str">
            <v>Lái xe</v>
          </cell>
          <cell r="G726" t="str">
            <v>TĐ043</v>
          </cell>
          <cell r="I726" t="str">
            <v>NVLX</v>
          </cell>
          <cell r="J726" t="str">
            <v>HCQT</v>
          </cell>
          <cell r="K726" t="str">
            <v>KP040</v>
          </cell>
          <cell r="M726">
            <v>0</v>
          </cell>
          <cell r="N726" t="str">
            <v>HĐ theo NĐ161</v>
          </cell>
          <cell r="O726">
            <v>38</v>
          </cell>
          <cell r="P726">
            <v>32070</v>
          </cell>
          <cell r="Q726">
            <v>0</v>
          </cell>
          <cell r="R726" t="str">
            <v>Tày</v>
          </cell>
          <cell r="S726" t="str">
            <v>07/11/2013</v>
          </cell>
          <cell r="T726" t="str">
            <v>020087005434</v>
          </cell>
          <cell r="U726" t="str">
            <v>Số 1, Lê Quý Đôn, Khối 3, phường Tam Thanh, tỉnh Lạng Sơn</v>
          </cell>
          <cell r="W726" t="str">
            <v/>
          </cell>
          <cell r="X726" t="str">
            <v/>
          </cell>
          <cell r="Z726" t="str">
            <v/>
          </cell>
          <cell r="AB726" t="str">
            <v/>
          </cell>
          <cell r="AC726">
            <v>984398669</v>
          </cell>
          <cell r="AD726" t="str">
            <v>Chuyển từ HĐ68</v>
          </cell>
        </row>
        <row r="727">
          <cell r="B727" t="str">
            <v>BV0629</v>
          </cell>
          <cell r="C727" t="str">
            <v>Vy Mạnh Hùng</v>
          </cell>
          <cell r="D727" t="str">
            <v>BV0629</v>
          </cell>
          <cell r="F727" t="str">
            <v>Lái xe</v>
          </cell>
          <cell r="G727" t="str">
            <v>TĐ043</v>
          </cell>
          <cell r="I727" t="str">
            <v>NVLX</v>
          </cell>
          <cell r="J727" t="str">
            <v>HCQT</v>
          </cell>
          <cell r="K727" t="str">
            <v>KP040</v>
          </cell>
          <cell r="M727">
            <v>0</v>
          </cell>
          <cell r="N727" t="str">
            <v>HĐ theo NĐ161</v>
          </cell>
          <cell r="O727">
            <v>36</v>
          </cell>
          <cell r="P727" t="str">
            <v>14/02/1990</v>
          </cell>
          <cell r="Q727">
            <v>0</v>
          </cell>
          <cell r="R727" t="str">
            <v>Tày</v>
          </cell>
          <cell r="S727" t="str">
            <v>03/01/2017</v>
          </cell>
          <cell r="T727" t="str">
            <v>020090012548</v>
          </cell>
          <cell r="U727">
            <v>0</v>
          </cell>
          <cell r="W727" t="str">
            <v/>
          </cell>
          <cell r="X727" t="str">
            <v/>
          </cell>
          <cell r="Z727" t="str">
            <v/>
          </cell>
          <cell r="AB727" t="str">
            <v/>
          </cell>
          <cell r="AC727" t="str">
            <v>0326336886</v>
          </cell>
          <cell r="AD727" t="str">
            <v>Chuyển từ HĐ68</v>
          </cell>
        </row>
        <row r="728">
          <cell r="B728" t="str">
            <v>BV0604</v>
          </cell>
          <cell r="C728" t="str">
            <v>Lê Trọng Lựu</v>
          </cell>
          <cell r="D728" t="str">
            <v>BV0604</v>
          </cell>
          <cell r="F728" t="str">
            <v>Lái xe</v>
          </cell>
          <cell r="G728" t="str">
            <v>TĐ043</v>
          </cell>
          <cell r="I728" t="str">
            <v>NVLX</v>
          </cell>
          <cell r="J728" t="str">
            <v>HCQT</v>
          </cell>
          <cell r="K728" t="str">
            <v>KP040</v>
          </cell>
          <cell r="M728">
            <v>0</v>
          </cell>
          <cell r="N728" t="str">
            <v>HĐ theo NĐ161</v>
          </cell>
          <cell r="O728">
            <v>49</v>
          </cell>
          <cell r="P728">
            <v>28025</v>
          </cell>
          <cell r="Q728">
            <v>0</v>
          </cell>
          <cell r="R728" t="str">
            <v>Tày</v>
          </cell>
          <cell r="S728" t="str">
            <v>3/6/2008</v>
          </cell>
          <cell r="T728" t="str">
            <v>020076001445</v>
          </cell>
          <cell r="U728" t="str">
            <v>Hoàng Tâm, phường Tam Thanh, tỉnh Lạng Sơn</v>
          </cell>
          <cell r="W728" t="str">
            <v/>
          </cell>
          <cell r="X728" t="str">
            <v/>
          </cell>
          <cell r="Z728" t="str">
            <v/>
          </cell>
          <cell r="AB728" t="str">
            <v/>
          </cell>
          <cell r="AC728" t="str">
            <v>0919736228</v>
          </cell>
          <cell r="AD728" t="str">
            <v>Chuyển từ HĐ68</v>
          </cell>
        </row>
        <row r="729">
          <cell r="B729" t="str">
            <v>BV0605</v>
          </cell>
          <cell r="C729" t="str">
            <v>Đinh Phúc Thịnh</v>
          </cell>
          <cell r="D729" t="str">
            <v>BV0605</v>
          </cell>
          <cell r="F729" t="str">
            <v>Lái xe</v>
          </cell>
          <cell r="G729" t="str">
            <v>TĐ043</v>
          </cell>
          <cell r="I729" t="str">
            <v>NVLX</v>
          </cell>
          <cell r="J729" t="str">
            <v>HCQT</v>
          </cell>
          <cell r="K729" t="str">
            <v>KP040</v>
          </cell>
          <cell r="M729">
            <v>0</v>
          </cell>
          <cell r="N729" t="str">
            <v>HĐ theo NĐ161</v>
          </cell>
          <cell r="O729">
            <v>47</v>
          </cell>
          <cell r="P729">
            <v>28875</v>
          </cell>
          <cell r="Q729">
            <v>0</v>
          </cell>
          <cell r="R729" t="str">
            <v>Tày</v>
          </cell>
          <cell r="S729" t="str">
            <v>1/12/2008</v>
          </cell>
          <cell r="T729" t="str">
            <v>020079009963</v>
          </cell>
          <cell r="U729" t="str">
            <v>47, Hoàng Đình Giong, Khối 9, phường Kỳ Lừa, tỉnh Lạng Sơn</v>
          </cell>
          <cell r="W729" t="str">
            <v/>
          </cell>
          <cell r="X729" t="str">
            <v/>
          </cell>
          <cell r="Z729" t="str">
            <v/>
          </cell>
          <cell r="AB729" t="str">
            <v/>
          </cell>
          <cell r="AC729" t="str">
            <v>0982997769</v>
          </cell>
          <cell r="AD729" t="str">
            <v>Chuyển từ HĐ68</v>
          </cell>
        </row>
        <row r="730">
          <cell r="B730" t="str">
            <v>BV0602</v>
          </cell>
          <cell r="C730" t="str">
            <v>Trần Nam Trung</v>
          </cell>
          <cell r="D730" t="str">
            <v>BV0602</v>
          </cell>
          <cell r="F730" t="str">
            <v>Lái xe</v>
          </cell>
          <cell r="G730" t="str">
            <v>TĐ043</v>
          </cell>
          <cell r="I730" t="str">
            <v>NVLX</v>
          </cell>
          <cell r="J730" t="str">
            <v>HCQT</v>
          </cell>
          <cell r="K730" t="str">
            <v>KP040</v>
          </cell>
          <cell r="M730">
            <v>0</v>
          </cell>
          <cell r="N730" t="str">
            <v>HĐ theo NĐ161</v>
          </cell>
          <cell r="O730">
            <v>53</v>
          </cell>
          <cell r="P730">
            <v>26882</v>
          </cell>
          <cell r="Q730">
            <v>0</v>
          </cell>
          <cell r="R730" t="str">
            <v>Kinh</v>
          </cell>
          <cell r="S730" t="str">
            <v>15/4/2005</v>
          </cell>
          <cell r="T730" t="str">
            <v>020073008918</v>
          </cell>
          <cell r="U730">
            <v>0</v>
          </cell>
          <cell r="W730" t="str">
            <v/>
          </cell>
          <cell r="X730" t="str">
            <v/>
          </cell>
          <cell r="Z730" t="str">
            <v/>
          </cell>
          <cell r="AB730" t="str">
            <v/>
          </cell>
          <cell r="AC730" t="str">
            <v>0912386867</v>
          </cell>
          <cell r="AD730" t="str">
            <v>Chuyển từ HĐ68</v>
          </cell>
        </row>
        <row r="731">
          <cell r="B731" t="str">
            <v>BV1065</v>
          </cell>
          <cell r="C731" t="str">
            <v>Đào Quang Trục</v>
          </cell>
          <cell r="D731" t="str">
            <v>BV1065</v>
          </cell>
          <cell r="F731" t="str">
            <v>Lái xe</v>
          </cell>
          <cell r="G731" t="str">
            <v>TĐ043</v>
          </cell>
          <cell r="I731" t="str">
            <v>NVLX</v>
          </cell>
          <cell r="J731" t="str">
            <v>HCQT</v>
          </cell>
          <cell r="K731" t="str">
            <v>KP040</v>
          </cell>
          <cell r="N731" t="str">
            <v>HĐ có thời hạn</v>
          </cell>
          <cell r="O731">
            <v>51</v>
          </cell>
          <cell r="P731">
            <v>27472</v>
          </cell>
          <cell r="Q731">
            <v>0</v>
          </cell>
          <cell r="R731" t="str">
            <v>Tày</v>
          </cell>
          <cell r="S731" t="str">
            <v>03/8/2020</v>
          </cell>
          <cell r="T731" t="str">
            <v>020075001797</v>
          </cell>
          <cell r="U731">
            <v>0</v>
          </cell>
          <cell r="W731" t="str">
            <v/>
          </cell>
          <cell r="X731" t="str">
            <v/>
          </cell>
          <cell r="Z731" t="str">
            <v/>
          </cell>
          <cell r="AB731" t="str">
            <v/>
          </cell>
          <cell r="AC731">
            <v>823039969</v>
          </cell>
          <cell r="AD731" t="str">
            <v>Thử việc 03/8/2020; TL 14/12/2020; đi làm lại 04/01/2021</v>
          </cell>
        </row>
        <row r="732">
          <cell r="B732" t="str">
            <v>BV1115</v>
          </cell>
          <cell r="C732" t="str">
            <v>Trương Quý Dũng</v>
          </cell>
          <cell r="D732" t="str">
            <v>BV1115</v>
          </cell>
          <cell r="F732" t="str">
            <v>Lái xe</v>
          </cell>
          <cell r="G732" t="str">
            <v>TĐ043</v>
          </cell>
          <cell r="I732" t="str">
            <v>NVLX</v>
          </cell>
          <cell r="J732" t="str">
            <v>HCQT</v>
          </cell>
          <cell r="K732" t="str">
            <v>KP040</v>
          </cell>
          <cell r="N732" t="str">
            <v>HĐ có thời hạn</v>
          </cell>
          <cell r="O732">
            <v>65</v>
          </cell>
          <cell r="P732">
            <v>22390</v>
          </cell>
          <cell r="Q732">
            <v>0</v>
          </cell>
          <cell r="R732" t="str">
            <v>Kinh</v>
          </cell>
          <cell r="S732" t="str">
            <v>01/3/2021</v>
          </cell>
          <cell r="T732" t="str">
            <v>036061013360</v>
          </cell>
          <cell r="U732" t="str">
            <v>24/80, Tổ 2, Khối 7, phường Đông kinh, tỉnh Lạng Sơn</v>
          </cell>
          <cell r="W732" t="str">
            <v/>
          </cell>
          <cell r="X732" t="str">
            <v/>
          </cell>
          <cell r="Z732" t="str">
            <v/>
          </cell>
          <cell r="AB732" t="str">
            <v/>
          </cell>
          <cell r="AD732" t="str">
            <v>Hợp đồng 01/03/2021</v>
          </cell>
        </row>
        <row r="733">
          <cell r="B733" t="str">
            <v>BV0610</v>
          </cell>
          <cell r="C733" t="str">
            <v>Nông Chí Kiên</v>
          </cell>
          <cell r="D733" t="str">
            <v>BV0610</v>
          </cell>
          <cell r="F733" t="str">
            <v>Bảo vệ</v>
          </cell>
          <cell r="G733" t="str">
            <v>TĐ044</v>
          </cell>
          <cell r="I733" t="str">
            <v>NVBV</v>
          </cell>
          <cell r="J733" t="str">
            <v>HCQT</v>
          </cell>
          <cell r="K733" t="str">
            <v>KP040</v>
          </cell>
          <cell r="M733">
            <v>0</v>
          </cell>
          <cell r="N733" t="str">
            <v>HĐ theo NĐ161</v>
          </cell>
          <cell r="O733">
            <v>60</v>
          </cell>
          <cell r="P733">
            <v>24187</v>
          </cell>
          <cell r="Q733">
            <v>0</v>
          </cell>
          <cell r="R733" t="str">
            <v>Tày</v>
          </cell>
          <cell r="S733" t="str">
            <v>1/11/2003</v>
          </cell>
          <cell r="T733" t="str">
            <v>020066005378</v>
          </cell>
          <cell r="U733">
            <v>0</v>
          </cell>
          <cell r="W733" t="str">
            <v/>
          </cell>
          <cell r="X733" t="str">
            <v/>
          </cell>
          <cell r="Z733" t="str">
            <v/>
          </cell>
          <cell r="AB733" t="str">
            <v/>
          </cell>
          <cell r="AC733" t="str">
            <v>0393982652</v>
          </cell>
          <cell r="AD733" t="str">
            <v>Chuyển từ HĐ68</v>
          </cell>
        </row>
        <row r="734">
          <cell r="B734" t="str">
            <v>BV1097</v>
          </cell>
          <cell r="C734" t="str">
            <v>Nguyễn Tuấn Anh</v>
          </cell>
          <cell r="D734" t="str">
            <v>BV1097</v>
          </cell>
          <cell r="F734" t="str">
            <v>Bảo vệ</v>
          </cell>
          <cell r="G734" t="str">
            <v>TĐ044</v>
          </cell>
          <cell r="I734" t="str">
            <v>NVBV</v>
          </cell>
          <cell r="J734" t="str">
            <v>HCQT</v>
          </cell>
          <cell r="K734" t="str">
            <v>KP040</v>
          </cell>
          <cell r="N734" t="str">
            <v>HĐ có thời hạn</v>
          </cell>
          <cell r="O734">
            <v>30</v>
          </cell>
          <cell r="P734" t="str">
            <v>21/12/1995</v>
          </cell>
          <cell r="Q734">
            <v>0</v>
          </cell>
          <cell r="R734" t="str">
            <v>Kinh</v>
          </cell>
          <cell r="S734" t="str">
            <v>02/12/2020</v>
          </cell>
          <cell r="T734" t="str">
            <v>020095000452</v>
          </cell>
          <cell r="U734">
            <v>0</v>
          </cell>
          <cell r="W734" t="str">
            <v/>
          </cell>
          <cell r="X734" t="str">
            <v/>
          </cell>
          <cell r="Z734" t="str">
            <v/>
          </cell>
          <cell r="AB734" t="str">
            <v/>
          </cell>
          <cell r="AC734" t="str">
            <v>0966361904</v>
          </cell>
          <cell r="AD734" t="str">
            <v>Hợp đồng 02/12/2020 (TV 6 ngày)</v>
          </cell>
        </row>
        <row r="735">
          <cell r="B735" t="str">
            <v>BV1101</v>
          </cell>
          <cell r="C735" t="str">
            <v>Lăng Văn Được</v>
          </cell>
          <cell r="D735" t="str">
            <v>BV1101</v>
          </cell>
          <cell r="F735" t="str">
            <v>Bảo vệ</v>
          </cell>
          <cell r="G735" t="str">
            <v>TĐ044</v>
          </cell>
          <cell r="I735" t="str">
            <v>NVBV</v>
          </cell>
          <cell r="J735" t="str">
            <v>HCQT</v>
          </cell>
          <cell r="K735" t="str">
            <v>KP040</v>
          </cell>
          <cell r="N735" t="str">
            <v>HĐ có thời hạn</v>
          </cell>
          <cell r="O735">
            <v>52</v>
          </cell>
          <cell r="P735" t="str">
            <v>09/09/1973</v>
          </cell>
          <cell r="Q735">
            <v>0</v>
          </cell>
          <cell r="R735" t="str">
            <v>Tày</v>
          </cell>
          <cell r="S735" t="str">
            <v>02/12/2020</v>
          </cell>
          <cell r="T735" t="str">
            <v>020073007723</v>
          </cell>
          <cell r="U735">
            <v>0</v>
          </cell>
          <cell r="W735" t="str">
            <v/>
          </cell>
          <cell r="X735" t="str">
            <v/>
          </cell>
          <cell r="Z735" t="str">
            <v/>
          </cell>
          <cell r="AB735" t="str">
            <v/>
          </cell>
          <cell r="AC735" t="str">
            <v>0364763478</v>
          </cell>
          <cell r="AD735" t="str">
            <v>Hợp đồng 02/12/2020 (TV 6 ngày)</v>
          </cell>
        </row>
        <row r="736">
          <cell r="B736" t="str">
            <v>BV1103</v>
          </cell>
          <cell r="C736" t="str">
            <v>Nguyễn Văn Kiện</v>
          </cell>
          <cell r="D736" t="str">
            <v>BV1103</v>
          </cell>
          <cell r="F736" t="str">
            <v>Bảo vệ</v>
          </cell>
          <cell r="G736" t="str">
            <v>TĐ044</v>
          </cell>
          <cell r="I736" t="str">
            <v>NVBV</v>
          </cell>
          <cell r="J736" t="str">
            <v>HCQT</v>
          </cell>
          <cell r="K736" t="str">
            <v>KP040</v>
          </cell>
          <cell r="N736" t="str">
            <v>HĐ có thời hạn</v>
          </cell>
          <cell r="O736">
            <v>59</v>
          </cell>
          <cell r="P736" t="str">
            <v>20/12/1966</v>
          </cell>
          <cell r="Q736">
            <v>0</v>
          </cell>
          <cell r="R736" t="str">
            <v>Kinh</v>
          </cell>
          <cell r="S736" t="str">
            <v>02/12/2020</v>
          </cell>
          <cell r="T736" t="str">
            <v>030066008188</v>
          </cell>
          <cell r="U736">
            <v>0</v>
          </cell>
          <cell r="W736" t="str">
            <v/>
          </cell>
          <cell r="X736" t="str">
            <v/>
          </cell>
          <cell r="Z736" t="str">
            <v/>
          </cell>
          <cell r="AB736" t="str">
            <v/>
          </cell>
          <cell r="AC736" t="str">
            <v>0984133368</v>
          </cell>
          <cell r="AD736" t="str">
            <v>Hợp đồng 02/12/2020 (TV 6 ngày)</v>
          </cell>
        </row>
        <row r="737">
          <cell r="B737" t="str">
            <v>BV1107</v>
          </cell>
          <cell r="C737" t="str">
            <v>Hoàng Văn Thái</v>
          </cell>
          <cell r="D737" t="str">
            <v>BV1107</v>
          </cell>
          <cell r="F737" t="str">
            <v>Bảo vệ</v>
          </cell>
          <cell r="G737" t="str">
            <v>TĐ044</v>
          </cell>
          <cell r="I737" t="str">
            <v>NVBV</v>
          </cell>
          <cell r="J737" t="str">
            <v>HCQT</v>
          </cell>
          <cell r="K737" t="str">
            <v>KP040</v>
          </cell>
          <cell r="N737" t="str">
            <v>HĐ có thời hạn</v>
          </cell>
          <cell r="O737">
            <v>37</v>
          </cell>
          <cell r="P737" t="str">
            <v>07/09/1988</v>
          </cell>
          <cell r="Q737">
            <v>0</v>
          </cell>
          <cell r="R737" t="str">
            <v>Tày</v>
          </cell>
          <cell r="S737" t="str">
            <v>02/12/2020</v>
          </cell>
          <cell r="T737" t="str">
            <v>020099003648</v>
          </cell>
          <cell r="U737">
            <v>0</v>
          </cell>
          <cell r="W737" t="str">
            <v/>
          </cell>
          <cell r="X737" t="str">
            <v/>
          </cell>
          <cell r="Z737" t="str">
            <v/>
          </cell>
          <cell r="AB737" t="str">
            <v/>
          </cell>
          <cell r="AC737">
            <v>972806412</v>
          </cell>
          <cell r="AD737" t="str">
            <v>Hợp đồng 02/12/2020 (TV 6 ngày)</v>
          </cell>
        </row>
        <row r="738">
          <cell r="B738" t="str">
            <v>BV1134</v>
          </cell>
          <cell r="C738" t="str">
            <v>Vi Văn Vẻ</v>
          </cell>
          <cell r="D738" t="str">
            <v>BV1134</v>
          </cell>
          <cell r="F738" t="str">
            <v>Bảo vệ</v>
          </cell>
          <cell r="G738" t="str">
            <v>TĐ044</v>
          </cell>
          <cell r="I738" t="str">
            <v>NVBV</v>
          </cell>
          <cell r="J738" t="str">
            <v>HCQT</v>
          </cell>
          <cell r="K738" t="str">
            <v>KP040</v>
          </cell>
          <cell r="N738" t="str">
            <v>HĐ có thời hạn</v>
          </cell>
          <cell r="O738">
            <v>38</v>
          </cell>
          <cell r="P738">
            <v>0</v>
          </cell>
          <cell r="Q738" t="str">
            <v>25/3/1988</v>
          </cell>
          <cell r="R738" t="str">
            <v>Kinh</v>
          </cell>
          <cell r="S738" t="str">
            <v xml:space="preserve"> 02/8/2021</v>
          </cell>
          <cell r="T738" t="str">
            <v>020088001027</v>
          </cell>
          <cell r="U738">
            <v>0</v>
          </cell>
          <cell r="W738" t="str">
            <v/>
          </cell>
          <cell r="X738" t="str">
            <v/>
          </cell>
          <cell r="Z738" t="str">
            <v/>
          </cell>
          <cell r="AB738" t="str">
            <v/>
          </cell>
          <cell r="AD738" t="str">
            <v>Thử việc 02/8/2021</v>
          </cell>
        </row>
        <row r="739">
          <cell r="B739" t="str">
            <v>BV1165</v>
          </cell>
          <cell r="C739" t="str">
            <v>Hoàng Văn Dương</v>
          </cell>
          <cell r="D739" t="str">
            <v>BV1165</v>
          </cell>
          <cell r="F739" t="str">
            <v>Bảo vệ</v>
          </cell>
          <cell r="G739" t="str">
            <v>TĐ044</v>
          </cell>
          <cell r="I739" t="str">
            <v>NVBV</v>
          </cell>
          <cell r="J739" t="str">
            <v>HCQT</v>
          </cell>
          <cell r="K739" t="str">
            <v>KP040</v>
          </cell>
          <cell r="N739" t="str">
            <v>HĐ có thời hạn</v>
          </cell>
          <cell r="O739">
            <v>46</v>
          </cell>
          <cell r="P739" t="str">
            <v>12/11/1979</v>
          </cell>
          <cell r="Q739">
            <v>0</v>
          </cell>
          <cell r="R739" t="str">
            <v>Tày</v>
          </cell>
          <cell r="S739" t="str">
            <v xml:space="preserve"> 01/11/2021</v>
          </cell>
          <cell r="T739" t="str">
            <v>020079002773</v>
          </cell>
          <cell r="U739">
            <v>0</v>
          </cell>
          <cell r="W739" t="str">
            <v/>
          </cell>
          <cell r="X739" t="str">
            <v/>
          </cell>
          <cell r="Z739" t="str">
            <v/>
          </cell>
          <cell r="AB739" t="str">
            <v/>
          </cell>
          <cell r="AC739" t="str">
            <v>0359571599</v>
          </cell>
          <cell r="AD739" t="str">
            <v>Thử việc 01/11/2021</v>
          </cell>
        </row>
        <row r="740">
          <cell r="B740" t="str">
            <v>BV1177</v>
          </cell>
          <cell r="C740" t="str">
            <v>Nguyễn Đức Tuân</v>
          </cell>
          <cell r="D740" t="str">
            <v>BV1177</v>
          </cell>
          <cell r="F740" t="str">
            <v>Bảo vệ</v>
          </cell>
          <cell r="G740" t="str">
            <v>TĐ044</v>
          </cell>
          <cell r="I740" t="str">
            <v>NVBV</v>
          </cell>
          <cell r="J740" t="str">
            <v>HCQT</v>
          </cell>
          <cell r="K740" t="str">
            <v>KP040</v>
          </cell>
          <cell r="N740" t="str">
            <v>HĐ có thời hạn</v>
          </cell>
          <cell r="O740">
            <v>54</v>
          </cell>
          <cell r="P740" t="str">
            <v>26/12/1971</v>
          </cell>
          <cell r="Q740">
            <v>0</v>
          </cell>
          <cell r="R740" t="str">
            <v>Kinh</v>
          </cell>
          <cell r="S740">
            <v>44713</v>
          </cell>
          <cell r="T740" t="str">
            <v>020071001628</v>
          </cell>
          <cell r="U740">
            <v>0</v>
          </cell>
          <cell r="W740" t="str">
            <v/>
          </cell>
          <cell r="X740" t="str">
            <v/>
          </cell>
          <cell r="Z740" t="str">
            <v/>
          </cell>
          <cell r="AB740" t="str">
            <v/>
          </cell>
          <cell r="AC740" t="str">
            <v>0982548855</v>
          </cell>
          <cell r="AD740" t="str">
            <v>Hợp đồng 01/06/2022</v>
          </cell>
        </row>
        <row r="741">
          <cell r="B741" t="str">
            <v>BV1209</v>
          </cell>
          <cell r="C741" t="str">
            <v>Mông Tiến Hỷ</v>
          </cell>
          <cell r="D741" t="str">
            <v>BV1209</v>
          </cell>
          <cell r="F741" t="str">
            <v>Bảo vệ</v>
          </cell>
          <cell r="G741" t="str">
            <v>TĐ044</v>
          </cell>
          <cell r="I741" t="str">
            <v>NVBV</v>
          </cell>
          <cell r="J741" t="str">
            <v>HCQT</v>
          </cell>
          <cell r="K741" t="str">
            <v>KP040</v>
          </cell>
          <cell r="N741" t="str">
            <v>HĐ có thời hạn</v>
          </cell>
          <cell r="O741">
            <v>46</v>
          </cell>
          <cell r="P741" t="str">
            <v>28/6/1980</v>
          </cell>
          <cell r="Q741">
            <v>0</v>
          </cell>
          <cell r="R741" t="str">
            <v>Nùng</v>
          </cell>
          <cell r="S741">
            <v>44837</v>
          </cell>
          <cell r="T741" t="str">
            <v>020080000486</v>
          </cell>
          <cell r="U741">
            <v>0</v>
          </cell>
          <cell r="W741" t="str">
            <v/>
          </cell>
          <cell r="X741" t="str">
            <v/>
          </cell>
          <cell r="Z741" t="str">
            <v/>
          </cell>
          <cell r="AB741" t="str">
            <v/>
          </cell>
          <cell r="AC741" t="str">
            <v>0398204223</v>
          </cell>
          <cell r="AD741" t="str">
            <v>Thử việc 03/10/2022</v>
          </cell>
        </row>
        <row r="742">
          <cell r="B742" t="str">
            <v>BV1217</v>
          </cell>
          <cell r="C742" t="str">
            <v>Hứa Quang Thuận</v>
          </cell>
          <cell r="D742" t="str">
            <v>BV1217</v>
          </cell>
          <cell r="F742" t="str">
            <v>Bảo vệ</v>
          </cell>
          <cell r="G742" t="str">
            <v>TĐ044</v>
          </cell>
          <cell r="I742" t="str">
            <v>NVBV</v>
          </cell>
          <cell r="J742" t="str">
            <v>HCQT</v>
          </cell>
          <cell r="K742" t="str">
            <v>KP040</v>
          </cell>
          <cell r="N742" t="str">
            <v>HĐ có thời hạn</v>
          </cell>
          <cell r="O742">
            <v>36</v>
          </cell>
          <cell r="P742">
            <v>32791</v>
          </cell>
          <cell r="Q742">
            <v>0</v>
          </cell>
          <cell r="R742" t="str">
            <v>Nùng</v>
          </cell>
          <cell r="S742" t="str">
            <v>03/01/2023</v>
          </cell>
          <cell r="T742" t="str">
            <v>020089000239</v>
          </cell>
          <cell r="U742">
            <v>0</v>
          </cell>
          <cell r="W742" t="str">
            <v/>
          </cell>
          <cell r="X742" t="str">
            <v/>
          </cell>
          <cell r="Z742" t="str">
            <v/>
          </cell>
          <cell r="AB742" t="str">
            <v/>
          </cell>
          <cell r="AD742" t="str">
            <v>Hợp đồng 03/01/2023</v>
          </cell>
        </row>
        <row r="743">
          <cell r="B743" t="str">
            <v>BV1222</v>
          </cell>
          <cell r="C743" t="str">
            <v>Phạm Đức Thọ</v>
          </cell>
          <cell r="D743" t="str">
            <v>BV1222</v>
          </cell>
          <cell r="F743" t="str">
            <v>Bảo vệ</v>
          </cell>
          <cell r="G743" t="str">
            <v>TĐ044</v>
          </cell>
          <cell r="I743" t="str">
            <v>NVBV</v>
          </cell>
          <cell r="J743" t="str">
            <v>HCQT</v>
          </cell>
          <cell r="K743" t="str">
            <v>KP040</v>
          </cell>
          <cell r="N743" t="str">
            <v>HĐ có thời hạn</v>
          </cell>
          <cell r="O743">
            <v>43</v>
          </cell>
          <cell r="P743" t="str">
            <v>20/08/1982</v>
          </cell>
          <cell r="Q743">
            <v>0</v>
          </cell>
          <cell r="R743" t="str">
            <v>Kinh</v>
          </cell>
          <cell r="S743">
            <v>44937</v>
          </cell>
          <cell r="T743" t="str">
            <v>020082011244</v>
          </cell>
          <cell r="U743">
            <v>0</v>
          </cell>
          <cell r="W743" t="str">
            <v/>
          </cell>
          <cell r="X743" t="str">
            <v/>
          </cell>
          <cell r="Z743" t="str">
            <v/>
          </cell>
          <cell r="AB743" t="str">
            <v/>
          </cell>
          <cell r="AD743" t="str">
            <v>Hợp đồng từ 11/01/2023</v>
          </cell>
        </row>
        <row r="744">
          <cell r="B744" t="str">
            <v>BV1244</v>
          </cell>
          <cell r="C744" t="str">
            <v>Hoàng Văn Sáu</v>
          </cell>
          <cell r="D744" t="str">
            <v>BV1244</v>
          </cell>
          <cell r="F744" t="str">
            <v>Bảo vệ</v>
          </cell>
          <cell r="G744" t="str">
            <v>TĐ044</v>
          </cell>
          <cell r="I744" t="str">
            <v>NVBV</v>
          </cell>
          <cell r="J744" t="str">
            <v>HCQT</v>
          </cell>
          <cell r="K744" t="str">
            <v>KP040</v>
          </cell>
          <cell r="N744" t="str">
            <v>HĐ có thời hạn</v>
          </cell>
          <cell r="O744">
            <v>60</v>
          </cell>
          <cell r="P744">
            <v>24257</v>
          </cell>
          <cell r="Q744">
            <v>0</v>
          </cell>
          <cell r="R744" t="str">
            <v>Tày</v>
          </cell>
          <cell r="S744">
            <v>45100</v>
          </cell>
          <cell r="T744" t="str">
            <v>020066001760</v>
          </cell>
          <cell r="U744">
            <v>0</v>
          </cell>
          <cell r="W744" t="str">
            <v/>
          </cell>
          <cell r="X744" t="str">
            <v/>
          </cell>
          <cell r="Z744" t="str">
            <v/>
          </cell>
          <cell r="AB744" t="str">
            <v/>
          </cell>
          <cell r="AD744" t="str">
            <v>Hợp đồng 23/6/2023</v>
          </cell>
        </row>
        <row r="745">
          <cell r="B745" t="str">
            <v>BV1249</v>
          </cell>
          <cell r="C745" t="str">
            <v>Hà Huy Hoàng</v>
          </cell>
          <cell r="D745" t="str">
            <v>BV1249</v>
          </cell>
          <cell r="F745" t="str">
            <v>Bảo vệ</v>
          </cell>
          <cell r="G745" t="str">
            <v>TĐ044</v>
          </cell>
          <cell r="I745" t="str">
            <v>NVBV</v>
          </cell>
          <cell r="J745" t="str">
            <v>HCQT</v>
          </cell>
          <cell r="K745" t="str">
            <v>KP040</v>
          </cell>
          <cell r="N745" t="str">
            <v>HĐ có thời hạn</v>
          </cell>
          <cell r="O745">
            <v>45</v>
          </cell>
          <cell r="P745">
            <v>29677</v>
          </cell>
          <cell r="Q745">
            <v>0</v>
          </cell>
          <cell r="R745" t="str">
            <v>Tày</v>
          </cell>
          <cell r="S745" t="str">
            <v>01/8/2023</v>
          </cell>
          <cell r="T745" t="str">
            <v>020081001601</v>
          </cell>
          <cell r="U745">
            <v>0</v>
          </cell>
          <cell r="W745" t="str">
            <v/>
          </cell>
          <cell r="X745" t="str">
            <v/>
          </cell>
          <cell r="Z745" t="str">
            <v/>
          </cell>
          <cell r="AB745" t="str">
            <v/>
          </cell>
          <cell r="AD745" t="str">
            <v>Hợp đồng 01/8/2023</v>
          </cell>
        </row>
        <row r="746">
          <cell r="B746" t="str">
            <v>BV1248</v>
          </cell>
          <cell r="C746" t="str">
            <v>Lành Tuấn An</v>
          </cell>
          <cell r="D746" t="str">
            <v>BV1248</v>
          </cell>
          <cell r="F746" t="str">
            <v>Bảo vệ</v>
          </cell>
          <cell r="G746" t="str">
            <v>TĐ044</v>
          </cell>
          <cell r="I746" t="str">
            <v>NVBV</v>
          </cell>
          <cell r="J746" t="str">
            <v>HCQT</v>
          </cell>
          <cell r="K746" t="str">
            <v>KP040</v>
          </cell>
          <cell r="N746" t="str">
            <v>HĐ có thời hạn</v>
          </cell>
          <cell r="O746">
            <v>40</v>
          </cell>
          <cell r="P746">
            <v>31520</v>
          </cell>
          <cell r="Q746">
            <v>0</v>
          </cell>
          <cell r="R746" t="str">
            <v>Tày</v>
          </cell>
          <cell r="S746" t="str">
            <v>01/8/2023</v>
          </cell>
          <cell r="T746" t="str">
            <v>020086001807</v>
          </cell>
          <cell r="U746">
            <v>0</v>
          </cell>
          <cell r="W746" t="str">
            <v/>
          </cell>
          <cell r="X746" t="str">
            <v/>
          </cell>
          <cell r="Z746" t="str">
            <v/>
          </cell>
          <cell r="AB746" t="str">
            <v/>
          </cell>
          <cell r="AD746" t="str">
            <v>Hợp đồng 01/8/2023</v>
          </cell>
        </row>
        <row r="747">
          <cell r="B747" t="str">
            <v>BV1306</v>
          </cell>
          <cell r="C747" t="str">
            <v>Lương Ngọc Phách</v>
          </cell>
          <cell r="D747" t="str">
            <v>BV1306</v>
          </cell>
          <cell r="F747" t="str">
            <v>Bảo vệ</v>
          </cell>
          <cell r="G747" t="str">
            <v>TĐ044</v>
          </cell>
          <cell r="I747" t="str">
            <v>NVBV</v>
          </cell>
          <cell r="J747" t="str">
            <v>HCQT</v>
          </cell>
          <cell r="K747" t="str">
            <v>KP040</v>
          </cell>
          <cell r="N747" t="str">
            <v>HĐ có thời hạn</v>
          </cell>
          <cell r="O747">
            <v>56</v>
          </cell>
          <cell r="P747" t="str">
            <v>18/8/1969</v>
          </cell>
          <cell r="Q747">
            <v>0</v>
          </cell>
          <cell r="R747" t="str">
            <v>Tày</v>
          </cell>
          <cell r="S747">
            <v>45748</v>
          </cell>
          <cell r="T747" t="str">
            <v>020069000441</v>
          </cell>
          <cell r="U747">
            <v>0</v>
          </cell>
          <cell r="W747" t="str">
            <v/>
          </cell>
          <cell r="X747" t="str">
            <v/>
          </cell>
          <cell r="Z747" t="str">
            <v/>
          </cell>
          <cell r="AB747" t="str">
            <v/>
          </cell>
          <cell r="AD747" t="str">
            <v>Thử việc 01/4/2025</v>
          </cell>
        </row>
        <row r="748">
          <cell r="B748" t="str">
            <v>BV0615</v>
          </cell>
          <cell r="C748" t="str">
            <v>Nguyễn Đức Long</v>
          </cell>
          <cell r="D748" t="str">
            <v>BV0615</v>
          </cell>
          <cell r="F748" t="str">
            <v>NVKT</v>
          </cell>
          <cell r="G748" t="str">
            <v>TĐ046</v>
          </cell>
          <cell r="I748" t="str">
            <v>NVKT</v>
          </cell>
          <cell r="J748" t="str">
            <v>HCQT</v>
          </cell>
          <cell r="K748" t="str">
            <v>KP040</v>
          </cell>
          <cell r="M748">
            <v>0</v>
          </cell>
          <cell r="N748" t="str">
            <v>HĐ theo NĐ161</v>
          </cell>
          <cell r="O748">
            <v>45</v>
          </cell>
          <cell r="P748">
            <v>29731</v>
          </cell>
          <cell r="Q748">
            <v>0</v>
          </cell>
          <cell r="R748" t="str">
            <v>Tày</v>
          </cell>
          <cell r="S748" t="str">
            <v>1/8/2004</v>
          </cell>
          <cell r="T748" t="str">
            <v>020081007165</v>
          </cell>
          <cell r="U748">
            <v>0</v>
          </cell>
          <cell r="W748" t="str">
            <v/>
          </cell>
          <cell r="X748" t="str">
            <v/>
          </cell>
          <cell r="Z748" t="str">
            <v/>
          </cell>
          <cell r="AB748" t="str">
            <v/>
          </cell>
          <cell r="AC748" t="str">
            <v>0338161581</v>
          </cell>
          <cell r="AD748" t="str">
            <v>Chuyển từ HĐ68</v>
          </cell>
        </row>
        <row r="749">
          <cell r="B749" t="str">
            <v>BV0616</v>
          </cell>
          <cell r="C749" t="str">
            <v>Nguyễn Minh Tùng</v>
          </cell>
          <cell r="D749" t="str">
            <v>BV0616</v>
          </cell>
          <cell r="F749" t="str">
            <v>NVKT</v>
          </cell>
          <cell r="G749" t="str">
            <v>TĐ046</v>
          </cell>
          <cell r="I749" t="str">
            <v>NVKT</v>
          </cell>
          <cell r="J749" t="str">
            <v>HCQT</v>
          </cell>
          <cell r="K749" t="str">
            <v>KP040</v>
          </cell>
          <cell r="M749">
            <v>0</v>
          </cell>
          <cell r="N749" t="str">
            <v>HĐ theo NĐ161</v>
          </cell>
          <cell r="O749">
            <v>42</v>
          </cell>
          <cell r="P749">
            <v>30754</v>
          </cell>
          <cell r="Q749">
            <v>0</v>
          </cell>
          <cell r="R749" t="str">
            <v>Tày</v>
          </cell>
          <cell r="S749" t="str">
            <v>1/7/2009</v>
          </cell>
          <cell r="T749" t="str">
            <v>020084002682</v>
          </cell>
          <cell r="U749">
            <v>0</v>
          </cell>
          <cell r="W749" t="str">
            <v/>
          </cell>
          <cell r="X749" t="str">
            <v/>
          </cell>
          <cell r="Z749" t="str">
            <v/>
          </cell>
          <cell r="AB749" t="str">
            <v/>
          </cell>
          <cell r="AC749" t="str">
            <v>0982603338</v>
          </cell>
          <cell r="AD749" t="str">
            <v>Chuyển từ HĐ68</v>
          </cell>
        </row>
        <row r="750">
          <cell r="B750" t="str">
            <v>BV0625</v>
          </cell>
          <cell r="C750" t="str">
            <v>Hoàng Thế Võ</v>
          </cell>
          <cell r="D750" t="str">
            <v>BV0625</v>
          </cell>
          <cell r="F750" t="str">
            <v>NVKT</v>
          </cell>
          <cell r="G750" t="str">
            <v>TĐ046</v>
          </cell>
          <cell r="I750" t="str">
            <v>NVKT</v>
          </cell>
          <cell r="J750" t="str">
            <v>HCQT</v>
          </cell>
          <cell r="K750" t="str">
            <v>KP040</v>
          </cell>
          <cell r="N750" t="str">
            <v>HĐ có thời hạn</v>
          </cell>
          <cell r="O750">
            <v>60</v>
          </cell>
          <cell r="P750">
            <v>24267</v>
          </cell>
          <cell r="Q750">
            <v>0</v>
          </cell>
          <cell r="R750" t="str">
            <v>Kinh</v>
          </cell>
          <cell r="S750" t="str">
            <v>1/1/2015</v>
          </cell>
          <cell r="T750" t="str">
            <v>024066011210</v>
          </cell>
          <cell r="U750">
            <v>0</v>
          </cell>
          <cell r="W750" t="str">
            <v/>
          </cell>
          <cell r="X750" t="str">
            <v/>
          </cell>
          <cell r="Z750" t="str">
            <v/>
          </cell>
          <cell r="AB750" t="str">
            <v/>
          </cell>
          <cell r="AC750">
            <v>915279992</v>
          </cell>
        </row>
        <row r="751">
          <cell r="B751" t="str">
            <v>BV0609</v>
          </cell>
          <cell r="C751" t="str">
            <v>Hoàng Văn Hưng</v>
          </cell>
          <cell r="D751" t="str">
            <v>BV0609</v>
          </cell>
          <cell r="F751" t="str">
            <v>NVPV</v>
          </cell>
          <cell r="G751" t="str">
            <v>TĐ048</v>
          </cell>
          <cell r="I751" t="str">
            <v>NVPV</v>
          </cell>
          <cell r="J751" t="str">
            <v>HCQT</v>
          </cell>
          <cell r="K751" t="str">
            <v>KP040</v>
          </cell>
          <cell r="M751">
            <v>0</v>
          </cell>
          <cell r="N751" t="str">
            <v>HĐ theo NĐ161</v>
          </cell>
          <cell r="O751">
            <v>57</v>
          </cell>
          <cell r="P751">
            <v>25243</v>
          </cell>
          <cell r="Q751">
            <v>0</v>
          </cell>
          <cell r="R751" t="str">
            <v>Tày</v>
          </cell>
          <cell r="S751" t="str">
            <v>1/12/2005</v>
          </cell>
          <cell r="T751" t="str">
            <v>020069005898</v>
          </cell>
          <cell r="U751">
            <v>0</v>
          </cell>
          <cell r="W751" t="str">
            <v/>
          </cell>
          <cell r="X751" t="str">
            <v/>
          </cell>
          <cell r="Z751" t="str">
            <v/>
          </cell>
          <cell r="AB751" t="str">
            <v/>
          </cell>
          <cell r="AC751" t="str">
            <v>0845816888</v>
          </cell>
          <cell r="AD751" t="str">
            <v>Chuyển từ HĐ68</v>
          </cell>
        </row>
        <row r="752">
          <cell r="B752" t="str">
            <v>BV1250</v>
          </cell>
          <cell r="C752" t="str">
            <v>Vy Văn Quy</v>
          </cell>
          <cell r="D752" t="str">
            <v>BV1250</v>
          </cell>
          <cell r="F752" t="str">
            <v>NVPV</v>
          </cell>
          <cell r="G752" t="str">
            <v>TĐ048</v>
          </cell>
          <cell r="I752" t="str">
            <v>NVPV</v>
          </cell>
          <cell r="J752" t="str">
            <v>HCQT</v>
          </cell>
          <cell r="K752" t="str">
            <v>KP040</v>
          </cell>
          <cell r="N752" t="str">
            <v>HĐ có thời hạn</v>
          </cell>
          <cell r="O752">
            <v>55</v>
          </cell>
          <cell r="P752">
            <v>25949</v>
          </cell>
          <cell r="Q752">
            <v>0</v>
          </cell>
          <cell r="R752" t="str">
            <v>Tày</v>
          </cell>
          <cell r="S752" t="str">
            <v>01/8/2023</v>
          </cell>
          <cell r="T752" t="str">
            <v>020071000447</v>
          </cell>
          <cell r="U752">
            <v>0</v>
          </cell>
          <cell r="W752" t="str">
            <v/>
          </cell>
          <cell r="X752" t="str">
            <v/>
          </cell>
          <cell r="Z752" t="str">
            <v/>
          </cell>
          <cell r="AB752" t="str">
            <v/>
          </cell>
          <cell r="AD752" t="str">
            <v>Hợp đồng 01/8/2023</v>
          </cell>
        </row>
        <row r="753">
          <cell r="B753" t="str">
            <v>BV0635</v>
          </cell>
          <cell r="C753" t="str">
            <v>Nông Thị Lan Anh</v>
          </cell>
          <cell r="D753" t="str">
            <v>BV0635</v>
          </cell>
          <cell r="E753" t="str">
            <v>x</v>
          </cell>
          <cell r="F753" t="str">
            <v>KTĐH</v>
          </cell>
          <cell r="G753" t="str">
            <v>TĐ021</v>
          </cell>
          <cell r="H753" t="str">
            <v>Kế toán viên</v>
          </cell>
          <cell r="I753" t="str">
            <v>Kế toán viên (hạng III)</v>
          </cell>
          <cell r="J753" t="str">
            <v>TCKT</v>
          </cell>
          <cell r="K753" t="str">
            <v>KP041</v>
          </cell>
          <cell r="L753" t="str">
            <v>Viên chức CMNV</v>
          </cell>
          <cell r="M753">
            <v>0</v>
          </cell>
          <cell r="N753" t="str">
            <v>Viên chức</v>
          </cell>
          <cell r="O753">
            <v>40</v>
          </cell>
          <cell r="P753">
            <v>0</v>
          </cell>
          <cell r="Q753">
            <v>31541</v>
          </cell>
          <cell r="R753" t="str">
            <v>Tày</v>
          </cell>
          <cell r="S753" t="str">
            <v>4/9/2012</v>
          </cell>
          <cell r="T753" t="str">
            <v>020186002583</v>
          </cell>
          <cell r="U753" t="str">
            <v>Số 10 Đường Mạc Đĩnh Chi, P. Kỳ Lừa, tỉnh Lạng Sơn</v>
          </cell>
          <cell r="W753" t="str">
            <v/>
          </cell>
          <cell r="X753" t="str">
            <v/>
          </cell>
          <cell r="Z753" t="str">
            <v/>
          </cell>
          <cell r="AB753" t="str">
            <v/>
          </cell>
          <cell r="AC753">
            <v>988089506</v>
          </cell>
        </row>
        <row r="754">
          <cell r="B754" t="str">
            <v>BV0632</v>
          </cell>
          <cell r="C754" t="str">
            <v>Hoàng Thu Hiền</v>
          </cell>
          <cell r="D754" t="str">
            <v>BV0632</v>
          </cell>
          <cell r="E754" t="str">
            <v>x</v>
          </cell>
          <cell r="F754" t="str">
            <v>KTĐH</v>
          </cell>
          <cell r="G754" t="str">
            <v>TĐ021</v>
          </cell>
          <cell r="H754" t="str">
            <v>Kế toán viên</v>
          </cell>
          <cell r="I754" t="str">
            <v>Kế toán viên (hạng III)</v>
          </cell>
          <cell r="J754" t="str">
            <v>TCKT</v>
          </cell>
          <cell r="K754" t="str">
            <v>KP041</v>
          </cell>
          <cell r="L754" t="str">
            <v>Lãnh đạo khoa, phòng</v>
          </cell>
          <cell r="M754" t="str">
            <v>Phó trưởng phòng</v>
          </cell>
          <cell r="N754" t="str">
            <v>Viên chức</v>
          </cell>
          <cell r="O754">
            <v>48</v>
          </cell>
          <cell r="P754">
            <v>0</v>
          </cell>
          <cell r="Q754">
            <v>28464</v>
          </cell>
          <cell r="R754" t="str">
            <v>Nùng</v>
          </cell>
          <cell r="S754" t="str">
            <v>1/12/2008</v>
          </cell>
          <cell r="T754" t="str">
            <v>020177001969</v>
          </cell>
          <cell r="U754" t="str">
            <v>Số 46, Lê Đại Hành, Khối 11, Phường Đông Kinh, tỉnh Lạng Sơn</v>
          </cell>
          <cell r="W754" t="str">
            <v/>
          </cell>
          <cell r="X754" t="str">
            <v/>
          </cell>
          <cell r="Z754" t="str">
            <v/>
          </cell>
          <cell r="AB754" t="str">
            <v/>
          </cell>
          <cell r="AC754">
            <v>983111668</v>
          </cell>
        </row>
        <row r="755">
          <cell r="B755" t="str">
            <v>BV0641</v>
          </cell>
          <cell r="C755" t="str">
            <v>Vi Thu Huyền</v>
          </cell>
          <cell r="D755" t="str">
            <v>BV0641</v>
          </cell>
          <cell r="E755" t="str">
            <v>x</v>
          </cell>
          <cell r="F755" t="str">
            <v>KTĐH</v>
          </cell>
          <cell r="G755" t="str">
            <v>TĐ021</v>
          </cell>
          <cell r="H755" t="str">
            <v>Kế toán viên</v>
          </cell>
          <cell r="I755" t="str">
            <v>Kế toán viên (hạng III)</v>
          </cell>
          <cell r="J755" t="str">
            <v>TCKT</v>
          </cell>
          <cell r="K755" t="str">
            <v>KP041</v>
          </cell>
          <cell r="L755" t="str">
            <v>Viên chức CMNV</v>
          </cell>
          <cell r="M755">
            <v>0</v>
          </cell>
          <cell r="N755" t="str">
            <v>Viên chức</v>
          </cell>
          <cell r="O755">
            <v>38</v>
          </cell>
          <cell r="P755">
            <v>0</v>
          </cell>
          <cell r="Q755">
            <v>32094</v>
          </cell>
          <cell r="R755" t="str">
            <v>Tày</v>
          </cell>
          <cell r="S755" t="str">
            <v>1/11/2015</v>
          </cell>
          <cell r="T755" t="str">
            <v>020187009643</v>
          </cell>
          <cell r="U755" t="str">
            <v>Số 104 Đường Bến Bắc, Phường Tam Thanh, Tỉnh Lạng Sơn</v>
          </cell>
          <cell r="W755" t="str">
            <v/>
          </cell>
          <cell r="X755" t="str">
            <v/>
          </cell>
          <cell r="Z755" t="str">
            <v/>
          </cell>
          <cell r="AB755" t="str">
            <v/>
          </cell>
          <cell r="AC755">
            <v>398255844</v>
          </cell>
        </row>
        <row r="756">
          <cell r="B756" t="str">
            <v>BV0651</v>
          </cell>
          <cell r="C756" t="str">
            <v>Nông Thị Mơ</v>
          </cell>
          <cell r="D756" t="str">
            <v>BV0651</v>
          </cell>
          <cell r="E756" t="str">
            <v>x</v>
          </cell>
          <cell r="F756" t="str">
            <v>KTĐH</v>
          </cell>
          <cell r="G756" t="str">
            <v>TĐ021</v>
          </cell>
          <cell r="H756" t="str">
            <v>Kế toán viên</v>
          </cell>
          <cell r="I756" t="str">
            <v>Kế toán viên (hạng III)</v>
          </cell>
          <cell r="J756" t="str">
            <v>TCKT</v>
          </cell>
          <cell r="K756" t="str">
            <v>KP041</v>
          </cell>
          <cell r="L756" t="str">
            <v>Viên chức CMNV</v>
          </cell>
          <cell r="M756">
            <v>0</v>
          </cell>
          <cell r="N756" t="str">
            <v>Viên chức</v>
          </cell>
          <cell r="O756">
            <v>46</v>
          </cell>
          <cell r="P756">
            <v>0</v>
          </cell>
          <cell r="Q756">
            <v>29161</v>
          </cell>
          <cell r="R756" t="str">
            <v>Nùng</v>
          </cell>
          <cell r="S756" t="str">
            <v>15/1/2010</v>
          </cell>
          <cell r="T756" t="str">
            <v>020179007084</v>
          </cell>
          <cell r="U756" t="str">
            <v>80A Minh Khai-P. Kỳ Lừa-Tỉnh Lạng Sơn</v>
          </cell>
          <cell r="W756" t="str">
            <v/>
          </cell>
          <cell r="X756" t="str">
            <v/>
          </cell>
          <cell r="Z756" t="str">
            <v/>
          </cell>
          <cell r="AB756" t="str">
            <v/>
          </cell>
          <cell r="AC756">
            <v>358092999</v>
          </cell>
        </row>
        <row r="757">
          <cell r="B757" t="str">
            <v>BV0656</v>
          </cell>
          <cell r="C757" t="str">
            <v>Trần Thị Vui</v>
          </cell>
          <cell r="D757" t="str">
            <v>BV0656</v>
          </cell>
          <cell r="E757" t="str">
            <v>x</v>
          </cell>
          <cell r="F757" t="str">
            <v>KTĐH</v>
          </cell>
          <cell r="G757" t="str">
            <v>TĐ021</v>
          </cell>
          <cell r="H757" t="str">
            <v>Kế toán viên</v>
          </cell>
          <cell r="I757" t="str">
            <v>Kế toán viên (hạng III)</v>
          </cell>
          <cell r="J757" t="str">
            <v>TCKT</v>
          </cell>
          <cell r="K757" t="str">
            <v>KP041</v>
          </cell>
          <cell r="L757" t="str">
            <v>Viên chức CMNV</v>
          </cell>
          <cell r="M757">
            <v>0</v>
          </cell>
          <cell r="N757" t="str">
            <v>Viên chức</v>
          </cell>
          <cell r="O757">
            <v>37</v>
          </cell>
          <cell r="P757">
            <v>0</v>
          </cell>
          <cell r="Q757">
            <v>32528</v>
          </cell>
          <cell r="R757" t="str">
            <v>Kinh</v>
          </cell>
          <cell r="S757" t="str">
            <v>01/10/2014</v>
          </cell>
          <cell r="T757" t="str">
            <v>036189017423</v>
          </cell>
          <cell r="U757" t="str">
            <v>Khối 3, phường Tam Thanh , Tỉnh Lạng Sơn</v>
          </cell>
          <cell r="W757" t="str">
            <v/>
          </cell>
          <cell r="X757" t="str">
            <v/>
          </cell>
          <cell r="Z757" t="str">
            <v/>
          </cell>
          <cell r="AB757" t="str">
            <v/>
          </cell>
          <cell r="AC757">
            <v>973650462</v>
          </cell>
        </row>
        <row r="758">
          <cell r="B758" t="str">
            <v>BV0633</v>
          </cell>
          <cell r="C758" t="str">
            <v>Tô Thị Yêu</v>
          </cell>
          <cell r="D758" t="str">
            <v>BV0633</v>
          </cell>
          <cell r="E758" t="str">
            <v>x</v>
          </cell>
          <cell r="F758" t="str">
            <v>KTĐH</v>
          </cell>
          <cell r="G758" t="str">
            <v>TĐ021</v>
          </cell>
          <cell r="H758" t="str">
            <v>Kế toán viên</v>
          </cell>
          <cell r="I758" t="str">
            <v>Kế toán viên (hạng III)</v>
          </cell>
          <cell r="J758" t="str">
            <v>TCKT</v>
          </cell>
          <cell r="K758" t="str">
            <v>KP041</v>
          </cell>
          <cell r="L758" t="str">
            <v>Viên chức CMNV</v>
          </cell>
          <cell r="M758">
            <v>0</v>
          </cell>
          <cell r="N758" t="str">
            <v>Viên chức</v>
          </cell>
          <cell r="O758">
            <v>43</v>
          </cell>
          <cell r="P758">
            <v>0</v>
          </cell>
          <cell r="Q758">
            <v>30251</v>
          </cell>
          <cell r="R758" t="str">
            <v>Nùng</v>
          </cell>
          <cell r="S758" t="str">
            <v>15/1/2010</v>
          </cell>
          <cell r="T758" t="str">
            <v>020182002422</v>
          </cell>
          <cell r="U758" t="str">
            <v>Số 4 Tản Đà, khối 15, phường Kỳ Lừa, tỉnh Lạng Sơn</v>
          </cell>
          <cell r="W758" t="str">
            <v/>
          </cell>
          <cell r="X758" t="str">
            <v/>
          </cell>
          <cell r="Z758" t="str">
            <v/>
          </cell>
          <cell r="AB758" t="str">
            <v/>
          </cell>
          <cell r="AC758">
            <v>982736828</v>
          </cell>
        </row>
        <row r="759">
          <cell r="B759" t="str">
            <v>BV1030</v>
          </cell>
          <cell r="C759" t="str">
            <v>Bùi Thị Thắm</v>
          </cell>
          <cell r="D759" t="str">
            <v>BV1030</v>
          </cell>
          <cell r="E759" t="str">
            <v>x</v>
          </cell>
          <cell r="F759" t="str">
            <v>KTĐH</v>
          </cell>
          <cell r="G759" t="str">
            <v>TĐ021</v>
          </cell>
          <cell r="H759" t="str">
            <v>Kế toán viên</v>
          </cell>
          <cell r="I759" t="str">
            <v>Kế toán viên (hạng III)</v>
          </cell>
          <cell r="J759" t="str">
            <v>TCKT</v>
          </cell>
          <cell r="K759" t="str">
            <v>KP041</v>
          </cell>
          <cell r="L759" t="str">
            <v>Viên chức CMNV</v>
          </cell>
          <cell r="M759">
            <v>0</v>
          </cell>
          <cell r="N759" t="str">
            <v>Viên chức</v>
          </cell>
          <cell r="O759">
            <v>37</v>
          </cell>
          <cell r="P759">
            <v>0</v>
          </cell>
          <cell r="Q759">
            <v>32482</v>
          </cell>
          <cell r="R759" t="str">
            <v>Mường</v>
          </cell>
          <cell r="S759" t="str">
            <v>20/3/2018</v>
          </cell>
          <cell r="T759" t="str">
            <v>020188012621</v>
          </cell>
          <cell r="U759" t="str">
            <v>Số 9/41, ngõ 64, Lê Đại Hành, Phường Đông Kinh, tỉnh Lạng Sơn</v>
          </cell>
          <cell r="W759" t="str">
            <v/>
          </cell>
          <cell r="X759" t="str">
            <v/>
          </cell>
          <cell r="Z759" t="str">
            <v/>
          </cell>
          <cell r="AB759" t="str">
            <v/>
          </cell>
          <cell r="AD759" t="str">
            <v>Chuyển đến 18/5/2020</v>
          </cell>
        </row>
        <row r="760">
          <cell r="B760" t="str">
            <v>BV0455</v>
          </cell>
          <cell r="C760" t="str">
            <v>Đoàn Thị Hòa</v>
          </cell>
          <cell r="D760" t="str">
            <v>BV0455</v>
          </cell>
          <cell r="E760" t="str">
            <v>x</v>
          </cell>
          <cell r="F760" t="str">
            <v>KTCĐ</v>
          </cell>
          <cell r="G760" t="str">
            <v>TĐ022</v>
          </cell>
          <cell r="I760" t="str">
            <v>Kế toán viên trung cấp (hạng IV)</v>
          </cell>
          <cell r="J760" t="str">
            <v>TCKT</v>
          </cell>
          <cell r="K760" t="str">
            <v>KP041</v>
          </cell>
          <cell r="N760" t="str">
            <v>HĐ có thời hạn</v>
          </cell>
          <cell r="O760">
            <v>50</v>
          </cell>
          <cell r="P760">
            <v>0</v>
          </cell>
          <cell r="Q760">
            <v>27917</v>
          </cell>
          <cell r="R760" t="str">
            <v>Tày</v>
          </cell>
          <cell r="S760" t="str">
            <v>1/8/2006</v>
          </cell>
          <cell r="T760" t="str">
            <v>020176002027</v>
          </cell>
          <cell r="U760" t="str">
            <v>Số 189 đường Tam Thanh, phường Tam Thanh, tỉnh Lạng Sơn</v>
          </cell>
          <cell r="W760" t="str">
            <v/>
          </cell>
          <cell r="X760" t="str">
            <v/>
          </cell>
          <cell r="Z760" t="str">
            <v/>
          </cell>
          <cell r="AB760" t="str">
            <v/>
          </cell>
          <cell r="AC760" t="str">
            <v>0339652830</v>
          </cell>
          <cell r="AD760" t="str">
            <v>Chuyển từ HĐ68</v>
          </cell>
        </row>
        <row r="761">
          <cell r="B761" t="str">
            <v>BV0644</v>
          </cell>
          <cell r="C761" t="str">
            <v>Đinh Hữu Đạt</v>
          </cell>
          <cell r="D761" t="str">
            <v>BV0644</v>
          </cell>
          <cell r="F761" t="str">
            <v>KTĐH</v>
          </cell>
          <cell r="G761" t="str">
            <v>TĐ021</v>
          </cell>
          <cell r="H761" t="str">
            <v>Kế toán viên</v>
          </cell>
          <cell r="I761" t="str">
            <v>Kế toán viên (hạng III)</v>
          </cell>
          <cell r="J761" t="str">
            <v>TCKT</v>
          </cell>
          <cell r="K761" t="str">
            <v>KP041</v>
          </cell>
          <cell r="L761" t="str">
            <v>Viên chức CMNV</v>
          </cell>
          <cell r="M761">
            <v>0</v>
          </cell>
          <cell r="N761" t="str">
            <v>Viên chức</v>
          </cell>
          <cell r="O761">
            <v>53</v>
          </cell>
          <cell r="P761">
            <v>26872</v>
          </cell>
          <cell r="Q761">
            <v>0</v>
          </cell>
          <cell r="R761" t="str">
            <v>Kinh</v>
          </cell>
          <cell r="S761" t="str">
            <v>15/8/2006</v>
          </cell>
          <cell r="T761" t="str">
            <v>020073001632</v>
          </cell>
          <cell r="U761" t="str">
            <v>Số 90 ngõ 2 khối 2 phường Đông Kinh, tỉnh Lạng Sơn</v>
          </cell>
          <cell r="W761" t="str">
            <v/>
          </cell>
          <cell r="X761" t="str">
            <v/>
          </cell>
          <cell r="Z761" t="str">
            <v/>
          </cell>
          <cell r="AB761" t="str">
            <v/>
          </cell>
          <cell r="AC761">
            <v>982025882</v>
          </cell>
        </row>
        <row r="762">
          <cell r="B762" t="str">
            <v>BV0638</v>
          </cell>
          <cell r="C762" t="str">
            <v>Đinh Thị Quỳnh Nga</v>
          </cell>
          <cell r="D762" t="str">
            <v>BV0638</v>
          </cell>
          <cell r="E762" t="str">
            <v>x</v>
          </cell>
          <cell r="F762" t="str">
            <v>KTĐH</v>
          </cell>
          <cell r="G762" t="str">
            <v>TĐ021</v>
          </cell>
          <cell r="H762" t="str">
            <v>Kế toán viên</v>
          </cell>
          <cell r="I762" t="str">
            <v>Kế toán viên (hạng III)</v>
          </cell>
          <cell r="J762" t="str">
            <v>TCKT</v>
          </cell>
          <cell r="K762" t="str">
            <v>KP041</v>
          </cell>
          <cell r="L762" t="str">
            <v>Viên chức CMNV</v>
          </cell>
          <cell r="M762">
            <v>0</v>
          </cell>
          <cell r="N762" t="str">
            <v>Viên chức</v>
          </cell>
          <cell r="O762">
            <v>49</v>
          </cell>
          <cell r="P762">
            <v>0</v>
          </cell>
          <cell r="Q762">
            <v>28051</v>
          </cell>
          <cell r="R762" t="str">
            <v>Tày</v>
          </cell>
          <cell r="S762" t="str">
            <v>1/6/1999</v>
          </cell>
          <cell r="T762" t="str">
            <v>020176005081</v>
          </cell>
          <cell r="U762" t="str">
            <v>số 161 Bến Bắc, phường Tam Thanh, tỉnh Lạng Sơn</v>
          </cell>
          <cell r="W762" t="str">
            <v/>
          </cell>
          <cell r="X762" t="str">
            <v/>
          </cell>
          <cell r="Z762" t="str">
            <v/>
          </cell>
          <cell r="AB762" t="str">
            <v/>
          </cell>
          <cell r="AC762">
            <v>973696638</v>
          </cell>
        </row>
        <row r="763">
          <cell r="B763" t="str">
            <v>BV0637</v>
          </cell>
          <cell r="C763" t="str">
            <v>Lê Thanh Tú</v>
          </cell>
          <cell r="D763" t="str">
            <v>BV0637</v>
          </cell>
          <cell r="E763" t="str">
            <v>x</v>
          </cell>
          <cell r="F763" t="str">
            <v>KTĐH</v>
          </cell>
          <cell r="G763" t="str">
            <v>TĐ021</v>
          </cell>
          <cell r="H763" t="str">
            <v>Kế toán viên</v>
          </cell>
          <cell r="I763" t="str">
            <v>Kế toán viên (hạng III)</v>
          </cell>
          <cell r="J763" t="str">
            <v>TCKT</v>
          </cell>
          <cell r="K763" t="str">
            <v>KP041</v>
          </cell>
          <cell r="L763" t="str">
            <v>Viên chức CMNV</v>
          </cell>
          <cell r="M763">
            <v>0</v>
          </cell>
          <cell r="N763" t="str">
            <v>Viên chức</v>
          </cell>
          <cell r="O763">
            <v>40</v>
          </cell>
          <cell r="P763">
            <v>0</v>
          </cell>
          <cell r="Q763">
            <v>31392</v>
          </cell>
          <cell r="R763" t="str">
            <v>Tày</v>
          </cell>
          <cell r="S763" t="str">
            <v>1/11/2006</v>
          </cell>
          <cell r="T763" t="str">
            <v>020185000844</v>
          </cell>
          <cell r="U763" t="str">
            <v>Số 104, khối 11, đường Nhị Thanh, phường Tam Thanh, tỉnh Lạng Sơn</v>
          </cell>
          <cell r="W763" t="str">
            <v/>
          </cell>
          <cell r="X763" t="str">
            <v/>
          </cell>
          <cell r="Z763" t="str">
            <v/>
          </cell>
          <cell r="AB763" t="str">
            <v/>
          </cell>
          <cell r="AC763">
            <v>985725568</v>
          </cell>
        </row>
        <row r="764">
          <cell r="B764" t="str">
            <v>BV1004</v>
          </cell>
          <cell r="C764" t="str">
            <v>Nguyễn Duy Khánh</v>
          </cell>
          <cell r="D764" t="str">
            <v>BV1004</v>
          </cell>
          <cell r="F764" t="str">
            <v>KTĐH</v>
          </cell>
          <cell r="G764" t="str">
            <v>TĐ021</v>
          </cell>
          <cell r="H764" t="str">
            <v>Kế toán viên</v>
          </cell>
          <cell r="I764" t="str">
            <v>Kế toán viên (hạng III)</v>
          </cell>
          <cell r="J764" t="str">
            <v>TCKT</v>
          </cell>
          <cell r="K764" t="str">
            <v>KP041</v>
          </cell>
          <cell r="L764" t="str">
            <v>Viên chức CMNV</v>
          </cell>
          <cell r="M764">
            <v>0</v>
          </cell>
          <cell r="N764" t="str">
            <v>Viên chức</v>
          </cell>
          <cell r="O764">
            <v>34</v>
          </cell>
          <cell r="P764">
            <v>33503</v>
          </cell>
          <cell r="Q764">
            <v>0</v>
          </cell>
          <cell r="R764" t="str">
            <v>Kinh</v>
          </cell>
          <cell r="S764" t="str">
            <v>03/2/2017</v>
          </cell>
          <cell r="T764" t="str">
            <v>020091002293</v>
          </cell>
          <cell r="U764" t="str">
            <v>Số 13, Ngõ 12, Khối 2, Đường Bắc Sơn, Phường Đông Kinh, Tỉnh Lạng Sơn</v>
          </cell>
          <cell r="W764" t="str">
            <v/>
          </cell>
          <cell r="X764" t="str">
            <v/>
          </cell>
          <cell r="Z764" t="str">
            <v/>
          </cell>
          <cell r="AB764" t="str">
            <v/>
          </cell>
          <cell r="AC764" t="str">
            <v>0983466263</v>
          </cell>
          <cell r="AD764" t="str">
            <v>Chuyển đến 03/4/2020</v>
          </cell>
        </row>
        <row r="765">
          <cell r="B765" t="str">
            <v>BV0655</v>
          </cell>
          <cell r="C765" t="str">
            <v>Tô Thị Đại</v>
          </cell>
          <cell r="D765" t="str">
            <v>BV0655</v>
          </cell>
          <cell r="E765" t="str">
            <v>x</v>
          </cell>
          <cell r="F765" t="str">
            <v>KTĐH</v>
          </cell>
          <cell r="G765" t="str">
            <v>TĐ021</v>
          </cell>
          <cell r="H765" t="str">
            <v>Kế toán viên</v>
          </cell>
          <cell r="I765" t="str">
            <v>Kế toán viên (hạng III)</v>
          </cell>
          <cell r="J765" t="str">
            <v>TCKT</v>
          </cell>
          <cell r="K765" t="str">
            <v>KP041</v>
          </cell>
          <cell r="L765" t="str">
            <v>Viên chức CMNV</v>
          </cell>
          <cell r="M765">
            <v>0</v>
          </cell>
          <cell r="N765" t="str">
            <v>Viên chức</v>
          </cell>
          <cell r="O765">
            <v>38</v>
          </cell>
          <cell r="P765">
            <v>0</v>
          </cell>
          <cell r="Q765">
            <v>32025</v>
          </cell>
          <cell r="R765" t="str">
            <v>Nùng</v>
          </cell>
          <cell r="S765" t="str">
            <v>15/1/2010</v>
          </cell>
          <cell r="T765" t="str">
            <v>020187009874</v>
          </cell>
          <cell r="U765" t="str">
            <v>253 Bắc Sơn, phường Kỳ Lừa, Tỉnh Lạng Sơn</v>
          </cell>
          <cell r="W765" t="str">
            <v/>
          </cell>
          <cell r="X765" t="str">
            <v/>
          </cell>
          <cell r="Z765" t="str">
            <v/>
          </cell>
          <cell r="AB765" t="str">
            <v/>
          </cell>
          <cell r="AC765">
            <v>983890593</v>
          </cell>
        </row>
        <row r="766">
          <cell r="B766" t="str">
            <v>BV0652</v>
          </cell>
          <cell r="C766" t="str">
            <v>Lương Thị Hồng</v>
          </cell>
          <cell r="D766" t="str">
            <v>BV0652</v>
          </cell>
          <cell r="E766" t="str">
            <v>x</v>
          </cell>
          <cell r="F766" t="str">
            <v>KTĐH</v>
          </cell>
          <cell r="G766" t="str">
            <v>TĐ021</v>
          </cell>
          <cell r="H766" t="str">
            <v>Kế toán viên</v>
          </cell>
          <cell r="I766" t="str">
            <v>Kế toán viên (hạng III)</v>
          </cell>
          <cell r="J766" t="str">
            <v>TCKT</v>
          </cell>
          <cell r="K766" t="str">
            <v>KP041</v>
          </cell>
          <cell r="L766" t="str">
            <v>Viên chức CMNV</v>
          </cell>
          <cell r="M766">
            <v>0</v>
          </cell>
          <cell r="N766" t="str">
            <v>Viên chức</v>
          </cell>
          <cell r="O766">
            <v>39</v>
          </cell>
          <cell r="P766">
            <v>0</v>
          </cell>
          <cell r="Q766">
            <v>31797</v>
          </cell>
          <cell r="R766" t="str">
            <v>Kinh</v>
          </cell>
          <cell r="S766" t="str">
            <v>10/6/2013</v>
          </cell>
          <cell r="T766" t="str">
            <v>020187008704</v>
          </cell>
          <cell r="U766" t="str">
            <v>Khối Đại Sơn, P. Kỳ Lừa, tỉnh Lạng Sơn</v>
          </cell>
          <cell r="W766" t="str">
            <v/>
          </cell>
          <cell r="X766" t="str">
            <v/>
          </cell>
          <cell r="Z766" t="str">
            <v/>
          </cell>
          <cell r="AB766" t="str">
            <v/>
          </cell>
          <cell r="AC766">
            <v>975329495</v>
          </cell>
        </row>
        <row r="767">
          <cell r="B767" t="str">
            <v>BV0650</v>
          </cell>
          <cell r="C767" t="str">
            <v>Hoàng Thị Hảo</v>
          </cell>
          <cell r="D767" t="str">
            <v>BV0650</v>
          </cell>
          <cell r="E767" t="str">
            <v>x</v>
          </cell>
          <cell r="F767" t="str">
            <v>KTCĐ</v>
          </cell>
          <cell r="G767" t="str">
            <v>TĐ022</v>
          </cell>
          <cell r="H767" t="str">
            <v>Kế toán viên TC</v>
          </cell>
          <cell r="I767" t="str">
            <v>Kế toán viên trung cấp (hạng IV)</v>
          </cell>
          <cell r="J767" t="str">
            <v>TCKT</v>
          </cell>
          <cell r="K767" t="str">
            <v>KP041</v>
          </cell>
          <cell r="L767" t="str">
            <v>Viên chức CMNV</v>
          </cell>
          <cell r="M767">
            <v>0</v>
          </cell>
          <cell r="N767" t="str">
            <v>Viên chức</v>
          </cell>
          <cell r="O767">
            <v>51</v>
          </cell>
          <cell r="P767">
            <v>0</v>
          </cell>
          <cell r="Q767">
            <v>27399</v>
          </cell>
          <cell r="R767" t="str">
            <v>Tày</v>
          </cell>
          <cell r="S767" t="str">
            <v>5/7/1996</v>
          </cell>
          <cell r="T767" t="str">
            <v>020175004519</v>
          </cell>
          <cell r="U767" t="str">
            <v>Số 166 đường Trần Hưng Đạo, phường Lương Văn Tri, tỉnh Lạng Sơn</v>
          </cell>
          <cell r="W767" t="str">
            <v/>
          </cell>
          <cell r="X767" t="str">
            <v/>
          </cell>
          <cell r="Z767" t="str">
            <v/>
          </cell>
          <cell r="AB767" t="str">
            <v/>
          </cell>
          <cell r="AC767">
            <v>989909588</v>
          </cell>
        </row>
        <row r="768">
          <cell r="B768" t="str">
            <v>BV0830</v>
          </cell>
          <cell r="C768" t="str">
            <v>Lê Thị Na</v>
          </cell>
          <cell r="D768" t="str">
            <v>BV0830</v>
          </cell>
          <cell r="E768" t="str">
            <v>x</v>
          </cell>
          <cell r="F768" t="str">
            <v>Cử nhân QTKD</v>
          </cell>
          <cell r="G768" t="str">
            <v>TĐ024</v>
          </cell>
          <cell r="H768" t="str">
            <v>Chuyên viên</v>
          </cell>
          <cell r="I768" t="str">
            <v>Chuyên viên về Tài chính</v>
          </cell>
          <cell r="J768" t="str">
            <v>TCKT</v>
          </cell>
          <cell r="K768" t="str">
            <v>KP041</v>
          </cell>
          <cell r="L768" t="str">
            <v>Viên chức CMNV</v>
          </cell>
          <cell r="M768">
            <v>0</v>
          </cell>
          <cell r="N768" t="str">
            <v>Viên chức</v>
          </cell>
          <cell r="O768">
            <v>37</v>
          </cell>
          <cell r="P768">
            <v>0</v>
          </cell>
          <cell r="Q768" t="str">
            <v>21/6/1989</v>
          </cell>
          <cell r="R768" t="str">
            <v>Tày</v>
          </cell>
          <cell r="S768" t="str">
            <v>20/3/2018</v>
          </cell>
          <cell r="T768" t="str">
            <v>020189008309</v>
          </cell>
          <cell r="U768" t="str">
            <v>Số 15 ngõ 408 đường bà triệu, p đông kinh, tỉnh Lạng Sơn</v>
          </cell>
          <cell r="W768" t="str">
            <v/>
          </cell>
          <cell r="X768" t="str">
            <v/>
          </cell>
          <cell r="Z768" t="str">
            <v/>
          </cell>
          <cell r="AB768" t="str">
            <v/>
          </cell>
          <cell r="AC768">
            <v>983456362</v>
          </cell>
          <cell r="AD768" t="str">
            <v>BC 20/3/2018</v>
          </cell>
        </row>
        <row r="769">
          <cell r="B769" t="str">
            <v>BV0891</v>
          </cell>
          <cell r="C769" t="str">
            <v>Ma Thùy Ninh</v>
          </cell>
          <cell r="D769" t="str">
            <v>BV0891</v>
          </cell>
          <cell r="E769" t="str">
            <v>x</v>
          </cell>
          <cell r="F769" t="str">
            <v>Cử nhân QTKD</v>
          </cell>
          <cell r="G769" t="str">
            <v>TĐ024</v>
          </cell>
          <cell r="H769" t="str">
            <v>Chuyên viên</v>
          </cell>
          <cell r="I769" t="str">
            <v>Chuyên viên về Tài chính</v>
          </cell>
          <cell r="J769" t="str">
            <v>TCKT</v>
          </cell>
          <cell r="K769" t="str">
            <v>KP041</v>
          </cell>
          <cell r="L769" t="str">
            <v>Viên chức CMNV</v>
          </cell>
          <cell r="M769">
            <v>0</v>
          </cell>
          <cell r="N769" t="str">
            <v>Viên chức</v>
          </cell>
          <cell r="O769">
            <v>37</v>
          </cell>
          <cell r="P769">
            <v>0</v>
          </cell>
          <cell r="Q769" t="str">
            <v>07/03/1989</v>
          </cell>
          <cell r="R769" t="str">
            <v>Tày</v>
          </cell>
          <cell r="S769" t="str">
            <v>05/04/2019</v>
          </cell>
          <cell r="T769" t="str">
            <v>020189002911</v>
          </cell>
          <cell r="U769" t="str">
            <v>đường Lê Đức Thọ, khối Khòn Pịt, phường Tam Thanh, tỉnh Lạng Sơn</v>
          </cell>
          <cell r="W769" t="str">
            <v/>
          </cell>
          <cell r="X769" t="str">
            <v/>
          </cell>
          <cell r="Z769" t="str">
            <v/>
          </cell>
          <cell r="AB769" t="str">
            <v/>
          </cell>
          <cell r="AC769">
            <v>946099255</v>
          </cell>
          <cell r="AD769" t="str">
            <v>BC 5/4/2019</v>
          </cell>
        </row>
        <row r="770">
          <cell r="B770" t="str">
            <v>BV0693</v>
          </cell>
          <cell r="C770" t="str">
            <v>Phương Nhật Anh</v>
          </cell>
          <cell r="D770" t="str">
            <v>BV0693</v>
          </cell>
          <cell r="E770" t="str">
            <v>x</v>
          </cell>
          <cell r="F770" t="str">
            <v>Cử nhân QTKD</v>
          </cell>
          <cell r="G770" t="str">
            <v>TĐ024</v>
          </cell>
          <cell r="I770" t="str">
            <v>Chuyên viên về Tài chính</v>
          </cell>
          <cell r="J770" t="str">
            <v>TCKT</v>
          </cell>
          <cell r="K770" t="str">
            <v>KP041</v>
          </cell>
          <cell r="N770" t="str">
            <v>Viên chức</v>
          </cell>
          <cell r="O770">
            <v>33</v>
          </cell>
          <cell r="P770">
            <v>0</v>
          </cell>
          <cell r="Q770">
            <v>34095</v>
          </cell>
          <cell r="R770" t="str">
            <v>Nùng</v>
          </cell>
          <cell r="S770" t="str">
            <v xml:space="preserve"> 01/4/2016</v>
          </cell>
          <cell r="T770" t="str">
            <v>020193004449</v>
          </cell>
          <cell r="U770" t="str">
            <v>Tổ 3, Khối 8, Phường Đông Kinh, Tỉnh Lạng Sơn</v>
          </cell>
          <cell r="W770" t="str">
            <v/>
          </cell>
          <cell r="X770" t="str">
            <v/>
          </cell>
          <cell r="Z770" t="str">
            <v/>
          </cell>
          <cell r="AB770" t="str">
            <v/>
          </cell>
          <cell r="AC770">
            <v>982587199</v>
          </cell>
          <cell r="AD770" t="str">
            <v>Viên chức từ 15/6/2026</v>
          </cell>
        </row>
        <row r="771">
          <cell r="B771" t="str">
            <v>BV0881</v>
          </cell>
          <cell r="C771" t="str">
            <v>Nguyễn Hương Giang</v>
          </cell>
          <cell r="D771" t="str">
            <v>BV0881</v>
          </cell>
          <cell r="E771" t="str">
            <v>x</v>
          </cell>
          <cell r="F771" t="str">
            <v>Cử nhân QTKD</v>
          </cell>
          <cell r="G771" t="str">
            <v>TĐ024</v>
          </cell>
          <cell r="I771" t="str">
            <v>Chuyên viên về Tài chính</v>
          </cell>
          <cell r="J771" t="str">
            <v>TCKT</v>
          </cell>
          <cell r="K771" t="str">
            <v>KP041</v>
          </cell>
          <cell r="N771" t="str">
            <v>Viên chức</v>
          </cell>
          <cell r="O771">
            <v>30</v>
          </cell>
          <cell r="P771">
            <v>0</v>
          </cell>
          <cell r="Q771" t="str">
            <v>11/05/1996</v>
          </cell>
          <cell r="R771" t="str">
            <v>Kinh</v>
          </cell>
          <cell r="S771" t="str">
            <v>02/01/2019</v>
          </cell>
          <cell r="T771" t="str">
            <v>020196000289</v>
          </cell>
          <cell r="U771" t="str">
            <v>Số 27 Phan Huy Chú- Phường Lương Văn Tri</v>
          </cell>
          <cell r="W771" t="str">
            <v/>
          </cell>
          <cell r="X771" t="str">
            <v/>
          </cell>
          <cell r="Z771" t="str">
            <v/>
          </cell>
          <cell r="AB771" t="str">
            <v/>
          </cell>
          <cell r="AC771">
            <v>989494115</v>
          </cell>
          <cell r="AD771" t="str">
            <v>Thử việc từ 02/01/2019 đến 31/1, Viên chức từ 15/6/2026</v>
          </cell>
        </row>
        <row r="772">
          <cell r="B772" t="str">
            <v>BV0812</v>
          </cell>
          <cell r="C772" t="str">
            <v>Dương Huyền Nhi</v>
          </cell>
          <cell r="D772" t="str">
            <v>BV0812</v>
          </cell>
          <cell r="E772" t="str">
            <v>x</v>
          </cell>
          <cell r="F772" t="str">
            <v>Cử nhân TCNH</v>
          </cell>
          <cell r="G772" t="str">
            <v>TĐ025</v>
          </cell>
          <cell r="H772" t="str">
            <v>Kế toán viên</v>
          </cell>
          <cell r="I772" t="str">
            <v>Kế toán viên (hạng III)</v>
          </cell>
          <cell r="J772" t="str">
            <v>TCKT</v>
          </cell>
          <cell r="K772" t="str">
            <v>KP041</v>
          </cell>
          <cell r="L772" t="str">
            <v>Viên chức CMNV</v>
          </cell>
          <cell r="M772">
            <v>0</v>
          </cell>
          <cell r="N772" t="str">
            <v>Viên chức</v>
          </cell>
          <cell r="O772">
            <v>32</v>
          </cell>
          <cell r="P772">
            <v>0</v>
          </cell>
          <cell r="Q772" t="str">
            <v>18/12/1993</v>
          </cell>
          <cell r="R772" t="str">
            <v>Tày</v>
          </cell>
          <cell r="S772" t="str">
            <v>10/01/2018</v>
          </cell>
          <cell r="T772" t="str">
            <v>020193007471</v>
          </cell>
          <cell r="U772" t="str">
            <v>Số B19, Phố Xuân Diệu, Khu N18, Khối 25,P Kỳ Lừa, tỉnh Lạng Sơn</v>
          </cell>
          <cell r="W772" t="str">
            <v/>
          </cell>
          <cell r="X772" t="str">
            <v/>
          </cell>
          <cell r="Z772" t="str">
            <v/>
          </cell>
          <cell r="AB772" t="str">
            <v/>
          </cell>
          <cell r="AC772" t="str">
            <v>0948281369</v>
          </cell>
          <cell r="AD772" t="str">
            <v>BC T1/2018</v>
          </cell>
        </row>
        <row r="773">
          <cell r="B773" t="str">
            <v>BV0631</v>
          </cell>
          <cell r="C773" t="str">
            <v>Chu Thị Hằng</v>
          </cell>
          <cell r="D773" t="str">
            <v>BV0631</v>
          </cell>
          <cell r="E773" t="str">
            <v>x</v>
          </cell>
          <cell r="F773" t="str">
            <v>ThS KT</v>
          </cell>
          <cell r="G773" t="e">
            <v>#N/A</v>
          </cell>
          <cell r="H773" t="str">
            <v>Kế toán viên</v>
          </cell>
          <cell r="I773" t="str">
            <v>Kế toán viên (hạng III)</v>
          </cell>
          <cell r="J773" t="str">
            <v>TCKT</v>
          </cell>
          <cell r="K773" t="str">
            <v>KP041</v>
          </cell>
          <cell r="L773" t="str">
            <v>Lãnh đạo khoa, phòng</v>
          </cell>
          <cell r="M773" t="str">
            <v>Trưởng phòng</v>
          </cell>
          <cell r="N773" t="str">
            <v>Viên chức</v>
          </cell>
          <cell r="O773">
            <v>47</v>
          </cell>
          <cell r="P773">
            <v>0</v>
          </cell>
          <cell r="Q773">
            <v>28956</v>
          </cell>
          <cell r="R773" t="str">
            <v>Tày</v>
          </cell>
          <cell r="S773" t="str">
            <v>15/6/2005</v>
          </cell>
          <cell r="T773" t="str">
            <v>020179006921</v>
          </cell>
          <cell r="U773" t="str">
            <v>SN 4 Ngõ 203 Lê Đại Hành P Đông Kinh tỉnh Lạng Sơn</v>
          </cell>
          <cell r="W773" t="str">
            <v/>
          </cell>
          <cell r="X773" t="str">
            <v/>
          </cell>
          <cell r="Z773" t="str">
            <v/>
          </cell>
          <cell r="AB773" t="str">
            <v/>
          </cell>
          <cell r="AC773">
            <v>914026628</v>
          </cell>
        </row>
        <row r="774">
          <cell r="B774" t="str">
            <v>BV1162</v>
          </cell>
          <cell r="C774" t="str">
            <v>Trần Tuấn Hùng</v>
          </cell>
          <cell r="D774" t="str">
            <v>BV1162</v>
          </cell>
          <cell r="F774" t="str">
            <v>ThS TCNH</v>
          </cell>
          <cell r="G774" t="e">
            <v>#N/A</v>
          </cell>
          <cell r="H774" t="str">
            <v>Kế toán viên</v>
          </cell>
          <cell r="I774" t="str">
            <v>Kế toán viên (hạng III)</v>
          </cell>
          <cell r="J774" t="str">
            <v>TCKT</v>
          </cell>
          <cell r="K774" t="str">
            <v>KP041</v>
          </cell>
          <cell r="L774" t="str">
            <v>Viên chức CMNV</v>
          </cell>
          <cell r="M774">
            <v>0</v>
          </cell>
          <cell r="N774" t="str">
            <v>Viên chức</v>
          </cell>
          <cell r="O774">
            <v>33</v>
          </cell>
          <cell r="P774" t="str">
            <v>25/12/1992</v>
          </cell>
          <cell r="Q774">
            <v>0</v>
          </cell>
          <cell r="R774" t="str">
            <v>Nùng</v>
          </cell>
          <cell r="S774">
            <v>44012</v>
          </cell>
          <cell r="T774" t="str">
            <v>020092007670</v>
          </cell>
          <cell r="U774" t="str">
            <v>Số 8 ngõ 227 Nguyễn Du, Phường Đông Kinh tỉnh Lạng Sơn</v>
          </cell>
          <cell r="W774" t="str">
            <v/>
          </cell>
          <cell r="X774" t="str">
            <v/>
          </cell>
          <cell r="Z774" t="str">
            <v/>
          </cell>
          <cell r="AB774" t="str">
            <v/>
          </cell>
          <cell r="AC774">
            <v>912192665</v>
          </cell>
          <cell r="AD774" t="str">
            <v>Chuyển đến 20/10/2021</v>
          </cell>
        </row>
        <row r="775">
          <cell r="B775" t="str">
            <v>BV0299</v>
          </cell>
          <cell r="C775" t="str">
            <v>Hoàng Đức Thuận</v>
          </cell>
          <cell r="D775" t="str">
            <v>BV0299</v>
          </cell>
          <cell r="F775" t="str">
            <v>BSCKI</v>
          </cell>
          <cell r="G775" t="str">
            <v>TĐ003</v>
          </cell>
          <cell r="H775" t="str">
            <v>Bác sĩ chính (hạng II)</v>
          </cell>
          <cell r="I775" t="str">
            <v>Bác sĩ chính (hạng II)</v>
          </cell>
          <cell r="J775" t="str">
            <v>KHTH</v>
          </cell>
          <cell r="K775" t="str">
            <v>KP042</v>
          </cell>
          <cell r="L775" t="str">
            <v>Lãnh đạo khoa, phòng</v>
          </cell>
          <cell r="M775" t="str">
            <v>Trưởng phòng</v>
          </cell>
          <cell r="N775" t="str">
            <v>Viên chức</v>
          </cell>
          <cell r="O775">
            <v>38</v>
          </cell>
          <cell r="P775">
            <v>32058</v>
          </cell>
          <cell r="Q775">
            <v>0</v>
          </cell>
          <cell r="R775" t="str">
            <v>Nùng</v>
          </cell>
          <cell r="S775" t="str">
            <v>10/6/2013</v>
          </cell>
          <cell r="T775" t="str">
            <v>020087002770</v>
          </cell>
          <cell r="U775" t="str">
            <v>Khối 14 phường Kỳ Lừa,tỉnh Lạng Sơn</v>
          </cell>
          <cell r="W775" t="str">
            <v>000851/LS-CCHN</v>
          </cell>
          <cell r="X775" t="str">
            <v>11/01/2023</v>
          </cell>
          <cell r="Z775" t="str">
            <v>Khám bệnh, chữa bệnh chuyên khoa Nhi khoa</v>
          </cell>
          <cell r="AB775">
            <v>0</v>
          </cell>
          <cell r="AC775" t="str">
            <v>0919081087</v>
          </cell>
        </row>
        <row r="776">
          <cell r="B776" t="str">
            <v>BV0231</v>
          </cell>
          <cell r="C776" t="str">
            <v>Nguyễn Thị Hương</v>
          </cell>
          <cell r="D776" t="str">
            <v>BV0231</v>
          </cell>
          <cell r="E776" t="str">
            <v>x</v>
          </cell>
          <cell r="F776" t="str">
            <v>Điều dưỡng ĐH</v>
          </cell>
          <cell r="G776" t="str">
            <v>TĐ011</v>
          </cell>
          <cell r="H776" t="str">
            <v>Điều dưỡng (hạng IV)</v>
          </cell>
          <cell r="I776" t="str">
            <v>Điều dưỡng (hạng IV)</v>
          </cell>
          <cell r="J776" t="str">
            <v>KHTH</v>
          </cell>
          <cell r="K776" t="str">
            <v>KP042</v>
          </cell>
          <cell r="L776" t="str">
            <v>Viên chức CMNV</v>
          </cell>
          <cell r="M776">
            <v>0</v>
          </cell>
          <cell r="N776" t="str">
            <v>Viên chức</v>
          </cell>
          <cell r="O776">
            <v>37</v>
          </cell>
          <cell r="P776">
            <v>0</v>
          </cell>
          <cell r="Q776">
            <v>32411</v>
          </cell>
          <cell r="R776" t="str">
            <v>Tày</v>
          </cell>
          <cell r="S776" t="str">
            <v>1/12/2010</v>
          </cell>
          <cell r="T776" t="str">
            <v>020188008038</v>
          </cell>
          <cell r="U776" t="str">
            <v>118, Tô Thị, P. Tam Thanh, tỉnh Lạng Sơn</v>
          </cell>
          <cell r="W776" t="str">
            <v>000945/LS-CCHN</v>
          </cell>
          <cell r="X776" t="str">
            <v>11/12/2022</v>
          </cell>
          <cell r="Z776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776" t="str">
            <v/>
          </cell>
          <cell r="AC776" t="str">
            <v>082055606</v>
          </cell>
        </row>
        <row r="777">
          <cell r="B777" t="str">
            <v>BV0669</v>
          </cell>
          <cell r="C777" t="str">
            <v>Lành Thị Điển</v>
          </cell>
          <cell r="D777" t="str">
            <v>BV0669</v>
          </cell>
          <cell r="E777" t="str">
            <v>x</v>
          </cell>
          <cell r="F777" t="str">
            <v>Điều dưỡng CĐ</v>
          </cell>
          <cell r="G777" t="str">
            <v>TĐ012</v>
          </cell>
          <cell r="H777" t="str">
            <v>Điều dưỡng (hạng IV)</v>
          </cell>
          <cell r="I777" t="str">
            <v>Điều dưỡng (hạng IV)</v>
          </cell>
          <cell r="J777" t="str">
            <v>KHTH</v>
          </cell>
          <cell r="K777" t="str">
            <v>KP042</v>
          </cell>
          <cell r="L777" t="str">
            <v>Viên chức CMNV</v>
          </cell>
          <cell r="M777">
            <v>0</v>
          </cell>
          <cell r="N777" t="str">
            <v>Viên chức</v>
          </cell>
          <cell r="O777">
            <v>50</v>
          </cell>
          <cell r="P777">
            <v>0</v>
          </cell>
          <cell r="Q777">
            <v>27959</v>
          </cell>
          <cell r="R777" t="str">
            <v>Tày</v>
          </cell>
          <cell r="S777" t="str">
            <v>16/2/2005</v>
          </cell>
          <cell r="T777" t="str">
            <v>020176002267</v>
          </cell>
          <cell r="U777" t="str">
            <v>Số 6 Phai Vệ -khối 12 -Phường Đông Kinh -Tỉnh Lạng Sơn</v>
          </cell>
          <cell r="W777" t="str">
            <v>001106/LS-CCHN</v>
          </cell>
          <cell r="X777" t="str">
            <v>11/12/2022</v>
          </cell>
          <cell r="Z777" t="str">
            <v>Thực hiện phạm vi hoạt động chuyên môn theo quy định tại Thông tư số 26/2015/TTLT-BYT-BNV ngày 07/10/2015 quy định mã số, tiêu chuẩn chức danh nghề nghiệp điều dưỡng, hộ sinh, kỹ thuật y</v>
          </cell>
          <cell r="AB777" t="str">
            <v/>
          </cell>
          <cell r="AC777" t="str">
            <v>0944386986</v>
          </cell>
        </row>
        <row r="778">
          <cell r="B778" t="str">
            <v>BV0661</v>
          </cell>
          <cell r="C778" t="str">
            <v>Lưu Kim Phượng</v>
          </cell>
          <cell r="D778" t="str">
            <v>BV0661</v>
          </cell>
          <cell r="E778" t="str">
            <v>x</v>
          </cell>
          <cell r="F778" t="str">
            <v>ĐH CNTT</v>
          </cell>
          <cell r="G778" t="str">
            <v>TĐ026</v>
          </cell>
          <cell r="H778" t="str">
            <v>Công nghệ thông tin (hạng III)</v>
          </cell>
          <cell r="I778" t="str">
            <v>Công nghệ thông tin (hạng III)</v>
          </cell>
          <cell r="J778" t="str">
            <v>KHTH</v>
          </cell>
          <cell r="K778" t="str">
            <v>KP042</v>
          </cell>
          <cell r="L778" t="str">
            <v>Viên chức CMNV</v>
          </cell>
          <cell r="M778">
            <v>0</v>
          </cell>
          <cell r="N778" t="str">
            <v>Viên chức</v>
          </cell>
          <cell r="O778">
            <v>40</v>
          </cell>
          <cell r="P778">
            <v>0</v>
          </cell>
          <cell r="Q778">
            <v>31556</v>
          </cell>
          <cell r="R778" t="str">
            <v>Nùng</v>
          </cell>
          <cell r="S778" t="str">
            <v>15/1/2010</v>
          </cell>
          <cell r="T778" t="str">
            <v>020186002922</v>
          </cell>
          <cell r="U778" t="str">
            <v>696, đường Bà Triệu, phường Đông Kinh, tỉnh Lạng Sơn</v>
          </cell>
          <cell r="W778" t="str">
            <v/>
          </cell>
          <cell r="X778" t="str">
            <v/>
          </cell>
          <cell r="Z778" t="str">
            <v/>
          </cell>
          <cell r="AB778" t="str">
            <v/>
          </cell>
          <cell r="AC778" t="str">
            <v>0915986266</v>
          </cell>
        </row>
        <row r="779">
          <cell r="B779" t="str">
            <v>BV0664</v>
          </cell>
          <cell r="C779" t="str">
            <v>Nguyễn Thị Mai</v>
          </cell>
          <cell r="D779" t="str">
            <v>BV0664</v>
          </cell>
          <cell r="E779" t="str">
            <v>x</v>
          </cell>
          <cell r="F779" t="str">
            <v>ĐH CNTT</v>
          </cell>
          <cell r="G779" t="str">
            <v>TĐ026</v>
          </cell>
          <cell r="H779" t="str">
            <v>Chuyên viên</v>
          </cell>
          <cell r="I779" t="str">
            <v>Chuyên viên về tổng hợp</v>
          </cell>
          <cell r="J779" t="str">
            <v>KHTH</v>
          </cell>
          <cell r="K779" t="str">
            <v>KP042</v>
          </cell>
          <cell r="L779" t="str">
            <v>Viên chức CMNV</v>
          </cell>
          <cell r="M779">
            <v>0</v>
          </cell>
          <cell r="N779" t="str">
            <v>Viên chức</v>
          </cell>
          <cell r="O779">
            <v>41</v>
          </cell>
          <cell r="P779">
            <v>0</v>
          </cell>
          <cell r="Q779">
            <v>31041</v>
          </cell>
          <cell r="R779" t="str">
            <v>Tày</v>
          </cell>
          <cell r="S779" t="str">
            <v>01/11/2014</v>
          </cell>
          <cell r="T779" t="str">
            <v>020184002852</v>
          </cell>
          <cell r="U779" t="str">
            <v>số 155 Nguyễn Du, phường Đông Kinh, tỉnh Lạng Sơn</v>
          </cell>
          <cell r="W779" t="str">
            <v/>
          </cell>
          <cell r="X779" t="str">
            <v/>
          </cell>
          <cell r="Z779" t="str">
            <v/>
          </cell>
          <cell r="AB779" t="str">
            <v/>
          </cell>
          <cell r="AC779" t="str">
            <v>0982037022</v>
          </cell>
        </row>
        <row r="780">
          <cell r="B780" t="str">
            <v>BV0803</v>
          </cell>
          <cell r="C780" t="str">
            <v>Dương Công Tình</v>
          </cell>
          <cell r="D780" t="str">
            <v>BV0803</v>
          </cell>
          <cell r="F780" t="str">
            <v>YTCC</v>
          </cell>
          <cell r="G780" t="str">
            <v>TĐ036</v>
          </cell>
          <cell r="I780" t="str">
            <v>Y tế công cộng (hạng III)</v>
          </cell>
          <cell r="J780" t="str">
            <v>KHTH</v>
          </cell>
          <cell r="K780" t="str">
            <v>KP042</v>
          </cell>
          <cell r="N780" t="str">
            <v>Viên chức</v>
          </cell>
          <cell r="O780">
            <v>34</v>
          </cell>
          <cell r="P780">
            <v>33674</v>
          </cell>
          <cell r="Q780">
            <v>0</v>
          </cell>
          <cell r="R780" t="str">
            <v>Tày</v>
          </cell>
          <cell r="S780" t="str">
            <v xml:space="preserve"> 02/10/2017</v>
          </cell>
          <cell r="T780" t="str">
            <v>020092002145</v>
          </cell>
          <cell r="U780">
            <v>0</v>
          </cell>
          <cell r="W780" t="str">
            <v/>
          </cell>
          <cell r="X780" t="str">
            <v/>
          </cell>
          <cell r="Z780" t="str">
            <v/>
          </cell>
          <cell r="AB780" t="str">
            <v/>
          </cell>
          <cell r="AC780" t="str">
            <v>0866206266</v>
          </cell>
          <cell r="AD780" t="str">
            <v>HĐ 02/10/2017; Đỗ VC 20/5/2026</v>
          </cell>
        </row>
        <row r="781">
          <cell r="B781" t="str">
            <v>BV0673</v>
          </cell>
          <cell r="C781" t="str">
            <v>Dương Thần Trưởng</v>
          </cell>
          <cell r="D781" t="str">
            <v>BV0673</v>
          </cell>
          <cell r="F781" t="str">
            <v>YTCC</v>
          </cell>
          <cell r="G781" t="str">
            <v>TĐ036</v>
          </cell>
          <cell r="H781" t="str">
            <v>Y tế công cộng (hạng III)</v>
          </cell>
          <cell r="I781" t="str">
            <v>Y tế công cộng (hạng III)</v>
          </cell>
          <cell r="J781" t="str">
            <v>KHTH</v>
          </cell>
          <cell r="K781" t="str">
            <v>KP042</v>
          </cell>
          <cell r="L781" t="str">
            <v>Viên chức CMNV</v>
          </cell>
          <cell r="M781">
            <v>0</v>
          </cell>
          <cell r="N781" t="str">
            <v>Viên chức</v>
          </cell>
          <cell r="O781">
            <v>33</v>
          </cell>
          <cell r="P781" t="str">
            <v>12/9/1992</v>
          </cell>
          <cell r="Q781">
            <v>0</v>
          </cell>
          <cell r="R781" t="str">
            <v>Tày</v>
          </cell>
          <cell r="S781" t="str">
            <v>15/01/2016</v>
          </cell>
          <cell r="T781" t="str">
            <v>020092002149</v>
          </cell>
          <cell r="U781" t="str">
            <v>Khối Đại Sơn, Phường Kỳ Lừa, Tỉnh Lạng Sơn</v>
          </cell>
          <cell r="W781" t="str">
            <v/>
          </cell>
          <cell r="X781" t="str">
            <v/>
          </cell>
          <cell r="Z781" t="str">
            <v/>
          </cell>
          <cell r="AB781" t="str">
            <v/>
          </cell>
          <cell r="AC781" t="str">
            <v>0974405192</v>
          </cell>
        </row>
        <row r="782">
          <cell r="B782" t="str">
            <v>BV0926</v>
          </cell>
          <cell r="C782" t="str">
            <v>Đinh Thị Hải Yến</v>
          </cell>
          <cell r="D782" t="str">
            <v>BV0926</v>
          </cell>
          <cell r="E782" t="str">
            <v>x</v>
          </cell>
          <cell r="F782" t="str">
            <v>Y học dự phòng</v>
          </cell>
          <cell r="G782" t="str">
            <v>TĐ051</v>
          </cell>
          <cell r="I782" t="str">
            <v>Bác sĩ Y học dự phòng (hạng III)</v>
          </cell>
          <cell r="J782" t="str">
            <v>KHTH</v>
          </cell>
          <cell r="K782" t="str">
            <v>KP042</v>
          </cell>
          <cell r="N782" t="str">
            <v>Viên chức</v>
          </cell>
          <cell r="O782">
            <v>32</v>
          </cell>
          <cell r="P782">
            <v>0</v>
          </cell>
          <cell r="Q782" t="str">
            <v>25/8/1993</v>
          </cell>
          <cell r="R782" t="str">
            <v>Kinh</v>
          </cell>
          <cell r="S782" t="str">
            <v>15/8/2019</v>
          </cell>
          <cell r="T782" t="str">
            <v>015193005031</v>
          </cell>
          <cell r="U782" t="str">
            <v>số 109A, đường Tam Thanh, khối 11 phường Tam Thanh, tỉnh Lạng Sơn</v>
          </cell>
          <cell r="W782" t="str">
            <v>004334/LS-CCHN</v>
          </cell>
          <cell r="X782" t="str">
            <v>17/8/2021</v>
          </cell>
          <cell r="Z782" t="str">
            <v>Phát hiện và xử trí các bệnh thông thường; xử trí ban đầu một số trường hợp cấp cứu tại cộng đồng</v>
          </cell>
          <cell r="AB782" t="str">
            <v/>
          </cell>
          <cell r="AC782" t="str">
            <v>0335445968</v>
          </cell>
          <cell r="AD782" t="str">
            <v>Thử việc 15/8/2019; Kiêm nhiệm phòng QLCL 01/10/2022; đỗ VC 20/5/2026;</v>
          </cell>
        </row>
        <row r="783">
          <cell r="B783" t="str">
            <v>BV0078</v>
          </cell>
          <cell r="C783" t="str">
            <v>Phạm Lan Anh</v>
          </cell>
          <cell r="D783" t="str">
            <v>BV0078</v>
          </cell>
          <cell r="E783" t="str">
            <v>x</v>
          </cell>
          <cell r="F783" t="str">
            <v>Điều dưỡng ĐH</v>
          </cell>
          <cell r="G783" t="str">
            <v>TĐ011</v>
          </cell>
          <cell r="H783" t="str">
            <v>Điều dưỡng (hạng III)</v>
          </cell>
          <cell r="I783" t="str">
            <v>Điều dưỡng (hạng III)</v>
          </cell>
          <cell r="J783" t="str">
            <v>CTXH</v>
          </cell>
          <cell r="K783" t="str">
            <v>KP043</v>
          </cell>
          <cell r="L783" t="str">
            <v>Lãnh đạo khoa, phòng</v>
          </cell>
          <cell r="M783" t="str">
            <v>Trưởng phòng</v>
          </cell>
          <cell r="N783" t="str">
            <v>Viên chức</v>
          </cell>
          <cell r="O783">
            <v>36</v>
          </cell>
          <cell r="P783">
            <v>0</v>
          </cell>
          <cell r="Q783">
            <v>32755</v>
          </cell>
          <cell r="R783" t="str">
            <v>Nùng</v>
          </cell>
          <cell r="S783" t="str">
            <v>1/7/2013</v>
          </cell>
          <cell r="T783" t="str">
            <v>020189002247</v>
          </cell>
          <cell r="U783" t="str">
            <v>Số 90, Đường Lê Lai, Khối 8, Phường Kỳ Lừa , Tỉnh Lạng Sơn</v>
          </cell>
          <cell r="W783" t="str">
            <v>000422/LS-CCHN</v>
          </cell>
          <cell r="X783" t="str">
            <v>18/07/2016</v>
          </cell>
          <cell r="Z783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783" t="str">
            <v/>
          </cell>
          <cell r="AC783">
            <v>356256368</v>
          </cell>
        </row>
        <row r="784">
          <cell r="B784" t="str">
            <v>BV0382</v>
          </cell>
          <cell r="C784" t="str">
            <v>Vy Thị Hồng Thơ</v>
          </cell>
          <cell r="D784" t="str">
            <v>BV0382</v>
          </cell>
          <cell r="E784" t="str">
            <v>x</v>
          </cell>
          <cell r="F784" t="str">
            <v>Điều dưỡng ĐH</v>
          </cell>
          <cell r="G784" t="str">
            <v>TĐ011</v>
          </cell>
          <cell r="H784" t="str">
            <v>Điều dưỡng (hạng III)</v>
          </cell>
          <cell r="I784" t="str">
            <v>Điều dưỡng (hạng III)</v>
          </cell>
          <cell r="J784" t="str">
            <v>CTXH</v>
          </cell>
          <cell r="K784" t="str">
            <v>KP043</v>
          </cell>
          <cell r="L784" t="str">
            <v>Viên chức CMNV</v>
          </cell>
          <cell r="M784">
            <v>0</v>
          </cell>
          <cell r="N784" t="str">
            <v>Viên chức</v>
          </cell>
          <cell r="O784">
            <v>42</v>
          </cell>
          <cell r="P784">
            <v>0</v>
          </cell>
          <cell r="Q784">
            <v>30834</v>
          </cell>
          <cell r="R784" t="str">
            <v>Tày</v>
          </cell>
          <cell r="S784" t="str">
            <v>6/11/2006</v>
          </cell>
          <cell r="T784" t="str">
            <v>020184000948</v>
          </cell>
          <cell r="U784" t="str">
            <v>Số 27, Tạ Quang Bửu, Khu N16, Khối 25 Phường Kỳ Lừa, Tỉnh Lạng Sơn</v>
          </cell>
          <cell r="W784" t="str">
            <v>000994/LS-CCHN</v>
          </cell>
          <cell r="X784" t="str">
            <v>11/01/2023</v>
          </cell>
          <cell r="Z784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784" t="str">
            <v/>
          </cell>
          <cell r="AC784">
            <v>984907287</v>
          </cell>
        </row>
        <row r="785">
          <cell r="B785" t="str">
            <v>BV0084</v>
          </cell>
          <cell r="C785" t="str">
            <v>Hoàng Thị Mai Anh</v>
          </cell>
          <cell r="D785" t="str">
            <v>BV0084</v>
          </cell>
          <cell r="E785" t="str">
            <v>x</v>
          </cell>
          <cell r="F785" t="str">
            <v>Điều dưỡng CĐ</v>
          </cell>
          <cell r="G785" t="str">
            <v>TĐ012</v>
          </cell>
          <cell r="H785" t="str">
            <v>Điều dưỡng (hạng IV)</v>
          </cell>
          <cell r="I785" t="str">
            <v>Điều dưỡng (hạng IV)</v>
          </cell>
          <cell r="J785" t="str">
            <v>CTXH</v>
          </cell>
          <cell r="K785" t="str">
            <v>KP043</v>
          </cell>
          <cell r="L785" t="str">
            <v>Viên chức CMNV</v>
          </cell>
          <cell r="M785">
            <v>0</v>
          </cell>
          <cell r="N785" t="str">
            <v>Viên chức</v>
          </cell>
          <cell r="O785">
            <v>37</v>
          </cell>
          <cell r="P785">
            <v>0</v>
          </cell>
          <cell r="Q785">
            <v>32618</v>
          </cell>
          <cell r="R785" t="str">
            <v>Tày</v>
          </cell>
          <cell r="S785" t="str">
            <v>10/6/2013</v>
          </cell>
          <cell r="T785" t="str">
            <v>020189006254</v>
          </cell>
          <cell r="U785" t="str">
            <v>Số nhà 12 đường Võ Thị Sáu, khối 8 phường Đông Kinh</v>
          </cell>
          <cell r="W785" t="str">
            <v>000431/LS-CCHN</v>
          </cell>
          <cell r="X785" t="str">
            <v>11/01/2023</v>
          </cell>
          <cell r="Z785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785" t="str">
            <v/>
          </cell>
          <cell r="AC785">
            <v>979427366</v>
          </cell>
        </row>
        <row r="786">
          <cell r="B786" t="str">
            <v>BV0037</v>
          </cell>
          <cell r="C786" t="str">
            <v>Triệu Thị Thảo</v>
          </cell>
          <cell r="D786" t="str">
            <v>BV0037</v>
          </cell>
          <cell r="E786" t="str">
            <v>x</v>
          </cell>
          <cell r="F786" t="str">
            <v>YTCC</v>
          </cell>
          <cell r="G786" t="str">
            <v>TĐ036</v>
          </cell>
          <cell r="H786" t="str">
            <v>Y tế công cộng (hạng III)</v>
          </cell>
          <cell r="I786" t="str">
            <v>Y tế công cộng (hạng III)</v>
          </cell>
          <cell r="J786" t="str">
            <v>CTXH</v>
          </cell>
          <cell r="K786" t="str">
            <v>KP043</v>
          </cell>
          <cell r="L786" t="str">
            <v>Viên chức CMNV</v>
          </cell>
          <cell r="M786">
            <v>0</v>
          </cell>
          <cell r="N786" t="str">
            <v>Viên chức</v>
          </cell>
          <cell r="O786" t="str">
            <v>Đang công tác tại Nội Thận</v>
          </cell>
          <cell r="P786">
            <v>0</v>
          </cell>
          <cell r="Q786">
            <v>31417</v>
          </cell>
          <cell r="R786" t="str">
            <v>Nùng</v>
          </cell>
          <cell r="S786" t="str">
            <v>1/12/2008</v>
          </cell>
          <cell r="T786" t="str">
            <v>020186002926</v>
          </cell>
          <cell r="U786" t="str">
            <v>Tập thể trường Cao đẳng Lạng Sơn, khối Đèo Giang, phường Lương Văn Tri</v>
          </cell>
          <cell r="W786" t="str">
            <v>000779/LS-CCHN</v>
          </cell>
          <cell r="X786" t="str">
            <v>24/06/2013</v>
          </cell>
          <cell r="Z786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786" t="str">
            <v/>
          </cell>
          <cell r="AC786" t="str">
            <v>0985494828</v>
          </cell>
        </row>
        <row r="787">
          <cell r="B787" t="str">
            <v>BV0675</v>
          </cell>
          <cell r="C787" t="str">
            <v>Phạm Thùy Linh</v>
          </cell>
          <cell r="D787" t="str">
            <v>BV0675</v>
          </cell>
          <cell r="E787" t="str">
            <v>x</v>
          </cell>
          <cell r="F787" t="str">
            <v>Cử nhân QHCC</v>
          </cell>
          <cell r="G787" t="str">
            <v>TĐ037</v>
          </cell>
          <cell r="H787" t="str">
            <v>Chuyên viên</v>
          </cell>
          <cell r="I787" t="str">
            <v>Chuyên viên về truyền thông</v>
          </cell>
          <cell r="J787" t="str">
            <v>CTXH</v>
          </cell>
          <cell r="K787" t="str">
            <v>KP043</v>
          </cell>
          <cell r="L787" t="str">
            <v>Viên chức CMNV</v>
          </cell>
          <cell r="M787">
            <v>0</v>
          </cell>
          <cell r="N787" t="str">
            <v>Viên chức</v>
          </cell>
          <cell r="O787">
            <v>32</v>
          </cell>
          <cell r="P787">
            <v>0</v>
          </cell>
          <cell r="Q787" t="str">
            <v>08/12/1993</v>
          </cell>
          <cell r="R787" t="str">
            <v>Kinh</v>
          </cell>
          <cell r="S787" t="str">
            <v>20/3/2018</v>
          </cell>
          <cell r="T787" t="str">
            <v>020193002192</v>
          </cell>
          <cell r="U787" t="str">
            <v>Số 4A ngõ 167 đường Tam Thanh, phường Tam Thanh, tỉnh Lạng Sơn</v>
          </cell>
          <cell r="W787" t="str">
            <v/>
          </cell>
          <cell r="X787" t="str">
            <v/>
          </cell>
          <cell r="Z787" t="str">
            <v/>
          </cell>
          <cell r="AB787" t="str">
            <v/>
          </cell>
          <cell r="AC787">
            <v>363548372</v>
          </cell>
          <cell r="AD787" t="str">
            <v>BC 20/3/2018</v>
          </cell>
        </row>
        <row r="788">
          <cell r="B788" t="str">
            <v>BV0832</v>
          </cell>
          <cell r="C788" t="str">
            <v>Nguyễn Thị Hà Thu</v>
          </cell>
          <cell r="D788" t="str">
            <v>BV0832</v>
          </cell>
          <cell r="E788" t="str">
            <v>x</v>
          </cell>
          <cell r="F788" t="str">
            <v>Cử nhân Báo chí</v>
          </cell>
          <cell r="G788" t="str">
            <v>TĐ039</v>
          </cell>
          <cell r="H788" t="str">
            <v>Chuyên viên</v>
          </cell>
          <cell r="I788" t="str">
            <v>Chuyên viên về truyền thông</v>
          </cell>
          <cell r="J788" t="str">
            <v>CTXH</v>
          </cell>
          <cell r="K788" t="str">
            <v>KP043</v>
          </cell>
          <cell r="L788" t="str">
            <v>Viên chức CMNV</v>
          </cell>
          <cell r="M788">
            <v>0</v>
          </cell>
          <cell r="N788" t="str">
            <v>Viên chức</v>
          </cell>
          <cell r="O788">
            <v>33</v>
          </cell>
          <cell r="P788">
            <v>0</v>
          </cell>
          <cell r="Q788">
            <v>34165</v>
          </cell>
          <cell r="R788" t="str">
            <v>Kinh</v>
          </cell>
          <cell r="S788" t="str">
            <v>20/3/2018</v>
          </cell>
          <cell r="T788" t="str">
            <v>020193008525</v>
          </cell>
          <cell r="U788" t="str">
            <v>Khối 6, phường Đông Kinh, tỉnh Lạng Sơn</v>
          </cell>
          <cell r="W788" t="str">
            <v/>
          </cell>
          <cell r="X788" t="str">
            <v/>
          </cell>
          <cell r="Z788" t="str">
            <v/>
          </cell>
          <cell r="AB788" t="str">
            <v/>
          </cell>
          <cell r="AC788">
            <v>834560093</v>
          </cell>
          <cell r="AD788" t="str">
            <v>BC 20/3/2018</v>
          </cell>
        </row>
        <row r="789">
          <cell r="B789" t="str">
            <v>BV0164</v>
          </cell>
          <cell r="C789" t="str">
            <v>Lương Văn Sỹ</v>
          </cell>
          <cell r="D789" t="str">
            <v>BV0164</v>
          </cell>
          <cell r="F789" t="str">
            <v>Thạc sỹ</v>
          </cell>
          <cell r="G789" t="str">
            <v>TĐ004</v>
          </cell>
          <cell r="H789" t="str">
            <v>Bác sĩ chính (hạng II)</v>
          </cell>
          <cell r="I789" t="str">
            <v>Bác sĩ chính (hạng II)</v>
          </cell>
          <cell r="J789" t="str">
            <v>QLCL</v>
          </cell>
          <cell r="K789" t="str">
            <v>KP044</v>
          </cell>
          <cell r="L789" t="str">
            <v>Lãnh đạo khoa, phòng</v>
          </cell>
          <cell r="M789" t="str">
            <v>Trưởng phòng</v>
          </cell>
          <cell r="N789" t="str">
            <v>Viên chức</v>
          </cell>
          <cell r="O789">
            <v>49</v>
          </cell>
          <cell r="P789" t="str">
            <v>01/02/1977</v>
          </cell>
          <cell r="Q789">
            <v>0</v>
          </cell>
          <cell r="R789" t="str">
            <v>Tày</v>
          </cell>
          <cell r="S789" t="str">
            <v>25/5/2009</v>
          </cell>
          <cell r="T789" t="str">
            <v>020077009361</v>
          </cell>
          <cell r="U789" t="str">
            <v>Số 14 /34, đường bà triệu, phường kỳ lừa, tỉnh Lạng sơn</v>
          </cell>
          <cell r="W789" t="str">
            <v>000500/LS-CCHN</v>
          </cell>
          <cell r="X789" t="str">
            <v>24/08/2016</v>
          </cell>
          <cell r="Z789" t="str">
            <v>Khám bệnh, chữa bệnh Ngoại khoa</v>
          </cell>
          <cell r="AB789" t="str">
            <v/>
          </cell>
          <cell r="AC789" t="str">
            <v>0912091040</v>
          </cell>
        </row>
        <row r="790">
          <cell r="B790" t="str">
            <v>BV0668</v>
          </cell>
          <cell r="C790" t="str">
            <v>Trần Thị Bích</v>
          </cell>
          <cell r="D790" t="str">
            <v>BV0668</v>
          </cell>
          <cell r="E790" t="str">
            <v>x</v>
          </cell>
          <cell r="F790" t="str">
            <v>Điều dưỡng CĐ</v>
          </cell>
          <cell r="G790" t="str">
            <v>TĐ012</v>
          </cell>
          <cell r="H790" t="str">
            <v>Điều dưỡng (hạng IV)</v>
          </cell>
          <cell r="I790" t="str">
            <v>Điều dưỡng (hạng IV)</v>
          </cell>
          <cell r="J790" t="str">
            <v>QLCL</v>
          </cell>
          <cell r="K790" t="str">
            <v>KP044</v>
          </cell>
          <cell r="L790" t="str">
            <v>Viên chức CMNV</v>
          </cell>
          <cell r="M790">
            <v>0</v>
          </cell>
          <cell r="N790" t="str">
            <v>Viên chức</v>
          </cell>
          <cell r="O790">
            <v>53</v>
          </cell>
          <cell r="P790">
            <v>0</v>
          </cell>
          <cell r="Q790">
            <v>26825</v>
          </cell>
          <cell r="R790" t="str">
            <v>Kinh</v>
          </cell>
          <cell r="S790" t="str">
            <v>1/11/2003</v>
          </cell>
          <cell r="T790" t="str">
            <v>024173002543</v>
          </cell>
          <cell r="U790" t="str">
            <v>Số nhà 27 ngõ 105, đường lê lợi phường đông kinh TPLạng Sơn</v>
          </cell>
          <cell r="W790" t="str">
            <v>001105/LS-CCHN</v>
          </cell>
          <cell r="X790" t="str">
            <v>11/01/2023</v>
          </cell>
          <cell r="Z790" t="str">
            <v>Thực hiện phạm vi hoạt động chuyên môn theo Thông tư số 26/2015/TTLT-BYT-BNV ngày 07/10/2015 quy định  mã số, tiêu chuẩn chức danh nghề nghiệp, điều dưỡng, hộ sinh, kỹ thuật y</v>
          </cell>
          <cell r="AB790" t="str">
            <v/>
          </cell>
          <cell r="AC790" t="str">
            <v>0982134808</v>
          </cell>
        </row>
        <row r="791">
          <cell r="B791" t="str">
            <v>BV0924</v>
          </cell>
          <cell r="C791" t="str">
            <v>Nguyễn Thu Huyền</v>
          </cell>
          <cell r="D791" t="str">
            <v>BV0924</v>
          </cell>
          <cell r="E791" t="str">
            <v>x</v>
          </cell>
          <cell r="F791" t="str">
            <v>YTCC</v>
          </cell>
          <cell r="G791" t="str">
            <v>TĐ036</v>
          </cell>
          <cell r="I791" t="str">
            <v>Y tế công cộng (hạng III)</v>
          </cell>
          <cell r="J791" t="str">
            <v>QLCL</v>
          </cell>
          <cell r="K791" t="str">
            <v>KP044</v>
          </cell>
          <cell r="N791" t="str">
            <v>Viên chức</v>
          </cell>
          <cell r="O791">
            <v>29</v>
          </cell>
          <cell r="P791">
            <v>0</v>
          </cell>
          <cell r="Q791" t="str">
            <v>08/8/1997</v>
          </cell>
          <cell r="R791" t="str">
            <v>Kinh</v>
          </cell>
          <cell r="S791" t="str">
            <v>15/8/2019</v>
          </cell>
          <cell r="T791" t="str">
            <v>020197000360</v>
          </cell>
          <cell r="U791" t="str">
            <v>Số 14, đường ba đình, tân mỹ 1, xã Hữu lũng, tỉnh Lạng sơn</v>
          </cell>
          <cell r="W791" t="str">
            <v/>
          </cell>
          <cell r="X791" t="str">
            <v/>
          </cell>
          <cell r="Z791" t="str">
            <v/>
          </cell>
          <cell r="AB791" t="str">
            <v/>
          </cell>
          <cell r="AC791">
            <v>962161223</v>
          </cell>
          <cell r="AD791" t="str">
            <v>Thử việc 15/8/2019, Viên chức từ 15/6/2026</v>
          </cell>
        </row>
        <row r="792">
          <cell r="B792" t="str">
            <v>BV0247</v>
          </cell>
          <cell r="C792" t="str">
            <v>Đặng Thị Thơm</v>
          </cell>
          <cell r="D792" t="str">
            <v>BV0247</v>
          </cell>
          <cell r="E792" t="str">
            <v>x</v>
          </cell>
          <cell r="F792" t="str">
            <v>BSCKI</v>
          </cell>
          <cell r="G792" t="str">
            <v>TĐ003</v>
          </cell>
          <cell r="H792" t="str">
            <v>Bác sĩ chính (hạng II)</v>
          </cell>
          <cell r="I792" t="str">
            <v>Bác sĩ chính (hạng II)</v>
          </cell>
          <cell r="J792" t="str">
            <v>Chỉ đạo tuyến</v>
          </cell>
          <cell r="K792" t="str">
            <v>KP045</v>
          </cell>
          <cell r="L792" t="str">
            <v>Lãnh đạo khoa, phòng</v>
          </cell>
          <cell r="M792" t="str">
            <v>Trưởng phòng</v>
          </cell>
          <cell r="N792" t="str">
            <v>Viên chức</v>
          </cell>
          <cell r="O792">
            <v>40</v>
          </cell>
          <cell r="P792">
            <v>0</v>
          </cell>
          <cell r="Q792">
            <v>31358</v>
          </cell>
          <cell r="R792" t="str">
            <v>Kinh</v>
          </cell>
          <cell r="S792" t="str">
            <v>10/06/2013</v>
          </cell>
          <cell r="T792" t="str">
            <v>020185002827</v>
          </cell>
          <cell r="U792" t="str">
            <v>Số 5, Nà Trang A, khối 6, phường Tam Thanh, tỉnh Lạng Sơn</v>
          </cell>
          <cell r="W792" t="str">
            <v>000374/LS-CCHN</v>
          </cell>
          <cell r="X792" t="str">
            <v>11/01/2023</v>
          </cell>
          <cell r="Z792" t="str">
            <v>Khám chữa bệnh chuyên khoa Phụ sản</v>
          </cell>
          <cell r="AB792">
            <v>0</v>
          </cell>
          <cell r="AC792">
            <v>987244718</v>
          </cell>
        </row>
        <row r="793">
          <cell r="B793" t="str">
            <v>BV0829</v>
          </cell>
          <cell r="C793" t="str">
            <v>Hoàng Bảo Vượng</v>
          </cell>
          <cell r="D793" t="str">
            <v>BV0829</v>
          </cell>
          <cell r="F793" t="str">
            <v>YTCC</v>
          </cell>
          <cell r="G793" t="str">
            <v>TĐ036</v>
          </cell>
          <cell r="H793" t="str">
            <v>Y tế công cộng (hạng III)</v>
          </cell>
          <cell r="I793" t="str">
            <v>Y tế công cộng (hạng III)</v>
          </cell>
          <cell r="J793" t="str">
            <v>Chỉ đạo tuyến</v>
          </cell>
          <cell r="K793" t="str">
            <v>KP045</v>
          </cell>
          <cell r="L793" t="str">
            <v>Viên chức CMNV</v>
          </cell>
          <cell r="M793">
            <v>0</v>
          </cell>
          <cell r="N793" t="str">
            <v>Viên chức</v>
          </cell>
          <cell r="O793">
            <v>33</v>
          </cell>
          <cell r="P793" t="str">
            <v>08/5/1993</v>
          </cell>
          <cell r="Q793">
            <v>0</v>
          </cell>
          <cell r="R793" t="str">
            <v>Nùng</v>
          </cell>
          <cell r="S793" t="str">
            <v>01/02/2017</v>
          </cell>
          <cell r="T793" t="str">
            <v>020093004930</v>
          </cell>
          <cell r="U793" t="str">
            <v>Thôn Tồng Riền, xã Công Sơn, tỉnh Lạng Sơn</v>
          </cell>
          <cell r="W793" t="str">
            <v/>
          </cell>
          <cell r="X793" t="str">
            <v/>
          </cell>
          <cell r="Z793" t="str">
            <v/>
          </cell>
          <cell r="AB793" t="str">
            <v/>
          </cell>
          <cell r="AC793">
            <v>989586334</v>
          </cell>
          <cell r="AD793" t="str">
            <v>Chuyển đến 19/3/2018; tăng cường SYT 08/2/2023-07/2/2024</v>
          </cell>
        </row>
        <row r="794">
          <cell r="B794" t="str">
            <v>BV0672</v>
          </cell>
          <cell r="C794" t="str">
            <v>Lục Thị Ngọc Hoài</v>
          </cell>
          <cell r="D794" t="str">
            <v>BV0672</v>
          </cell>
          <cell r="E794" t="str">
            <v>x</v>
          </cell>
          <cell r="F794" t="str">
            <v>YTCC</v>
          </cell>
          <cell r="G794" t="str">
            <v>TĐ036</v>
          </cell>
          <cell r="H794" t="str">
            <v>Y tế công cộng (hạng III)</v>
          </cell>
          <cell r="I794" t="str">
            <v>Y tế công cộng (hạng III)</v>
          </cell>
          <cell r="J794" t="str">
            <v>Chỉ đạo tuyến</v>
          </cell>
          <cell r="K794" t="str">
            <v>KP045</v>
          </cell>
          <cell r="L794" t="str">
            <v>Viên chức CMNV</v>
          </cell>
          <cell r="M794">
            <v>0</v>
          </cell>
          <cell r="N794" t="str">
            <v>Viên chức</v>
          </cell>
          <cell r="O794">
            <v>34</v>
          </cell>
          <cell r="P794">
            <v>0</v>
          </cell>
          <cell r="Q794" t="str">
            <v>20/8/1991</v>
          </cell>
          <cell r="R794" t="str">
            <v>Nùng</v>
          </cell>
          <cell r="S794" t="str">
            <v>08/01/2016</v>
          </cell>
          <cell r="T794" t="str">
            <v>020191005648</v>
          </cell>
          <cell r="U794" t="str">
            <v>Phường Kỳ Lừa, tỉnh Lạng Sơn</v>
          </cell>
          <cell r="W794" t="str">
            <v/>
          </cell>
          <cell r="X794" t="str">
            <v/>
          </cell>
          <cell r="Z794" t="str">
            <v/>
          </cell>
          <cell r="AB794" t="str">
            <v/>
          </cell>
          <cell r="AC794">
            <v>866880286</v>
          </cell>
        </row>
        <row r="795">
          <cell r="B795" t="str">
            <v>BV0225</v>
          </cell>
          <cell r="C795" t="str">
            <v>Hà Thị Thanh</v>
          </cell>
          <cell r="D795" t="str">
            <v>BV0225</v>
          </cell>
          <cell r="E795" t="str">
            <v>x</v>
          </cell>
          <cell r="F795" t="str">
            <v>YTCC</v>
          </cell>
          <cell r="G795" t="str">
            <v>TĐ036</v>
          </cell>
          <cell r="H795" t="str">
            <v>Y tế công cộng (hạng III)</v>
          </cell>
          <cell r="I795" t="str">
            <v>Y tế công cộng (hạng III)</v>
          </cell>
          <cell r="J795" t="str">
            <v>Chỉ đạo tuyến</v>
          </cell>
          <cell r="K795" t="str">
            <v>KP045</v>
          </cell>
          <cell r="L795" t="str">
            <v>Viên chức CMNV</v>
          </cell>
          <cell r="M795">
            <v>0</v>
          </cell>
          <cell r="N795" t="str">
            <v>Viên chức</v>
          </cell>
          <cell r="O795">
            <v>38</v>
          </cell>
          <cell r="P795">
            <v>0</v>
          </cell>
          <cell r="Q795">
            <v>32160</v>
          </cell>
          <cell r="R795" t="str">
            <v>Tày</v>
          </cell>
          <cell r="S795" t="str">
            <v>15/1/2010</v>
          </cell>
          <cell r="T795" t="str">
            <v>020188006726</v>
          </cell>
          <cell r="U795" t="str">
            <v>Phường Tam Thanh, tỉnh Lạng Sơn</v>
          </cell>
          <cell r="W795" t="str">
            <v>000941/LS-CCHN</v>
          </cell>
          <cell r="X795" t="str">
            <v>24/06/2013</v>
          </cell>
          <cell r="Z795" t="str">
            <v>Theo quy định tại Quyết định số 41/2005/QĐ-BNV ngày 22/4/2005 của Bộ trưởng Bộ Nội vụ về việc ban hành tiêu chuẩn nghiệp vụ các ngạch viên chức y tế điều dưỡng</v>
          </cell>
          <cell r="AB795" t="str">
            <v/>
          </cell>
          <cell r="AC795">
            <v>333013138</v>
          </cell>
        </row>
        <row r="796">
          <cell r="B796" t="str">
            <v>BV0797</v>
          </cell>
          <cell r="C796" t="str">
            <v>Dương Công Khanh</v>
          </cell>
          <cell r="D796" t="str">
            <v>BV0797</v>
          </cell>
          <cell r="F796" t="str">
            <v>YTCC</v>
          </cell>
          <cell r="G796" t="str">
            <v>TĐ036</v>
          </cell>
          <cell r="I796" t="str">
            <v>Y tế công cộng (hạng III)</v>
          </cell>
          <cell r="J796" t="str">
            <v>Chỉ đạo tuyến</v>
          </cell>
          <cell r="K796" t="str">
            <v>KP045</v>
          </cell>
          <cell r="N796" t="str">
            <v>Viên chức</v>
          </cell>
          <cell r="O796">
            <v>31</v>
          </cell>
          <cell r="P796" t="str">
            <v>21/8/1994</v>
          </cell>
          <cell r="Q796">
            <v>0</v>
          </cell>
          <cell r="R796" t="str">
            <v>Tày</v>
          </cell>
          <cell r="S796" t="str">
            <v xml:space="preserve"> 02/10/2017</v>
          </cell>
          <cell r="T796" t="str">
            <v>020094009569</v>
          </cell>
          <cell r="U796" t="str">
            <v>Khối Hợp Tân, p Lỳ Lừa, tỉnh Lạng Sơn</v>
          </cell>
          <cell r="W796" t="str">
            <v/>
          </cell>
          <cell r="X796" t="str">
            <v/>
          </cell>
          <cell r="Z796" t="str">
            <v/>
          </cell>
          <cell r="AB796" t="str">
            <v/>
          </cell>
          <cell r="AC796">
            <v>815678861</v>
          </cell>
          <cell r="AD796" t="str">
            <v>đỗ VC 20/5/2026; đỗ VC 20/5/2026</v>
          </cell>
        </row>
        <row r="797">
          <cell r="B797" t="str">
            <v>BV1067</v>
          </cell>
          <cell r="C797" t="str">
            <v>Trương Thị Quỳnh Trang</v>
          </cell>
          <cell r="D797" t="str">
            <v>BV1067</v>
          </cell>
          <cell r="E797" t="str">
            <v>x</v>
          </cell>
          <cell r="F797" t="str">
            <v>KTĐH</v>
          </cell>
          <cell r="G797" t="str">
            <v>TĐ021</v>
          </cell>
          <cell r="I797" t="str">
            <v>Kế toán viên (hạng III)</v>
          </cell>
          <cell r="J797" t="str">
            <v>CNTT</v>
          </cell>
          <cell r="K797" t="str">
            <v>KP046</v>
          </cell>
          <cell r="N797" t="str">
            <v>Viên chức</v>
          </cell>
          <cell r="O797">
            <v>42</v>
          </cell>
          <cell r="P797">
            <v>0</v>
          </cell>
          <cell r="Q797">
            <v>30826</v>
          </cell>
          <cell r="R797" t="str">
            <v>Kinh</v>
          </cell>
          <cell r="S797" t="str">
            <v xml:space="preserve">09/9/2020 </v>
          </cell>
          <cell r="T797" t="str">
            <v>020184000819</v>
          </cell>
          <cell r="U797" t="str">
            <v>Số 6 phố Trần Quốc Toản, Khối 1, phường Kỳ Lừa, tỉnh Lạng Sơn</v>
          </cell>
          <cell r="W797" t="str">
            <v/>
          </cell>
          <cell r="X797" t="str">
            <v/>
          </cell>
          <cell r="Z797" t="str">
            <v/>
          </cell>
          <cell r="AB797" t="str">
            <v/>
          </cell>
          <cell r="AC797" t="str">
            <v>0985506588</v>
          </cell>
          <cell r="AD797" t="str">
            <v>Thử việc 09/9/2020, Viên chức từ 15/6/2026</v>
          </cell>
        </row>
        <row r="798">
          <cell r="B798" t="str">
            <v>BV0663</v>
          </cell>
          <cell r="C798" t="str">
            <v>Nguyễn Thiện An</v>
          </cell>
          <cell r="D798" t="str">
            <v>BV0663</v>
          </cell>
          <cell r="F798" t="str">
            <v>ThS CNTT</v>
          </cell>
          <cell r="G798" t="e">
            <v>#N/A</v>
          </cell>
          <cell r="H798" t="str">
            <v>Công nghệ thông tin (hạng III)</v>
          </cell>
          <cell r="I798" t="str">
            <v>Công nghệ thông tin (hạng III)</v>
          </cell>
          <cell r="J798" t="str">
            <v>CNTT</v>
          </cell>
          <cell r="K798" t="str">
            <v>KP046</v>
          </cell>
          <cell r="L798" t="str">
            <v>Lãnh đạo khoa, phòng</v>
          </cell>
          <cell r="M798" t="str">
            <v>Phó trưởng phòng</v>
          </cell>
          <cell r="N798" t="str">
            <v>Viên chức</v>
          </cell>
          <cell r="O798">
            <v>42</v>
          </cell>
          <cell r="P798">
            <v>30792</v>
          </cell>
          <cell r="Q798">
            <v>0</v>
          </cell>
          <cell r="R798" t="str">
            <v>Kinh</v>
          </cell>
          <cell r="S798" t="str">
            <v>10/6/2013</v>
          </cell>
          <cell r="T798" t="str">
            <v>040084003273</v>
          </cell>
          <cell r="U798" t="str">
            <v>Khối 27, Kỳ Lừa, Lạng Sơn</v>
          </cell>
          <cell r="W798" t="str">
            <v/>
          </cell>
          <cell r="X798" t="str">
            <v/>
          </cell>
          <cell r="Z798" t="str">
            <v/>
          </cell>
          <cell r="AB798" t="str">
            <v/>
          </cell>
          <cell r="AC798">
            <v>936607983</v>
          </cell>
        </row>
        <row r="799">
          <cell r="B799" t="str">
            <v>BV0660</v>
          </cell>
          <cell r="C799" t="str">
            <v>Hoàng Đình Dũng</v>
          </cell>
          <cell r="D799" t="str">
            <v>BV0660</v>
          </cell>
          <cell r="F799" t="str">
            <v>ĐH CNTT</v>
          </cell>
          <cell r="G799" t="str">
            <v>TĐ026</v>
          </cell>
          <cell r="H799" t="str">
            <v>Công nghệ thông tin (hạng III)</v>
          </cell>
          <cell r="I799" t="str">
            <v>Công nghệ thông tin (hạng III)</v>
          </cell>
          <cell r="J799" t="str">
            <v>CNTT</v>
          </cell>
          <cell r="K799" t="str">
            <v>KP046</v>
          </cell>
          <cell r="L799" t="str">
            <v>Viên chức CMNV</v>
          </cell>
          <cell r="M799">
            <v>0</v>
          </cell>
          <cell r="N799" t="str">
            <v>Viên chức</v>
          </cell>
          <cell r="O799">
            <v>43</v>
          </cell>
          <cell r="P799">
            <v>30188</v>
          </cell>
          <cell r="Q799">
            <v>0</v>
          </cell>
          <cell r="R799" t="str">
            <v>Tày</v>
          </cell>
          <cell r="S799" t="str">
            <v>15/1/2010</v>
          </cell>
          <cell r="T799" t="str">
            <v>020082002600</v>
          </cell>
          <cell r="U799" t="str">
            <v>Xuân Giao, Hưng Vũ, Lạng Sơn</v>
          </cell>
          <cell r="W799" t="str">
            <v/>
          </cell>
          <cell r="X799" t="str">
            <v/>
          </cell>
          <cell r="Z799" t="str">
            <v/>
          </cell>
          <cell r="AB799" t="str">
            <v/>
          </cell>
          <cell r="AC799" t="str">
            <v>0912065616</v>
          </cell>
        </row>
        <row r="800">
          <cell r="B800" t="str">
            <v>BV0662</v>
          </cell>
          <cell r="C800" t="str">
            <v>Nông Hoàng Phương</v>
          </cell>
          <cell r="D800" t="str">
            <v>BV0662</v>
          </cell>
          <cell r="F800" t="str">
            <v>ĐH CNTT</v>
          </cell>
          <cell r="G800" t="str">
            <v>TĐ026</v>
          </cell>
          <cell r="H800" t="str">
            <v>Công nghệ thông tin (hạng III)</v>
          </cell>
          <cell r="I800" t="str">
            <v>Công nghệ thông tin (hạng III)</v>
          </cell>
          <cell r="J800" t="str">
            <v>CNTT</v>
          </cell>
          <cell r="K800" t="str">
            <v>KP046</v>
          </cell>
          <cell r="L800" t="str">
            <v>Viên chức CMNV</v>
          </cell>
          <cell r="M800">
            <v>0</v>
          </cell>
          <cell r="N800" t="str">
            <v>Viên chức</v>
          </cell>
          <cell r="O800">
            <v>40</v>
          </cell>
          <cell r="P800">
            <v>31280</v>
          </cell>
          <cell r="Q800">
            <v>0</v>
          </cell>
          <cell r="R800" t="str">
            <v>Tày</v>
          </cell>
          <cell r="S800" t="str">
            <v>1/12/2010</v>
          </cell>
          <cell r="T800" t="str">
            <v>020085000582</v>
          </cell>
          <cell r="U800" t="str">
            <v>Khối 27, Kỳ Lừa, Lạng Sơn</v>
          </cell>
          <cell r="W800" t="str">
            <v/>
          </cell>
          <cell r="X800" t="str">
            <v/>
          </cell>
          <cell r="Z800" t="str">
            <v/>
          </cell>
          <cell r="AB800" t="str">
            <v/>
          </cell>
          <cell r="AC800">
            <v>919486696</v>
          </cell>
        </row>
        <row r="801">
          <cell r="B801" t="str">
            <v>BV1066</v>
          </cell>
          <cell r="C801" t="str">
            <v>Hoàng Thế Lâm</v>
          </cell>
          <cell r="D801" t="str">
            <v>BV1066</v>
          </cell>
          <cell r="F801" t="str">
            <v>ĐH CNTT</v>
          </cell>
          <cell r="G801" t="str">
            <v>TĐ026</v>
          </cell>
          <cell r="H801" t="str">
            <v>Công nghệ thông tin (hạng III)</v>
          </cell>
          <cell r="I801" t="str">
            <v>Công nghệ thông tin (hạng III)</v>
          </cell>
          <cell r="J801" t="str">
            <v>CNTT</v>
          </cell>
          <cell r="K801" t="str">
            <v>KP046</v>
          </cell>
          <cell r="L801" t="str">
            <v>Viên chức CMNV</v>
          </cell>
          <cell r="M801">
            <v>0</v>
          </cell>
          <cell r="N801" t="str">
            <v>Viên chức</v>
          </cell>
          <cell r="O801">
            <v>38</v>
          </cell>
          <cell r="P801">
            <v>32014</v>
          </cell>
          <cell r="Q801">
            <v>0</v>
          </cell>
          <cell r="R801" t="str">
            <v>Tày</v>
          </cell>
          <cell r="S801">
            <v>42372</v>
          </cell>
          <cell r="T801" t="str">
            <v>025087001673</v>
          </cell>
          <cell r="U801" t="str">
            <v>Khối 26, Kỳ Lừa, Lạng Sơn</v>
          </cell>
          <cell r="W801" t="str">
            <v/>
          </cell>
          <cell r="X801" t="str">
            <v/>
          </cell>
          <cell r="Z801" t="str">
            <v/>
          </cell>
          <cell r="AB801" t="str">
            <v/>
          </cell>
          <cell r="AC801">
            <v>843365858</v>
          </cell>
          <cell r="AD801" t="str">
            <v>Chuyển đến 01/9/2020</v>
          </cell>
        </row>
        <row r="802">
          <cell r="B802" t="str">
            <v>BV0853</v>
          </cell>
          <cell r="C802" t="str">
            <v>Đặng Huy Đức</v>
          </cell>
          <cell r="D802" t="str">
            <v>BV0853</v>
          </cell>
          <cell r="F802" t="str">
            <v>ĐH CNTT</v>
          </cell>
          <cell r="G802" t="str">
            <v>TĐ026</v>
          </cell>
          <cell r="H802" t="str">
            <v>Công nghệ thông tin (hạng III)</v>
          </cell>
          <cell r="I802" t="str">
            <v>Công nghệ thông tin (hạng III)</v>
          </cell>
          <cell r="J802" t="str">
            <v>CNTT</v>
          </cell>
          <cell r="K802" t="str">
            <v>KP046</v>
          </cell>
          <cell r="L802" t="str">
            <v>Viên chức CMNV</v>
          </cell>
          <cell r="M802">
            <v>0</v>
          </cell>
          <cell r="N802" t="str">
            <v>Viên chức</v>
          </cell>
          <cell r="O802">
            <v>44</v>
          </cell>
          <cell r="P802" t="str">
            <v>25/4/1982</v>
          </cell>
          <cell r="Q802">
            <v>0</v>
          </cell>
          <cell r="R802" t="str">
            <v>Kinh</v>
          </cell>
          <cell r="S802" t="str">
            <v>10/06/2013</v>
          </cell>
          <cell r="T802" t="str">
            <v>020082008345</v>
          </cell>
          <cell r="U802" t="str">
            <v>Khối 4, P Đông Kinh, Lạng Sơn</v>
          </cell>
          <cell r="W802" t="str">
            <v/>
          </cell>
          <cell r="X802" t="str">
            <v/>
          </cell>
          <cell r="Z802" t="str">
            <v/>
          </cell>
          <cell r="AB802" t="str">
            <v/>
          </cell>
          <cell r="AC802">
            <v>982626986</v>
          </cell>
          <cell r="AD802" t="str">
            <v>Chuyển đến 12/11/2018</v>
          </cell>
        </row>
        <row r="803">
          <cell r="B803" t="str">
            <v>BV0665</v>
          </cell>
          <cell r="C803" t="str">
            <v>Nguyễn Việt Hà</v>
          </cell>
          <cell r="D803" t="str">
            <v>BV0665</v>
          </cell>
          <cell r="F803" t="str">
            <v>ĐH CNTT</v>
          </cell>
          <cell r="G803" t="str">
            <v>TĐ026</v>
          </cell>
          <cell r="H803" t="str">
            <v>Chuyên viên</v>
          </cell>
          <cell r="I803" t="str">
            <v>Chuyên viên về tổng hợp</v>
          </cell>
          <cell r="J803" t="str">
            <v>CNTT</v>
          </cell>
          <cell r="K803" t="str">
            <v>KP046</v>
          </cell>
          <cell r="L803" t="str">
            <v>Viên chức CMNV</v>
          </cell>
          <cell r="M803">
            <v>0</v>
          </cell>
          <cell r="N803" t="str">
            <v>Viên chức</v>
          </cell>
          <cell r="O803">
            <v>41</v>
          </cell>
          <cell r="P803">
            <v>31191</v>
          </cell>
          <cell r="Q803">
            <v>0</v>
          </cell>
          <cell r="R803" t="str">
            <v>Nùng</v>
          </cell>
          <cell r="S803" t="str">
            <v>01/01/2011</v>
          </cell>
          <cell r="T803" t="str">
            <v>020085002388</v>
          </cell>
          <cell r="U803" t="str">
            <v>Khối 2, P Đông Kinh, Lạng Sơn</v>
          </cell>
          <cell r="W803" t="str">
            <v/>
          </cell>
          <cell r="X803" t="str">
            <v/>
          </cell>
          <cell r="Z803" t="str">
            <v/>
          </cell>
          <cell r="AB803" t="str">
            <v/>
          </cell>
          <cell r="AC803">
            <v>975633666</v>
          </cell>
        </row>
        <row r="804">
          <cell r="B804" t="str">
            <v>BV0659</v>
          </cell>
          <cell r="C804" t="str">
            <v>Lâm An Biên</v>
          </cell>
          <cell r="D804" t="str">
            <v>BV0659</v>
          </cell>
          <cell r="F804" t="str">
            <v>ThS CNTT</v>
          </cell>
          <cell r="G804" t="e">
            <v>#N/A</v>
          </cell>
          <cell r="H804" t="str">
            <v>Công nghệ thông tin (hạng III)</v>
          </cell>
          <cell r="I804" t="str">
            <v>Công nghệ thông tin (hạng III)</v>
          </cell>
          <cell r="J804" t="str">
            <v>CNTT</v>
          </cell>
          <cell r="K804" t="str">
            <v>KP046</v>
          </cell>
          <cell r="L804" t="str">
            <v>Lãnh đạo khoa, phòng</v>
          </cell>
          <cell r="M804" t="str">
            <v>Trưởng phòng</v>
          </cell>
          <cell r="N804" t="str">
            <v>Viên chức</v>
          </cell>
          <cell r="O804">
            <v>51</v>
          </cell>
          <cell r="P804">
            <v>27453</v>
          </cell>
          <cell r="Q804">
            <v>0</v>
          </cell>
          <cell r="R804" t="str">
            <v>Nùng</v>
          </cell>
          <cell r="S804" t="str">
            <v>1/12/2008</v>
          </cell>
          <cell r="T804" t="str">
            <v>020075008291</v>
          </cell>
          <cell r="U804" t="str">
            <v>Khối 9, P Đông Kinh, Lạng Sơn</v>
          </cell>
          <cell r="W804" t="str">
            <v/>
          </cell>
          <cell r="X804" t="str">
            <v/>
          </cell>
          <cell r="Z804" t="str">
            <v/>
          </cell>
          <cell r="AB804" t="str">
            <v/>
          </cell>
          <cell r="AC804">
            <v>913560828</v>
          </cell>
        </row>
        <row r="805">
          <cell r="B805" t="str">
            <v>BV1326</v>
          </cell>
          <cell r="C805" t="str">
            <v>Nguyễn Thị Mừng</v>
          </cell>
          <cell r="D805" t="str">
            <v>BV1326</v>
          </cell>
          <cell r="E805" t="str">
            <v>x</v>
          </cell>
          <cell r="F805" t="str">
            <v>Hộ lý</v>
          </cell>
          <cell r="G805" t="str">
            <v>TĐ047</v>
          </cell>
          <cell r="I805" t="str">
            <v>NVPV</v>
          </cell>
          <cell r="J805" t="str">
            <v>KSNK</v>
          </cell>
          <cell r="K805" t="str">
            <v>KP036</v>
          </cell>
          <cell r="N805" t="str">
            <v>HĐ có thời hạn</v>
          </cell>
          <cell r="O805">
            <v>43</v>
          </cell>
          <cell r="P805">
            <v>0</v>
          </cell>
          <cell r="Q805" t="str">
            <v>17/10/1982</v>
          </cell>
          <cell r="R805" t="str">
            <v>Kinh</v>
          </cell>
          <cell r="S805">
            <v>45770</v>
          </cell>
          <cell r="T805" t="str">
            <v>001183051164</v>
          </cell>
          <cell r="U805" t="str">
            <v>Khối 6, Phường Kỳ Lừa, Tỉnh Lạng Sơn</v>
          </cell>
          <cell r="W805" t="str">
            <v/>
          </cell>
          <cell r="X805" t="str">
            <v/>
          </cell>
          <cell r="Z805" t="str">
            <v/>
          </cell>
          <cell r="AB805" t="str">
            <v/>
          </cell>
          <cell r="AD805" t="str">
            <v>HĐ từ 23/4/2025</v>
          </cell>
        </row>
        <row r="806">
          <cell r="B806" t="str">
            <v>BV1324</v>
          </cell>
          <cell r="C806" t="str">
            <v>Nguyễn Thu Hương</v>
          </cell>
          <cell r="D806" t="str">
            <v>BV1324</v>
          </cell>
          <cell r="E806" t="str">
            <v>x</v>
          </cell>
          <cell r="F806" t="str">
            <v>Cử nhân Luật</v>
          </cell>
          <cell r="G806" t="str">
            <v>TĐ033</v>
          </cell>
          <cell r="I806" t="str">
            <v>Chuyên viên về pháp chế</v>
          </cell>
          <cell r="J806" t="str">
            <v>HCQT</v>
          </cell>
          <cell r="K806" t="str">
            <v>KP040</v>
          </cell>
          <cell r="N806" t="str">
            <v>HĐ có thời hạn</v>
          </cell>
          <cell r="O806">
            <v>31</v>
          </cell>
          <cell r="P806">
            <v>0</v>
          </cell>
          <cell r="Q806" t="str">
            <v>21/4/1995</v>
          </cell>
          <cell r="R806" t="str">
            <v>Kinh</v>
          </cell>
          <cell r="S806">
            <v>45839</v>
          </cell>
          <cell r="T806" t="str">
            <v>020195004323</v>
          </cell>
          <cell r="U806" t="str">
            <v>Số 3, ngõ 59 Đèo Giang, phường Lương Văn tri, Lạng Sơn</v>
          </cell>
          <cell r="W806" t="str">
            <v/>
          </cell>
          <cell r="X806" t="str">
            <v/>
          </cell>
          <cell r="Z806" t="str">
            <v/>
          </cell>
          <cell r="AB806" t="str">
            <v/>
          </cell>
          <cell r="AD806" t="str">
            <v>HĐ từ 01/7/2025</v>
          </cell>
        </row>
        <row r="807">
          <cell r="B807" t="str">
            <v>BV1325</v>
          </cell>
          <cell r="C807" t="str">
            <v>Đặng Tuấn Phong</v>
          </cell>
          <cell r="D807" t="str">
            <v>BV1325</v>
          </cell>
          <cell r="F807" t="str">
            <v>Điều dưỡng CĐ</v>
          </cell>
          <cell r="G807" t="str">
            <v>TĐ012</v>
          </cell>
          <cell r="I807" t="str">
            <v>Điều dưỡng (hạng IV)</v>
          </cell>
          <cell r="J807" t="str">
            <v>Tâm thần - Thần kinh</v>
          </cell>
          <cell r="K807" t="str">
            <v>KP006</v>
          </cell>
          <cell r="N807" t="str">
            <v>Viên chức</v>
          </cell>
          <cell r="O807">
            <v>29</v>
          </cell>
          <cell r="P807" t="str">
            <v>06/03/1997</v>
          </cell>
          <cell r="Q807">
            <v>0</v>
          </cell>
          <cell r="R807" t="str">
            <v>Kinh</v>
          </cell>
          <cell r="S807">
            <v>45854</v>
          </cell>
          <cell r="T807" t="str">
            <v>020097008691</v>
          </cell>
          <cell r="U807" t="str">
            <v>146, Trần Hưng Đạo, Phường Lương Văn Tri, Tỉnh Lạng Sơn</v>
          </cell>
          <cell r="W807" t="str">
            <v>000306</v>
          </cell>
          <cell r="X807">
            <v>45849</v>
          </cell>
          <cell r="Z807" t="str">
            <v>Điều dưỡng</v>
          </cell>
          <cell r="AB807">
            <v>0</v>
          </cell>
          <cell r="AD807" t="str">
            <v>HĐ từ 16/7/2025, Viên chức từ 15/6/2026</v>
          </cell>
        </row>
        <row r="808">
          <cell r="B808" t="str">
            <v>BV1327</v>
          </cell>
          <cell r="C808" t="str">
            <v>Triệu Phương Huyền</v>
          </cell>
          <cell r="D808" t="str">
            <v>BV1327</v>
          </cell>
          <cell r="E808" t="str">
            <v>x</v>
          </cell>
          <cell r="F808" t="str">
            <v>Điều dưỡng CĐ</v>
          </cell>
          <cell r="G808" t="str">
            <v>TĐ012</v>
          </cell>
          <cell r="I808" t="str">
            <v>Điều dưỡng (hạng IV)</v>
          </cell>
          <cell r="J808" t="str">
            <v>Lão - CXK</v>
          </cell>
          <cell r="K808" t="str">
            <v>KP004</v>
          </cell>
          <cell r="N808" t="str">
            <v>Viên chức</v>
          </cell>
          <cell r="O808">
            <v>25</v>
          </cell>
          <cell r="P808">
            <v>0</v>
          </cell>
          <cell r="Q808" t="str">
            <v>28/5/2001</v>
          </cell>
          <cell r="R808" t="str">
            <v>Nùng</v>
          </cell>
          <cell r="S808">
            <v>45894</v>
          </cell>
          <cell r="T808" t="str">
            <v>020301006641</v>
          </cell>
          <cell r="U808" t="str">
            <v>P. Tam thanh - Lạng Sơn</v>
          </cell>
          <cell r="W808" t="str">
            <v>000270/LS-GPHN</v>
          </cell>
          <cell r="X808">
            <v>45796</v>
          </cell>
          <cell r="Z808" t="str">
            <v>Điều dưỡng</v>
          </cell>
          <cell r="AB808">
            <v>0</v>
          </cell>
          <cell r="AD808" t="str">
            <v>HĐ từ 25/8/2025, Viên chức từ 15/6/2026</v>
          </cell>
        </row>
        <row r="809">
          <cell r="B809" t="str">
            <v>BV1328</v>
          </cell>
          <cell r="C809" t="str">
            <v>Lành Văn Đông</v>
          </cell>
          <cell r="D809" t="str">
            <v>BV1328</v>
          </cell>
          <cell r="F809" t="str">
            <v>Điều dưỡng CĐ</v>
          </cell>
          <cell r="G809" t="str">
            <v>TĐ012</v>
          </cell>
          <cell r="I809" t="str">
            <v>Điều dưỡng (hạng IV)</v>
          </cell>
          <cell r="J809" t="str">
            <v>Ngoại Tiêu hóa</v>
          </cell>
          <cell r="K809" t="str">
            <v>KP013</v>
          </cell>
          <cell r="N809" t="str">
            <v>Viên chức</v>
          </cell>
          <cell r="O809">
            <v>39</v>
          </cell>
          <cell r="P809" t="str">
            <v>26/4/1987</v>
          </cell>
          <cell r="Q809">
            <v>0</v>
          </cell>
          <cell r="R809" t="str">
            <v>Nùng</v>
          </cell>
          <cell r="S809">
            <v>45915</v>
          </cell>
          <cell r="T809" t="str">
            <v>020087013063</v>
          </cell>
          <cell r="U809" t="str">
            <v>Hoàng tâm- tam thanh</v>
          </cell>
          <cell r="W809" t="str">
            <v/>
          </cell>
          <cell r="X809" t="str">
            <v/>
          </cell>
          <cell r="Z809" t="str">
            <v/>
          </cell>
          <cell r="AB809" t="str">
            <v/>
          </cell>
          <cell r="AD809" t="str">
            <v>HĐ từ 15/9/2025, Viên chức từ 15/6/2026</v>
          </cell>
        </row>
        <row r="810">
          <cell r="B810" t="str">
            <v>BV1329</v>
          </cell>
          <cell r="C810" t="str">
            <v>Chu Văn Bộ</v>
          </cell>
          <cell r="D810" t="str">
            <v>BV1329</v>
          </cell>
          <cell r="F810" t="str">
            <v>Bảo vệ</v>
          </cell>
          <cell r="G810" t="str">
            <v>TĐ044</v>
          </cell>
          <cell r="I810" t="str">
            <v>NVBV</v>
          </cell>
          <cell r="J810" t="str">
            <v>HCQT</v>
          </cell>
          <cell r="K810" t="str">
            <v>KP040</v>
          </cell>
          <cell r="N810" t="str">
            <v>HĐ có thời hạn</v>
          </cell>
          <cell r="O810">
            <v>56</v>
          </cell>
          <cell r="P810">
            <v>25492</v>
          </cell>
          <cell r="Q810">
            <v>0</v>
          </cell>
          <cell r="R810" t="str">
            <v>Tày</v>
          </cell>
          <cell r="S810">
            <v>45919</v>
          </cell>
          <cell r="T810" t="str">
            <v>020069005917</v>
          </cell>
          <cell r="U810">
            <v>0</v>
          </cell>
          <cell r="W810" t="str">
            <v/>
          </cell>
          <cell r="X810" t="str">
            <v/>
          </cell>
          <cell r="Z810" t="str">
            <v/>
          </cell>
          <cell r="AB810" t="str">
            <v/>
          </cell>
          <cell r="AD810" t="str">
            <v>HĐ từ 19/9/2025</v>
          </cell>
        </row>
        <row r="811">
          <cell r="B811" t="str">
            <v>BV1330</v>
          </cell>
          <cell r="C811" t="str">
            <v>Vi Thị Bình</v>
          </cell>
          <cell r="D811" t="str">
            <v>BV1330</v>
          </cell>
          <cell r="E811" t="str">
            <v>x</v>
          </cell>
          <cell r="F811" t="str">
            <v>Điều dưỡng CĐ</v>
          </cell>
          <cell r="G811" t="str">
            <v>TĐ012</v>
          </cell>
          <cell r="I811" t="str">
            <v>Điều dưỡng (hạng IV)</v>
          </cell>
          <cell r="J811" t="str">
            <v>Nội TM</v>
          </cell>
          <cell r="K811" t="str">
            <v>KP010</v>
          </cell>
          <cell r="N811" t="str">
            <v>HĐ có thời hạn</v>
          </cell>
          <cell r="O811">
            <v>23</v>
          </cell>
          <cell r="P811">
            <v>0</v>
          </cell>
          <cell r="Q811" t="str">
            <v>12/4/2003</v>
          </cell>
          <cell r="R811" t="str">
            <v>Nùng</v>
          </cell>
          <cell r="S811">
            <v>45922</v>
          </cell>
          <cell r="T811" t="str">
            <v>020303003694</v>
          </cell>
          <cell r="U811" t="str">
            <v>Xã Chiến Thắng, tỉnh Lạng Sơn</v>
          </cell>
          <cell r="W811" t="str">
            <v>000343/LS-GPHN</v>
          </cell>
          <cell r="X811">
            <v>47731</v>
          </cell>
          <cell r="Z811" t="str">
            <v>Điều dưỡng</v>
          </cell>
          <cell r="AB811">
            <v>0</v>
          </cell>
          <cell r="AD811" t="str">
            <v>HĐ từ 22/9/2025</v>
          </cell>
        </row>
        <row r="812">
          <cell r="B812" t="str">
            <v>BV1331</v>
          </cell>
          <cell r="C812" t="str">
            <v>Hoàng Thị Thu Huyền</v>
          </cell>
          <cell r="D812" t="str">
            <v>BV1331</v>
          </cell>
          <cell r="E812" t="str">
            <v>x</v>
          </cell>
          <cell r="F812" t="str">
            <v>KTY ĐH</v>
          </cell>
          <cell r="G812" t="str">
            <v>TĐ014</v>
          </cell>
          <cell r="I812" t="str">
            <v>Kỹ thuật y (hạng III)</v>
          </cell>
          <cell r="J812" t="str">
            <v>HS-VS</v>
          </cell>
          <cell r="K812" t="str">
            <v>KP030</v>
          </cell>
          <cell r="N812" t="str">
            <v>Viên chức</v>
          </cell>
          <cell r="O812">
            <v>32</v>
          </cell>
          <cell r="P812">
            <v>0</v>
          </cell>
          <cell r="Q812" t="str">
            <v>12/02/1994</v>
          </cell>
          <cell r="R812" t="str">
            <v>Tày</v>
          </cell>
          <cell r="S812">
            <v>45931</v>
          </cell>
          <cell r="T812" t="str">
            <v>020194001591</v>
          </cell>
          <cell r="U812" t="str">
            <v>Số 134 Tản Đà, khối 11, phường Kỳ Lừa</v>
          </cell>
          <cell r="W812" t="str">
            <v>002868/HNO-GPHN</v>
          </cell>
          <cell r="X812">
            <v>45602</v>
          </cell>
          <cell r="Z812" t="str">
            <v>Xét nghiệm y học</v>
          </cell>
          <cell r="AB812" t="str">
            <v/>
          </cell>
          <cell r="AD812" t="str">
            <v>HĐ từ 01/10/2025, Viên chức từ 15/6/2026</v>
          </cell>
        </row>
        <row r="813">
          <cell r="B813" t="str">
            <v>BV1332</v>
          </cell>
          <cell r="C813" t="str">
            <v>Dương Thị Thanh Ngọc</v>
          </cell>
          <cell r="D813" t="str">
            <v>BV1332</v>
          </cell>
          <cell r="E813" t="str">
            <v>x</v>
          </cell>
          <cell r="F813" t="str">
            <v>Điều dưỡng ĐH</v>
          </cell>
          <cell r="G813" t="str">
            <v>TĐ011</v>
          </cell>
          <cell r="I813" t="str">
            <v>Điều dưỡng (hạng III)</v>
          </cell>
          <cell r="J813" t="str">
            <v>HSTC-CĐ</v>
          </cell>
          <cell r="K813" t="str">
            <v>KP003</v>
          </cell>
          <cell r="N813" t="str">
            <v>Viên chức</v>
          </cell>
          <cell r="O813">
            <v>23</v>
          </cell>
          <cell r="P813">
            <v>0</v>
          </cell>
          <cell r="Q813" t="str">
            <v>20/4/2003</v>
          </cell>
          <cell r="R813" t="str">
            <v>Tày</v>
          </cell>
          <cell r="S813">
            <v>45931</v>
          </cell>
          <cell r="T813" t="str">
            <v>020303001599</v>
          </cell>
          <cell r="U813" t="str">
            <v>Đông Đằng xã Bắc Sơn tỉnh Lạng Sơn</v>
          </cell>
          <cell r="W813" t="str">
            <v/>
          </cell>
          <cell r="X813" t="str">
            <v/>
          </cell>
          <cell r="Z813" t="str">
            <v/>
          </cell>
          <cell r="AB813" t="str">
            <v/>
          </cell>
          <cell r="AC813" t="str">
            <v>0766418760</v>
          </cell>
          <cell r="AD813" t="str">
            <v>HĐ từ 01/10/2025, Viên chức từ 15/6/2026</v>
          </cell>
        </row>
        <row r="814">
          <cell r="B814" t="str">
            <v>BV1333</v>
          </cell>
          <cell r="C814" t="str">
            <v>Vy Thị Vâng</v>
          </cell>
          <cell r="D814" t="str">
            <v>BV1333</v>
          </cell>
          <cell r="E814" t="str">
            <v>x</v>
          </cell>
          <cell r="F814" t="str">
            <v>Điều dưỡng CĐ</v>
          </cell>
          <cell r="G814" t="str">
            <v>TĐ012</v>
          </cell>
          <cell r="I814" t="str">
            <v>Điều dưỡng (hạng IV)</v>
          </cell>
          <cell r="J814" t="str">
            <v>Nội Tiêu hóa</v>
          </cell>
          <cell r="K814" t="str">
            <v>KP008</v>
          </cell>
          <cell r="N814" t="str">
            <v>Viên chức</v>
          </cell>
          <cell r="O814">
            <v>28</v>
          </cell>
          <cell r="P814">
            <v>0</v>
          </cell>
          <cell r="Q814" t="str">
            <v>29/05/1998</v>
          </cell>
          <cell r="R814" t="str">
            <v>Nùng</v>
          </cell>
          <cell r="S814">
            <v>45931</v>
          </cell>
          <cell r="T814" t="str">
            <v>020198003237</v>
          </cell>
          <cell r="U814" t="str">
            <v>Xã Thiện Long, Lạng Sơn</v>
          </cell>
          <cell r="W814" t="str">
            <v/>
          </cell>
          <cell r="X814" t="str">
            <v/>
          </cell>
          <cell r="Z814" t="str">
            <v/>
          </cell>
          <cell r="AB814" t="str">
            <v/>
          </cell>
          <cell r="AC814" t="str">
            <v>0349779681</v>
          </cell>
          <cell r="AD814" t="str">
            <v>HĐ từ 01/10/2025, Viên chức từ 15/6/2026</v>
          </cell>
        </row>
        <row r="815">
          <cell r="B815" t="str">
            <v>BV1334</v>
          </cell>
          <cell r="C815" t="str">
            <v>Lưu Bảo Hoan</v>
          </cell>
          <cell r="D815" t="str">
            <v>BV1334</v>
          </cell>
          <cell r="F815" t="str">
            <v>Kỹ sư</v>
          </cell>
          <cell r="G815" t="str">
            <v>TĐ029</v>
          </cell>
          <cell r="I815" t="str">
            <v>Kỹ sư (hạng III)</v>
          </cell>
          <cell r="J815" t="str">
            <v>HCQT</v>
          </cell>
          <cell r="K815" t="str">
            <v>KP040</v>
          </cell>
          <cell r="N815" t="str">
            <v>HĐ có thời hạn</v>
          </cell>
          <cell r="O815">
            <v>48</v>
          </cell>
          <cell r="P815" t="str">
            <v>21/7/1978</v>
          </cell>
          <cell r="Q815">
            <v>0</v>
          </cell>
          <cell r="R815" t="str">
            <v>Tày</v>
          </cell>
          <cell r="S815">
            <v>45938</v>
          </cell>
          <cell r="T815" t="str">
            <v>020078012316</v>
          </cell>
          <cell r="U815">
            <v>0</v>
          </cell>
          <cell r="W815" t="str">
            <v/>
          </cell>
          <cell r="X815" t="str">
            <v/>
          </cell>
          <cell r="Z815" t="str">
            <v/>
          </cell>
          <cell r="AB815" t="str">
            <v/>
          </cell>
          <cell r="AC815">
            <v>888939829</v>
          </cell>
          <cell r="AD815" t="str">
            <v>HĐ từ 08/10/2025</v>
          </cell>
        </row>
        <row r="816">
          <cell r="B816" t="str">
            <v>BV1335</v>
          </cell>
          <cell r="C816" t="str">
            <v>Phương Xuân Bách</v>
          </cell>
          <cell r="D816" t="str">
            <v>BV1335</v>
          </cell>
          <cell r="F816" t="str">
            <v>Bảo vệ</v>
          </cell>
          <cell r="G816" t="str">
            <v>TĐ044</v>
          </cell>
          <cell r="I816" t="str">
            <v>NVBV</v>
          </cell>
          <cell r="J816" t="str">
            <v>HCQT</v>
          </cell>
          <cell r="K816" t="str">
            <v>KP040</v>
          </cell>
          <cell r="N816" t="str">
            <v>HĐ có thời hạn</v>
          </cell>
          <cell r="O816">
            <v>57</v>
          </cell>
          <cell r="P816" t="str">
            <v>15/10/1968</v>
          </cell>
          <cell r="Q816">
            <v>0</v>
          </cell>
          <cell r="R816" t="str">
            <v>Tày</v>
          </cell>
          <cell r="S816">
            <v>45962</v>
          </cell>
          <cell r="T816" t="str">
            <v>020068001242</v>
          </cell>
          <cell r="U816">
            <v>0</v>
          </cell>
          <cell r="W816" t="str">
            <v/>
          </cell>
          <cell r="X816" t="str">
            <v/>
          </cell>
          <cell r="Z816" t="str">
            <v/>
          </cell>
          <cell r="AB816" t="str">
            <v/>
          </cell>
          <cell r="AD816" t="str">
            <v>HĐ từ 03/11/2025</v>
          </cell>
        </row>
        <row r="817">
          <cell r="B817" t="str">
            <v>BV1336</v>
          </cell>
          <cell r="C817" t="str">
            <v>Hoàng Quốc Khánh</v>
          </cell>
          <cell r="D817" t="str">
            <v>BV1336</v>
          </cell>
          <cell r="F817" t="str">
            <v>Bác sĩ</v>
          </cell>
          <cell r="G817" t="str">
            <v>TĐ005</v>
          </cell>
          <cell r="I817" t="str">
            <v>Bác sĩ (hạng III)</v>
          </cell>
          <cell r="J817" t="str">
            <v>Cấp cứu</v>
          </cell>
          <cell r="K817" t="str">
            <v>KP002</v>
          </cell>
          <cell r="N817" t="str">
            <v>Viên chức</v>
          </cell>
          <cell r="O817">
            <v>25</v>
          </cell>
          <cell r="P817" t="str">
            <v>24/9/2000</v>
          </cell>
          <cell r="Q817">
            <v>0</v>
          </cell>
          <cell r="R817" t="str">
            <v>Nùng</v>
          </cell>
          <cell r="S817">
            <v>45964</v>
          </cell>
          <cell r="T817" t="str">
            <v>020200006773</v>
          </cell>
          <cell r="U817">
            <v>0</v>
          </cell>
          <cell r="W817" t="str">
            <v>000371/LS-GPHN</v>
          </cell>
          <cell r="X817">
            <v>47752</v>
          </cell>
          <cell r="Z817" t="str">
            <v>Y khoa</v>
          </cell>
          <cell r="AB817" t="str">
            <v/>
          </cell>
          <cell r="AC817" t="str">
            <v>0367564137</v>
          </cell>
          <cell r="AD817" t="str">
            <v>HĐ từ 03/11/2025, Viên chức từ 15/6/2026</v>
          </cell>
        </row>
        <row r="818">
          <cell r="B818" t="str">
            <v>BV1338</v>
          </cell>
          <cell r="C818" t="str">
            <v>Lương Duy Minh</v>
          </cell>
          <cell r="D818" t="str">
            <v>BV1338</v>
          </cell>
          <cell r="F818" t="str">
            <v>Bác sĩ</v>
          </cell>
          <cell r="G818" t="str">
            <v>TĐ005</v>
          </cell>
          <cell r="I818" t="str">
            <v>Bác sĩ (hạng III)</v>
          </cell>
          <cell r="J818" t="str">
            <v>Ngoại TK-LN</v>
          </cell>
          <cell r="K818" t="str">
            <v>KP015</v>
          </cell>
          <cell r="N818" t="str">
            <v>HĐ có thời hạn</v>
          </cell>
          <cell r="O818">
            <v>29</v>
          </cell>
          <cell r="P818" t="str">
            <v>15/5/1997</v>
          </cell>
          <cell r="Q818">
            <v>0</v>
          </cell>
          <cell r="R818" t="str">
            <v>Nùng</v>
          </cell>
          <cell r="S818">
            <v>45964</v>
          </cell>
          <cell r="T818" t="str">
            <v>020097005885</v>
          </cell>
          <cell r="U818" t="str">
            <v>Số 136 Phai Vệ -Đông Kinh- Lạng Sơn</v>
          </cell>
          <cell r="W818" t="str">
            <v>000358/LS-GPHN</v>
          </cell>
          <cell r="X818">
            <v>45917</v>
          </cell>
          <cell r="Z818" t="str">
            <v>Y khoa</v>
          </cell>
          <cell r="AB818">
            <v>0</v>
          </cell>
          <cell r="AC818" t="str">
            <v>0332097996</v>
          </cell>
          <cell r="AD818" t="str">
            <v>HĐ từ 03/11/2025</v>
          </cell>
        </row>
        <row r="819">
          <cell r="B819" t="str">
            <v>BV1339</v>
          </cell>
          <cell r="C819" t="str">
            <v>Nguyễn Xuân Nam</v>
          </cell>
          <cell r="D819" t="str">
            <v>BV1339</v>
          </cell>
          <cell r="F819" t="str">
            <v>Bác sĩ</v>
          </cell>
          <cell r="G819" t="str">
            <v>TĐ005</v>
          </cell>
          <cell r="I819" t="str">
            <v>Bác sĩ (hạng III)</v>
          </cell>
          <cell r="J819" t="str">
            <v>Nhi</v>
          </cell>
          <cell r="K819" t="str">
            <v>KP017</v>
          </cell>
          <cell r="N819" t="str">
            <v>HĐ có thời hạn</v>
          </cell>
          <cell r="O819">
            <v>27</v>
          </cell>
          <cell r="P819" t="str">
            <v>15/10/1998</v>
          </cell>
          <cell r="Q819">
            <v>0</v>
          </cell>
          <cell r="R819" t="str">
            <v>Kinh</v>
          </cell>
          <cell r="S819">
            <v>45964</v>
          </cell>
          <cell r="T819" t="str">
            <v>024098008421</v>
          </cell>
          <cell r="U819" t="str">
            <v>Số 36, Lê Văn Lương,p.Kỳ Lừa</v>
          </cell>
          <cell r="W819" t="str">
            <v>000526/BN-GPHN</v>
          </cell>
          <cell r="X819">
            <v>45847</v>
          </cell>
          <cell r="Z819" t="str">
            <v>Chuyên khoa Nhi khoa</v>
          </cell>
          <cell r="AB819">
            <v>0</v>
          </cell>
          <cell r="AC819" t="str">
            <v>0326588210</v>
          </cell>
          <cell r="AD819" t="str">
            <v>HĐ từ 03/11/2025</v>
          </cell>
        </row>
        <row r="820">
          <cell r="B820" t="str">
            <v>BV1340</v>
          </cell>
          <cell r="C820" t="str">
            <v>Trịnh Vân Trang</v>
          </cell>
          <cell r="D820" t="str">
            <v>BV1340</v>
          </cell>
          <cell r="E820" t="str">
            <v>x</v>
          </cell>
          <cell r="F820" t="str">
            <v>Bác sĩ</v>
          </cell>
          <cell r="G820" t="str">
            <v>TĐ005</v>
          </cell>
          <cell r="I820" t="str">
            <v>Bác sĩ (hạng III)</v>
          </cell>
          <cell r="J820" t="str">
            <v>Nội Tổng hợp</v>
          </cell>
          <cell r="K820" t="str">
            <v>KP007</v>
          </cell>
          <cell r="N820" t="str">
            <v>Viên chức</v>
          </cell>
          <cell r="O820">
            <v>27</v>
          </cell>
          <cell r="P820">
            <v>0</v>
          </cell>
          <cell r="Q820" t="str">
            <v>7/2/1999</v>
          </cell>
          <cell r="R820" t="str">
            <v>Nùng</v>
          </cell>
          <cell r="S820">
            <v>45964</v>
          </cell>
          <cell r="T820" t="str">
            <v>020199003451</v>
          </cell>
          <cell r="U820" t="str">
            <v>Khối 2 phường Đông Kinh tỉnh Lạng Sơn</v>
          </cell>
          <cell r="W820" t="str">
            <v>000381/LS-GPHN</v>
          </cell>
          <cell r="X820">
            <v>45940</v>
          </cell>
          <cell r="Z820" t="str">
            <v>Y khoa</v>
          </cell>
          <cell r="AB820">
            <v>0</v>
          </cell>
          <cell r="AC820" t="str">
            <v>0376412573</v>
          </cell>
          <cell r="AD820" t="str">
            <v>HĐ từ 03/11/2025, Viên chức từ 15/6/2026</v>
          </cell>
        </row>
        <row r="821">
          <cell r="B821" t="str">
            <v>BV1341</v>
          </cell>
          <cell r="C821" t="str">
            <v>Lâm Văn Lương</v>
          </cell>
          <cell r="D821" t="str">
            <v>BV1341</v>
          </cell>
          <cell r="F821" t="str">
            <v>Bác sĩ</v>
          </cell>
          <cell r="G821" t="str">
            <v>TĐ005</v>
          </cell>
          <cell r="I821" t="str">
            <v>Bác sĩ (hạng III)</v>
          </cell>
          <cell r="J821" t="str">
            <v>Chấn thương - Bỏng</v>
          </cell>
          <cell r="K821" t="str">
            <v>KP014</v>
          </cell>
          <cell r="N821" t="str">
            <v>HĐ có thời hạn</v>
          </cell>
          <cell r="O821">
            <v>30</v>
          </cell>
          <cell r="P821">
            <v>0</v>
          </cell>
          <cell r="Q821" t="str">
            <v>28/02/1996</v>
          </cell>
          <cell r="R821" t="str">
            <v>Nùng</v>
          </cell>
          <cell r="S821">
            <v>45964</v>
          </cell>
          <cell r="T821" t="str">
            <v>020096004522</v>
          </cell>
          <cell r="U821" t="str">
            <v>Thôn Nà Thì, Xã Thống Nhất, tỉnh Lạng Sơn</v>
          </cell>
          <cell r="W821" t="str">
            <v>000372/LS-GPHN</v>
          </cell>
          <cell r="X821">
            <v>45926</v>
          </cell>
          <cell r="Z821" t="str">
            <v>Y khoa</v>
          </cell>
          <cell r="AB821">
            <v>0</v>
          </cell>
          <cell r="AC821" t="str">
            <v>0869280296</v>
          </cell>
          <cell r="AD821" t="str">
            <v>HĐ từ 03/11/2025</v>
          </cell>
        </row>
        <row r="822">
          <cell r="B822" t="str">
            <v>BV1342</v>
          </cell>
          <cell r="C822" t="str">
            <v>Dương Thị Hương</v>
          </cell>
          <cell r="D822" t="str">
            <v>BV1342</v>
          </cell>
          <cell r="E822" t="str">
            <v>x</v>
          </cell>
          <cell r="F822" t="str">
            <v>Điều dưỡng CĐ</v>
          </cell>
          <cell r="G822" t="str">
            <v>TĐ012</v>
          </cell>
          <cell r="I822" t="str">
            <v>Điều dưỡng (hạng IV)</v>
          </cell>
          <cell r="J822" t="str">
            <v>Ngoại Tiêu hóa</v>
          </cell>
          <cell r="K822" t="str">
            <v>KP013</v>
          </cell>
          <cell r="N822" t="str">
            <v>Viên chức</v>
          </cell>
          <cell r="O822">
            <v>26</v>
          </cell>
          <cell r="P822">
            <v>0</v>
          </cell>
          <cell r="Q822" t="str">
            <v>02/02/2000</v>
          </cell>
          <cell r="R822" t="str">
            <v>Tày</v>
          </cell>
          <cell r="S822">
            <v>45964</v>
          </cell>
          <cell r="T822" t="str">
            <v>020300003355</v>
          </cell>
          <cell r="U822" t="str">
            <v>Thôn An Ninh, xã Hưng Vũ, tỉnh Lạng Sơn</v>
          </cell>
          <cell r="W822" t="str">
            <v/>
          </cell>
          <cell r="X822" t="str">
            <v/>
          </cell>
          <cell r="Z822" t="str">
            <v/>
          </cell>
          <cell r="AB822" t="str">
            <v/>
          </cell>
          <cell r="AC822">
            <v>356881103</v>
          </cell>
          <cell r="AD822" t="str">
            <v>HĐ từ 03/11/2025, Viên chức từ 15/6/2026</v>
          </cell>
        </row>
        <row r="823">
          <cell r="B823" t="str">
            <v>BV1343</v>
          </cell>
          <cell r="C823" t="str">
            <v>Đặng Thị Minh Thu</v>
          </cell>
          <cell r="D823" t="str">
            <v>BV1343</v>
          </cell>
          <cell r="E823" t="str">
            <v>x</v>
          </cell>
          <cell r="F823" t="str">
            <v>Điều dưỡng CĐ</v>
          </cell>
          <cell r="G823" t="str">
            <v>TĐ012</v>
          </cell>
          <cell r="I823" t="str">
            <v>Điều dưỡng (hạng IV)</v>
          </cell>
          <cell r="J823" t="str">
            <v>Chấn thương - Bỏng</v>
          </cell>
          <cell r="K823" t="str">
            <v>KP014</v>
          </cell>
          <cell r="N823" t="str">
            <v>HĐ có thời hạn</v>
          </cell>
          <cell r="O823">
            <v>21</v>
          </cell>
          <cell r="P823">
            <v>0</v>
          </cell>
          <cell r="Q823" t="str">
            <v>08/10/2004</v>
          </cell>
          <cell r="R823" t="str">
            <v>Tày</v>
          </cell>
          <cell r="S823">
            <v>45964</v>
          </cell>
          <cell r="T823" t="str">
            <v>020304003786</v>
          </cell>
          <cell r="U823" t="str">
            <v>Bản Đoóc, xã Thất Nhất,tỉnh Lạng Sơn</v>
          </cell>
          <cell r="W823" t="str">
            <v/>
          </cell>
          <cell r="X823" t="str">
            <v/>
          </cell>
          <cell r="Z823" t="str">
            <v/>
          </cell>
          <cell r="AB823" t="str">
            <v/>
          </cell>
          <cell r="AC823" t="str">
            <v>0705591162;0339158582</v>
          </cell>
          <cell r="AD823" t="str">
            <v>HĐ từ 03/11/2025</v>
          </cell>
        </row>
        <row r="824">
          <cell r="B824" t="str">
            <v>BV1344</v>
          </cell>
          <cell r="C824" t="str">
            <v>Lương Thị Thùy</v>
          </cell>
          <cell r="D824" t="str">
            <v>BV1344</v>
          </cell>
          <cell r="E824" t="str">
            <v>x</v>
          </cell>
          <cell r="F824" t="str">
            <v>Điều dưỡng CĐ</v>
          </cell>
          <cell r="G824" t="str">
            <v>TĐ012</v>
          </cell>
          <cell r="I824" t="str">
            <v>Điều dưỡng (hạng IV)</v>
          </cell>
          <cell r="J824" t="str">
            <v>Chấn thương - Bỏng</v>
          </cell>
          <cell r="K824" t="str">
            <v>KP014</v>
          </cell>
          <cell r="N824" t="str">
            <v>Viên chức</v>
          </cell>
          <cell r="O824">
            <v>22</v>
          </cell>
          <cell r="P824">
            <v>0</v>
          </cell>
          <cell r="Q824" t="str">
            <v>25/01/2004</v>
          </cell>
          <cell r="R824" t="str">
            <v>Tày</v>
          </cell>
          <cell r="S824">
            <v>45964</v>
          </cell>
          <cell r="T824" t="str">
            <v>020304004565</v>
          </cell>
          <cell r="U824" t="str">
            <v>Khối Phai Luông, Phường Kỳ Lừa, tỉnh Lạng Sơn</v>
          </cell>
          <cell r="W824" t="str">
            <v/>
          </cell>
          <cell r="X824" t="str">
            <v/>
          </cell>
          <cell r="Z824" t="str">
            <v/>
          </cell>
          <cell r="AB824" t="str">
            <v/>
          </cell>
          <cell r="AC824">
            <v>375114797</v>
          </cell>
          <cell r="AD824" t="str">
            <v>HĐ từ 03/11/2025, Viên chức từ 15/6/2026</v>
          </cell>
        </row>
        <row r="825">
          <cell r="B825" t="str">
            <v>BV1345</v>
          </cell>
          <cell r="C825" t="str">
            <v>Hoàng Thị Vân</v>
          </cell>
          <cell r="D825" t="str">
            <v>BV1345</v>
          </cell>
          <cell r="E825" t="str">
            <v>x</v>
          </cell>
          <cell r="F825" t="str">
            <v>Điều dưỡng CĐ</v>
          </cell>
          <cell r="G825" t="str">
            <v>TĐ012</v>
          </cell>
          <cell r="I825" t="str">
            <v>Điều dưỡng (hạng IV)</v>
          </cell>
          <cell r="J825" t="str">
            <v>Lão - CXK</v>
          </cell>
          <cell r="K825" t="str">
            <v>KP004</v>
          </cell>
          <cell r="N825" t="str">
            <v>HĐ có thời hạn</v>
          </cell>
          <cell r="O825">
            <v>21</v>
          </cell>
          <cell r="P825">
            <v>0</v>
          </cell>
          <cell r="Q825" t="str">
            <v>11/12/2004</v>
          </cell>
          <cell r="R825" t="str">
            <v>Nùng</v>
          </cell>
          <cell r="S825">
            <v>45964</v>
          </cell>
          <cell r="T825" t="str">
            <v>020304001618</v>
          </cell>
          <cell r="U825" t="str">
            <v>Xã Tri lễ - Lạng Sơn</v>
          </cell>
          <cell r="W825" t="str">
            <v/>
          </cell>
          <cell r="X825" t="str">
            <v/>
          </cell>
          <cell r="Z825" t="str">
            <v/>
          </cell>
          <cell r="AB825" t="str">
            <v/>
          </cell>
          <cell r="AC825">
            <v>367034380</v>
          </cell>
          <cell r="AD825" t="str">
            <v>HĐ từ 03/11/2025</v>
          </cell>
        </row>
        <row r="826">
          <cell r="B826" t="str">
            <v>BV1346</v>
          </cell>
          <cell r="C826" t="str">
            <v>Hoàng Thị Thùy Linh</v>
          </cell>
          <cell r="D826" t="str">
            <v>BV1346</v>
          </cell>
          <cell r="E826" t="str">
            <v>x</v>
          </cell>
          <cell r="F826" t="str">
            <v>Điều dưỡng CĐ</v>
          </cell>
          <cell r="G826" t="str">
            <v>TĐ012</v>
          </cell>
          <cell r="I826" t="str">
            <v>Điều dưỡng (hạng IV)</v>
          </cell>
          <cell r="J826" t="str">
            <v>HSTC-CĐ</v>
          </cell>
          <cell r="K826" t="str">
            <v>KP003</v>
          </cell>
          <cell r="N826" t="str">
            <v>HĐ có thời hạn</v>
          </cell>
          <cell r="O826">
            <v>22</v>
          </cell>
          <cell r="P826">
            <v>0</v>
          </cell>
          <cell r="Q826" t="str">
            <v>04/03/2004</v>
          </cell>
          <cell r="R826" t="str">
            <v>Tày</v>
          </cell>
          <cell r="S826">
            <v>45964</v>
          </cell>
          <cell r="T826" t="str">
            <v>020304006133</v>
          </cell>
          <cell r="U826" t="str">
            <v xml:space="preserve">P Kỳ Lừa, Lạng Sơn </v>
          </cell>
          <cell r="W826" t="str">
            <v/>
          </cell>
          <cell r="X826" t="str">
            <v/>
          </cell>
          <cell r="Z826" t="str">
            <v/>
          </cell>
          <cell r="AB826" t="str">
            <v/>
          </cell>
          <cell r="AC826">
            <v>352819504</v>
          </cell>
          <cell r="AD826" t="str">
            <v>HĐ từ 03/11/2025</v>
          </cell>
        </row>
        <row r="827">
          <cell r="B827" t="str">
            <v>BV1347</v>
          </cell>
          <cell r="C827" t="str">
            <v>Hoàng Khánh Vinh</v>
          </cell>
          <cell r="D827" t="str">
            <v>BV1347</v>
          </cell>
          <cell r="F827" t="str">
            <v>Điều dưỡng CĐ</v>
          </cell>
          <cell r="G827" t="str">
            <v>TĐ012</v>
          </cell>
          <cell r="I827" t="str">
            <v>Điều dưỡng (hạng IV)</v>
          </cell>
          <cell r="J827" t="str">
            <v>Cấp cứu</v>
          </cell>
          <cell r="K827" t="str">
            <v>KP002</v>
          </cell>
          <cell r="N827" t="str">
            <v>Viên chức</v>
          </cell>
          <cell r="O827">
            <v>23</v>
          </cell>
          <cell r="P827">
            <v>0</v>
          </cell>
          <cell r="Q827" t="str">
            <v>07/11/2002</v>
          </cell>
          <cell r="R827" t="str">
            <v>Tày</v>
          </cell>
          <cell r="S827">
            <v>45964</v>
          </cell>
          <cell r="T827" t="str">
            <v>020202004024</v>
          </cell>
          <cell r="U827">
            <v>0</v>
          </cell>
          <cell r="W827" t="str">
            <v/>
          </cell>
          <cell r="X827" t="str">
            <v/>
          </cell>
          <cell r="Z827" t="str">
            <v/>
          </cell>
          <cell r="AB827" t="str">
            <v/>
          </cell>
          <cell r="AC827">
            <v>352564336</v>
          </cell>
          <cell r="AD827" t="str">
            <v>HĐ từ 03/11/2025, Viên chức từ 15/6/2026</v>
          </cell>
        </row>
        <row r="828">
          <cell r="B828" t="str">
            <v>BV1348</v>
          </cell>
          <cell r="C828" t="str">
            <v>Hoàng Văn Thân</v>
          </cell>
          <cell r="D828" t="str">
            <v>BV1348</v>
          </cell>
          <cell r="F828" t="str">
            <v>Điều dưỡng CĐ</v>
          </cell>
          <cell r="G828" t="str">
            <v>TĐ012</v>
          </cell>
          <cell r="I828" t="str">
            <v>Điều dưỡng (hạng IV)</v>
          </cell>
          <cell r="J828" t="str">
            <v>HSTC-CĐ</v>
          </cell>
          <cell r="K828" t="str">
            <v>KP003</v>
          </cell>
          <cell r="N828" t="str">
            <v>Viên chức</v>
          </cell>
          <cell r="O828">
            <v>22</v>
          </cell>
          <cell r="P828" t="str">
            <v>11/3/2004</v>
          </cell>
          <cell r="Q828">
            <v>0</v>
          </cell>
          <cell r="R828" t="str">
            <v>Kinh</v>
          </cell>
          <cell r="S828">
            <v>45964</v>
          </cell>
          <cell r="T828" t="str">
            <v>020204000751</v>
          </cell>
          <cell r="U828" t="str">
            <v>Thôn Hồng Phong I, Xã Vũ Lễ, Tỉnh Lạng Sơn</v>
          </cell>
          <cell r="W828" t="str">
            <v/>
          </cell>
          <cell r="X828" t="str">
            <v/>
          </cell>
          <cell r="Z828" t="str">
            <v/>
          </cell>
          <cell r="AB828" t="str">
            <v/>
          </cell>
          <cell r="AC828">
            <v>389014757</v>
          </cell>
          <cell r="AD828" t="str">
            <v>HĐ từ 03/11/2025, Viên chức từ 15/6/2026</v>
          </cell>
        </row>
        <row r="829">
          <cell r="B829" t="str">
            <v>BV1350</v>
          </cell>
          <cell r="C829" t="str">
            <v>Hoàng Thị Phương Dung</v>
          </cell>
          <cell r="D829" t="str">
            <v>BV1350</v>
          </cell>
          <cell r="E829" t="str">
            <v>x</v>
          </cell>
          <cell r="F829" t="str">
            <v>Điều dưỡng CĐ</v>
          </cell>
          <cell r="G829" t="str">
            <v>TĐ012</v>
          </cell>
          <cell r="I829" t="str">
            <v>Điều dưỡng (hạng IV)</v>
          </cell>
          <cell r="J829" t="str">
            <v>Chấn thương - Bỏng</v>
          </cell>
          <cell r="K829" t="str">
            <v>KP014</v>
          </cell>
          <cell r="N829" t="str">
            <v>HĐ có thời hạn</v>
          </cell>
          <cell r="O829">
            <v>21</v>
          </cell>
          <cell r="P829">
            <v>0</v>
          </cell>
          <cell r="Q829" t="str">
            <v>24/9/2004</v>
          </cell>
          <cell r="R829" t="str">
            <v>Nùng</v>
          </cell>
          <cell r="S829">
            <v>45964</v>
          </cell>
          <cell r="T829" t="str">
            <v>020304000733</v>
          </cell>
          <cell r="U829" t="str">
            <v>Khối Pò Đứa- Pò Mỏ, Phường Đông Kinh, tỉnh Lạng Sơn</v>
          </cell>
          <cell r="W829" t="str">
            <v/>
          </cell>
          <cell r="X829" t="str">
            <v/>
          </cell>
          <cell r="Z829" t="str">
            <v/>
          </cell>
          <cell r="AB829" t="str">
            <v/>
          </cell>
          <cell r="AC829" t="str">
            <v>0378695835</v>
          </cell>
          <cell r="AD829" t="str">
            <v>HĐ từ 03/11/2025</v>
          </cell>
        </row>
        <row r="830">
          <cell r="B830" t="str">
            <v>BV1351</v>
          </cell>
          <cell r="C830" t="str">
            <v>Hoàng Thùy Linh</v>
          </cell>
          <cell r="D830" t="str">
            <v>BV1351</v>
          </cell>
          <cell r="E830" t="str">
            <v>x</v>
          </cell>
          <cell r="F830" t="str">
            <v>Bác sĩ</v>
          </cell>
          <cell r="G830" t="str">
            <v>TĐ005</v>
          </cell>
          <cell r="I830" t="str">
            <v>Bác sĩ (hạng III)</v>
          </cell>
          <cell r="J830" t="str">
            <v>HSTC-CĐ</v>
          </cell>
          <cell r="K830" t="str">
            <v>KP003</v>
          </cell>
          <cell r="N830" t="str">
            <v>Viên chức</v>
          </cell>
          <cell r="O830">
            <v>25</v>
          </cell>
          <cell r="P830">
            <v>0</v>
          </cell>
          <cell r="Q830" t="str">
            <v>16/11/2000</v>
          </cell>
          <cell r="R830" t="str">
            <v>Tày</v>
          </cell>
          <cell r="S830">
            <v>45971</v>
          </cell>
          <cell r="T830" t="str">
            <v>020300006879</v>
          </cell>
          <cell r="U830" t="str">
            <v>53 Thác Mạ 7 - Phường Đông Kinh - Tỉnh Lạng Sơn</v>
          </cell>
          <cell r="W830" t="str">
            <v>000399/LS-GPHN</v>
          </cell>
          <cell r="X830">
            <v>45964</v>
          </cell>
          <cell r="Z830" t="str">
            <v>Y khoa</v>
          </cell>
          <cell r="AB830" t="str">
            <v/>
          </cell>
          <cell r="AD830" t="str">
            <v>HĐ từ 10/11/2025, Viên chức từ 15/6/2026</v>
          </cell>
        </row>
        <row r="831">
          <cell r="B831" t="str">
            <v>BV1352</v>
          </cell>
          <cell r="C831" t="str">
            <v>Hoàng Thị Kim Ngân</v>
          </cell>
          <cell r="D831" t="str">
            <v>BV1352</v>
          </cell>
          <cell r="E831" t="str">
            <v>x</v>
          </cell>
          <cell r="F831" t="str">
            <v>Điều dưỡng ĐH</v>
          </cell>
          <cell r="G831" t="str">
            <v>TĐ011</v>
          </cell>
          <cell r="I831" t="str">
            <v>Điều dưỡng (hạng III)</v>
          </cell>
          <cell r="J831" t="str">
            <v>HSTC-CĐ</v>
          </cell>
          <cell r="K831" t="str">
            <v>KP003</v>
          </cell>
          <cell r="N831" t="str">
            <v>HĐ có thời hạn</v>
          </cell>
          <cell r="O831">
            <v>24</v>
          </cell>
          <cell r="P831">
            <v>0</v>
          </cell>
          <cell r="Q831" t="str">
            <v>01/03/2002</v>
          </cell>
          <cell r="R831" t="str">
            <v>Tày</v>
          </cell>
          <cell r="S831">
            <v>45972</v>
          </cell>
          <cell r="T831" t="str">
            <v>020302000732</v>
          </cell>
          <cell r="U831" t="str">
            <v>Thôn Long Hưng,Bắc Sơn,LS</v>
          </cell>
          <cell r="W831" t="str">
            <v/>
          </cell>
          <cell r="X831" t="str">
            <v/>
          </cell>
          <cell r="Z831" t="str">
            <v/>
          </cell>
          <cell r="AB831" t="str">
            <v/>
          </cell>
          <cell r="AD831" t="str">
            <v>HĐ từ 11/11/2025</v>
          </cell>
        </row>
        <row r="832">
          <cell r="B832" t="str">
            <v>BV1353</v>
          </cell>
          <cell r="C832" t="str">
            <v>Nguyễn Thị Định</v>
          </cell>
          <cell r="D832" t="str">
            <v>BV1353</v>
          </cell>
          <cell r="E832" t="str">
            <v>x</v>
          </cell>
          <cell r="F832" t="str">
            <v>Điều dưỡng CĐ</v>
          </cell>
          <cell r="G832" t="str">
            <v>TĐ012</v>
          </cell>
          <cell r="I832" t="str">
            <v>Điều dưỡng (hạng IV)</v>
          </cell>
          <cell r="J832" t="str">
            <v>Cấp cứu</v>
          </cell>
          <cell r="K832" t="str">
            <v>KP002</v>
          </cell>
          <cell r="N832" t="str">
            <v>Viên chức</v>
          </cell>
          <cell r="O832">
            <v>30</v>
          </cell>
          <cell r="P832">
            <v>0</v>
          </cell>
          <cell r="Q832" t="str">
            <v>23/10/1995</v>
          </cell>
          <cell r="R832" t="str">
            <v>Kinh</v>
          </cell>
          <cell r="S832">
            <v>45972</v>
          </cell>
          <cell r="T832" t="str">
            <v>027195008291</v>
          </cell>
          <cell r="U832" t="str">
            <v>phường Tam Thanh, tỉnh Lạng Sơn</v>
          </cell>
          <cell r="W832" t="str">
            <v/>
          </cell>
          <cell r="X832" t="str">
            <v/>
          </cell>
          <cell r="Z832" t="str">
            <v/>
          </cell>
          <cell r="AB832" t="str">
            <v/>
          </cell>
          <cell r="AD832" t="str">
            <v>HĐ từ 11/11/2025, Viên chức từ 15/6/2026</v>
          </cell>
        </row>
        <row r="833">
          <cell r="B833" t="str">
            <v>BV1354</v>
          </cell>
          <cell r="C833" t="str">
            <v>Nguyễn Sơn Tùng</v>
          </cell>
          <cell r="D833" t="str">
            <v>BV1354</v>
          </cell>
          <cell r="F833" t="str">
            <v>Bác sĩ</v>
          </cell>
          <cell r="G833" t="str">
            <v>TĐ005</v>
          </cell>
          <cell r="I833" t="str">
            <v>Bác sĩ (hạng III)</v>
          </cell>
          <cell r="J833" t="str">
            <v>Nhi</v>
          </cell>
          <cell r="K833" t="str">
            <v>KP017</v>
          </cell>
          <cell r="N833" t="str">
            <v>Viên chức</v>
          </cell>
          <cell r="O833">
            <v>26</v>
          </cell>
          <cell r="P833" t="str">
            <v>30/5/2000</v>
          </cell>
          <cell r="Q833">
            <v>0</v>
          </cell>
          <cell r="R833" t="str">
            <v>Tày</v>
          </cell>
          <cell r="S833">
            <v>45978</v>
          </cell>
          <cell r="T833" t="str">
            <v>020200006452</v>
          </cell>
          <cell r="U833" t="str">
            <v xml:space="preserve">Phường đông kinh, tỉnh Lạng Sơn </v>
          </cell>
          <cell r="W833" t="str">
            <v>000423/LS-GPHN</v>
          </cell>
          <cell r="X833">
            <v>45994</v>
          </cell>
          <cell r="Z833" t="str">
            <v>Y khoa</v>
          </cell>
          <cell r="AB833">
            <v>0</v>
          </cell>
          <cell r="AC833">
            <v>918253288</v>
          </cell>
          <cell r="AD833" t="str">
            <v>HĐ từ 17/11/2025, Viên chức từ 15/6/2026</v>
          </cell>
        </row>
        <row r="834">
          <cell r="B834" t="str">
            <v>BV1355</v>
          </cell>
          <cell r="C834" t="str">
            <v>Vi Thu Hường</v>
          </cell>
          <cell r="D834" t="str">
            <v>BV1355</v>
          </cell>
          <cell r="E834" t="str">
            <v>x</v>
          </cell>
          <cell r="F834" t="str">
            <v>Điều dưỡng CĐ</v>
          </cell>
          <cell r="G834" t="str">
            <v>TĐ012</v>
          </cell>
          <cell r="I834" t="str">
            <v>Điều dưỡng (hạng IV)</v>
          </cell>
          <cell r="J834" t="str">
            <v>Cấp cứu</v>
          </cell>
          <cell r="K834" t="str">
            <v>KP002</v>
          </cell>
          <cell r="N834" t="str">
            <v>HĐ có thời hạn</v>
          </cell>
          <cell r="O834">
            <v>22</v>
          </cell>
          <cell r="P834">
            <v>0</v>
          </cell>
          <cell r="Q834" t="str">
            <v>26/12/2003</v>
          </cell>
          <cell r="R834" t="str">
            <v>Tày</v>
          </cell>
          <cell r="S834">
            <v>45985</v>
          </cell>
          <cell r="T834" t="str">
            <v>020303001218</v>
          </cell>
          <cell r="U834" t="str">
            <v>Làng Trung, Chi Lăng, Lạng Sơn</v>
          </cell>
          <cell r="W834" t="str">
            <v/>
          </cell>
          <cell r="X834" t="str">
            <v/>
          </cell>
          <cell r="Z834" t="str">
            <v/>
          </cell>
          <cell r="AB834" t="str">
            <v/>
          </cell>
          <cell r="AC834">
            <v>705608172</v>
          </cell>
          <cell r="AD834" t="str">
            <v>HĐ từ 24/11/2025</v>
          </cell>
        </row>
        <row r="835">
          <cell r="B835" t="str">
            <v>BV1356</v>
          </cell>
          <cell r="C835" t="str">
            <v>Nguyễn Mai Hương</v>
          </cell>
          <cell r="D835" t="str">
            <v>BV1356</v>
          </cell>
          <cell r="E835" t="str">
            <v>x</v>
          </cell>
          <cell r="F835" t="str">
            <v>Dược sỹ ĐH</v>
          </cell>
          <cell r="G835" t="str">
            <v>TĐ008</v>
          </cell>
          <cell r="I835" t="str">
            <v>Dược sĩ (hạng III)</v>
          </cell>
          <cell r="J835" t="str">
            <v>Dược</v>
          </cell>
          <cell r="K835" t="str">
            <v>KP028</v>
          </cell>
          <cell r="N835" t="str">
            <v>Viên chức</v>
          </cell>
          <cell r="O835">
            <v>23</v>
          </cell>
          <cell r="P835">
            <v>0</v>
          </cell>
          <cell r="Q835" t="str">
            <v>09/08/2002</v>
          </cell>
          <cell r="R835" t="str">
            <v>Tày</v>
          </cell>
          <cell r="S835">
            <v>45992</v>
          </cell>
          <cell r="T835" t="str">
            <v>020302007536</v>
          </cell>
          <cell r="U835" t="str">
            <v>Khối Cửa Bắc, phường Lương Văn Tri, tỉnh Lạng Sơn</v>
          </cell>
          <cell r="W835" t="str">
            <v/>
          </cell>
          <cell r="X835" t="str">
            <v/>
          </cell>
          <cell r="Z835" t="str">
            <v/>
          </cell>
          <cell r="AB835" t="str">
            <v/>
          </cell>
          <cell r="AC835" t="str">
            <v>0911629040</v>
          </cell>
          <cell r="AD835" t="str">
            <v>HĐ từ 01/12/2025, Viên chức từ 15/6/2026</v>
          </cell>
        </row>
        <row r="836">
          <cell r="B836" t="str">
            <v>BV1357</v>
          </cell>
          <cell r="C836" t="str">
            <v>Nguyễn Thiên Trang</v>
          </cell>
          <cell r="D836" t="str">
            <v>BV1357</v>
          </cell>
          <cell r="E836" t="str">
            <v>x</v>
          </cell>
          <cell r="F836" t="str">
            <v>Dược sỹ CĐ</v>
          </cell>
          <cell r="G836" t="str">
            <v>TĐ009</v>
          </cell>
          <cell r="I836" t="str">
            <v>Dược (hạng IV)</v>
          </cell>
          <cell r="J836" t="str">
            <v>Dược</v>
          </cell>
          <cell r="K836" t="str">
            <v>KP028</v>
          </cell>
          <cell r="N836" t="str">
            <v>Viên chức</v>
          </cell>
          <cell r="O836">
            <v>34</v>
          </cell>
          <cell r="P836">
            <v>0</v>
          </cell>
          <cell r="Q836" t="str">
            <v>24/11/1991</v>
          </cell>
          <cell r="R836" t="str">
            <v>kinh</v>
          </cell>
          <cell r="S836">
            <v>45992</v>
          </cell>
          <cell r="T836" t="str">
            <v>020191008250</v>
          </cell>
          <cell r="U836" t="str">
            <v>185 Trần Quang Khải, phường Lương Văn Chi</v>
          </cell>
          <cell r="W836" t="str">
            <v/>
          </cell>
          <cell r="X836" t="str">
            <v/>
          </cell>
          <cell r="Z836" t="str">
            <v/>
          </cell>
          <cell r="AB836" t="str">
            <v/>
          </cell>
          <cell r="AC836" t="str">
            <v>0368203333</v>
          </cell>
          <cell r="AD836" t="str">
            <v>HĐ từ 01/12/2025, Viên chức từ 15/6/2026</v>
          </cell>
        </row>
        <row r="837">
          <cell r="B837" t="str">
            <v>BV1358</v>
          </cell>
          <cell r="C837" t="str">
            <v>Hoàng Quang Huỳnh</v>
          </cell>
          <cell r="D837" t="str">
            <v>BV1358</v>
          </cell>
          <cell r="F837" t="str">
            <v>Điều dưỡng CĐ</v>
          </cell>
          <cell r="G837" t="str">
            <v>TĐ012</v>
          </cell>
          <cell r="I837" t="str">
            <v>Điều dưỡng (hạng IV)</v>
          </cell>
          <cell r="J837" t="str">
            <v>Cấp cứu</v>
          </cell>
          <cell r="K837" t="str">
            <v>KP002</v>
          </cell>
          <cell r="N837" t="str">
            <v>HĐ có thời hạn</v>
          </cell>
          <cell r="R837" t="str">
            <v>Tày</v>
          </cell>
          <cell r="S837">
            <v>46034</v>
          </cell>
          <cell r="T837" t="str">
            <v>020098006500</v>
          </cell>
          <cell r="U837" t="str">
            <v>Xã Tri Lễ, tỉnh Lạng Sơn</v>
          </cell>
          <cell r="W837" t="str">
            <v/>
          </cell>
          <cell r="X837" t="str">
            <v/>
          </cell>
          <cell r="Z837" t="str">
            <v/>
          </cell>
          <cell r="AB837" t="str">
            <v/>
          </cell>
          <cell r="AC837">
            <v>346133541</v>
          </cell>
          <cell r="AD837" t="str">
            <v>HĐ từ 12/01/2026</v>
          </cell>
        </row>
        <row r="838">
          <cell r="B838" t="str">
            <v>BV1359</v>
          </cell>
          <cell r="C838" t="str">
            <v>Dương Thị Hồng Hà</v>
          </cell>
          <cell r="D838" t="str">
            <v>BV1359</v>
          </cell>
          <cell r="E838" t="str">
            <v>x</v>
          </cell>
          <cell r="F838" t="str">
            <v>Bác sĩ</v>
          </cell>
          <cell r="G838" t="str">
            <v>TĐ005</v>
          </cell>
          <cell r="H838" t="str">
            <v>Bác sĩ (hạng III)</v>
          </cell>
          <cell r="I838" t="str">
            <v>Bác sĩ (hạng III)</v>
          </cell>
          <cell r="J838" t="str">
            <v>Lão - CXK</v>
          </cell>
          <cell r="K838" t="str">
            <v>KP004</v>
          </cell>
          <cell r="N838" t="str">
            <v>Viên chức</v>
          </cell>
          <cell r="Q838">
            <v>34881</v>
          </cell>
          <cell r="R838" t="e">
            <v>#N/A</v>
          </cell>
          <cell r="S838">
            <v>45017</v>
          </cell>
          <cell r="T838" t="str">
            <v>020195008240</v>
          </cell>
          <cell r="U838" t="e">
            <v>#N/A</v>
          </cell>
          <cell r="W838" t="str">
            <v>000028/LS-GPHN</v>
          </cell>
          <cell r="X838">
            <v>45457</v>
          </cell>
          <cell r="Z838" t="str">
            <v>Y khoa</v>
          </cell>
          <cell r="AB838">
            <v>0</v>
          </cell>
          <cell r="AD838" t="str">
            <v>Chuyển đến 01/02/2026</v>
          </cell>
        </row>
        <row r="839">
          <cell r="B839" t="str">
            <v>BV1360</v>
          </cell>
          <cell r="C839" t="str">
            <v>Lê Thu Hà</v>
          </cell>
          <cell r="D839" t="str">
            <v>BV1360</v>
          </cell>
          <cell r="E839" t="str">
            <v>x</v>
          </cell>
          <cell r="F839" t="str">
            <v>KTĐH</v>
          </cell>
          <cell r="G839" t="str">
            <v>TĐ021</v>
          </cell>
          <cell r="H839" t="str">
            <v>Kế toán viên</v>
          </cell>
          <cell r="I839" t="str">
            <v>Kế toán viên (hạng III)</v>
          </cell>
          <cell r="J839" t="str">
            <v>TCKT</v>
          </cell>
          <cell r="K839" t="str">
            <v>KP041</v>
          </cell>
          <cell r="N839" t="str">
            <v>Viên chức</v>
          </cell>
          <cell r="R839" t="e">
            <v>#N/A</v>
          </cell>
          <cell r="S839">
            <v>45671</v>
          </cell>
          <cell r="T839" t="str">
            <v>020301000607</v>
          </cell>
          <cell r="U839" t="e">
            <v>#N/A</v>
          </cell>
          <cell r="W839" t="str">
            <v/>
          </cell>
          <cell r="X839" t="str">
            <v/>
          </cell>
          <cell r="Z839" t="str">
            <v/>
          </cell>
          <cell r="AB839" t="str">
            <v/>
          </cell>
          <cell r="AD839" t="str">
            <v>Chuyển đến 06/2/2026</v>
          </cell>
        </row>
        <row r="840">
          <cell r="B840" t="str">
            <v>BV1361</v>
          </cell>
          <cell r="C840" t="str">
            <v>Phương Văn Thuận</v>
          </cell>
          <cell r="D840" t="str">
            <v>BV1361</v>
          </cell>
          <cell r="F840" t="str">
            <v>Bảo vệ</v>
          </cell>
          <cell r="G840" t="str">
            <v>TĐ044</v>
          </cell>
          <cell r="I840" t="str">
            <v>NVBV</v>
          </cell>
          <cell r="J840" t="str">
            <v>HCQT</v>
          </cell>
          <cell r="K840" t="str">
            <v>KP040</v>
          </cell>
          <cell r="N840" t="str">
            <v>HĐ có thời hạn</v>
          </cell>
          <cell r="R840" t="str">
            <v>Nùng</v>
          </cell>
          <cell r="S840">
            <v>46039</v>
          </cell>
          <cell r="T840" t="str">
            <v>020078011200</v>
          </cell>
          <cell r="U840">
            <v>0</v>
          </cell>
          <cell r="W840" t="str">
            <v/>
          </cell>
          <cell r="X840" t="str">
            <v/>
          </cell>
          <cell r="Z840" t="str">
            <v/>
          </cell>
          <cell r="AB840" t="str">
            <v/>
          </cell>
          <cell r="AD840" t="str">
            <v>HĐ từ 19/01/2026</v>
          </cell>
        </row>
        <row r="841">
          <cell r="B841" t="str">
            <v>BV0884</v>
          </cell>
          <cell r="C841" t="str">
            <v>Trần Hoàn Hảo</v>
          </cell>
          <cell r="D841" t="str">
            <v>BV0884</v>
          </cell>
          <cell r="E841" t="str">
            <v>x</v>
          </cell>
          <cell r="F841" t="str">
            <v>Y học dự phòng</v>
          </cell>
          <cell r="G841" t="str">
            <v>TĐ051</v>
          </cell>
          <cell r="I841" t="str">
            <v>Bác sĩ Y học dự phòng (hạng III)</v>
          </cell>
          <cell r="J841" t="str">
            <v>QLCL</v>
          </cell>
          <cell r="K841" t="str">
            <v>KP044</v>
          </cell>
          <cell r="N841" t="str">
            <v>Viên chức</v>
          </cell>
          <cell r="R841" t="str">
            <v>08/4/2019</v>
          </cell>
          <cell r="S841">
            <v>43563</v>
          </cell>
          <cell r="T841" t="str">
            <v>020192012404</v>
          </cell>
          <cell r="V841" t="e">
            <v>#N/A</v>
          </cell>
          <cell r="W841" t="str">
            <v>004124/LS-CCHN</v>
          </cell>
          <cell r="X841">
            <v>44235</v>
          </cell>
          <cell r="Z841" t="str">
            <v>Phát hiện và xử trí các bệnh thông thường; xử trí ban đầu một số trường hợp cấp cứu tại cộng đồng</v>
          </cell>
          <cell r="AB841" t="str">
            <v/>
          </cell>
          <cell r="AC841" t="str">
            <v>0349754359</v>
          </cell>
          <cell r="AD841" t="str">
            <v>HĐ 8/4/2019-31/3/2023; đỗ VC 20/5/2026;</v>
          </cell>
        </row>
      </sheetData>
      <sheetData sheetId="4"/>
      <sheetData sheetId="5">
        <row r="2">
          <cell r="J2">
            <v>46236</v>
          </cell>
        </row>
      </sheetData>
      <sheetData sheetId="6"/>
      <sheetData sheetId="7"/>
      <sheetData sheetId="8"/>
      <sheetData sheetId="9">
        <row r="8">
          <cell r="B8" t="str">
            <v>BV0001</v>
          </cell>
          <cell r="C8" t="str">
            <v>Hoàng Khánh Linh</v>
          </cell>
          <cell r="D8" t="str">
            <v>BV0001</v>
          </cell>
          <cell r="F8" t="str">
            <v>BSCKII</v>
          </cell>
          <cell r="G8" t="str">
            <v>TĐ001</v>
          </cell>
          <cell r="H8" t="e">
            <v>#N/A</v>
          </cell>
          <cell r="I8" t="e">
            <v>#N/A</v>
          </cell>
          <cell r="J8" t="str">
            <v>Bác sĩ (hạng III)</v>
          </cell>
          <cell r="K8" t="str">
            <v>BS Hạng II</v>
          </cell>
          <cell r="N8" t="str">
            <v>Sơ cấp</v>
          </cell>
          <cell r="O8" t="str">
            <v>Anh C</v>
          </cell>
          <cell r="P8" t="str">
            <v>Tày</v>
          </cell>
          <cell r="Q8" t="str">
            <v>Cơ bản</v>
          </cell>
        </row>
        <row r="9">
          <cell r="B9" t="str">
            <v>BV0004</v>
          </cell>
          <cell r="C9" t="str">
            <v>Nguyễn Văn Thắng</v>
          </cell>
          <cell r="D9" t="str">
            <v>BV0004</v>
          </cell>
          <cell r="F9" t="str">
            <v>BSCKII</v>
          </cell>
          <cell r="G9" t="str">
            <v>TĐ003</v>
          </cell>
          <cell r="H9">
            <v>0</v>
          </cell>
          <cell r="I9">
            <v>0</v>
          </cell>
          <cell r="J9" t="str">
            <v>Bác sĩ (hạng III)</v>
          </cell>
          <cell r="K9" t="str">
            <v>BS Hạng II</v>
          </cell>
          <cell r="L9" t="str">
            <v>X</v>
          </cell>
          <cell r="N9" t="str">
            <v>Sơ cấp</v>
          </cell>
          <cell r="O9" t="str">
            <v>Anh C</v>
          </cell>
          <cell r="P9" t="str">
            <v>Tày</v>
          </cell>
          <cell r="Q9" t="str">
            <v>Cơ bản</v>
          </cell>
        </row>
        <row r="10">
          <cell r="B10" t="str">
            <v>BV0027</v>
          </cell>
          <cell r="C10" t="str">
            <v>Triệu Kim Thoa</v>
          </cell>
          <cell r="D10" t="str">
            <v>BV0027</v>
          </cell>
          <cell r="E10" t="str">
            <v>x</v>
          </cell>
          <cell r="F10" t="str">
            <v>Điều dưỡng ĐH</v>
          </cell>
          <cell r="G10" t="str">
            <v>TĐ011</v>
          </cell>
          <cell r="H10" t="e">
            <v>#N/A</v>
          </cell>
          <cell r="I10" t="e">
            <v>#N/A</v>
          </cell>
          <cell r="J10" t="str">
            <v>Điều dưỡng (hạng III)</v>
          </cell>
          <cell r="O10" t="str">
            <v>Anh B</v>
          </cell>
          <cell r="P10" t="str">
            <v>Tày</v>
          </cell>
          <cell r="Q10" t="str">
            <v>B</v>
          </cell>
        </row>
        <row r="11">
          <cell r="B11" t="str">
            <v>BV0033</v>
          </cell>
          <cell r="C11" t="str">
            <v>Nguyễn Thu Lan</v>
          </cell>
          <cell r="D11" t="str">
            <v>BV0033</v>
          </cell>
          <cell r="E11" t="str">
            <v>x</v>
          </cell>
          <cell r="F11" t="str">
            <v>Điều dưỡng CĐ</v>
          </cell>
          <cell r="G11" t="str">
            <v>TĐ012</v>
          </cell>
          <cell r="H11" t="e">
            <v>#N/A</v>
          </cell>
          <cell r="I11" t="e">
            <v>#N/A</v>
          </cell>
          <cell r="J11" t="str">
            <v>Điều dưỡng (hạng IV)</v>
          </cell>
          <cell r="O11" t="str">
            <v>Anh A</v>
          </cell>
          <cell r="P11" t="str">
            <v>Tày</v>
          </cell>
          <cell r="Q11" t="str">
            <v>B</v>
          </cell>
        </row>
        <row r="12">
          <cell r="B12" t="str">
            <v>BV0222</v>
          </cell>
          <cell r="C12" t="str">
            <v>Hoàng Thị Thùy</v>
          </cell>
          <cell r="D12" t="str">
            <v>BV0222</v>
          </cell>
          <cell r="E12" t="str">
            <v>x</v>
          </cell>
          <cell r="F12" t="str">
            <v>Điều dưỡng CĐ</v>
          </cell>
          <cell r="G12" t="str">
            <v>TĐ012</v>
          </cell>
          <cell r="H12" t="str">
            <v>Cao đẳng Y tế Lạng Sơn</v>
          </cell>
          <cell r="I12">
            <v>2015</v>
          </cell>
          <cell r="J12" t="str">
            <v>Điều dưỡng (hạng IV)</v>
          </cell>
          <cell r="O12" t="str">
            <v>Anh B</v>
          </cell>
          <cell r="P12" t="str">
            <v>Tày</v>
          </cell>
          <cell r="Q12" t="str">
            <v>C</v>
          </cell>
        </row>
        <row r="13">
          <cell r="B13" t="str">
            <v>BV0009</v>
          </cell>
          <cell r="C13" t="str">
            <v>Hoàng Hải Yến</v>
          </cell>
          <cell r="D13" t="str">
            <v>BV0009</v>
          </cell>
          <cell r="E13" t="str">
            <v>x</v>
          </cell>
          <cell r="F13" t="str">
            <v>Điều dưỡng CĐ</v>
          </cell>
          <cell r="G13" t="str">
            <v>TĐ012</v>
          </cell>
          <cell r="H13" t="str">
            <v>Cao đẳng Y tế Lạng Sơn</v>
          </cell>
          <cell r="I13">
            <v>2010</v>
          </cell>
          <cell r="J13" t="str">
            <v>Điều dưỡng (hạng IV)</v>
          </cell>
          <cell r="Q13" t="str">
            <v>B</v>
          </cell>
        </row>
        <row r="14">
          <cell r="B14" t="str">
            <v>BV0183</v>
          </cell>
          <cell r="C14" t="str">
            <v>Nguyễn Thị Ngọc Hà</v>
          </cell>
          <cell r="D14" t="str">
            <v>BV0183</v>
          </cell>
          <cell r="E14" t="str">
            <v>x</v>
          </cell>
          <cell r="F14" t="str">
            <v>Điều dưỡng CĐ</v>
          </cell>
          <cell r="G14" t="str">
            <v>TĐ012</v>
          </cell>
          <cell r="H14" t="e">
            <v>#N/A</v>
          </cell>
          <cell r="I14" t="e">
            <v>#N/A</v>
          </cell>
          <cell r="J14" t="str">
            <v>Điều dưỡng (hạng IV)</v>
          </cell>
        </row>
        <row r="15">
          <cell r="B15" t="str">
            <v>BV0016</v>
          </cell>
          <cell r="C15" t="str">
            <v>Hoàng Thị Cả</v>
          </cell>
          <cell r="D15" t="str">
            <v>BV0016</v>
          </cell>
          <cell r="E15" t="str">
            <v>x</v>
          </cell>
          <cell r="F15" t="str">
            <v>Điều dưỡng TC</v>
          </cell>
          <cell r="G15" t="str">
            <v>TĐ013</v>
          </cell>
          <cell r="H15" t="str">
            <v>Cao đẳng Y tế Lạng Sơn</v>
          </cell>
          <cell r="I15">
            <v>1996</v>
          </cell>
          <cell r="J15" t="str">
            <v>Điều dưỡng (hạng IV)</v>
          </cell>
          <cell r="Q15" t="str">
            <v>A</v>
          </cell>
        </row>
        <row r="16">
          <cell r="B16" t="str">
            <v>BV0167</v>
          </cell>
          <cell r="C16" t="str">
            <v>Hoàng Thị Nga</v>
          </cell>
          <cell r="D16" t="str">
            <v>BV0167</v>
          </cell>
          <cell r="E16" t="str">
            <v>x</v>
          </cell>
          <cell r="F16" t="str">
            <v>Điều dưỡng TC</v>
          </cell>
          <cell r="G16" t="str">
            <v>TĐ013</v>
          </cell>
          <cell r="H16" t="str">
            <v>Trung học Y tế Bạch Mai</v>
          </cell>
          <cell r="I16">
            <v>2004</v>
          </cell>
          <cell r="J16" t="str">
            <v>Điều dưỡng (hạng IV)</v>
          </cell>
          <cell r="P16" t="str">
            <v>Tày</v>
          </cell>
          <cell r="Q16" t="str">
            <v>A</v>
          </cell>
        </row>
        <row r="17">
          <cell r="B17" t="str">
            <v>BV0035</v>
          </cell>
          <cell r="C17" t="str">
            <v>Hoàng Tuyết Nhung</v>
          </cell>
          <cell r="D17" t="str">
            <v>BV0035</v>
          </cell>
          <cell r="E17" t="str">
            <v>x</v>
          </cell>
          <cell r="F17" t="str">
            <v>Điều dưỡng TC</v>
          </cell>
          <cell r="G17" t="str">
            <v>TĐ013</v>
          </cell>
          <cell r="H17" t="e">
            <v>#N/A</v>
          </cell>
          <cell r="I17" t="e">
            <v>#N/A</v>
          </cell>
          <cell r="J17" t="str">
            <v>Điều dưỡng (hạng IV)</v>
          </cell>
          <cell r="O17" t="str">
            <v>Anh B</v>
          </cell>
          <cell r="Q17" t="str">
            <v>Cơ bản</v>
          </cell>
        </row>
        <row r="18">
          <cell r="B18" t="str">
            <v>BV0012</v>
          </cell>
          <cell r="C18" t="str">
            <v>Trần Bích Phương</v>
          </cell>
          <cell r="D18" t="str">
            <v>BV0012</v>
          </cell>
          <cell r="E18" t="str">
            <v>x</v>
          </cell>
          <cell r="F18" t="str">
            <v>Điều dưỡng TC</v>
          </cell>
          <cell r="G18" t="str">
            <v>TĐ013</v>
          </cell>
          <cell r="H18" t="str">
            <v>Cao đẳng Y tế Lạng Sơn</v>
          </cell>
          <cell r="I18">
            <v>2008</v>
          </cell>
          <cell r="J18" t="str">
            <v>Điều dưỡng (hạng IV)</v>
          </cell>
          <cell r="O18" t="str">
            <v>X</v>
          </cell>
          <cell r="Q18" t="str">
            <v>X</v>
          </cell>
        </row>
        <row r="19">
          <cell r="B19" t="str">
            <v>BV0013</v>
          </cell>
          <cell r="C19" t="str">
            <v>Trương Mai Phương</v>
          </cell>
          <cell r="D19" t="str">
            <v>BV0013</v>
          </cell>
          <cell r="E19" t="str">
            <v>x</v>
          </cell>
          <cell r="F19" t="str">
            <v>Điều dưỡng CĐ</v>
          </cell>
          <cell r="G19" t="str">
            <v>TĐ013</v>
          </cell>
          <cell r="H19" t="str">
            <v>Cao đẳng Y tế Lạng Sơn</v>
          </cell>
          <cell r="I19">
            <v>2011</v>
          </cell>
          <cell r="J19" t="str">
            <v>Điều dưỡng (hạng IV)</v>
          </cell>
          <cell r="O19" t="str">
            <v>Anh B</v>
          </cell>
          <cell r="Q19" t="str">
            <v>Cơ bản</v>
          </cell>
        </row>
        <row r="20">
          <cell r="B20" t="str">
            <v>BV0384</v>
          </cell>
          <cell r="C20" t="str">
            <v>Trần Ngọc Tú</v>
          </cell>
          <cell r="D20" t="str">
            <v>BV0384</v>
          </cell>
          <cell r="E20" t="str">
            <v>x</v>
          </cell>
          <cell r="F20" t="str">
            <v>Điều dưỡng TC</v>
          </cell>
          <cell r="G20" t="str">
            <v>TĐ013</v>
          </cell>
          <cell r="H20" t="str">
            <v>Trung học Y tế Lạng Sơn</v>
          </cell>
          <cell r="I20">
            <v>2004</v>
          </cell>
          <cell r="J20" t="str">
            <v>Điều dưỡng (hạng IV)</v>
          </cell>
          <cell r="O20" t="str">
            <v>Anh A2</v>
          </cell>
          <cell r="P20" t="str">
            <v>Tày</v>
          </cell>
          <cell r="Q20" t="str">
            <v>Cơ bản</v>
          </cell>
        </row>
        <row r="21">
          <cell r="B21" t="str">
            <v>BV0037</v>
          </cell>
          <cell r="C21" t="str">
            <v>Triệu Thị Thảo</v>
          </cell>
          <cell r="D21" t="str">
            <v>BV0037</v>
          </cell>
          <cell r="E21" t="str">
            <v>x</v>
          </cell>
          <cell r="F21" t="str">
            <v>Điều dưỡng TC</v>
          </cell>
          <cell r="G21" t="str">
            <v>TĐ013</v>
          </cell>
          <cell r="H21" t="str">
            <v>Cao đẳng Y tế Lạng Sơn</v>
          </cell>
          <cell r="I21">
            <v>2007</v>
          </cell>
          <cell r="J21" t="str">
            <v>Điều dưỡng (hạng IV)</v>
          </cell>
          <cell r="P21" t="str">
            <v>Tày</v>
          </cell>
          <cell r="Q21" t="str">
            <v>B</v>
          </cell>
        </row>
        <row r="22">
          <cell r="B22" t="str">
            <v>BV0028</v>
          </cell>
          <cell r="C22" t="str">
            <v>Hoàng Văn Thiện</v>
          </cell>
          <cell r="D22" t="str">
            <v>BV0028</v>
          </cell>
          <cell r="F22" t="str">
            <v>Điều dưỡng TC</v>
          </cell>
          <cell r="G22" t="str">
            <v>TĐ013</v>
          </cell>
          <cell r="H22" t="str">
            <v>Cao đẳng Y tế Lạng Sơn</v>
          </cell>
          <cell r="I22">
            <v>2007</v>
          </cell>
          <cell r="J22" t="str">
            <v>Điều dưỡng (hạng IV)</v>
          </cell>
          <cell r="O22" t="str">
            <v>Anh B</v>
          </cell>
          <cell r="Q22" t="str">
            <v>B</v>
          </cell>
        </row>
        <row r="23">
          <cell r="B23" t="str">
            <v>BV0031</v>
          </cell>
          <cell r="C23" t="str">
            <v>Trần Thị Liễu Thúy</v>
          </cell>
          <cell r="D23" t="str">
            <v>BV0031</v>
          </cell>
          <cell r="E23" t="str">
            <v>x</v>
          </cell>
          <cell r="F23" t="str">
            <v>Điều dưỡng TC</v>
          </cell>
          <cell r="G23" t="str">
            <v>TĐ013</v>
          </cell>
          <cell r="H23" t="str">
            <v>Cao đẳng Y tế Lạng Sơn</v>
          </cell>
          <cell r="I23">
            <v>2008</v>
          </cell>
          <cell r="J23" t="str">
            <v>Điều dưỡng (hạng IV)</v>
          </cell>
          <cell r="O23" t="str">
            <v>Anh B</v>
          </cell>
          <cell r="Q23" t="str">
            <v>B</v>
          </cell>
        </row>
        <row r="24">
          <cell r="B24" t="str">
            <v>BV0087</v>
          </cell>
          <cell r="C24" t="str">
            <v>Lâm Như Quỳnh</v>
          </cell>
          <cell r="D24" t="str">
            <v>BV0087</v>
          </cell>
          <cell r="E24" t="str">
            <v>x</v>
          </cell>
          <cell r="F24" t="str">
            <v>Điều dưỡng TC</v>
          </cell>
          <cell r="G24" t="str">
            <v>TĐ013</v>
          </cell>
          <cell r="H24" t="e">
            <v>#N/A</v>
          </cell>
          <cell r="I24" t="e">
            <v>#N/A</v>
          </cell>
          <cell r="J24" t="str">
            <v>Điều dưỡng (hạng IV)</v>
          </cell>
          <cell r="P24" t="str">
            <v>Tày</v>
          </cell>
          <cell r="Q24" t="str">
            <v>B</v>
          </cell>
        </row>
        <row r="25">
          <cell r="B25" t="str">
            <v>BV0201</v>
          </cell>
          <cell r="C25" t="str">
            <v>Trần Thị Hoàng Anh</v>
          </cell>
          <cell r="D25" t="str">
            <v>BV0201</v>
          </cell>
          <cell r="E25" t="str">
            <v>x</v>
          </cell>
          <cell r="F25" t="str">
            <v>Điều dưỡng TC</v>
          </cell>
          <cell r="G25" t="str">
            <v>TĐ013</v>
          </cell>
          <cell r="H25" t="str">
            <v>Cao đẳng Y tế Lạng Sơn</v>
          </cell>
          <cell r="I25">
            <v>0</v>
          </cell>
          <cell r="J25" t="str">
            <v>Điều dưỡng (hạng IV)</v>
          </cell>
          <cell r="O25" t="str">
            <v>TOEIC</v>
          </cell>
          <cell r="Q25" t="str">
            <v>Cơ bản</v>
          </cell>
        </row>
        <row r="26">
          <cell r="B26" t="str">
            <v>BV0170</v>
          </cell>
          <cell r="C26" t="str">
            <v>Trần Thị Hải Yến</v>
          </cell>
          <cell r="D26" t="str">
            <v>BV0170</v>
          </cell>
          <cell r="E26" t="str">
            <v>x</v>
          </cell>
          <cell r="F26" t="str">
            <v>Điều dưỡng CĐ</v>
          </cell>
          <cell r="G26" t="str">
            <v>TĐ013</v>
          </cell>
          <cell r="H26" t="str">
            <v>Cao đẳng Y tế Lạng Sơn</v>
          </cell>
          <cell r="I26">
            <v>0</v>
          </cell>
          <cell r="J26" t="str">
            <v>Điều dưỡng (hạng IV)</v>
          </cell>
          <cell r="O26" t="str">
            <v>TOEFL</v>
          </cell>
          <cell r="Q26" t="str">
            <v>Cơ bản</v>
          </cell>
        </row>
        <row r="27">
          <cell r="B27" t="str">
            <v>BV0038</v>
          </cell>
          <cell r="C27" t="str">
            <v>Đàm Thúy Ngân</v>
          </cell>
          <cell r="D27" t="str">
            <v>BV0038</v>
          </cell>
          <cell r="E27" t="str">
            <v>x</v>
          </cell>
          <cell r="F27" t="str">
            <v>Điều dưỡng CĐ</v>
          </cell>
          <cell r="G27" t="str">
            <v>TĐ013</v>
          </cell>
          <cell r="H27" t="str">
            <v>Cao đẳng Y tế Lạng Sơn</v>
          </cell>
          <cell r="I27">
            <v>2010</v>
          </cell>
          <cell r="J27" t="str">
            <v>Điều dưỡng (hạng IV)</v>
          </cell>
          <cell r="O27" t="str">
            <v>TOEIC</v>
          </cell>
          <cell r="Q27" t="str">
            <v>Cơ bản</v>
          </cell>
        </row>
        <row r="28">
          <cell r="B28" t="str">
            <v>BV0049</v>
          </cell>
          <cell r="C28" t="str">
            <v>Đinh Vĩnh Thái</v>
          </cell>
          <cell r="D28" t="str">
            <v>BV0049</v>
          </cell>
          <cell r="F28" t="str">
            <v>BSCKII</v>
          </cell>
          <cell r="G28" t="str">
            <v>TĐ001</v>
          </cell>
          <cell r="H28" t="str">
            <v>Đại học Y Hà Nội</v>
          </cell>
          <cell r="I28">
            <v>2018</v>
          </cell>
          <cell r="J28" t="str">
            <v>Bác sĩ (hạng III)</v>
          </cell>
          <cell r="K28" t="str">
            <v>Bác sĩ chính</v>
          </cell>
          <cell r="L28" t="str">
            <v>Chuyên viên</v>
          </cell>
          <cell r="M28" t="str">
            <v>x</v>
          </cell>
          <cell r="N28" t="str">
            <v>Sơ cấp</v>
          </cell>
          <cell r="O28" t="str">
            <v>B</v>
          </cell>
          <cell r="P28" t="str">
            <v>Tày</v>
          </cell>
          <cell r="Q28" t="str">
            <v>Cơ bản</v>
          </cell>
        </row>
        <row r="29">
          <cell r="B29" t="str">
            <v>BV0676</v>
          </cell>
          <cell r="C29" t="str">
            <v>Lương Văn Lực</v>
          </cell>
          <cell r="D29" t="str">
            <v>BV0676</v>
          </cell>
          <cell r="F29" t="str">
            <v>Bác sĩ</v>
          </cell>
          <cell r="G29" t="str">
            <v>TĐ005</v>
          </cell>
          <cell r="H29">
            <v>0</v>
          </cell>
          <cell r="I29">
            <v>0</v>
          </cell>
          <cell r="J29" t="str">
            <v>Bác sĩ (hạng III)</v>
          </cell>
          <cell r="M29" t="str">
            <v>x</v>
          </cell>
          <cell r="N29" t="str">
            <v>x</v>
          </cell>
          <cell r="O29" t="str">
            <v>B</v>
          </cell>
          <cell r="Q29" t="str">
            <v>B</v>
          </cell>
        </row>
        <row r="30">
          <cell r="B30" t="str">
            <v>BV0848</v>
          </cell>
          <cell r="C30" t="str">
            <v>Lành Thị Quỳnh Nga</v>
          </cell>
          <cell r="D30" t="str">
            <v>BV0848</v>
          </cell>
          <cell r="E30" t="str">
            <v>x</v>
          </cell>
          <cell r="F30" t="str">
            <v>Bác sĩ</v>
          </cell>
          <cell r="G30" t="str">
            <v>TĐ005</v>
          </cell>
          <cell r="H30" t="str">
            <v>Đại học Y dược Thái Nguyên</v>
          </cell>
          <cell r="I30">
            <v>2015</v>
          </cell>
          <cell r="J30" t="str">
            <v>Bác sĩ (hạng III)</v>
          </cell>
          <cell r="N30" t="str">
            <v>Sơ cấp</v>
          </cell>
          <cell r="O30" t="str">
            <v>A2</v>
          </cell>
          <cell r="Q30" t="str">
            <v>Cơ bản</v>
          </cell>
        </row>
        <row r="31">
          <cell r="B31" t="str">
            <v>BV0890</v>
          </cell>
          <cell r="C31" t="str">
            <v>Nông Quốc Thiên</v>
          </cell>
          <cell r="D31" t="str">
            <v>BV0890</v>
          </cell>
          <cell r="F31" t="str">
            <v>Bác sĩ</v>
          </cell>
          <cell r="G31" t="str">
            <v>TĐ005</v>
          </cell>
          <cell r="H31">
            <v>0</v>
          </cell>
          <cell r="I31">
            <v>0</v>
          </cell>
          <cell r="J31" t="str">
            <v>Bác sĩ (hạng III)</v>
          </cell>
          <cell r="O31" t="str">
            <v>A2</v>
          </cell>
          <cell r="Q31" t="str">
            <v>IC3</v>
          </cell>
        </row>
        <row r="32">
          <cell r="B32" t="str">
            <v>BV0125</v>
          </cell>
          <cell r="C32" t="str">
            <v>Nông Văn Tôn</v>
          </cell>
          <cell r="D32" t="str">
            <v>BV0125</v>
          </cell>
          <cell r="F32" t="str">
            <v>Điều dưỡng CĐ</v>
          </cell>
          <cell r="G32" t="str">
            <v>TĐ012</v>
          </cell>
          <cell r="H32" t="str">
            <v>Cao đẳng Y tế Lạng  Sơn</v>
          </cell>
          <cell r="I32">
            <v>2012</v>
          </cell>
          <cell r="J32" t="str">
            <v>Điều dưỡng (hạng IV)</v>
          </cell>
          <cell r="N32" t="str">
            <v>x</v>
          </cell>
          <cell r="O32" t="str">
            <v>A2</v>
          </cell>
          <cell r="P32" t="str">
            <v>Tày</v>
          </cell>
          <cell r="Q32" t="str">
            <v>Cơ bản</v>
          </cell>
        </row>
        <row r="33">
          <cell r="B33" t="str">
            <v>BV0136</v>
          </cell>
          <cell r="C33" t="str">
            <v>Lâm Thị Thiện</v>
          </cell>
          <cell r="D33" t="str">
            <v>BV0136</v>
          </cell>
          <cell r="E33" t="str">
            <v>x</v>
          </cell>
          <cell r="F33" t="str">
            <v>Điều dưỡng CĐ</v>
          </cell>
          <cell r="G33" t="str">
            <v>TĐ012</v>
          </cell>
          <cell r="H33" t="str">
            <v>Trung học Y tế Lạng Sơn</v>
          </cell>
          <cell r="I33">
            <v>2006</v>
          </cell>
          <cell r="J33" t="str">
            <v>Điều dưỡng (hạng IV)</v>
          </cell>
          <cell r="N33" t="str">
            <v>x</v>
          </cell>
          <cell r="P33" t="str">
            <v>Tày</v>
          </cell>
        </row>
        <row r="34">
          <cell r="B34" t="str">
            <v>BV0331</v>
          </cell>
          <cell r="C34" t="str">
            <v>Hoàng Thị Thúy</v>
          </cell>
          <cell r="D34" t="str">
            <v>BV0331</v>
          </cell>
          <cell r="E34" t="str">
            <v>x</v>
          </cell>
          <cell r="F34" t="str">
            <v>Điều dưỡng CĐ</v>
          </cell>
          <cell r="G34" t="str">
            <v>TĐ012</v>
          </cell>
          <cell r="H34">
            <v>0</v>
          </cell>
          <cell r="I34">
            <v>0</v>
          </cell>
          <cell r="J34" t="str">
            <v>Điều dưỡng (hạng IV)</v>
          </cell>
          <cell r="O34" t="str">
            <v>B</v>
          </cell>
          <cell r="P34" t="str">
            <v>Tày</v>
          </cell>
          <cell r="Q34" t="str">
            <v>Cơ bản</v>
          </cell>
        </row>
        <row r="35">
          <cell r="B35" t="str">
            <v>BV0059</v>
          </cell>
          <cell r="C35" t="str">
            <v>Dương Thị Niên</v>
          </cell>
          <cell r="D35" t="str">
            <v>BV0059</v>
          </cell>
          <cell r="E35" t="str">
            <v>x</v>
          </cell>
          <cell r="F35" t="str">
            <v>Điều dưỡng ĐH</v>
          </cell>
          <cell r="G35" t="str">
            <v>TĐ013</v>
          </cell>
          <cell r="H35" t="str">
            <v>Cao đẳng Y tế Lạng Sơn</v>
          </cell>
          <cell r="I35">
            <v>2007</v>
          </cell>
          <cell r="J35" t="str">
            <v>Điều dưỡng (hạng IV)</v>
          </cell>
          <cell r="N35" t="str">
            <v>Sơ cấp</v>
          </cell>
          <cell r="O35" t="str">
            <v>B</v>
          </cell>
          <cell r="P35" t="str">
            <v>Tày</v>
          </cell>
          <cell r="Q35" t="str">
            <v>Cơ bản</v>
          </cell>
        </row>
        <row r="36">
          <cell r="B36" t="str">
            <v>BV0060</v>
          </cell>
          <cell r="C36" t="str">
            <v>Bế Thị Thắm</v>
          </cell>
          <cell r="D36" t="str">
            <v>BV0060</v>
          </cell>
          <cell r="E36" t="str">
            <v>x</v>
          </cell>
          <cell r="F36" t="str">
            <v>Điều dưỡng TC</v>
          </cell>
          <cell r="G36" t="str">
            <v>TĐ013</v>
          </cell>
          <cell r="H36" t="str">
            <v>Trung học Y tế Lạng Sơn</v>
          </cell>
          <cell r="I36">
            <v>2004</v>
          </cell>
          <cell r="J36" t="str">
            <v>Điều dưỡng (hạng IV)</v>
          </cell>
          <cell r="O36" t="str">
            <v>B</v>
          </cell>
          <cell r="Q36" t="str">
            <v>Cơ bản</v>
          </cell>
        </row>
        <row r="37">
          <cell r="B37" t="str">
            <v>BV0061</v>
          </cell>
          <cell r="C37" t="str">
            <v>Thi Văn Thắng</v>
          </cell>
          <cell r="D37" t="str">
            <v>BV0061</v>
          </cell>
          <cell r="F37" t="str">
            <v>Điều dưỡng TC</v>
          </cell>
          <cell r="G37" t="str">
            <v>TĐ013</v>
          </cell>
          <cell r="H37" t="str">
            <v>Cao đẳng Y tế Lạng Sơn</v>
          </cell>
          <cell r="I37">
            <v>2007</v>
          </cell>
          <cell r="J37" t="str">
            <v>Điều dưỡng (hạng IV)</v>
          </cell>
          <cell r="O37" t="str">
            <v>A</v>
          </cell>
          <cell r="Q37" t="str">
            <v>A</v>
          </cell>
        </row>
        <row r="38">
          <cell r="B38" t="str">
            <v>BV0070</v>
          </cell>
          <cell r="C38" t="str">
            <v>Mai Thị Thúy</v>
          </cell>
          <cell r="D38" t="str">
            <v>BV0070</v>
          </cell>
          <cell r="E38" t="str">
            <v>x</v>
          </cell>
          <cell r="F38" t="str">
            <v>Điều dưỡng TC</v>
          </cell>
          <cell r="G38" t="str">
            <v>TĐ013</v>
          </cell>
          <cell r="H38" t="str">
            <v>Cao đẳng Y tế Lạng Sơn</v>
          </cell>
          <cell r="I38">
            <v>2008</v>
          </cell>
          <cell r="J38" t="str">
            <v>Điều dưỡng (hạng IV)</v>
          </cell>
          <cell r="Q38" t="str">
            <v>B</v>
          </cell>
        </row>
        <row r="39">
          <cell r="B39" t="str">
            <v>BV0559</v>
          </cell>
          <cell r="C39" t="str">
            <v>Hoàng Thanh Bình</v>
          </cell>
          <cell r="D39" t="str">
            <v>BV0559</v>
          </cell>
          <cell r="E39" t="str">
            <v>x</v>
          </cell>
          <cell r="F39" t="str">
            <v>Điều dưỡng TC</v>
          </cell>
          <cell r="G39" t="str">
            <v>TĐ013</v>
          </cell>
          <cell r="H39" t="e">
            <v>#N/A</v>
          </cell>
          <cell r="I39" t="e">
            <v>#N/A</v>
          </cell>
          <cell r="J39" t="str">
            <v>Điều dưỡng (hạng III)</v>
          </cell>
        </row>
        <row r="40">
          <cell r="B40" t="str">
            <v>BV0218</v>
          </cell>
          <cell r="C40" t="str">
            <v>Thi Thị Thiện</v>
          </cell>
          <cell r="D40" t="str">
            <v>BV0218</v>
          </cell>
          <cell r="E40" t="str">
            <v>x</v>
          </cell>
          <cell r="F40" t="str">
            <v>Điều dưỡng TC</v>
          </cell>
          <cell r="G40" t="str">
            <v>TĐ013</v>
          </cell>
          <cell r="H40" t="str">
            <v>TH Y tế Lạng Sơn</v>
          </cell>
          <cell r="I40">
            <v>2005</v>
          </cell>
          <cell r="J40" t="str">
            <v>Điều dưỡng (hạng IV)</v>
          </cell>
          <cell r="O40" t="str">
            <v>A</v>
          </cell>
          <cell r="P40" t="str">
            <v>Tày</v>
          </cell>
          <cell r="Q40" t="str">
            <v>Cơ bản</v>
          </cell>
        </row>
        <row r="41">
          <cell r="B41" t="str">
            <v>BV0389</v>
          </cell>
          <cell r="C41" t="str">
            <v>Hoàng Thị Lan</v>
          </cell>
          <cell r="D41" t="str">
            <v>BV0389</v>
          </cell>
          <cell r="E41" t="str">
            <v>x</v>
          </cell>
          <cell r="F41" t="str">
            <v>Điều dưỡng TC</v>
          </cell>
          <cell r="G41" t="str">
            <v>TĐ013</v>
          </cell>
          <cell r="H41" t="e">
            <v>#N/A</v>
          </cell>
          <cell r="I41" t="e">
            <v>#N/A</v>
          </cell>
          <cell r="J41" t="str">
            <v>Điều dưỡng (hạng IV)</v>
          </cell>
          <cell r="O41" t="str">
            <v>A</v>
          </cell>
          <cell r="P41" t="str">
            <v>Tày</v>
          </cell>
          <cell r="Q41" t="str">
            <v>B</v>
          </cell>
        </row>
        <row r="42">
          <cell r="B42" t="str">
            <v>BV0048</v>
          </cell>
          <cell r="C42" t="str">
            <v>Tô Bắc Dũng</v>
          </cell>
          <cell r="D42" t="str">
            <v>BV0048</v>
          </cell>
          <cell r="F42" t="str">
            <v>BSCKII</v>
          </cell>
          <cell r="G42" t="str">
            <v>TĐ001</v>
          </cell>
          <cell r="H42" t="e">
            <v>#N/A</v>
          </cell>
          <cell r="I42" t="e">
            <v>#N/A</v>
          </cell>
          <cell r="J42" t="str">
            <v>Bác sĩ chính (hạng II)</v>
          </cell>
          <cell r="L42" t="str">
            <v>X</v>
          </cell>
          <cell r="M42" t="str">
            <v>x</v>
          </cell>
          <cell r="N42" t="str">
            <v>Trung cấp</v>
          </cell>
          <cell r="O42" t="str">
            <v>Anh B</v>
          </cell>
          <cell r="Q42" t="str">
            <v>A</v>
          </cell>
        </row>
        <row r="43">
          <cell r="B43" t="str">
            <v>BV0774</v>
          </cell>
          <cell r="C43" t="str">
            <v>Nguyễn Thành Đô</v>
          </cell>
          <cell r="D43" t="str">
            <v>BV0774</v>
          </cell>
          <cell r="F43" t="str">
            <v>Bác sĩ</v>
          </cell>
          <cell r="G43" t="str">
            <v>TĐ005</v>
          </cell>
          <cell r="H43" t="str">
            <v>Đại học Y dược Hải Phòng</v>
          </cell>
          <cell r="I43">
            <v>2017</v>
          </cell>
          <cell r="J43" t="str">
            <v>Bác sĩ (hạng III)</v>
          </cell>
          <cell r="N43" t="str">
            <v>Sơ cấp</v>
          </cell>
          <cell r="O43" t="str">
            <v>Anh B</v>
          </cell>
          <cell r="Q43" t="str">
            <v>B</v>
          </cell>
        </row>
        <row r="44">
          <cell r="B44" t="str">
            <v>BV0051</v>
          </cell>
          <cell r="C44" t="str">
            <v>Đỗ Quang Hiếu</v>
          </cell>
          <cell r="D44" t="str">
            <v>BV0051</v>
          </cell>
          <cell r="F44" t="str">
            <v>Bác sĩ</v>
          </cell>
          <cell r="G44" t="str">
            <v>TĐ005</v>
          </cell>
          <cell r="H44" t="str">
            <v>Đại học Y dược Thái Nguyên</v>
          </cell>
          <cell r="I44">
            <v>2014</v>
          </cell>
          <cell r="J44" t="str">
            <v>Bác sĩ (hạng III)</v>
          </cell>
          <cell r="M44" t="str">
            <v>x</v>
          </cell>
          <cell r="N44" t="str">
            <v>Sơ cấp</v>
          </cell>
          <cell r="O44" t="str">
            <v>Bậc 3</v>
          </cell>
          <cell r="P44" t="str">
            <v>Tày</v>
          </cell>
          <cell r="Q44" t="str">
            <v>Cơ bản</v>
          </cell>
        </row>
        <row r="45">
          <cell r="B45" t="str">
            <v>BV0053</v>
          </cell>
          <cell r="C45" t="str">
            <v>Lê Thị Hà</v>
          </cell>
          <cell r="D45" t="str">
            <v>BV0053</v>
          </cell>
          <cell r="E45" t="str">
            <v>x</v>
          </cell>
          <cell r="F45" t="str">
            <v>Điều dưỡng ĐH</v>
          </cell>
          <cell r="G45" t="str">
            <v>TĐ012</v>
          </cell>
          <cell r="H45" t="str">
            <v>Cao đẳng Y tế Nam Định</v>
          </cell>
          <cell r="I45">
            <v>2003</v>
          </cell>
          <cell r="J45" t="str">
            <v>Điều dưỡng (hạng IV)</v>
          </cell>
          <cell r="N45" t="str">
            <v>Sơ cấp</v>
          </cell>
          <cell r="O45" t="str">
            <v>Anh A2</v>
          </cell>
          <cell r="P45" t="str">
            <v>Tày</v>
          </cell>
          <cell r="Q45" t="str">
            <v>Cơ bản</v>
          </cell>
        </row>
        <row r="46">
          <cell r="B46" t="str">
            <v>BV0072</v>
          </cell>
          <cell r="C46" t="str">
            <v>Nông Văn Lập</v>
          </cell>
          <cell r="D46" t="str">
            <v>BV0072</v>
          </cell>
          <cell r="F46" t="str">
            <v>Điều dưỡng CĐ</v>
          </cell>
          <cell r="G46" t="str">
            <v>TĐ012</v>
          </cell>
          <cell r="H46" t="str">
            <v>Cao đẳng Y tế Lạng Sơn</v>
          </cell>
          <cell r="I46">
            <v>2015</v>
          </cell>
          <cell r="J46" t="str">
            <v>Điều dưỡng (hạng IV)</v>
          </cell>
          <cell r="P46" t="str">
            <v>Tày</v>
          </cell>
          <cell r="Q46" t="str">
            <v>Cơ bản</v>
          </cell>
        </row>
        <row r="47">
          <cell r="B47" t="str">
            <v>BV0833</v>
          </cell>
          <cell r="C47" t="str">
            <v>Nông Thị Khánh Linh</v>
          </cell>
          <cell r="D47" t="str">
            <v>BV0833</v>
          </cell>
          <cell r="E47" t="str">
            <v>x</v>
          </cell>
          <cell r="F47" t="str">
            <v>Điều dưỡng CĐ</v>
          </cell>
          <cell r="G47" t="str">
            <v>TĐ012</v>
          </cell>
          <cell r="H47" t="str">
            <v>Cao đẳng Y tế Thái Nguyên</v>
          </cell>
          <cell r="I47">
            <v>2015</v>
          </cell>
          <cell r="J47" t="str">
            <v>Điều dưỡng (hạng IV)</v>
          </cell>
          <cell r="O47" t="str">
            <v>Anh B</v>
          </cell>
          <cell r="Q47" t="str">
            <v>B</v>
          </cell>
        </row>
        <row r="48">
          <cell r="B48" t="str">
            <v>BV0057</v>
          </cell>
          <cell r="C48" t="str">
            <v>Bế Thị Quyên</v>
          </cell>
          <cell r="D48" t="str">
            <v>BV0057</v>
          </cell>
          <cell r="E48" t="str">
            <v>x</v>
          </cell>
          <cell r="F48" t="str">
            <v>Điều dưỡng CĐ</v>
          </cell>
          <cell r="G48" t="str">
            <v>TĐ012</v>
          </cell>
          <cell r="H48" t="str">
            <v>Trung học Y tế Lạng Sơn</v>
          </cell>
          <cell r="I48">
            <v>2005</v>
          </cell>
          <cell r="J48" t="str">
            <v>Điều dưỡng (hạng IV)</v>
          </cell>
          <cell r="Q48" t="str">
            <v>Cơ bản</v>
          </cell>
        </row>
        <row r="49">
          <cell r="B49" t="str">
            <v>BV0063</v>
          </cell>
          <cell r="C49" t="str">
            <v>Đường Thị Lan Anh</v>
          </cell>
          <cell r="D49" t="str">
            <v>BV0063</v>
          </cell>
          <cell r="E49" t="str">
            <v>x</v>
          </cell>
          <cell r="F49" t="str">
            <v>Điều dưỡng ĐH</v>
          </cell>
          <cell r="G49" t="str">
            <v>TĐ013</v>
          </cell>
          <cell r="H49" t="str">
            <v>Cao đẳng Y tế Lạng Sơn</v>
          </cell>
          <cell r="I49">
            <v>2007</v>
          </cell>
          <cell r="J49" t="str">
            <v>Điều dưỡng (hạng IV)</v>
          </cell>
          <cell r="P49" t="str">
            <v>Tày</v>
          </cell>
          <cell r="Q49" t="str">
            <v>Cơ bản</v>
          </cell>
        </row>
        <row r="50">
          <cell r="B50" t="str">
            <v>BV0065</v>
          </cell>
          <cell r="C50" t="str">
            <v>Lý Văn Mạnh</v>
          </cell>
          <cell r="D50" t="str">
            <v>BV0065</v>
          </cell>
          <cell r="F50" t="str">
            <v>Điều dưỡng TC</v>
          </cell>
          <cell r="G50" t="str">
            <v>TĐ013</v>
          </cell>
          <cell r="H50">
            <v>0</v>
          </cell>
          <cell r="I50">
            <v>0</v>
          </cell>
          <cell r="J50" t="str">
            <v>Điều dưỡng (hạng IV)</v>
          </cell>
          <cell r="N50" t="str">
            <v>Sơ cấp</v>
          </cell>
          <cell r="O50" t="str">
            <v xml:space="preserve">Anh A2 </v>
          </cell>
          <cell r="Q50" t="str">
            <v>Cơ bản</v>
          </cell>
        </row>
        <row r="51">
          <cell r="B51" t="str">
            <v>BV0068</v>
          </cell>
          <cell r="C51" t="str">
            <v>Hoàng Thị Nga</v>
          </cell>
          <cell r="D51" t="str">
            <v>BV0068</v>
          </cell>
          <cell r="E51" t="str">
            <v>x</v>
          </cell>
          <cell r="F51" t="str">
            <v>Điều dưỡng CĐ</v>
          </cell>
          <cell r="G51" t="str">
            <v>TĐ013</v>
          </cell>
          <cell r="H51" t="str">
            <v>Cao đẳng Y tế Lạng Sơn</v>
          </cell>
          <cell r="I51">
            <v>2008</v>
          </cell>
          <cell r="J51" t="str">
            <v>Điều dưỡng (hạng IV)</v>
          </cell>
          <cell r="P51" t="str">
            <v>Tày</v>
          </cell>
          <cell r="Q51" t="str">
            <v>Cơ bản</v>
          </cell>
        </row>
        <row r="52">
          <cell r="B52" t="str">
            <v>BV0082</v>
          </cell>
          <cell r="C52" t="str">
            <v>Hà Thị Kiều Oanh</v>
          </cell>
          <cell r="D52" t="str">
            <v>BV0082</v>
          </cell>
          <cell r="E52" t="str">
            <v>x</v>
          </cell>
          <cell r="F52" t="str">
            <v>Điều dưỡng TC</v>
          </cell>
          <cell r="G52" t="str">
            <v>TĐ013</v>
          </cell>
          <cell r="H52">
            <v>0</v>
          </cell>
          <cell r="I52">
            <v>0</v>
          </cell>
          <cell r="J52" t="str">
            <v>Điều dưỡng (hạng IV)</v>
          </cell>
          <cell r="P52" t="str">
            <v>Tày</v>
          </cell>
          <cell r="Q52" t="str">
            <v>Cơ bản</v>
          </cell>
        </row>
        <row r="53">
          <cell r="B53" t="str">
            <v>BV0069</v>
          </cell>
          <cell r="C53" t="str">
            <v>Hoàng Thị SLao</v>
          </cell>
          <cell r="D53" t="str">
            <v>BV0069</v>
          </cell>
          <cell r="E53" t="str">
            <v>x</v>
          </cell>
          <cell r="F53" t="str">
            <v>Điều dưỡng CĐ</v>
          </cell>
          <cell r="G53" t="str">
            <v>TĐ013</v>
          </cell>
          <cell r="H53" t="str">
            <v>Cao đẳng Y tế Lạng Sơn</v>
          </cell>
          <cell r="I53">
            <v>2007</v>
          </cell>
          <cell r="J53" t="str">
            <v>Điều dưỡng (hạng IV)</v>
          </cell>
          <cell r="P53" t="str">
            <v>Tày</v>
          </cell>
          <cell r="Q53" t="str">
            <v>Cơ bản</v>
          </cell>
        </row>
        <row r="54">
          <cell r="B54" t="str">
            <v>BV0054</v>
          </cell>
          <cell r="C54" t="str">
            <v>Lương Thị Thuyên</v>
          </cell>
          <cell r="D54" t="str">
            <v>BV0054</v>
          </cell>
          <cell r="E54" t="str">
            <v>x</v>
          </cell>
          <cell r="F54" t="str">
            <v>Điều dưỡng CĐ</v>
          </cell>
          <cell r="G54" t="str">
            <v>TĐ013</v>
          </cell>
          <cell r="H54" t="str">
            <v>Trung học Y tế Lạng Sơn</v>
          </cell>
          <cell r="I54">
            <v>1995</v>
          </cell>
          <cell r="J54" t="str">
            <v>Điều dưỡng (hạng IV)</v>
          </cell>
          <cell r="P54" t="str">
            <v>Tày</v>
          </cell>
          <cell r="Q54" t="str">
            <v>Cơ bản</v>
          </cell>
        </row>
        <row r="55">
          <cell r="B55" t="str">
            <v>BV0075</v>
          </cell>
          <cell r="C55" t="str">
            <v>Hồ Thị Chiến</v>
          </cell>
          <cell r="D55" t="str">
            <v>BV0075</v>
          </cell>
          <cell r="E55" t="str">
            <v>x</v>
          </cell>
          <cell r="F55" t="str">
            <v>BSCKI</v>
          </cell>
          <cell r="G55" t="str">
            <v>TĐ003</v>
          </cell>
          <cell r="H55" t="str">
            <v>Đại học Y Hà Nội</v>
          </cell>
          <cell r="I55">
            <v>2004</v>
          </cell>
          <cell r="J55" t="str">
            <v>Bác sĩ (hạng III)</v>
          </cell>
          <cell r="L55" t="str">
            <v>x</v>
          </cell>
          <cell r="N55" t="str">
            <v>x</v>
          </cell>
          <cell r="O55" t="str">
            <v>B</v>
          </cell>
          <cell r="P55" t="str">
            <v>x</v>
          </cell>
          <cell r="Q55" t="str">
            <v>B</v>
          </cell>
        </row>
        <row r="56">
          <cell r="B56" t="str">
            <v>BV0077</v>
          </cell>
          <cell r="C56" t="str">
            <v>Hoàng Thị Minh Hồng</v>
          </cell>
          <cell r="D56" t="str">
            <v>BV0077</v>
          </cell>
          <cell r="E56" t="str">
            <v>x</v>
          </cell>
          <cell r="F56" t="str">
            <v>BSCKI</v>
          </cell>
          <cell r="G56" t="str">
            <v>TĐ003</v>
          </cell>
          <cell r="H56">
            <v>0</v>
          </cell>
          <cell r="I56">
            <v>0</v>
          </cell>
          <cell r="J56" t="str">
            <v>Bác sĩ (hạng III)</v>
          </cell>
          <cell r="O56" t="str">
            <v>C</v>
          </cell>
          <cell r="Q56" t="str">
            <v>C</v>
          </cell>
        </row>
        <row r="57">
          <cell r="B57" t="str">
            <v>BV0685</v>
          </cell>
          <cell r="C57" t="str">
            <v>Hoàng Sĩ Hoa</v>
          </cell>
          <cell r="D57" t="str">
            <v>BV0685</v>
          </cell>
          <cell r="E57" t="str">
            <v>x</v>
          </cell>
          <cell r="F57" t="str">
            <v>Bác sĩ</v>
          </cell>
          <cell r="G57" t="str">
            <v>TĐ005</v>
          </cell>
          <cell r="H57" t="str">
            <v>Đại học Y dược Thái Nguyên</v>
          </cell>
          <cell r="I57">
            <v>2015</v>
          </cell>
          <cell r="J57" t="str">
            <v>Bác sĩ (hạng III)</v>
          </cell>
          <cell r="N57" t="str">
            <v>x</v>
          </cell>
          <cell r="O57" t="str">
            <v>C</v>
          </cell>
          <cell r="Q57" t="str">
            <v>B</v>
          </cell>
        </row>
        <row r="58">
          <cell r="B58" t="str">
            <v>BV0410</v>
          </cell>
          <cell r="C58" t="str">
            <v>Vy Lan Anh</v>
          </cell>
          <cell r="D58" t="str">
            <v>BV0410</v>
          </cell>
          <cell r="E58" t="str">
            <v>x</v>
          </cell>
          <cell r="F58" t="str">
            <v>Điều dưỡng ĐH</v>
          </cell>
          <cell r="G58" t="str">
            <v>TĐ011</v>
          </cell>
          <cell r="H58">
            <v>0</v>
          </cell>
          <cell r="I58">
            <v>0</v>
          </cell>
          <cell r="J58" t="str">
            <v>Điều dưỡng (hạng III)</v>
          </cell>
          <cell r="N58" t="str">
            <v>x</v>
          </cell>
          <cell r="O58" t="str">
            <v>B</v>
          </cell>
          <cell r="P58" t="str">
            <v>x</v>
          </cell>
          <cell r="Q58" t="str">
            <v>B</v>
          </cell>
        </row>
        <row r="59">
          <cell r="B59" t="str">
            <v>BV0210</v>
          </cell>
          <cell r="C59" t="str">
            <v>Hoàng Thị Thu Huyền</v>
          </cell>
          <cell r="D59" t="str">
            <v>BV0210</v>
          </cell>
          <cell r="E59" t="str">
            <v>x</v>
          </cell>
          <cell r="F59" t="str">
            <v>Điều dưỡng ĐH</v>
          </cell>
          <cell r="G59" t="str">
            <v>TĐ011</v>
          </cell>
          <cell r="H59" t="str">
            <v>Đại học Y dược Thái Nguyên</v>
          </cell>
          <cell r="I59">
            <v>2012</v>
          </cell>
          <cell r="J59" t="str">
            <v>Điều dưỡng (hạng III)</v>
          </cell>
          <cell r="P59" t="str">
            <v>x</v>
          </cell>
          <cell r="Q59" t="str">
            <v>B</v>
          </cell>
        </row>
        <row r="60">
          <cell r="B60" t="str">
            <v>BV0055</v>
          </cell>
          <cell r="C60" t="str">
            <v>Hoàng Mạnh Châu</v>
          </cell>
          <cell r="D60" t="str">
            <v>BV0055</v>
          </cell>
          <cell r="F60" t="str">
            <v>Điều dưỡng ĐH</v>
          </cell>
          <cell r="G60" t="str">
            <v>TĐ011</v>
          </cell>
          <cell r="H60" t="str">
            <v>Cao đẳng Y tế Lạng Sơn</v>
          </cell>
          <cell r="I60">
            <v>2007</v>
          </cell>
          <cell r="J60" t="str">
            <v>Điều dưỡng (hạng IV)</v>
          </cell>
          <cell r="O60" t="str">
            <v>x</v>
          </cell>
          <cell r="Q60" t="str">
            <v>x</v>
          </cell>
        </row>
        <row r="61">
          <cell r="B61" t="str">
            <v>BV0071</v>
          </cell>
          <cell r="C61" t="str">
            <v>Lành Thị Hồng Vân</v>
          </cell>
          <cell r="D61" t="str">
            <v>BV0071</v>
          </cell>
          <cell r="E61" t="str">
            <v>x</v>
          </cell>
          <cell r="F61" t="str">
            <v>Điều dưỡng TC</v>
          </cell>
          <cell r="G61" t="str">
            <v>TĐ013</v>
          </cell>
          <cell r="H61" t="str">
            <v>Cao đẳng Y tế Lạng Sơn</v>
          </cell>
          <cell r="I61">
            <v>2007</v>
          </cell>
          <cell r="J61" t="str">
            <v>Điều dưỡng (hạng IV)</v>
          </cell>
        </row>
        <row r="62">
          <cell r="B62" t="str">
            <v>BV0083</v>
          </cell>
          <cell r="C62" t="str">
            <v>Nguyễn Tuyết Phương</v>
          </cell>
          <cell r="D62" t="str">
            <v>BV0083</v>
          </cell>
          <cell r="E62" t="str">
            <v>x</v>
          </cell>
          <cell r="F62" t="str">
            <v>Điều dưỡng TC</v>
          </cell>
          <cell r="G62" t="str">
            <v>TĐ013</v>
          </cell>
          <cell r="H62" t="e">
            <v>#N/A</v>
          </cell>
          <cell r="I62" t="e">
            <v>#N/A</v>
          </cell>
          <cell r="J62" t="str">
            <v>Điều dưỡng (hạng IV)</v>
          </cell>
          <cell r="O62" t="str">
            <v>C</v>
          </cell>
          <cell r="Q62" t="str">
            <v>B</v>
          </cell>
        </row>
        <row r="63">
          <cell r="B63" t="str">
            <v>BV0160</v>
          </cell>
          <cell r="C63" t="str">
            <v>Dương Thị Tám</v>
          </cell>
          <cell r="D63" t="str">
            <v>BV0160</v>
          </cell>
          <cell r="E63" t="str">
            <v>x</v>
          </cell>
          <cell r="F63" t="str">
            <v>Hộ sinh TC</v>
          </cell>
          <cell r="G63" t="str">
            <v>TĐ019</v>
          </cell>
          <cell r="H63">
            <v>0</v>
          </cell>
          <cell r="I63">
            <v>0</v>
          </cell>
          <cell r="J63" t="str">
            <v>Hộ sinh (hạng IV)</v>
          </cell>
        </row>
        <row r="64">
          <cell r="B64" t="str">
            <v>BV0956</v>
          </cell>
          <cell r="C64" t="str">
            <v>Trịnh Thị Việt Hà</v>
          </cell>
          <cell r="D64" t="str">
            <v>BV0956</v>
          </cell>
          <cell r="E64" t="str">
            <v>x</v>
          </cell>
          <cell r="F64" t="str">
            <v>BSCKI</v>
          </cell>
          <cell r="G64" t="str">
            <v>TĐ005</v>
          </cell>
          <cell r="H64">
            <v>0</v>
          </cell>
          <cell r="I64">
            <v>0</v>
          </cell>
          <cell r="J64" t="str">
            <v>Bác sĩ (hạng III)</v>
          </cell>
          <cell r="L64" t="str">
            <v>Chuyên viên</v>
          </cell>
          <cell r="N64" t="str">
            <v>Sơ cấp</v>
          </cell>
          <cell r="O64" t="str">
            <v>Anh B</v>
          </cell>
          <cell r="Q64" t="str">
            <v>Tin B</v>
          </cell>
        </row>
        <row r="65">
          <cell r="B65" t="str">
            <v>BV0190</v>
          </cell>
          <cell r="C65" t="str">
            <v>Trịnh Xuân Trường</v>
          </cell>
          <cell r="D65" t="str">
            <v>BV0190</v>
          </cell>
          <cell r="F65" t="str">
            <v>Bác sĩ</v>
          </cell>
          <cell r="G65" t="str">
            <v>TĐ005</v>
          </cell>
          <cell r="H65" t="str">
            <v>Đại học Y dược Hải Phòng</v>
          </cell>
          <cell r="I65">
            <v>2017</v>
          </cell>
          <cell r="J65" t="str">
            <v>Bác sĩ (hạng III)</v>
          </cell>
          <cell r="M65" t="str">
            <v>x</v>
          </cell>
          <cell r="O65" t="str">
            <v>Anh B</v>
          </cell>
          <cell r="P65" t="str">
            <v>Tày</v>
          </cell>
        </row>
        <row r="66">
          <cell r="B66" t="str">
            <v>BV0132</v>
          </cell>
          <cell r="C66" t="str">
            <v>Hoàng Thị Khảo</v>
          </cell>
          <cell r="D66" t="str">
            <v>BV0132</v>
          </cell>
          <cell r="E66" t="str">
            <v>x</v>
          </cell>
          <cell r="F66" t="str">
            <v>Bác sĩ</v>
          </cell>
          <cell r="G66" t="str">
            <v>TĐ005</v>
          </cell>
          <cell r="H66" t="str">
            <v>Đại học Y dược Thái Nguyên</v>
          </cell>
          <cell r="I66">
            <v>2018</v>
          </cell>
          <cell r="J66" t="str">
            <v>Bác sĩ (hạng III)</v>
          </cell>
          <cell r="O66" t="str">
            <v>Anh B</v>
          </cell>
          <cell r="P66" t="str">
            <v>Tày</v>
          </cell>
          <cell r="Q66" t="str">
            <v>Cơ bản</v>
          </cell>
        </row>
        <row r="67">
          <cell r="B67" t="str">
            <v>BV0103</v>
          </cell>
          <cell r="C67" t="str">
            <v>Nông Văn Đào</v>
          </cell>
          <cell r="D67" t="str">
            <v>BV0103</v>
          </cell>
          <cell r="F67" t="str">
            <v>Điều dưỡng CĐ</v>
          </cell>
          <cell r="G67" t="str">
            <v>TĐ012</v>
          </cell>
          <cell r="H67" t="str">
            <v>Cao đẳng Y tế Lạng  Sơn</v>
          </cell>
          <cell r="I67">
            <v>2012</v>
          </cell>
          <cell r="J67" t="str">
            <v>Điều dưỡng (hạng IV)</v>
          </cell>
          <cell r="O67" t="str">
            <v>Anh B</v>
          </cell>
          <cell r="Q67" t="str">
            <v>Tin B</v>
          </cell>
        </row>
        <row r="68">
          <cell r="B68" t="str">
            <v>BV0115</v>
          </cell>
          <cell r="C68" t="str">
            <v>Bùi Thị Ngọc</v>
          </cell>
          <cell r="D68" t="str">
            <v>BV0115</v>
          </cell>
          <cell r="E68" t="str">
            <v>x</v>
          </cell>
          <cell r="F68" t="str">
            <v>Điều dưỡng TC</v>
          </cell>
          <cell r="G68" t="str">
            <v>TĐ013</v>
          </cell>
          <cell r="H68" t="e">
            <v>#N/A</v>
          </cell>
          <cell r="I68" t="e">
            <v>#N/A</v>
          </cell>
          <cell r="J68" t="str">
            <v>Điều dưỡng (hạng IV)</v>
          </cell>
          <cell r="O68" t="str">
            <v>Anh B</v>
          </cell>
          <cell r="P68" t="str">
            <v>Tày</v>
          </cell>
        </row>
        <row r="69">
          <cell r="B69" t="str">
            <v>BV0135</v>
          </cell>
          <cell r="C69" t="str">
            <v>Nguyễn Trà Giang</v>
          </cell>
          <cell r="D69" t="str">
            <v>BV0135</v>
          </cell>
          <cell r="E69" t="str">
            <v>x</v>
          </cell>
          <cell r="F69" t="str">
            <v>Điều dưỡng TC</v>
          </cell>
          <cell r="G69" t="str">
            <v>TĐ013</v>
          </cell>
          <cell r="H69" t="e">
            <v>#N/A</v>
          </cell>
          <cell r="I69" t="e">
            <v>#N/A</v>
          </cell>
          <cell r="J69" t="str">
            <v>Điều dưỡng (hạng IV)</v>
          </cell>
          <cell r="N69" t="str">
            <v>Sơ cấp</v>
          </cell>
          <cell r="O69" t="str">
            <v>Anh C</v>
          </cell>
          <cell r="P69" t="str">
            <v>Tày</v>
          </cell>
          <cell r="Q69" t="str">
            <v>Tin C</v>
          </cell>
        </row>
        <row r="70">
          <cell r="B70" t="str">
            <v>BV0114</v>
          </cell>
          <cell r="C70" t="str">
            <v>Lăng Thị Huệ</v>
          </cell>
          <cell r="D70" t="str">
            <v>BV0114</v>
          </cell>
          <cell r="E70" t="str">
            <v>x</v>
          </cell>
          <cell r="F70" t="str">
            <v>Điều dưỡng TC</v>
          </cell>
          <cell r="G70" t="str">
            <v>TĐ013</v>
          </cell>
          <cell r="H70" t="str">
            <v>Cao đẳng Y tế Lạng  Sơn</v>
          </cell>
          <cell r="I70">
            <v>2009</v>
          </cell>
          <cell r="J70" t="str">
            <v>Điều dưỡng (hạng IV)</v>
          </cell>
          <cell r="O70" t="str">
            <v>Anh B</v>
          </cell>
          <cell r="Q70" t="str">
            <v>Tin B</v>
          </cell>
        </row>
        <row r="71">
          <cell r="B71" t="str">
            <v>BV0109</v>
          </cell>
          <cell r="C71" t="str">
            <v>Đặng Thị Kiều</v>
          </cell>
          <cell r="D71" t="str">
            <v>BV0109</v>
          </cell>
          <cell r="E71" t="str">
            <v>x</v>
          </cell>
          <cell r="F71" t="str">
            <v>Điều dưỡng CĐ</v>
          </cell>
          <cell r="G71" t="str">
            <v>TĐ013</v>
          </cell>
          <cell r="H71" t="str">
            <v>Trung học Y tế Lạng Sơn</v>
          </cell>
          <cell r="I71">
            <v>1998</v>
          </cell>
          <cell r="J71" t="str">
            <v>Điều dưỡng (hạng IV)</v>
          </cell>
          <cell r="N71" t="str">
            <v>Sơ cấp</v>
          </cell>
          <cell r="O71" t="str">
            <v>Anh B</v>
          </cell>
          <cell r="P71" t="str">
            <v>Tày</v>
          </cell>
          <cell r="Q71" t="str">
            <v>Tin C</v>
          </cell>
        </row>
        <row r="72">
          <cell r="B72" t="str">
            <v>BV0112</v>
          </cell>
          <cell r="C72" t="str">
            <v>Hoàng Thị Mai Vân</v>
          </cell>
          <cell r="D72" t="str">
            <v>BV0112</v>
          </cell>
          <cell r="E72" t="str">
            <v>x</v>
          </cell>
          <cell r="F72" t="str">
            <v>Điều dưỡng CĐ</v>
          </cell>
          <cell r="G72" t="str">
            <v>TĐ013</v>
          </cell>
          <cell r="H72" t="str">
            <v>Cao đẳng Y tế Lạng  Sơn</v>
          </cell>
          <cell r="I72">
            <v>2006</v>
          </cell>
          <cell r="J72" t="str">
            <v>Điều dưỡng (hạng IV)</v>
          </cell>
          <cell r="O72" t="str">
            <v>Anh B</v>
          </cell>
          <cell r="P72" t="str">
            <v>Tày</v>
          </cell>
          <cell r="Q72" t="str">
            <v>Cơ bản</v>
          </cell>
        </row>
        <row r="73">
          <cell r="B73" t="str">
            <v>BV0130</v>
          </cell>
          <cell r="C73" t="str">
            <v>Nông Bích Hiền</v>
          </cell>
          <cell r="D73" t="str">
            <v>BV0130</v>
          </cell>
          <cell r="E73" t="str">
            <v>x</v>
          </cell>
          <cell r="F73" t="str">
            <v>Điều dưỡng TC</v>
          </cell>
          <cell r="G73" t="str">
            <v>TĐ013</v>
          </cell>
          <cell r="H73">
            <v>0</v>
          </cell>
          <cell r="I73">
            <v>0</v>
          </cell>
          <cell r="J73" t="str">
            <v>Điều dưỡng (hạng IV)</v>
          </cell>
          <cell r="O73" t="str">
            <v>Anh B</v>
          </cell>
          <cell r="P73" t="str">
            <v>Tày</v>
          </cell>
          <cell r="Q73" t="str">
            <v>Cơ bản</v>
          </cell>
        </row>
        <row r="74">
          <cell r="B74" t="str">
            <v>BV0091</v>
          </cell>
          <cell r="C74" t="str">
            <v>Hà Thúy Chầm</v>
          </cell>
          <cell r="D74" t="str">
            <v>BV0091</v>
          </cell>
          <cell r="E74" t="str">
            <v>x</v>
          </cell>
          <cell r="F74" t="str">
            <v>BSCKII</v>
          </cell>
          <cell r="G74" t="str">
            <v>TĐ001</v>
          </cell>
          <cell r="H74" t="e">
            <v>#N/A</v>
          </cell>
          <cell r="I74" t="e">
            <v>#N/A</v>
          </cell>
          <cell r="J74" t="str">
            <v>Bác sĩ (hạng III)</v>
          </cell>
          <cell r="K74" t="str">
            <v>x</v>
          </cell>
          <cell r="L74" t="str">
            <v>x</v>
          </cell>
          <cell r="M74" t="str">
            <v>x</v>
          </cell>
          <cell r="N74" t="str">
            <v>Sơ cấp</v>
          </cell>
          <cell r="O74" t="str">
            <v>Anh C</v>
          </cell>
          <cell r="P74" t="str">
            <v>Tày</v>
          </cell>
          <cell r="Q74" t="str">
            <v>Cơ bản</v>
          </cell>
        </row>
        <row r="75">
          <cell r="B75" t="str">
            <v>BV0076</v>
          </cell>
          <cell r="C75" t="str">
            <v>Lê Thị Lan Anh</v>
          </cell>
          <cell r="D75" t="str">
            <v>BV0076</v>
          </cell>
          <cell r="E75" t="str">
            <v>x</v>
          </cell>
          <cell r="F75" t="str">
            <v>BSCKI</v>
          </cell>
          <cell r="G75" t="str">
            <v>TĐ003</v>
          </cell>
          <cell r="H75" t="e">
            <v>#N/A</v>
          </cell>
          <cell r="I75" t="e">
            <v>#N/A</v>
          </cell>
          <cell r="J75" t="str">
            <v>Bác sĩ (hạng III)</v>
          </cell>
          <cell r="O75" t="str">
            <v>Anh B</v>
          </cell>
          <cell r="Q75" t="str">
            <v>Tin B</v>
          </cell>
        </row>
        <row r="76">
          <cell r="B76" t="str">
            <v>BV0093</v>
          </cell>
          <cell r="C76" t="str">
            <v>Nguyễn Thị Tuyết</v>
          </cell>
          <cell r="D76" t="str">
            <v>BV0093</v>
          </cell>
          <cell r="E76" t="str">
            <v>x</v>
          </cell>
          <cell r="F76" t="str">
            <v>BSCKI</v>
          </cell>
          <cell r="G76" t="str">
            <v>TĐ003</v>
          </cell>
          <cell r="H76" t="e">
            <v>#N/A</v>
          </cell>
          <cell r="I76" t="e">
            <v>#N/A</v>
          </cell>
          <cell r="J76" t="str">
            <v>Bác sĩ (hạng III)</v>
          </cell>
          <cell r="O76" t="str">
            <v>Anh B</v>
          </cell>
          <cell r="Q76" t="str">
            <v>Tin A</v>
          </cell>
        </row>
        <row r="77">
          <cell r="B77" t="str">
            <v>BV0095</v>
          </cell>
          <cell r="C77" t="str">
            <v>Ma Thị Trang</v>
          </cell>
          <cell r="D77" t="str">
            <v>BV0095</v>
          </cell>
          <cell r="E77" t="str">
            <v>x</v>
          </cell>
          <cell r="F77" t="str">
            <v>Bác sĩ</v>
          </cell>
          <cell r="G77" t="str">
            <v>TĐ005</v>
          </cell>
          <cell r="H77" t="e">
            <v>#N/A</v>
          </cell>
          <cell r="I77" t="e">
            <v>#N/A</v>
          </cell>
          <cell r="J77" t="str">
            <v>Bác sĩ (hạng III)</v>
          </cell>
          <cell r="N77" t="str">
            <v>Sơ cấp</v>
          </cell>
          <cell r="O77" t="str">
            <v>Anh Bậc 3</v>
          </cell>
          <cell r="Q77" t="str">
            <v>Cơ bản</v>
          </cell>
        </row>
        <row r="78">
          <cell r="B78" t="str">
            <v>BV0098</v>
          </cell>
          <cell r="C78" t="str">
            <v>Nguyễn Kim Chung</v>
          </cell>
          <cell r="D78" t="str">
            <v>BV0098</v>
          </cell>
          <cell r="E78" t="str">
            <v>x</v>
          </cell>
          <cell r="F78" t="str">
            <v>Điều dưỡng ĐH</v>
          </cell>
          <cell r="G78" t="str">
            <v>TĐ011</v>
          </cell>
          <cell r="H78" t="str">
            <v>Đại học Y dược Thái Nguyên</v>
          </cell>
          <cell r="I78">
            <v>2010</v>
          </cell>
          <cell r="J78" t="str">
            <v>Điều dưỡng (hạng III)</v>
          </cell>
          <cell r="O78" t="str">
            <v>Anh B</v>
          </cell>
          <cell r="Q78" t="str">
            <v>Tin B</v>
          </cell>
        </row>
        <row r="79">
          <cell r="B79" t="str">
            <v>BV0023</v>
          </cell>
          <cell r="C79" t="str">
            <v>Nguyễn Thị Bích Ngọc</v>
          </cell>
          <cell r="D79" t="str">
            <v>BV0023</v>
          </cell>
          <cell r="E79" t="str">
            <v>x</v>
          </cell>
          <cell r="F79" t="str">
            <v>Điều dưỡng ĐH</v>
          </cell>
          <cell r="G79" t="str">
            <v>TĐ011</v>
          </cell>
          <cell r="H79" t="str">
            <v>Đại học Điều dưỡng Nam Định</v>
          </cell>
          <cell r="I79">
            <v>2016</v>
          </cell>
          <cell r="J79" t="str">
            <v>Điều dưỡng (hạng III)</v>
          </cell>
          <cell r="N79" t="str">
            <v>Sơ cấp</v>
          </cell>
          <cell r="O79" t="str">
            <v>Anh B</v>
          </cell>
          <cell r="P79" t="str">
            <v>Tày</v>
          </cell>
          <cell r="Q79" t="str">
            <v>Tin B</v>
          </cell>
        </row>
        <row r="80">
          <cell r="B80" t="str">
            <v>BV0101</v>
          </cell>
          <cell r="C80" t="str">
            <v>Đàm Thùy Mai</v>
          </cell>
          <cell r="D80" t="str">
            <v>BV0101</v>
          </cell>
          <cell r="E80" t="str">
            <v>x</v>
          </cell>
          <cell r="F80" t="str">
            <v>Điều dưỡng CĐ</v>
          </cell>
          <cell r="G80" t="str">
            <v>TĐ012</v>
          </cell>
          <cell r="H80" t="str">
            <v>Cao đẳng Y tế Lạng  Sơn</v>
          </cell>
          <cell r="I80">
            <v>2012</v>
          </cell>
          <cell r="J80" t="str">
            <v>Điều dưỡng (hạng IV)</v>
          </cell>
          <cell r="N80" t="str">
            <v>Sơ cấp</v>
          </cell>
          <cell r="O80" t="str">
            <v>Anh B</v>
          </cell>
          <cell r="Q80" t="str">
            <v>Cơ bản</v>
          </cell>
        </row>
        <row r="81">
          <cell r="B81" t="str">
            <v>BV0920</v>
          </cell>
          <cell r="C81" t="str">
            <v>Phùng Thị Thùy Linh</v>
          </cell>
          <cell r="D81" t="str">
            <v>BV0920</v>
          </cell>
          <cell r="E81" t="str">
            <v>x</v>
          </cell>
          <cell r="F81" t="str">
            <v>Điều dưỡng CĐ</v>
          </cell>
          <cell r="G81" t="str">
            <v>TĐ012</v>
          </cell>
          <cell r="H81">
            <v>0</v>
          </cell>
          <cell r="I81">
            <v>0</v>
          </cell>
          <cell r="J81" t="str">
            <v>Điều dưỡng (hạng IV)</v>
          </cell>
          <cell r="O81" t="str">
            <v>Anh B</v>
          </cell>
          <cell r="Q81" t="str">
            <v>Cơ bản</v>
          </cell>
        </row>
        <row r="82">
          <cell r="B82" t="str">
            <v>BV0104</v>
          </cell>
          <cell r="C82" t="str">
            <v>Vi Thị Luận</v>
          </cell>
          <cell r="D82" t="str">
            <v>BV0104</v>
          </cell>
          <cell r="E82" t="str">
            <v>x</v>
          </cell>
          <cell r="F82" t="str">
            <v>Điều dưỡng TC</v>
          </cell>
          <cell r="G82" t="str">
            <v>TĐ013</v>
          </cell>
          <cell r="H82" t="e">
            <v>#N/A</v>
          </cell>
          <cell r="I82" t="e">
            <v>#N/A</v>
          </cell>
          <cell r="J82" t="str">
            <v>Điều dưỡng (hạng IV)</v>
          </cell>
          <cell r="Q82" t="str">
            <v>Cơ bản</v>
          </cell>
        </row>
        <row r="83">
          <cell r="B83" t="str">
            <v>BV0117</v>
          </cell>
          <cell r="C83" t="str">
            <v>Ba Thị Quyên</v>
          </cell>
          <cell r="D83" t="str">
            <v>BV0117</v>
          </cell>
          <cell r="E83" t="str">
            <v>x</v>
          </cell>
          <cell r="F83" t="str">
            <v>Điều dưỡng CĐ</v>
          </cell>
          <cell r="G83" t="str">
            <v>TĐ013</v>
          </cell>
          <cell r="H83" t="str">
            <v>Cao đẳng Y tế Lạng  Sơn</v>
          </cell>
          <cell r="I83">
            <v>2007</v>
          </cell>
          <cell r="J83" t="str">
            <v>Điều dưỡng (hạng IV)</v>
          </cell>
          <cell r="O83" t="str">
            <v>Anh B</v>
          </cell>
          <cell r="Q83" t="str">
            <v>Cơ bản</v>
          </cell>
        </row>
        <row r="84">
          <cell r="B84" t="str">
            <v>BV0347</v>
          </cell>
          <cell r="C84" t="str">
            <v>Nguyễn Thị Tiền</v>
          </cell>
          <cell r="D84" t="str">
            <v>BV0347</v>
          </cell>
          <cell r="E84" t="str">
            <v>x</v>
          </cell>
          <cell r="F84" t="str">
            <v>Điều dưỡng TC</v>
          </cell>
          <cell r="G84" t="str">
            <v>TĐ013</v>
          </cell>
          <cell r="H84" t="str">
            <v>Đại học Điều dưỡng Nam Định</v>
          </cell>
          <cell r="I84">
            <v>2017</v>
          </cell>
          <cell r="J84" t="str">
            <v>Điều dưỡng (hạng III)</v>
          </cell>
          <cell r="N84" t="str">
            <v>Sơ cấp</v>
          </cell>
          <cell r="O84" t="str">
            <v>Anh A2</v>
          </cell>
          <cell r="P84" t="str">
            <v>Tày</v>
          </cell>
          <cell r="Q84" t="str">
            <v>Tin B</v>
          </cell>
        </row>
        <row r="85">
          <cell r="B85" t="str">
            <v>BV0162</v>
          </cell>
          <cell r="C85" t="str">
            <v>Bế Thái Hưng</v>
          </cell>
          <cell r="D85" t="str">
            <v>BV0162</v>
          </cell>
          <cell r="F85" t="str">
            <v>BSCKII</v>
          </cell>
          <cell r="G85" t="str">
            <v>TĐ001</v>
          </cell>
          <cell r="H85" t="str">
            <v>Đại học Y Hà Nội</v>
          </cell>
          <cell r="I85">
            <v>2014</v>
          </cell>
          <cell r="J85" t="str">
            <v>Bác sĩ chính (hạng II)</v>
          </cell>
          <cell r="K85" t="str">
            <v>BS chính</v>
          </cell>
          <cell r="L85" t="str">
            <v>Chuyên viên</v>
          </cell>
          <cell r="M85" t="str">
            <v>X</v>
          </cell>
          <cell r="N85" t="str">
            <v>Trung cấp</v>
          </cell>
          <cell r="O85" t="str">
            <v>Anh B</v>
          </cell>
          <cell r="Q85" t="str">
            <v>B</v>
          </cell>
        </row>
        <row r="86">
          <cell r="B86" t="str">
            <v>BV0120</v>
          </cell>
          <cell r="C86" t="str">
            <v>Vi Thị Tuyết Mai</v>
          </cell>
          <cell r="D86" t="str">
            <v>BV0120</v>
          </cell>
          <cell r="E86" t="str">
            <v>x</v>
          </cell>
          <cell r="F86" t="str">
            <v>BSCKI</v>
          </cell>
          <cell r="G86" t="str">
            <v>TĐ003</v>
          </cell>
          <cell r="H86" t="e">
            <v>#N/A</v>
          </cell>
          <cell r="I86" t="e">
            <v>#N/A</v>
          </cell>
          <cell r="J86" t="str">
            <v>Bác sĩ chính (hạng II)</v>
          </cell>
          <cell r="K86" t="str">
            <v>BS chính</v>
          </cell>
          <cell r="L86" t="str">
            <v>Chuyên viên</v>
          </cell>
          <cell r="M86" t="str">
            <v>X</v>
          </cell>
          <cell r="N86" t="str">
            <v>Trung cấp</v>
          </cell>
          <cell r="O86" t="str">
            <v>Anh B</v>
          </cell>
          <cell r="P86" t="str">
            <v>Tày</v>
          </cell>
          <cell r="Q86" t="str">
            <v>B</v>
          </cell>
        </row>
        <row r="87">
          <cell r="B87" t="str">
            <v>BV0005</v>
          </cell>
          <cell r="C87" t="str">
            <v>Hoàng Văn Hiệp</v>
          </cell>
          <cell r="D87" t="str">
            <v>BV0005</v>
          </cell>
          <cell r="F87" t="str">
            <v>Thạc sỹ</v>
          </cell>
          <cell r="G87" t="str">
            <v>TĐ004</v>
          </cell>
          <cell r="H87" t="str">
            <v>Học viện Quân y</v>
          </cell>
          <cell r="I87">
            <v>2011</v>
          </cell>
          <cell r="J87" t="str">
            <v>Bác sĩ chính (hạng II)</v>
          </cell>
          <cell r="K87" t="str">
            <v>BS chính</v>
          </cell>
          <cell r="O87" t="str">
            <v>Anh C</v>
          </cell>
          <cell r="P87" t="str">
            <v>Tày</v>
          </cell>
          <cell r="Q87" t="str">
            <v>B</v>
          </cell>
        </row>
        <row r="88">
          <cell r="B88" t="str">
            <v>BV0763</v>
          </cell>
          <cell r="C88" t="str">
            <v>Dương Ánh Tuyết</v>
          </cell>
          <cell r="D88" t="str">
            <v>BV0763</v>
          </cell>
          <cell r="E88" t="str">
            <v>x</v>
          </cell>
          <cell r="F88" t="str">
            <v>Bác sĩ</v>
          </cell>
          <cell r="G88" t="str">
            <v>TĐ005</v>
          </cell>
          <cell r="H88" t="e">
            <v>#N/A</v>
          </cell>
          <cell r="I88" t="e">
            <v>#N/A</v>
          </cell>
          <cell r="J88" t="str">
            <v>Bác sĩ (hạng III)</v>
          </cell>
          <cell r="N88" t="str">
            <v>Sơ cấp</v>
          </cell>
          <cell r="O88" t="str">
            <v>Anh B</v>
          </cell>
          <cell r="Q88" t="str">
            <v>B</v>
          </cell>
        </row>
        <row r="89">
          <cell r="B89" t="str">
            <v>BV0777</v>
          </cell>
          <cell r="C89" t="str">
            <v>Bế Thị Ly La</v>
          </cell>
          <cell r="D89" t="str">
            <v>BV0777</v>
          </cell>
          <cell r="E89" t="str">
            <v>x</v>
          </cell>
          <cell r="F89" t="str">
            <v>Bác sĩ</v>
          </cell>
          <cell r="G89" t="str">
            <v>TĐ005</v>
          </cell>
          <cell r="H89" t="str">
            <v>Đại học Y Dược Thái Nguyên</v>
          </cell>
          <cell r="I89">
            <v>2017</v>
          </cell>
          <cell r="J89" t="str">
            <v>Bác sĩ (hạng III)</v>
          </cell>
          <cell r="N89" t="str">
            <v>Sơ cấp</v>
          </cell>
          <cell r="O89" t="str">
            <v>Anh A2</v>
          </cell>
          <cell r="P89" t="str">
            <v>Tày</v>
          </cell>
          <cell r="Q89" t="str">
            <v>IC3</v>
          </cell>
        </row>
        <row r="90">
          <cell r="B90" t="str">
            <v>BV0851</v>
          </cell>
          <cell r="C90" t="str">
            <v>Hoàng Thị Anh Tú</v>
          </cell>
          <cell r="D90" t="str">
            <v>BV0851</v>
          </cell>
          <cell r="E90" t="str">
            <v>x</v>
          </cell>
          <cell r="F90" t="str">
            <v>Bác sĩ</v>
          </cell>
          <cell r="G90" t="str">
            <v>TĐ005</v>
          </cell>
          <cell r="H90">
            <v>0</v>
          </cell>
          <cell r="I90">
            <v>0</v>
          </cell>
          <cell r="J90" t="str">
            <v>Bác sĩ (hạng III)</v>
          </cell>
          <cell r="O90" t="str">
            <v>Anh A2</v>
          </cell>
          <cell r="Q90" t="str">
            <v>IC3</v>
          </cell>
        </row>
        <row r="91">
          <cell r="B91" t="str">
            <v>BV0844</v>
          </cell>
          <cell r="C91" t="str">
            <v>Nông Mai Anh</v>
          </cell>
          <cell r="D91" t="str">
            <v>BV0844</v>
          </cell>
          <cell r="E91" t="str">
            <v>x</v>
          </cell>
          <cell r="F91" t="str">
            <v>Bác sĩ</v>
          </cell>
          <cell r="G91" t="str">
            <v>TĐ005</v>
          </cell>
          <cell r="H91" t="e">
            <v>#N/A</v>
          </cell>
          <cell r="I91" t="e">
            <v>#N/A</v>
          </cell>
          <cell r="J91" t="str">
            <v>Bác sĩ (hạng III)</v>
          </cell>
          <cell r="N91" t="str">
            <v>Sơ cấp</v>
          </cell>
          <cell r="O91" t="str">
            <v>Anh B</v>
          </cell>
          <cell r="Q91" t="str">
            <v>B</v>
          </cell>
        </row>
        <row r="92">
          <cell r="B92" t="str">
            <v>BV0839</v>
          </cell>
          <cell r="C92" t="str">
            <v>Hoàng Thị Diễm</v>
          </cell>
          <cell r="D92" t="str">
            <v>BV0839</v>
          </cell>
          <cell r="E92" t="str">
            <v>x</v>
          </cell>
          <cell r="F92" t="str">
            <v>Điều dưỡng ĐH</v>
          </cell>
          <cell r="G92" t="str">
            <v>TĐ011</v>
          </cell>
          <cell r="H92" t="e">
            <v>#N/A</v>
          </cell>
          <cell r="I92" t="e">
            <v>#N/A</v>
          </cell>
          <cell r="J92" t="str">
            <v>Điều dưỡng (hạng III)</v>
          </cell>
          <cell r="N92" t="str">
            <v>Sơ cấp</v>
          </cell>
          <cell r="O92" t="str">
            <v>TOEIC</v>
          </cell>
          <cell r="Q92" t="str">
            <v>IC3</v>
          </cell>
        </row>
        <row r="93">
          <cell r="B93" t="str">
            <v>BV0343</v>
          </cell>
          <cell r="C93" t="str">
            <v>Đoàn Thị Thanh Thúy</v>
          </cell>
          <cell r="D93" t="str">
            <v>BV0343</v>
          </cell>
          <cell r="E93" t="str">
            <v>x</v>
          </cell>
          <cell r="F93" t="str">
            <v>Điều dưỡng ĐH</v>
          </cell>
          <cell r="G93" t="str">
            <v>TĐ011</v>
          </cell>
          <cell r="H93" t="str">
            <v>Đại học Y dược Thái Nguyên</v>
          </cell>
          <cell r="I93">
            <v>2010</v>
          </cell>
          <cell r="J93" t="str">
            <v>Điều dưỡng (hạng III)</v>
          </cell>
          <cell r="L93" t="str">
            <v>Chuyên viên</v>
          </cell>
          <cell r="M93" t="str">
            <v>X</v>
          </cell>
          <cell r="N93" t="str">
            <v>Sơ cấp</v>
          </cell>
          <cell r="O93" t="str">
            <v>Anh B</v>
          </cell>
          <cell r="P93" t="str">
            <v>Tày</v>
          </cell>
          <cell r="Q93" t="str">
            <v>B</v>
          </cell>
        </row>
        <row r="94">
          <cell r="B94" t="str">
            <v>BV0086</v>
          </cell>
          <cell r="C94" t="str">
            <v>Triệu Thị Thanh Hòa</v>
          </cell>
          <cell r="D94" t="str">
            <v>BV0086</v>
          </cell>
          <cell r="E94" t="str">
            <v>x</v>
          </cell>
          <cell r="F94" t="str">
            <v>Điều dưỡng CĐ</v>
          </cell>
          <cell r="G94" t="str">
            <v>TĐ012</v>
          </cell>
          <cell r="H94" t="str">
            <v>Cao đẳng Y tế Lạng  Sơn</v>
          </cell>
          <cell r="I94">
            <v>2007</v>
          </cell>
          <cell r="J94" t="str">
            <v>Điều dưỡng (hạng IV)</v>
          </cell>
          <cell r="N94" t="str">
            <v>Sơ cấp</v>
          </cell>
          <cell r="P94" t="str">
            <v>Tày</v>
          </cell>
          <cell r="Q94" t="str">
            <v>B</v>
          </cell>
        </row>
        <row r="95">
          <cell r="B95" t="str">
            <v>BV0139</v>
          </cell>
          <cell r="C95" t="str">
            <v>Trần Thị Nhình</v>
          </cell>
          <cell r="D95" t="str">
            <v>BV0139</v>
          </cell>
          <cell r="E95" t="str">
            <v>x</v>
          </cell>
          <cell r="F95" t="str">
            <v>Điều dưỡng CĐ</v>
          </cell>
          <cell r="G95" t="str">
            <v>TĐ012</v>
          </cell>
          <cell r="H95" t="str">
            <v>Cao đẳng Y tế Lạng  Sơn</v>
          </cell>
          <cell r="I95">
            <v>2008</v>
          </cell>
          <cell r="J95" t="str">
            <v>Điều dưỡng (hạng IV)</v>
          </cell>
          <cell r="N95" t="str">
            <v>Sơ cấp</v>
          </cell>
          <cell r="O95" t="str">
            <v>TOEIC</v>
          </cell>
          <cell r="P95" t="str">
            <v>Tày</v>
          </cell>
          <cell r="Q95" t="str">
            <v>Cơ bản</v>
          </cell>
        </row>
        <row r="96">
          <cell r="B96" t="str">
            <v>BV0019</v>
          </cell>
          <cell r="C96" t="str">
            <v>Bế Thị Liễu</v>
          </cell>
          <cell r="D96" t="str">
            <v>BV0019</v>
          </cell>
          <cell r="E96" t="str">
            <v>x</v>
          </cell>
          <cell r="F96" t="str">
            <v>Điều dưỡng ĐH</v>
          </cell>
          <cell r="G96" t="str">
            <v>TĐ013</v>
          </cell>
          <cell r="H96" t="str">
            <v>Trung học Y tế Lạng Sơn</v>
          </cell>
          <cell r="I96">
            <v>2005</v>
          </cell>
          <cell r="J96" t="str">
            <v>Điều dưỡng (hạng IV)</v>
          </cell>
          <cell r="O96" t="str">
            <v>TOEIC</v>
          </cell>
          <cell r="P96" t="str">
            <v>Tày</v>
          </cell>
          <cell r="Q96" t="str">
            <v>Cơ bản</v>
          </cell>
        </row>
        <row r="97">
          <cell r="B97" t="str">
            <v>BV0020</v>
          </cell>
          <cell r="C97" t="str">
            <v>Nguyễn Thị Hiền</v>
          </cell>
          <cell r="D97" t="str">
            <v>BV0020</v>
          </cell>
          <cell r="E97" t="str">
            <v>x</v>
          </cell>
          <cell r="F97" t="str">
            <v>Điều dưỡng TC</v>
          </cell>
          <cell r="G97" t="str">
            <v>TĐ013</v>
          </cell>
          <cell r="H97">
            <v>0</v>
          </cell>
          <cell r="I97">
            <v>0</v>
          </cell>
          <cell r="J97" t="str">
            <v>Điều dưỡng (hạng IV)</v>
          </cell>
          <cell r="P97" t="str">
            <v>Tày</v>
          </cell>
          <cell r="Q97" t="str">
            <v>Cơ bản</v>
          </cell>
        </row>
        <row r="98">
          <cell r="B98" t="str">
            <v>BV0133</v>
          </cell>
          <cell r="C98" t="str">
            <v>Hoàng Văn Học</v>
          </cell>
          <cell r="D98" t="str">
            <v>BV0133</v>
          </cell>
          <cell r="F98" t="str">
            <v>Điều dưỡng TC</v>
          </cell>
          <cell r="G98" t="str">
            <v>TĐ013</v>
          </cell>
          <cell r="H98" t="str">
            <v>Trung cấp Y tế Ninh Bình</v>
          </cell>
          <cell r="I98">
            <v>2007</v>
          </cell>
          <cell r="J98" t="str">
            <v>Điều dưỡng (hạng IV)</v>
          </cell>
          <cell r="P98" t="str">
            <v>Tày</v>
          </cell>
          <cell r="Q98" t="str">
            <v>Cơ bản</v>
          </cell>
        </row>
        <row r="99">
          <cell r="B99" t="str">
            <v>BV0138</v>
          </cell>
          <cell r="C99" t="str">
            <v>Nguyễn Thị Liên</v>
          </cell>
          <cell r="D99" t="str">
            <v>BV0138</v>
          </cell>
          <cell r="E99" t="str">
            <v>x</v>
          </cell>
          <cell r="F99" t="str">
            <v>Điều dưỡng TC</v>
          </cell>
          <cell r="G99" t="str">
            <v>TĐ013</v>
          </cell>
          <cell r="H99" t="str">
            <v>Cao đẳng Y tế Lạng  Sơn</v>
          </cell>
          <cell r="I99">
            <v>2008</v>
          </cell>
          <cell r="J99" t="str">
            <v>Điều dưỡng (hạng IV)</v>
          </cell>
          <cell r="O99" t="str">
            <v>Anh bậc 4</v>
          </cell>
          <cell r="P99" t="str">
            <v>Tày</v>
          </cell>
          <cell r="Q99" t="str">
            <v>Cơ bản</v>
          </cell>
        </row>
        <row r="100">
          <cell r="B100" t="str">
            <v>BV0128</v>
          </cell>
          <cell r="C100" t="str">
            <v>Trần Thị Mỹ Ngân</v>
          </cell>
          <cell r="D100" t="str">
            <v>BV0128</v>
          </cell>
          <cell r="E100" t="str">
            <v>x</v>
          </cell>
          <cell r="F100" t="str">
            <v>Điều dưỡng TC</v>
          </cell>
          <cell r="G100" t="str">
            <v>TĐ013</v>
          </cell>
          <cell r="H100" t="e">
            <v>#N/A</v>
          </cell>
          <cell r="I100" t="e">
            <v>#N/A</v>
          </cell>
          <cell r="J100" t="str">
            <v>Điều dưỡng (hạng IV)</v>
          </cell>
          <cell r="P100" t="str">
            <v>Tày</v>
          </cell>
          <cell r="Q100" t="str">
            <v>Cơ bản</v>
          </cell>
        </row>
        <row r="101">
          <cell r="B101" t="str">
            <v>BV0137</v>
          </cell>
          <cell r="C101" t="str">
            <v>Lương Thị Oanh</v>
          </cell>
          <cell r="D101" t="str">
            <v>BV0137</v>
          </cell>
          <cell r="E101" t="str">
            <v>x</v>
          </cell>
          <cell r="F101" t="str">
            <v>Điều dưỡng TC</v>
          </cell>
          <cell r="G101" t="str">
            <v>TĐ013</v>
          </cell>
          <cell r="H101" t="e">
            <v>#N/A</v>
          </cell>
          <cell r="I101" t="e">
            <v>#N/A</v>
          </cell>
          <cell r="J101" t="str">
            <v>Điều dưỡng (hạng IV)</v>
          </cell>
          <cell r="P101" t="str">
            <v>Tày</v>
          </cell>
          <cell r="Q101" t="str">
            <v>B</v>
          </cell>
        </row>
        <row r="102">
          <cell r="B102" t="str">
            <v>BV0131</v>
          </cell>
          <cell r="C102" t="str">
            <v>Hoàng Thị Thu</v>
          </cell>
          <cell r="D102" t="str">
            <v>BV0131</v>
          </cell>
          <cell r="E102" t="str">
            <v>x</v>
          </cell>
          <cell r="F102" t="str">
            <v>Điều dưỡng ĐH</v>
          </cell>
          <cell r="G102" t="str">
            <v>TĐ013</v>
          </cell>
          <cell r="H102" t="str">
            <v>Cao đẳng Y tế Lạng  Sơn</v>
          </cell>
          <cell r="I102">
            <v>2018</v>
          </cell>
          <cell r="J102" t="str">
            <v>Điều dưỡng (hạng IV)</v>
          </cell>
          <cell r="N102" t="str">
            <v>Sơ cấp</v>
          </cell>
          <cell r="O102" t="str">
            <v>Anh A2</v>
          </cell>
          <cell r="P102" t="str">
            <v>Tày</v>
          </cell>
          <cell r="Q102" t="str">
            <v>Cơ bản</v>
          </cell>
        </row>
        <row r="103">
          <cell r="B103" t="str">
            <v>BV0345</v>
          </cell>
          <cell r="C103" t="str">
            <v>Lâm Lệ Thu</v>
          </cell>
          <cell r="D103" t="str">
            <v>BV0345</v>
          </cell>
          <cell r="E103" t="str">
            <v>x</v>
          </cell>
          <cell r="F103" t="str">
            <v>Điều dưỡng TC</v>
          </cell>
          <cell r="G103" t="str">
            <v>TĐ013</v>
          </cell>
          <cell r="H103" t="str">
            <v>Cao đẳng Y tế Lạng  Sơn</v>
          </cell>
          <cell r="I103">
            <v>2018</v>
          </cell>
          <cell r="J103" t="str">
            <v>Điều dưỡng (hạng IV)</v>
          </cell>
          <cell r="N103" t="str">
            <v>Sơ cấp</v>
          </cell>
          <cell r="P103" t="str">
            <v>Tày</v>
          </cell>
          <cell r="Q103" t="str">
            <v>A</v>
          </cell>
        </row>
        <row r="104">
          <cell r="B104" t="str">
            <v>BV0333</v>
          </cell>
          <cell r="C104" t="str">
            <v>Vi Hồng Thương</v>
          </cell>
          <cell r="D104" t="str">
            <v>BV0333</v>
          </cell>
          <cell r="E104" t="str">
            <v>x</v>
          </cell>
          <cell r="F104" t="str">
            <v>Y sỹ</v>
          </cell>
          <cell r="G104" t="str">
            <v>TĐ020</v>
          </cell>
          <cell r="H104" t="e">
            <v>#N/A</v>
          </cell>
          <cell r="I104" t="e">
            <v>#N/A</v>
          </cell>
          <cell r="J104" t="str">
            <v>Y sĩ (hạng IV)</v>
          </cell>
          <cell r="P104" t="str">
            <v>Tày</v>
          </cell>
          <cell r="Q104" t="str">
            <v>Cơ bản</v>
          </cell>
        </row>
        <row r="105">
          <cell r="B105" t="str">
            <v>BV0145</v>
          </cell>
          <cell r="C105" t="str">
            <v>Tạ Văn Hùng</v>
          </cell>
          <cell r="D105" t="str">
            <v>BV0145</v>
          </cell>
          <cell r="F105" t="str">
            <v>BSCKI</v>
          </cell>
          <cell r="G105" t="str">
            <v>TĐ003</v>
          </cell>
          <cell r="H105" t="str">
            <v>Đại học Y Hà Nội</v>
          </cell>
          <cell r="I105">
            <v>2016</v>
          </cell>
          <cell r="J105" t="str">
            <v>Bác sĩ (hạng III)</v>
          </cell>
          <cell r="K105" t="str">
            <v>BS Chính</v>
          </cell>
          <cell r="L105" t="str">
            <v>C.Viên</v>
          </cell>
          <cell r="M105" t="str">
            <v>x</v>
          </cell>
          <cell r="N105" t="str">
            <v>Tr.Cấp</v>
          </cell>
          <cell r="O105" t="str">
            <v>Pháp B</v>
          </cell>
          <cell r="P105" t="str">
            <v>x</v>
          </cell>
          <cell r="Q105" t="str">
            <v>B</v>
          </cell>
        </row>
        <row r="106">
          <cell r="B106" t="str">
            <v>BV0146</v>
          </cell>
          <cell r="C106" t="str">
            <v>Hà Long Sơn</v>
          </cell>
          <cell r="D106" t="str">
            <v>BV0146</v>
          </cell>
          <cell r="F106" t="str">
            <v>BSCKI</v>
          </cell>
          <cell r="G106" t="str">
            <v>TĐ003</v>
          </cell>
          <cell r="H106" t="str">
            <v>Đại học Y Dược Thái Nguyên</v>
          </cell>
          <cell r="I106">
            <v>2009</v>
          </cell>
          <cell r="J106" t="str">
            <v>Bác sĩ (hạng III)</v>
          </cell>
          <cell r="Q106" t="str">
            <v>B</v>
          </cell>
        </row>
        <row r="107">
          <cell r="B107" t="str">
            <v>BV0845</v>
          </cell>
          <cell r="C107" t="str">
            <v>Dương Thị Huyền Trang</v>
          </cell>
          <cell r="D107" t="str">
            <v>BV0845</v>
          </cell>
          <cell r="E107" t="str">
            <v>x</v>
          </cell>
          <cell r="F107" t="str">
            <v>Bác sĩ</v>
          </cell>
          <cell r="G107" t="str">
            <v>TĐ005</v>
          </cell>
          <cell r="H107" t="str">
            <v>Đại học Y dược Thái Bình</v>
          </cell>
          <cell r="I107">
            <v>2016</v>
          </cell>
          <cell r="J107" t="str">
            <v>Bác sĩ (hạng III)</v>
          </cell>
          <cell r="O107" t="str">
            <v>Anh B</v>
          </cell>
          <cell r="Q107" t="str">
            <v>B</v>
          </cell>
        </row>
        <row r="108">
          <cell r="B108" t="str">
            <v>BV0681</v>
          </cell>
          <cell r="C108" t="str">
            <v>Hoàng Thị Thoa</v>
          </cell>
          <cell r="D108" t="str">
            <v>BV0681</v>
          </cell>
          <cell r="E108" t="str">
            <v>x</v>
          </cell>
          <cell r="F108" t="str">
            <v>Bác sĩ</v>
          </cell>
          <cell r="G108" t="str">
            <v>TĐ005</v>
          </cell>
          <cell r="H108" t="str">
            <v>Đại học Y Dược Thái Nguyên</v>
          </cell>
          <cell r="I108">
            <v>2015</v>
          </cell>
          <cell r="J108" t="str">
            <v>Bác sĩ (hạng III)</v>
          </cell>
          <cell r="O108" t="str">
            <v>Anh B</v>
          </cell>
          <cell r="Q108" t="str">
            <v>B</v>
          </cell>
        </row>
        <row r="109">
          <cell r="B109" t="str">
            <v>BV0147</v>
          </cell>
          <cell r="C109" t="str">
            <v>Đinh Thị Nghĩa</v>
          </cell>
          <cell r="D109" t="str">
            <v>BV0147</v>
          </cell>
          <cell r="E109" t="str">
            <v>x</v>
          </cell>
          <cell r="F109" t="str">
            <v>Điều dưỡng ĐH</v>
          </cell>
          <cell r="G109" t="str">
            <v>TĐ011</v>
          </cell>
          <cell r="H109" t="str">
            <v>Đại học Y Dược Thái Nguyên</v>
          </cell>
          <cell r="I109">
            <v>2012</v>
          </cell>
          <cell r="J109" t="str">
            <v>Điều dưỡng (hạng III)</v>
          </cell>
          <cell r="O109" t="str">
            <v>Anh B</v>
          </cell>
          <cell r="Q109" t="str">
            <v>B</v>
          </cell>
        </row>
        <row r="110">
          <cell r="B110" t="str">
            <v>BV0058</v>
          </cell>
          <cell r="C110" t="str">
            <v>Vy Thị Thu Hằng</v>
          </cell>
          <cell r="D110" t="str">
            <v>BV0058</v>
          </cell>
          <cell r="E110" t="str">
            <v>x</v>
          </cell>
          <cell r="F110" t="str">
            <v>Điều dưỡng ĐH</v>
          </cell>
          <cell r="G110" t="str">
            <v>TĐ012</v>
          </cell>
          <cell r="H110" t="str">
            <v>Trung học Y tế Lạng Sơn</v>
          </cell>
          <cell r="I110">
            <v>2005</v>
          </cell>
          <cell r="J110" t="str">
            <v>Điều dưỡng (hạng IV)</v>
          </cell>
          <cell r="N110" t="str">
            <v>Sơ Cấp</v>
          </cell>
          <cell r="O110" t="str">
            <v>Anh A2</v>
          </cell>
          <cell r="P110" t="str">
            <v>Tày</v>
          </cell>
          <cell r="Q110" t="str">
            <v>Cơ bản</v>
          </cell>
        </row>
        <row r="111">
          <cell r="B111" t="str">
            <v>BV0151</v>
          </cell>
          <cell r="C111" t="str">
            <v>Thi Văn Hiển</v>
          </cell>
          <cell r="D111" t="str">
            <v>BV0151</v>
          </cell>
          <cell r="F111" t="str">
            <v>Điều dưỡng CĐ</v>
          </cell>
          <cell r="G111" t="str">
            <v>TĐ012</v>
          </cell>
          <cell r="H111" t="str">
            <v>Cao đẳng Y tế Lạng Sơn</v>
          </cell>
          <cell r="I111">
            <v>2015</v>
          </cell>
          <cell r="J111" t="str">
            <v>Điều dưỡng (hạng IV)</v>
          </cell>
          <cell r="O111" t="str">
            <v>Anh A2</v>
          </cell>
          <cell r="Q111" t="str">
            <v>Cơ bản</v>
          </cell>
        </row>
        <row r="112">
          <cell r="B112" t="str">
            <v>BV0150</v>
          </cell>
          <cell r="C112" t="str">
            <v>Nông Thị Ngọc</v>
          </cell>
          <cell r="D112" t="str">
            <v>BV0150</v>
          </cell>
          <cell r="E112" t="str">
            <v>x</v>
          </cell>
          <cell r="F112" t="str">
            <v>Điều dưỡng CĐ</v>
          </cell>
          <cell r="G112" t="str">
            <v>TĐ012</v>
          </cell>
          <cell r="H112" t="str">
            <v>Cao đẳng Y tế Lạng Sơn</v>
          </cell>
          <cell r="I112">
            <v>2018</v>
          </cell>
          <cell r="J112" t="str">
            <v>Điều dưỡng (hạng IV)</v>
          </cell>
          <cell r="O112" t="str">
            <v>Anh A2</v>
          </cell>
          <cell r="Q112" t="str">
            <v>Cơ bản</v>
          </cell>
        </row>
        <row r="113">
          <cell r="B113" t="str">
            <v>BV0157</v>
          </cell>
          <cell r="C113" t="str">
            <v>Hoàng Thị Lý</v>
          </cell>
          <cell r="D113" t="str">
            <v>BV0157</v>
          </cell>
          <cell r="E113" t="str">
            <v>x</v>
          </cell>
          <cell r="F113" t="str">
            <v>Điều dưỡng CĐ</v>
          </cell>
          <cell r="G113" t="str">
            <v>TĐ012</v>
          </cell>
          <cell r="H113" t="str">
            <v>Cao đẳng Y tế Lạng Sơn</v>
          </cell>
          <cell r="I113">
            <v>2007</v>
          </cell>
          <cell r="J113" t="str">
            <v>Điều dưỡng (hạng IV)</v>
          </cell>
          <cell r="O113" t="str">
            <v>TOEFL</v>
          </cell>
          <cell r="Q113" t="str">
            <v>Cơ bản</v>
          </cell>
        </row>
        <row r="114">
          <cell r="B114" t="str">
            <v>BV0111</v>
          </cell>
          <cell r="C114" t="str">
            <v>Vương Quỳnh Chi</v>
          </cell>
          <cell r="D114" t="str">
            <v>BV0111</v>
          </cell>
          <cell r="E114" t="str">
            <v>x</v>
          </cell>
          <cell r="F114" t="str">
            <v>Điều dưỡng TC</v>
          </cell>
          <cell r="G114" t="str">
            <v>TĐ013</v>
          </cell>
          <cell r="H114" t="str">
            <v>Cao đẳng Y tế Lạng Sơn</v>
          </cell>
          <cell r="I114">
            <v>2007</v>
          </cell>
          <cell r="J114" t="str">
            <v>Điều dưỡng (hạng IV)</v>
          </cell>
          <cell r="O114" t="str">
            <v>TOEFL</v>
          </cell>
          <cell r="Q114" t="str">
            <v>Cơ bản</v>
          </cell>
        </row>
        <row r="115">
          <cell r="B115" t="str">
            <v>BV0085</v>
          </cell>
          <cell r="C115" t="str">
            <v>Lương Thị Thu Hương</v>
          </cell>
          <cell r="D115" t="str">
            <v>BV0085</v>
          </cell>
          <cell r="E115" t="str">
            <v>x</v>
          </cell>
          <cell r="F115" t="str">
            <v>Điều dưỡng TC</v>
          </cell>
          <cell r="G115" t="str">
            <v>TĐ013</v>
          </cell>
          <cell r="H115" t="str">
            <v>Trung học Y tế Thái Nguyên</v>
          </cell>
          <cell r="I115">
            <v>2006</v>
          </cell>
          <cell r="J115" t="str">
            <v>Điều dưỡng (hạng IV)</v>
          </cell>
          <cell r="O115" t="str">
            <v>Anh B</v>
          </cell>
          <cell r="Q115" t="str">
            <v>Cơ bản</v>
          </cell>
        </row>
        <row r="116">
          <cell r="B116" t="str">
            <v>BV0155</v>
          </cell>
          <cell r="C116" t="str">
            <v>Nguyễn Đình Nhâm</v>
          </cell>
          <cell r="D116" t="str">
            <v>BV0155</v>
          </cell>
          <cell r="F116" t="str">
            <v>Điều dưỡng TC</v>
          </cell>
          <cell r="G116" t="str">
            <v>TĐ013</v>
          </cell>
          <cell r="H116" t="e">
            <v>#N/A</v>
          </cell>
          <cell r="I116" t="e">
            <v>#N/A</v>
          </cell>
          <cell r="J116" t="str">
            <v>Điều dưỡng (hạng IV)</v>
          </cell>
          <cell r="O116" t="str">
            <v>TOEFL</v>
          </cell>
          <cell r="Q116" t="str">
            <v>Cơ bản</v>
          </cell>
        </row>
        <row r="117">
          <cell r="B117" t="str">
            <v>BV0158</v>
          </cell>
          <cell r="C117" t="str">
            <v>Ma Thị Nhung</v>
          </cell>
          <cell r="D117" t="str">
            <v>BV0158</v>
          </cell>
          <cell r="E117" t="str">
            <v>x</v>
          </cell>
          <cell r="F117" t="str">
            <v>Điều dưỡng TC</v>
          </cell>
          <cell r="G117" t="str">
            <v>TĐ013</v>
          </cell>
          <cell r="H117">
            <v>0</v>
          </cell>
          <cell r="I117">
            <v>0</v>
          </cell>
          <cell r="J117" t="str">
            <v>Điều dưỡng (hạng IV)</v>
          </cell>
          <cell r="Q117" t="str">
            <v>B</v>
          </cell>
        </row>
        <row r="118">
          <cell r="B118" t="str">
            <v>BV0159</v>
          </cell>
          <cell r="C118" t="str">
            <v>Mạc Thu Quyên</v>
          </cell>
          <cell r="D118" t="str">
            <v>BV0159</v>
          </cell>
          <cell r="E118" t="str">
            <v>x</v>
          </cell>
          <cell r="F118" t="str">
            <v>Điều dưỡng TC</v>
          </cell>
          <cell r="G118" t="str">
            <v>TĐ013</v>
          </cell>
          <cell r="H118" t="e">
            <v>#N/A</v>
          </cell>
          <cell r="I118" t="e">
            <v>#N/A</v>
          </cell>
          <cell r="J118" t="str">
            <v>Điều dưỡng (hạng IV)</v>
          </cell>
          <cell r="Q118" t="str">
            <v>A</v>
          </cell>
        </row>
        <row r="119">
          <cell r="B119" t="str">
            <v>BV0152</v>
          </cell>
          <cell r="C119" t="str">
            <v>Hoàng Thị Thắm</v>
          </cell>
          <cell r="D119" t="str">
            <v>BV0152</v>
          </cell>
          <cell r="E119" t="str">
            <v>x</v>
          </cell>
          <cell r="F119" t="str">
            <v>Điều dưỡng TC</v>
          </cell>
          <cell r="G119" t="str">
            <v>TĐ013</v>
          </cell>
          <cell r="H119" t="str">
            <v>Cao đẳng Y tế Lạng Sơn</v>
          </cell>
          <cell r="I119">
            <v>2008</v>
          </cell>
          <cell r="J119" t="str">
            <v>Điều dưỡng (hạng IV)</v>
          </cell>
          <cell r="O119" t="str">
            <v>TOEFL</v>
          </cell>
          <cell r="Q119" t="str">
            <v>Cơ bản</v>
          </cell>
        </row>
        <row r="120">
          <cell r="B120" t="str">
            <v>BV0156</v>
          </cell>
          <cell r="C120" t="str">
            <v>Nông Công Trọng</v>
          </cell>
          <cell r="D120" t="str">
            <v>BV0156</v>
          </cell>
          <cell r="F120" t="str">
            <v>Điều dưỡng TC</v>
          </cell>
          <cell r="G120" t="str">
            <v>TĐ013</v>
          </cell>
          <cell r="H120" t="str">
            <v>Cao đẳng Y tế Lạng Sơn</v>
          </cell>
          <cell r="I120">
            <v>2009</v>
          </cell>
          <cell r="J120" t="str">
            <v>Điều dưỡng (hạng IV)</v>
          </cell>
          <cell r="O120" t="str">
            <v>Anh B</v>
          </cell>
          <cell r="Q120" t="str">
            <v>Cơ bản</v>
          </cell>
        </row>
        <row r="121">
          <cell r="B121" t="str">
            <v>BV0192</v>
          </cell>
          <cell r="C121" t="str">
            <v>Phạm Thị Bình</v>
          </cell>
          <cell r="D121" t="str">
            <v>BV0192</v>
          </cell>
          <cell r="E121" t="str">
            <v>x</v>
          </cell>
          <cell r="F121" t="str">
            <v>Điều dưỡng TC</v>
          </cell>
          <cell r="G121" t="str">
            <v>TĐ013</v>
          </cell>
          <cell r="H121" t="str">
            <v>Trung học Y tế Lạng Sơn</v>
          </cell>
          <cell r="I121">
            <v>2006</v>
          </cell>
          <cell r="J121" t="str">
            <v>Điều dưỡng (hạng IV)</v>
          </cell>
          <cell r="O121" t="str">
            <v>Anh B</v>
          </cell>
        </row>
        <row r="122">
          <cell r="B122" t="str">
            <v>BV0092</v>
          </cell>
          <cell r="C122" t="str">
            <v>Hà Đình Nghị</v>
          </cell>
          <cell r="D122" t="str">
            <v>BV0092</v>
          </cell>
          <cell r="F122" t="str">
            <v>BSCKI</v>
          </cell>
          <cell r="G122" t="str">
            <v>TĐ003</v>
          </cell>
          <cell r="H122" t="str">
            <v>Đại học Y Hà Nội</v>
          </cell>
          <cell r="I122">
            <v>2014</v>
          </cell>
          <cell r="J122" t="str">
            <v>Bác sĩ (hạng III)</v>
          </cell>
          <cell r="M122" t="str">
            <v>x</v>
          </cell>
          <cell r="P122" t="str">
            <v>Tày</v>
          </cell>
          <cell r="Q122" t="str">
            <v>Cơ bản</v>
          </cell>
        </row>
        <row r="123">
          <cell r="B123" t="str">
            <v>BV0094</v>
          </cell>
          <cell r="C123" t="str">
            <v>Nguyễn Ngọc Bình</v>
          </cell>
          <cell r="D123" t="str">
            <v>BV0094</v>
          </cell>
          <cell r="F123" t="str">
            <v>BSCKI</v>
          </cell>
          <cell r="G123" t="str">
            <v>TĐ003</v>
          </cell>
          <cell r="H123" t="str">
            <v>Đại học Y dược Thái Nguyên</v>
          </cell>
          <cell r="I123">
            <v>2012</v>
          </cell>
          <cell r="J123" t="str">
            <v>Bác sĩ (hạng III)</v>
          </cell>
          <cell r="O123" t="str">
            <v>Anh A2</v>
          </cell>
          <cell r="Q123" t="str">
            <v>Cơ bản</v>
          </cell>
        </row>
        <row r="124">
          <cell r="B124" t="str">
            <v>BV0837</v>
          </cell>
          <cell r="C124" t="str">
            <v>Hoàng Thị Bèn</v>
          </cell>
          <cell r="D124" t="str">
            <v>BV0837</v>
          </cell>
          <cell r="E124" t="str">
            <v>x</v>
          </cell>
          <cell r="F124" t="str">
            <v>Bác sĩ</v>
          </cell>
          <cell r="G124" t="str">
            <v>TĐ005</v>
          </cell>
          <cell r="H124" t="str">
            <v>Đại học Y dược Thái Nguyên</v>
          </cell>
          <cell r="I124">
            <v>2016</v>
          </cell>
          <cell r="J124" t="str">
            <v>Bác sĩ (hạng III)</v>
          </cell>
          <cell r="O124" t="str">
            <v>Anh A3</v>
          </cell>
          <cell r="Q124" t="str">
            <v>Cơ bản</v>
          </cell>
        </row>
        <row r="125">
          <cell r="B125" t="str">
            <v>BV0122</v>
          </cell>
          <cell r="C125" t="str">
            <v>Trần Thị Quy</v>
          </cell>
          <cell r="D125" t="str">
            <v>BV0122</v>
          </cell>
          <cell r="E125" t="str">
            <v>x</v>
          </cell>
          <cell r="F125" t="str">
            <v>Bác sĩ</v>
          </cell>
          <cell r="G125" t="str">
            <v>TĐ005</v>
          </cell>
          <cell r="H125" t="str">
            <v>Đại học Y dược Thái Nguyên</v>
          </cell>
          <cell r="I125">
            <v>2013</v>
          </cell>
          <cell r="J125" t="str">
            <v>Bác sĩ (hạng III)</v>
          </cell>
          <cell r="O125" t="str">
            <v>Anh Bậc 3</v>
          </cell>
          <cell r="Q125" t="str">
            <v>Tin B</v>
          </cell>
        </row>
        <row r="126">
          <cell r="B126" t="str">
            <v>BV0888</v>
          </cell>
          <cell r="C126" t="str">
            <v>Hoàng Thị Hồng Ánh</v>
          </cell>
          <cell r="D126" t="str">
            <v>BV0888</v>
          </cell>
          <cell r="E126" t="str">
            <v>x</v>
          </cell>
          <cell r="F126" t="str">
            <v>Bác sĩ</v>
          </cell>
          <cell r="G126" t="str">
            <v>TĐ005</v>
          </cell>
          <cell r="H126" t="e">
            <v>#N/A</v>
          </cell>
          <cell r="I126" t="e">
            <v>#N/A</v>
          </cell>
          <cell r="J126" t="str">
            <v>Bác sĩ (hạng III)</v>
          </cell>
          <cell r="O126" t="str">
            <v>Anh B</v>
          </cell>
          <cell r="Q126" t="str">
            <v>Cơ bản</v>
          </cell>
        </row>
        <row r="127">
          <cell r="B127" t="str">
            <v>BV1029</v>
          </cell>
          <cell r="C127" t="str">
            <v>Đào Thị Ngọc Huyền</v>
          </cell>
          <cell r="D127" t="str">
            <v>BV1029</v>
          </cell>
          <cell r="E127" t="str">
            <v>x</v>
          </cell>
          <cell r="F127" t="str">
            <v>Bác sĩ</v>
          </cell>
          <cell r="G127" t="str">
            <v>TĐ005</v>
          </cell>
          <cell r="H127" t="str">
            <v>ĐH Y - Dược Thái Nguyên</v>
          </cell>
          <cell r="I127">
            <v>0</v>
          </cell>
          <cell r="J127" t="str">
            <v>Bác sĩ (hạng III)</v>
          </cell>
          <cell r="O127" t="str">
            <v>Anh B</v>
          </cell>
          <cell r="Q127" t="str">
            <v>Tin B</v>
          </cell>
        </row>
        <row r="128">
          <cell r="B128" t="str">
            <v>BV0079</v>
          </cell>
          <cell r="C128" t="str">
            <v>Nguyễn Văn Hưng</v>
          </cell>
          <cell r="D128" t="str">
            <v>BV0079</v>
          </cell>
          <cell r="F128" t="str">
            <v>Điều dưỡng ĐH</v>
          </cell>
          <cell r="G128" t="str">
            <v>TĐ011</v>
          </cell>
          <cell r="H128" t="str">
            <v>Đại học Y Dược Thái Nguyên</v>
          </cell>
          <cell r="I128">
            <v>2011</v>
          </cell>
          <cell r="J128" t="str">
            <v>Điều dưỡng (hạng III)</v>
          </cell>
          <cell r="O128" t="str">
            <v>Anh B</v>
          </cell>
          <cell r="Q128" t="str">
            <v>Tin B</v>
          </cell>
        </row>
        <row r="129">
          <cell r="B129" t="str">
            <v>BV0306</v>
          </cell>
          <cell r="C129" t="str">
            <v>Lý Thị Thủy</v>
          </cell>
          <cell r="D129" t="str">
            <v>BV0306</v>
          </cell>
          <cell r="E129" t="str">
            <v>x</v>
          </cell>
          <cell r="F129" t="str">
            <v>Điều dưỡng ĐH</v>
          </cell>
          <cell r="G129" t="str">
            <v>TĐ011</v>
          </cell>
          <cell r="H129" t="str">
            <v>Đại học Y Dược ĐH Thái Nguyên</v>
          </cell>
          <cell r="I129">
            <v>2017</v>
          </cell>
          <cell r="J129" t="str">
            <v>Điều dưỡng (hạng III)</v>
          </cell>
          <cell r="O129" t="str">
            <v>Anh B</v>
          </cell>
          <cell r="Q129" t="str">
            <v>Cơ bản</v>
          </cell>
        </row>
        <row r="130">
          <cell r="B130" t="str">
            <v>BV0032</v>
          </cell>
          <cell r="C130" t="str">
            <v>Nguyễn Huyền Trang</v>
          </cell>
          <cell r="D130" t="str">
            <v>BV0032</v>
          </cell>
          <cell r="E130" t="str">
            <v>x</v>
          </cell>
          <cell r="F130" t="str">
            <v>Điều dưỡng TC</v>
          </cell>
          <cell r="G130" t="str">
            <v>TĐ013</v>
          </cell>
          <cell r="H130" t="str">
            <v>Trung cấp Y tế Hải Dương</v>
          </cell>
          <cell r="I130">
            <v>2011</v>
          </cell>
          <cell r="J130" t="str">
            <v>Điều dưỡng (hạng IV)</v>
          </cell>
          <cell r="O130" t="str">
            <v>Anh B</v>
          </cell>
          <cell r="Q130" t="str">
            <v>Tin B</v>
          </cell>
        </row>
        <row r="131">
          <cell r="B131" t="str">
            <v>BV0385</v>
          </cell>
          <cell r="C131" t="str">
            <v>Nông Quốc Bình</v>
          </cell>
          <cell r="D131" t="str">
            <v>BV0385</v>
          </cell>
          <cell r="F131" t="str">
            <v>Điều dưỡng TC</v>
          </cell>
          <cell r="G131" t="str">
            <v>TĐ013</v>
          </cell>
          <cell r="H131" t="e">
            <v>#N/A</v>
          </cell>
          <cell r="I131" t="e">
            <v>#N/A</v>
          </cell>
          <cell r="J131" t="str">
            <v>Điều dưỡng (hạng IV)</v>
          </cell>
        </row>
        <row r="132">
          <cell r="B132" t="str">
            <v>BV0113</v>
          </cell>
          <cell r="C132" t="str">
            <v>Lăng Hồng Chiêm</v>
          </cell>
          <cell r="D132" t="str">
            <v>BV0113</v>
          </cell>
          <cell r="E132" t="str">
            <v>x</v>
          </cell>
          <cell r="F132" t="str">
            <v>Điều dưỡng TC</v>
          </cell>
          <cell r="G132" t="str">
            <v>TĐ013</v>
          </cell>
          <cell r="H132" t="str">
            <v>Trung học Y tế Lạng Sơn</v>
          </cell>
          <cell r="I132">
            <v>2006</v>
          </cell>
          <cell r="J132" t="str">
            <v>Điều dưỡng (hạng IV)</v>
          </cell>
          <cell r="O132" t="str">
            <v>Anh B</v>
          </cell>
          <cell r="Q132" t="str">
            <v>Cơ bản</v>
          </cell>
        </row>
        <row r="133">
          <cell r="B133" t="str">
            <v>BV0116</v>
          </cell>
          <cell r="C133" t="str">
            <v>Lương Thị Lê</v>
          </cell>
          <cell r="D133" t="str">
            <v>BV0116</v>
          </cell>
          <cell r="E133" t="str">
            <v>x</v>
          </cell>
          <cell r="F133" t="str">
            <v>Điều dưỡng TC</v>
          </cell>
          <cell r="G133" t="str">
            <v>TĐ013</v>
          </cell>
          <cell r="H133" t="str">
            <v>Cao đẳng Y tế Lạng Sơn</v>
          </cell>
          <cell r="I133">
            <v>2007</v>
          </cell>
          <cell r="J133" t="str">
            <v>Điều dưỡng (hạng IV)</v>
          </cell>
          <cell r="O133" t="str">
            <v>Anh B</v>
          </cell>
          <cell r="Q133" t="str">
            <v>Cơ bản</v>
          </cell>
        </row>
        <row r="134">
          <cell r="B134" t="str">
            <v>BV0105</v>
          </cell>
          <cell r="C134" t="str">
            <v>Hứa Quang Phong</v>
          </cell>
          <cell r="D134" t="str">
            <v>BV0105</v>
          </cell>
          <cell r="F134" t="str">
            <v>Điều dưỡng CĐ</v>
          </cell>
          <cell r="G134" t="str">
            <v>TĐ013</v>
          </cell>
          <cell r="H134" t="str">
            <v>Cao đẳng Y tế Lạng Sơn</v>
          </cell>
          <cell r="I134">
            <v>2007</v>
          </cell>
          <cell r="J134" t="str">
            <v>Điều dưỡng (hạng IV)</v>
          </cell>
          <cell r="Q134" t="str">
            <v>A</v>
          </cell>
        </row>
        <row r="135">
          <cell r="B135" t="str">
            <v>BV0030</v>
          </cell>
          <cell r="C135" t="str">
            <v>Trương Thị Theo</v>
          </cell>
          <cell r="D135" t="str">
            <v>BV0030</v>
          </cell>
          <cell r="E135" t="str">
            <v>x</v>
          </cell>
          <cell r="F135" t="str">
            <v>Điều dưỡng TC</v>
          </cell>
          <cell r="G135" t="str">
            <v>TĐ013</v>
          </cell>
          <cell r="H135" t="str">
            <v>Cao đẳng Y tế Lạng Sơn</v>
          </cell>
          <cell r="I135">
            <v>2010</v>
          </cell>
          <cell r="J135" t="str">
            <v>Điều dưỡng (hạng IV)</v>
          </cell>
          <cell r="P135" t="str">
            <v>Tày</v>
          </cell>
          <cell r="Q135" t="str">
            <v>Cơ bản</v>
          </cell>
        </row>
        <row r="136">
          <cell r="B136" t="str">
            <v>BV0163</v>
          </cell>
          <cell r="C136" t="str">
            <v>Lăng Văn Lâm</v>
          </cell>
          <cell r="D136" t="str">
            <v>BV0163</v>
          </cell>
          <cell r="F136" t="str">
            <v>BSCKI</v>
          </cell>
          <cell r="G136" t="str">
            <v>TĐ003</v>
          </cell>
          <cell r="H136" t="str">
            <v>Đại học Y Hà Nội</v>
          </cell>
          <cell r="I136">
            <v>2008</v>
          </cell>
          <cell r="J136" t="str">
            <v>Bác sĩ chính (hạng II)</v>
          </cell>
          <cell r="M136" t="str">
            <v>x</v>
          </cell>
          <cell r="O136" t="str">
            <v>Anh B</v>
          </cell>
          <cell r="P136" t="str">
            <v>Tày</v>
          </cell>
          <cell r="Q136" t="str">
            <v>Cơ bản</v>
          </cell>
        </row>
        <row r="137">
          <cell r="B137" t="str">
            <v>BV0683</v>
          </cell>
          <cell r="C137" t="str">
            <v>Lý Thị Hoàng Hạnh</v>
          </cell>
          <cell r="D137" t="str">
            <v>BV0683</v>
          </cell>
          <cell r="E137" t="str">
            <v>x</v>
          </cell>
          <cell r="F137" t="str">
            <v>Bác sĩ</v>
          </cell>
          <cell r="G137" t="str">
            <v>TĐ005</v>
          </cell>
          <cell r="H137" t="str">
            <v>Đại học Y dược Hải Phòng</v>
          </cell>
          <cell r="I137">
            <v>2015</v>
          </cell>
          <cell r="J137" t="str">
            <v>Bác sĩ (hạng III)</v>
          </cell>
          <cell r="O137" t="str">
            <v>Anh B</v>
          </cell>
          <cell r="Q137" t="str">
            <v>Tin B</v>
          </cell>
        </row>
        <row r="138">
          <cell r="B138" t="str">
            <v>BV1032</v>
          </cell>
          <cell r="C138" t="str">
            <v>Triệu Thị Khách</v>
          </cell>
          <cell r="D138" t="str">
            <v>BV1032</v>
          </cell>
          <cell r="E138" t="str">
            <v>x</v>
          </cell>
          <cell r="F138" t="str">
            <v>Bác sĩ</v>
          </cell>
          <cell r="G138" t="str">
            <v>TĐ005</v>
          </cell>
          <cell r="H138">
            <v>0</v>
          </cell>
          <cell r="I138">
            <v>0</v>
          </cell>
          <cell r="J138" t="str">
            <v>Bác sĩ (hạng III)</v>
          </cell>
          <cell r="M138" t="str">
            <v>X</v>
          </cell>
          <cell r="O138" t="str">
            <v>Anh B</v>
          </cell>
          <cell r="P138" t="str">
            <v>Tày</v>
          </cell>
        </row>
        <row r="139">
          <cell r="B139" t="str">
            <v>BV0168</v>
          </cell>
          <cell r="C139" t="str">
            <v>Vi Thị Hường</v>
          </cell>
          <cell r="D139" t="str">
            <v>BV0168</v>
          </cell>
          <cell r="E139" t="str">
            <v>x</v>
          </cell>
          <cell r="F139" t="str">
            <v>Điều dưỡng ĐH</v>
          </cell>
          <cell r="G139" t="str">
            <v>TĐ011</v>
          </cell>
          <cell r="H139" t="str">
            <v>Đại học Thành Tây</v>
          </cell>
          <cell r="I139">
            <v>2016</v>
          </cell>
          <cell r="J139" t="str">
            <v>Điều dưỡng (hạng III)</v>
          </cell>
          <cell r="N139" t="str">
            <v>SC</v>
          </cell>
          <cell r="Q139" t="str">
            <v>Tin B</v>
          </cell>
        </row>
        <row r="140">
          <cell r="B140" t="str">
            <v>BV0123</v>
          </cell>
          <cell r="C140" t="str">
            <v>Lộc Thị Nhớ</v>
          </cell>
          <cell r="D140" t="str">
            <v>BV0123</v>
          </cell>
          <cell r="E140" t="str">
            <v>x</v>
          </cell>
          <cell r="F140" t="str">
            <v>Điều dưỡng ĐH</v>
          </cell>
          <cell r="G140" t="str">
            <v>TĐ011</v>
          </cell>
          <cell r="H140" t="str">
            <v>Trung học Y tế Lạng Sơn</v>
          </cell>
          <cell r="I140">
            <v>1997</v>
          </cell>
          <cell r="J140" t="str">
            <v>Điều dưỡng (hạng III)</v>
          </cell>
          <cell r="Q140" t="str">
            <v>Tin A</v>
          </cell>
        </row>
        <row r="141">
          <cell r="B141" t="str">
            <v>BV0107</v>
          </cell>
          <cell r="C141" t="str">
            <v>Đoàn Thị Hường</v>
          </cell>
          <cell r="D141" t="str">
            <v>BV0107</v>
          </cell>
          <cell r="E141" t="str">
            <v>x</v>
          </cell>
          <cell r="F141" t="str">
            <v>Điều dưỡng CĐ</v>
          </cell>
          <cell r="G141" t="str">
            <v>TĐ012</v>
          </cell>
          <cell r="H141" t="str">
            <v>Cao đẳng Y tế Lạng Sơn</v>
          </cell>
          <cell r="I141">
            <v>2015</v>
          </cell>
          <cell r="J141" t="str">
            <v>Điều dưỡng (hạng IV)</v>
          </cell>
          <cell r="P141" t="str">
            <v>Tày</v>
          </cell>
          <cell r="Q141" t="str">
            <v>Cơ bản</v>
          </cell>
        </row>
        <row r="142">
          <cell r="B142" t="str">
            <v>BV0025</v>
          </cell>
          <cell r="C142" t="str">
            <v>Hoàng Thị Thược</v>
          </cell>
          <cell r="D142" t="str">
            <v>BV0025</v>
          </cell>
          <cell r="E142" t="str">
            <v>x</v>
          </cell>
          <cell r="F142" t="str">
            <v>Điều dưỡng TC</v>
          </cell>
          <cell r="G142" t="str">
            <v>TĐ013</v>
          </cell>
          <cell r="H142" t="str">
            <v>Cao đẳng Y tế Lạng Sơn</v>
          </cell>
          <cell r="I142">
            <v>2008</v>
          </cell>
          <cell r="J142" t="str">
            <v>Điều dưỡng (hạng IV)</v>
          </cell>
          <cell r="O142" t="str">
            <v>Anh B</v>
          </cell>
          <cell r="Q142" t="str">
            <v>Tin B</v>
          </cell>
        </row>
        <row r="143">
          <cell r="B143" t="str">
            <v>BV0166</v>
          </cell>
          <cell r="C143" t="str">
            <v>Triệu Văn Khiêm</v>
          </cell>
          <cell r="D143" t="str">
            <v>BV0166</v>
          </cell>
          <cell r="F143" t="str">
            <v>Điều dưỡng TC</v>
          </cell>
          <cell r="G143" t="str">
            <v>TĐ013</v>
          </cell>
          <cell r="H143" t="str">
            <v>Cao đẳng Y tế Lạng Sơn</v>
          </cell>
          <cell r="I143">
            <v>2018</v>
          </cell>
          <cell r="J143" t="str">
            <v>Điều dưỡng (hạng IV)</v>
          </cell>
          <cell r="Q143" t="str">
            <v>Tin B</v>
          </cell>
        </row>
        <row r="144">
          <cell r="B144" t="str">
            <v>BV0039</v>
          </cell>
          <cell r="C144" t="str">
            <v>Nguyễn Thị Oanh</v>
          </cell>
          <cell r="D144" t="str">
            <v>BV0039</v>
          </cell>
          <cell r="E144" t="str">
            <v>x</v>
          </cell>
          <cell r="F144" t="str">
            <v>Điều dưỡng TC</v>
          </cell>
          <cell r="G144" t="str">
            <v>TĐ013</v>
          </cell>
          <cell r="H144" t="e">
            <v>#N/A</v>
          </cell>
          <cell r="I144" t="e">
            <v>#N/A</v>
          </cell>
          <cell r="J144" t="str">
            <v>Điều dưỡng (hạng IV)</v>
          </cell>
          <cell r="Q144" t="str">
            <v>Cơ bản</v>
          </cell>
        </row>
        <row r="145">
          <cell r="B145" t="str">
            <v>BV0193</v>
          </cell>
          <cell r="C145" t="str">
            <v>Hoàng Thị Xuân</v>
          </cell>
          <cell r="D145" t="str">
            <v>BV0193</v>
          </cell>
          <cell r="E145" t="str">
            <v>x</v>
          </cell>
          <cell r="F145" t="str">
            <v>Điều dưỡng TC</v>
          </cell>
          <cell r="G145" t="str">
            <v>TĐ013</v>
          </cell>
          <cell r="H145" t="str">
            <v>Trung học Y tế Lạng Sơn</v>
          </cell>
          <cell r="I145">
            <v>2006</v>
          </cell>
          <cell r="J145" t="str">
            <v>Điều dưỡng (hạng IV)</v>
          </cell>
          <cell r="Q145" t="str">
            <v>Tin B</v>
          </cell>
        </row>
        <row r="146">
          <cell r="B146" t="str">
            <v>BV0230</v>
          </cell>
          <cell r="C146" t="str">
            <v>Lê Mạnh Toàn</v>
          </cell>
          <cell r="D146" t="str">
            <v>BV0230</v>
          </cell>
          <cell r="F146" t="str">
            <v>Điều dưỡng TC</v>
          </cell>
          <cell r="G146" t="str">
            <v>TĐ013</v>
          </cell>
          <cell r="H146" t="str">
            <v>TH Y tế Lạng Sơn</v>
          </cell>
          <cell r="I146">
            <v>2005</v>
          </cell>
          <cell r="J146" t="str">
            <v>Điều dưỡng (hạng IV)</v>
          </cell>
          <cell r="Q146" t="str">
            <v>Tin B</v>
          </cell>
        </row>
        <row r="147">
          <cell r="B147" t="str">
            <v>BV0175</v>
          </cell>
          <cell r="C147" t="str">
            <v>Phan Chí Dũng</v>
          </cell>
          <cell r="D147" t="str">
            <v>BV0175</v>
          </cell>
          <cell r="F147" t="str">
            <v>BSCKII</v>
          </cell>
          <cell r="G147" t="str">
            <v>TĐ001</v>
          </cell>
          <cell r="H147" t="str">
            <v>Đại học Y Hà Nội</v>
          </cell>
          <cell r="I147">
            <v>2015</v>
          </cell>
          <cell r="J147" t="str">
            <v>Bác sĩ chính (hạng II)</v>
          </cell>
          <cell r="L147" t="str">
            <v>Chuyên viên</v>
          </cell>
          <cell r="M147" t="str">
            <v>x</v>
          </cell>
          <cell r="N147" t="str">
            <v>Trung cấp</v>
          </cell>
          <cell r="O147" t="str">
            <v>Anh C</v>
          </cell>
          <cell r="Q147" t="str">
            <v>Tin B</v>
          </cell>
        </row>
        <row r="148">
          <cell r="B148" t="str">
            <v>BV0177</v>
          </cell>
          <cell r="C148" t="str">
            <v>Hà Thanh Bình</v>
          </cell>
          <cell r="D148" t="str">
            <v>BV0177</v>
          </cell>
          <cell r="F148" t="str">
            <v>BSCKI</v>
          </cell>
          <cell r="G148" t="str">
            <v>TĐ003</v>
          </cell>
          <cell r="H148">
            <v>0</v>
          </cell>
          <cell r="I148">
            <v>0</v>
          </cell>
          <cell r="J148" t="str">
            <v>Bác sĩ (hạng III)</v>
          </cell>
          <cell r="M148" t="str">
            <v>x</v>
          </cell>
          <cell r="O148" t="str">
            <v>Anh A2</v>
          </cell>
          <cell r="P148" t="str">
            <v>Cơ bản</v>
          </cell>
          <cell r="Q148" t="str">
            <v>Cơ bản</v>
          </cell>
        </row>
        <row r="149">
          <cell r="B149" t="str">
            <v>BV0178</v>
          </cell>
          <cell r="C149" t="str">
            <v>Triệu Đức Anh</v>
          </cell>
          <cell r="D149" t="str">
            <v>BV0178</v>
          </cell>
          <cell r="F149" t="str">
            <v>BSCKI</v>
          </cell>
          <cell r="G149" t="str">
            <v>TĐ003</v>
          </cell>
          <cell r="H149">
            <v>0</v>
          </cell>
          <cell r="I149">
            <v>0</v>
          </cell>
          <cell r="J149" t="str">
            <v>Bác sĩ (hạng III)</v>
          </cell>
          <cell r="M149" t="str">
            <v>x</v>
          </cell>
          <cell r="P149" t="str">
            <v>Tày</v>
          </cell>
          <cell r="Q149" t="str">
            <v>Cơ bản</v>
          </cell>
        </row>
        <row r="150">
          <cell r="B150" t="str">
            <v>BV0179</v>
          </cell>
          <cell r="C150" t="str">
            <v>Vũ Tuấn Minh</v>
          </cell>
          <cell r="D150" t="str">
            <v>BV0179</v>
          </cell>
          <cell r="F150" t="str">
            <v>BSCKI</v>
          </cell>
          <cell r="G150" t="str">
            <v>TĐ003</v>
          </cell>
          <cell r="H150" t="str">
            <v>Đại học Y Hà Nội</v>
          </cell>
          <cell r="I150">
            <v>2012</v>
          </cell>
          <cell r="J150" t="str">
            <v>Bác sĩ (hạng III)</v>
          </cell>
          <cell r="M150" t="str">
            <v>x</v>
          </cell>
          <cell r="O150" t="str">
            <v>Anh B</v>
          </cell>
          <cell r="Q150" t="str">
            <v>CC Tin Sau ĐH</v>
          </cell>
        </row>
        <row r="151">
          <cell r="B151" t="str">
            <v>BV0148</v>
          </cell>
          <cell r="C151" t="str">
            <v>Nguyễn Thị Oanh</v>
          </cell>
          <cell r="D151" t="str">
            <v>BV0148</v>
          </cell>
          <cell r="E151" t="str">
            <v>x</v>
          </cell>
          <cell r="F151" t="str">
            <v>Điều dưỡng ĐH</v>
          </cell>
          <cell r="G151" t="str">
            <v>TĐ012</v>
          </cell>
          <cell r="H151" t="str">
            <v>Cao đẳng Y tế Lạng Sơn</v>
          </cell>
          <cell r="I151">
            <v>2018</v>
          </cell>
          <cell r="J151" t="str">
            <v>Điều dưỡng (hạng IV)</v>
          </cell>
          <cell r="P151" t="str">
            <v>Tày</v>
          </cell>
          <cell r="Q151" t="str">
            <v>Cơ bản</v>
          </cell>
        </row>
        <row r="152">
          <cell r="B152" t="str">
            <v>BV0336</v>
          </cell>
          <cell r="C152" t="str">
            <v>Hứa Văn Quỳnh</v>
          </cell>
          <cell r="D152" t="str">
            <v>BV0336</v>
          </cell>
          <cell r="F152" t="str">
            <v>Điều dưỡng CĐ</v>
          </cell>
          <cell r="G152" t="str">
            <v>TĐ012</v>
          </cell>
          <cell r="H152" t="str">
            <v>Cao đẳng Y tế Lạng Sơn</v>
          </cell>
          <cell r="I152">
            <v>2015</v>
          </cell>
          <cell r="J152" t="str">
            <v>Điều dưỡng (hạng IV)</v>
          </cell>
          <cell r="P152" t="str">
            <v>Tày</v>
          </cell>
          <cell r="Q152" t="str">
            <v>Tin B</v>
          </cell>
        </row>
        <row r="153">
          <cell r="B153" t="str">
            <v>BV0187</v>
          </cell>
          <cell r="C153" t="str">
            <v>Hoàng Trung Sơn</v>
          </cell>
          <cell r="D153" t="str">
            <v>BV0187</v>
          </cell>
          <cell r="F153" t="str">
            <v>Điều dưỡng TC</v>
          </cell>
          <cell r="G153" t="str">
            <v>TĐ013</v>
          </cell>
          <cell r="H153" t="str">
            <v>Trung học Y tế Lạng Sơn</v>
          </cell>
          <cell r="I153">
            <v>2004</v>
          </cell>
          <cell r="J153" t="str">
            <v>Điều dưỡng (hạng IV)</v>
          </cell>
        </row>
        <row r="154">
          <cell r="B154" t="str">
            <v>BV0185</v>
          </cell>
          <cell r="C154" t="str">
            <v>Nguyễn Thị Hạnh</v>
          </cell>
          <cell r="D154" t="str">
            <v>BV0185</v>
          </cell>
          <cell r="E154" t="str">
            <v>x</v>
          </cell>
          <cell r="F154" t="str">
            <v>Điều dưỡng ĐH</v>
          </cell>
          <cell r="G154" t="str">
            <v>TĐ013</v>
          </cell>
          <cell r="H154" t="e">
            <v>#N/A</v>
          </cell>
          <cell r="I154" t="e">
            <v>#N/A</v>
          </cell>
          <cell r="J154" t="str">
            <v>Điều dưỡng (hạng IV)</v>
          </cell>
          <cell r="O154" t="str">
            <v>TOEIC</v>
          </cell>
          <cell r="Q154" t="str">
            <v>Cơ bản</v>
          </cell>
        </row>
        <row r="155">
          <cell r="B155" t="str">
            <v>BV0404</v>
          </cell>
          <cell r="C155" t="str">
            <v>Dương Thị Hoa</v>
          </cell>
          <cell r="D155" t="str">
            <v>BV0404</v>
          </cell>
          <cell r="E155" t="str">
            <v>x</v>
          </cell>
          <cell r="F155" t="str">
            <v>Điều dưỡng TC</v>
          </cell>
          <cell r="G155" t="str">
            <v>TĐ013</v>
          </cell>
          <cell r="H155" t="str">
            <v>Trung học Y tế Lạng Sơn</v>
          </cell>
          <cell r="I155">
            <v>2001</v>
          </cell>
          <cell r="J155" t="str">
            <v>Điều dưỡng (hạng IV)</v>
          </cell>
          <cell r="O155" t="str">
            <v>Bậc 4</v>
          </cell>
          <cell r="Q155" t="str">
            <v>Cơ bản</v>
          </cell>
        </row>
        <row r="156">
          <cell r="B156" t="str">
            <v>BV0357</v>
          </cell>
          <cell r="C156" t="str">
            <v>Vi Văn Tiến</v>
          </cell>
          <cell r="D156" t="str">
            <v>BV0357</v>
          </cell>
          <cell r="F156" t="str">
            <v>Điều dưỡng TC</v>
          </cell>
          <cell r="G156" t="str">
            <v>TĐ013</v>
          </cell>
          <cell r="H156" t="str">
            <v>Trung học Y tế Lạng Sơn</v>
          </cell>
          <cell r="I156">
            <v>1998</v>
          </cell>
          <cell r="J156" t="str">
            <v>Điều dưỡng (hạng IV)</v>
          </cell>
          <cell r="K156" t="str">
            <v>BS chính</v>
          </cell>
          <cell r="L156" t="str">
            <v>Chuyên viên</v>
          </cell>
          <cell r="M156" t="str">
            <v>x</v>
          </cell>
          <cell r="O156" t="str">
            <v>Bậc 4</v>
          </cell>
          <cell r="Q156" t="str">
            <v>Tin B</v>
          </cell>
        </row>
        <row r="157">
          <cell r="B157" t="str">
            <v>BV0002</v>
          </cell>
          <cell r="C157" t="str">
            <v>Chu Đức Quang</v>
          </cell>
          <cell r="D157" t="str">
            <v>BV0002</v>
          </cell>
          <cell r="F157" t="str">
            <v>BSCKII</v>
          </cell>
          <cell r="G157" t="str">
            <v>TĐ001</v>
          </cell>
          <cell r="H157" t="str">
            <v>Đại học Y Hà Nội</v>
          </cell>
          <cell r="I157">
            <v>2018</v>
          </cell>
          <cell r="J157" t="str">
            <v>Bác sĩ (hạng III)</v>
          </cell>
        </row>
        <row r="158">
          <cell r="B158" t="str">
            <v>BV0176</v>
          </cell>
          <cell r="C158" t="str">
            <v>Dương Văn Ái</v>
          </cell>
          <cell r="D158" t="str">
            <v>BV0176</v>
          </cell>
          <cell r="F158" t="str">
            <v>BSCKI</v>
          </cell>
          <cell r="G158" t="str">
            <v>TĐ003</v>
          </cell>
          <cell r="H158">
            <v>0</v>
          </cell>
          <cell r="I158">
            <v>0</v>
          </cell>
          <cell r="J158" t="str">
            <v>Bác sĩ (hạng III)</v>
          </cell>
          <cell r="M158" t="str">
            <v>x</v>
          </cell>
        </row>
        <row r="159">
          <cell r="B159" t="str">
            <v>BV0737</v>
          </cell>
          <cell r="C159" t="str">
            <v>Nguyễn Trọng Đức</v>
          </cell>
          <cell r="D159" t="str">
            <v>BV0737</v>
          </cell>
          <cell r="F159" t="str">
            <v>BSCKI</v>
          </cell>
          <cell r="G159" t="str">
            <v>TĐ003</v>
          </cell>
          <cell r="H159">
            <v>0</v>
          </cell>
          <cell r="I159">
            <v>0</v>
          </cell>
          <cell r="J159" t="str">
            <v>Bác sĩ (hạng III)</v>
          </cell>
          <cell r="P159" t="str">
            <v>Tày</v>
          </cell>
          <cell r="Q159" t="str">
            <v>Tin B</v>
          </cell>
        </row>
        <row r="160">
          <cell r="B160" t="str">
            <v>BV0835</v>
          </cell>
          <cell r="C160" t="str">
            <v>Nguyễn Đình Trọng Nghĩa</v>
          </cell>
          <cell r="D160" t="str">
            <v>BV0835</v>
          </cell>
          <cell r="F160" t="str">
            <v>Bác sĩ</v>
          </cell>
          <cell r="G160" t="str">
            <v>TĐ005</v>
          </cell>
          <cell r="H160" t="str">
            <v>Đại học Y Haf Nội</v>
          </cell>
          <cell r="I160">
            <v>2017</v>
          </cell>
          <cell r="J160" t="str">
            <v>Bác sĩ (hạng III)</v>
          </cell>
        </row>
        <row r="161">
          <cell r="B161" t="str">
            <v>BV0180</v>
          </cell>
          <cell r="C161" t="str">
            <v>Hà Thị Kim Nhung</v>
          </cell>
          <cell r="D161" t="str">
            <v>BV0180</v>
          </cell>
          <cell r="E161" t="str">
            <v>x</v>
          </cell>
          <cell r="F161" t="str">
            <v>Điều dưỡng ĐH</v>
          </cell>
          <cell r="G161" t="str">
            <v>TĐ011</v>
          </cell>
          <cell r="H161" t="e">
            <v>#N/A</v>
          </cell>
          <cell r="I161" t="e">
            <v>#N/A</v>
          </cell>
          <cell r="J161" t="str">
            <v>Điều dưỡng (hạng III)</v>
          </cell>
        </row>
        <row r="162">
          <cell r="B162" t="str">
            <v>BV0199</v>
          </cell>
          <cell r="C162" t="str">
            <v>Dương Thị Toan</v>
          </cell>
          <cell r="D162" t="str">
            <v>BV0199</v>
          </cell>
          <cell r="E162" t="str">
            <v>x</v>
          </cell>
          <cell r="F162" t="str">
            <v>Điều dưỡng TC</v>
          </cell>
          <cell r="G162" t="str">
            <v>TĐ013</v>
          </cell>
          <cell r="H162" t="str">
            <v>Cao đẳng Y tế Lạng Sơn</v>
          </cell>
          <cell r="I162">
            <v>2006</v>
          </cell>
          <cell r="J162" t="str">
            <v>Điều dưỡng (hạng IV)</v>
          </cell>
          <cell r="Q162" t="str">
            <v>Cơ bản</v>
          </cell>
        </row>
        <row r="163">
          <cell r="B163" t="str">
            <v>BV0198</v>
          </cell>
          <cell r="C163" t="str">
            <v>Nguyễn Thị phương Lan</v>
          </cell>
          <cell r="D163" t="str">
            <v>BV0198</v>
          </cell>
          <cell r="E163" t="str">
            <v>x</v>
          </cell>
          <cell r="F163" t="str">
            <v>Điều dưỡng TC</v>
          </cell>
          <cell r="G163" t="str">
            <v>TĐ013</v>
          </cell>
          <cell r="H163" t="e">
            <v>#N/A</v>
          </cell>
          <cell r="I163" t="e">
            <v>#N/A</v>
          </cell>
          <cell r="J163" t="str">
            <v>Điều dưỡng (hạng IV)</v>
          </cell>
        </row>
        <row r="164">
          <cell r="B164" t="str">
            <v>BV0402</v>
          </cell>
          <cell r="C164" t="str">
            <v>Hoàng Thị Loan</v>
          </cell>
          <cell r="D164" t="str">
            <v>BV0402</v>
          </cell>
          <cell r="E164" t="str">
            <v>x</v>
          </cell>
          <cell r="F164" t="str">
            <v>Điều dưỡng TC</v>
          </cell>
          <cell r="G164" t="str">
            <v>TĐ013</v>
          </cell>
          <cell r="H164" t="str">
            <v>CĐ Y tế Lạng Sơn</v>
          </cell>
          <cell r="I164">
            <v>2008</v>
          </cell>
          <cell r="J164" t="str">
            <v>Điều dưỡng (hạng IV)</v>
          </cell>
          <cell r="Q164" t="str">
            <v>Tin A</v>
          </cell>
        </row>
        <row r="165">
          <cell r="B165" t="str">
            <v>BV0339</v>
          </cell>
          <cell r="C165" t="str">
            <v>Hoàng Trung Thực</v>
          </cell>
          <cell r="D165" t="str">
            <v>BV0339</v>
          </cell>
          <cell r="F165" t="str">
            <v>Điều dưỡng TC</v>
          </cell>
          <cell r="G165" t="str">
            <v>TĐ013</v>
          </cell>
          <cell r="H165" t="str">
            <v>Trung học Y tế Lạng Sơn</v>
          </cell>
          <cell r="I165">
            <v>2004</v>
          </cell>
          <cell r="J165" t="str">
            <v>Điều dưỡng (hạng IV)</v>
          </cell>
        </row>
        <row r="166">
          <cell r="B166" t="str">
            <v>BV0189</v>
          </cell>
          <cell r="C166" t="str">
            <v>Vy Hoàng Vương</v>
          </cell>
          <cell r="D166" t="str">
            <v>BV0189</v>
          </cell>
          <cell r="F166" t="str">
            <v>Điều dưỡng ĐH</v>
          </cell>
          <cell r="G166" t="str">
            <v>TĐ013</v>
          </cell>
          <cell r="H166" t="str">
            <v>Trung học Y tế Lạng Sơn</v>
          </cell>
          <cell r="I166">
            <v>2005</v>
          </cell>
          <cell r="J166" t="str">
            <v>Điều dưỡng (hạng III)</v>
          </cell>
          <cell r="O166" t="str">
            <v>Anh C</v>
          </cell>
          <cell r="P166" t="str">
            <v>Tày</v>
          </cell>
          <cell r="Q166" t="str">
            <v>Cơ bản</v>
          </cell>
        </row>
        <row r="167">
          <cell r="B167" t="str">
            <v>BV0207</v>
          </cell>
          <cell r="C167" t="str">
            <v>Nhữ Văn Vinh</v>
          </cell>
          <cell r="D167" t="str">
            <v>BV0207</v>
          </cell>
          <cell r="F167" t="str">
            <v>BSCKII</v>
          </cell>
          <cell r="G167" t="str">
            <v>TĐ001</v>
          </cell>
          <cell r="H167" t="str">
            <v>Đại học Y Hà Nội</v>
          </cell>
          <cell r="I167">
            <v>0</v>
          </cell>
          <cell r="J167" t="str">
            <v>Bác sĩ (hạng III)</v>
          </cell>
          <cell r="K167" t="str">
            <v>x</v>
          </cell>
          <cell r="L167" t="str">
            <v>x</v>
          </cell>
          <cell r="N167" t="str">
            <v>Sơ cấp</v>
          </cell>
          <cell r="O167" t="str">
            <v>x</v>
          </cell>
          <cell r="P167" t="str">
            <v>x</v>
          </cell>
          <cell r="Q167" t="str">
            <v>x</v>
          </cell>
        </row>
        <row r="168">
          <cell r="B168" t="str">
            <v>BV0050</v>
          </cell>
          <cell r="C168" t="str">
            <v>Nguyễn Văn Bình</v>
          </cell>
          <cell r="D168" t="str">
            <v>BV0050</v>
          </cell>
          <cell r="F168" t="str">
            <v>BSCKI</v>
          </cell>
          <cell r="G168" t="str">
            <v>TĐ003</v>
          </cell>
          <cell r="H168" t="e">
            <v>#N/A</v>
          </cell>
          <cell r="I168" t="e">
            <v>#N/A</v>
          </cell>
          <cell r="J168" t="str">
            <v>Bác sĩ (hạng III)</v>
          </cell>
          <cell r="N168" t="str">
            <v>Sơ cấp</v>
          </cell>
          <cell r="O168" t="str">
            <v>Pháp B</v>
          </cell>
          <cell r="Q168" t="str">
            <v>Cơ bản</v>
          </cell>
        </row>
        <row r="169">
          <cell r="B169" t="str">
            <v>BV0760</v>
          </cell>
          <cell r="C169" t="str">
            <v>Hồ Hoàn Tuấn</v>
          </cell>
          <cell r="D169" t="str">
            <v>BV0760</v>
          </cell>
          <cell r="F169" t="str">
            <v>Thạc sỹ</v>
          </cell>
          <cell r="G169" t="str">
            <v>TĐ004</v>
          </cell>
          <cell r="H169" t="str">
            <v>Học viện Quân Y</v>
          </cell>
          <cell r="I169">
            <v>2008</v>
          </cell>
          <cell r="J169" t="str">
            <v>Bác sĩ (hạng III)</v>
          </cell>
          <cell r="L169" t="str">
            <v>Chuyên viên</v>
          </cell>
          <cell r="M169" t="str">
            <v>x</v>
          </cell>
          <cell r="N169" t="str">
            <v>Sơ cấp</v>
          </cell>
          <cell r="O169" t="str">
            <v>Anh B</v>
          </cell>
          <cell r="P169" t="str">
            <v>Tày</v>
          </cell>
          <cell r="Q169" t="str">
            <v>Cơ bản</v>
          </cell>
        </row>
        <row r="170">
          <cell r="B170" t="str">
            <v>BV0206</v>
          </cell>
          <cell r="C170" t="str">
            <v>Trần Tuấn Việt</v>
          </cell>
          <cell r="D170" t="str">
            <v>BV0206</v>
          </cell>
          <cell r="F170" t="str">
            <v>Thạc sỹ</v>
          </cell>
          <cell r="G170" t="str">
            <v>TĐ004</v>
          </cell>
          <cell r="H170" t="str">
            <v>Học viện Quân Y</v>
          </cell>
          <cell r="I170">
            <v>0</v>
          </cell>
          <cell r="J170" t="str">
            <v>Bác sĩ (hạng III)</v>
          </cell>
          <cell r="K170" t="str">
            <v>x</v>
          </cell>
          <cell r="M170" t="str">
            <v>x</v>
          </cell>
          <cell r="N170" t="str">
            <v>Sơ cấp</v>
          </cell>
          <cell r="O170" t="str">
            <v>x</v>
          </cell>
          <cell r="P170" t="str">
            <v>x</v>
          </cell>
          <cell r="Q170" t="str">
            <v>x</v>
          </cell>
        </row>
        <row r="171">
          <cell r="B171" t="str">
            <v>BV0677</v>
          </cell>
          <cell r="C171" t="str">
            <v>Hoàng Thị Hòa</v>
          </cell>
          <cell r="D171" t="str">
            <v>BV0677</v>
          </cell>
          <cell r="E171" t="str">
            <v>x</v>
          </cell>
          <cell r="F171" t="str">
            <v>Bác sĩ</v>
          </cell>
          <cell r="G171" t="str">
            <v>TĐ005</v>
          </cell>
          <cell r="H171" t="str">
            <v>ĐH Y DƯỢC - ĐH THÁI NGUYÊN</v>
          </cell>
          <cell r="I171">
            <v>2015</v>
          </cell>
          <cell r="J171" t="str">
            <v>Bác sĩ (hạng III)</v>
          </cell>
          <cell r="N171" t="str">
            <v>Sơ cấp</v>
          </cell>
          <cell r="O171" t="str">
            <v>Anh B</v>
          </cell>
          <cell r="Q171" t="str">
            <v>Cơ bản</v>
          </cell>
        </row>
        <row r="172">
          <cell r="B172" t="str">
            <v>BV0757</v>
          </cell>
          <cell r="C172" t="str">
            <v>Phạm Minh Hoàng</v>
          </cell>
          <cell r="D172" t="str">
            <v>BV0757</v>
          </cell>
          <cell r="F172" t="str">
            <v>Bác sĩ</v>
          </cell>
          <cell r="G172" t="str">
            <v>TĐ005</v>
          </cell>
          <cell r="H172" t="str">
            <v>ĐH Y DƯỢC - ĐH THÁI NGUYÊN</v>
          </cell>
          <cell r="I172">
            <v>2016</v>
          </cell>
          <cell r="J172" t="str">
            <v>Bác sĩ (hạng III)</v>
          </cell>
          <cell r="N172" t="str">
            <v>Sơ cấp</v>
          </cell>
          <cell r="O172" t="str">
            <v>Anh B</v>
          </cell>
          <cell r="Q172" t="str">
            <v>Tin B</v>
          </cell>
        </row>
        <row r="173">
          <cell r="B173" t="str">
            <v>BV0810</v>
          </cell>
          <cell r="C173" t="str">
            <v>Trịnh Bá Hưởng</v>
          </cell>
          <cell r="D173" t="str">
            <v>BV0810</v>
          </cell>
          <cell r="F173" t="str">
            <v>Bác sĩ</v>
          </cell>
          <cell r="G173" t="str">
            <v>TĐ005</v>
          </cell>
          <cell r="H173" t="str">
            <v>ĐH Y Dược Thái Nguyên</v>
          </cell>
          <cell r="I173">
            <v>2017</v>
          </cell>
          <cell r="J173" t="str">
            <v>Bác sĩ (hạng III)</v>
          </cell>
          <cell r="N173" t="str">
            <v>Sơ cấp</v>
          </cell>
          <cell r="O173" t="str">
            <v>Anh B</v>
          </cell>
          <cell r="Q173" t="str">
            <v>Tin B</v>
          </cell>
        </row>
        <row r="174">
          <cell r="B174" t="str">
            <v>BV0212</v>
          </cell>
          <cell r="C174" t="str">
            <v>Nguyễn Thị Liễu</v>
          </cell>
          <cell r="D174" t="str">
            <v>BV0212</v>
          </cell>
          <cell r="E174" t="str">
            <v>x</v>
          </cell>
          <cell r="F174" t="str">
            <v>Điều dưỡng CĐ</v>
          </cell>
          <cell r="G174" t="str">
            <v>TĐ012</v>
          </cell>
          <cell r="H174" t="str">
            <v>ĐH điều dưỡng Nam Định</v>
          </cell>
          <cell r="I174" t="str">
            <v>2005</v>
          </cell>
          <cell r="J174" t="str">
            <v>Điều dưỡng (hạng IV)</v>
          </cell>
          <cell r="L174" t="str">
            <v>Chuyên viên</v>
          </cell>
          <cell r="M174" t="str">
            <v>x</v>
          </cell>
          <cell r="N174" t="str">
            <v>Sơ cấp</v>
          </cell>
          <cell r="O174" t="str">
            <v>Anh B</v>
          </cell>
          <cell r="P174" t="str">
            <v>Tày</v>
          </cell>
          <cell r="Q174" t="str">
            <v>Cơ bản</v>
          </cell>
        </row>
        <row r="175">
          <cell r="B175" t="str">
            <v>BV0045</v>
          </cell>
          <cell r="C175" t="str">
            <v>Hoàng Thị Yến</v>
          </cell>
          <cell r="D175" t="str">
            <v>BV0045</v>
          </cell>
          <cell r="E175" t="str">
            <v>x</v>
          </cell>
          <cell r="F175" t="str">
            <v>Điều dưỡng CĐ</v>
          </cell>
          <cell r="G175" t="str">
            <v>TĐ012</v>
          </cell>
          <cell r="H175" t="e">
            <v>#N/A</v>
          </cell>
          <cell r="I175" t="e">
            <v>#N/A</v>
          </cell>
          <cell r="J175" t="str">
            <v>Điều dưỡng (hạng IV)</v>
          </cell>
          <cell r="O175" t="str">
            <v>x</v>
          </cell>
          <cell r="Q175" t="str">
            <v>Tin B</v>
          </cell>
        </row>
        <row r="176">
          <cell r="B176" t="str">
            <v>BV0224</v>
          </cell>
          <cell r="C176" t="str">
            <v>Lê Trọng Huấn</v>
          </cell>
          <cell r="D176" t="str">
            <v>BV0224</v>
          </cell>
          <cell r="F176" t="str">
            <v>Điều dưỡng TC</v>
          </cell>
          <cell r="G176" t="str">
            <v>TĐ013</v>
          </cell>
          <cell r="H176" t="str">
            <v>ĐH Thái Nguyên</v>
          </cell>
          <cell r="I176">
            <v>2008</v>
          </cell>
          <cell r="J176" t="str">
            <v>Điều dưỡng (hạng IV)</v>
          </cell>
          <cell r="O176" t="str">
            <v>Anh B</v>
          </cell>
          <cell r="Q176" t="str">
            <v>Cơ bản</v>
          </cell>
        </row>
        <row r="177">
          <cell r="B177" t="str">
            <v>BV0229</v>
          </cell>
          <cell r="C177" t="str">
            <v>Chu Thị Huệ</v>
          </cell>
          <cell r="D177" t="str">
            <v>BV0229</v>
          </cell>
          <cell r="E177" t="str">
            <v>x</v>
          </cell>
          <cell r="F177" t="str">
            <v>Điều dưỡng TC</v>
          </cell>
          <cell r="G177" t="str">
            <v>TĐ013</v>
          </cell>
          <cell r="H177" t="str">
            <v>CĐ Y tế Lạng Sơn</v>
          </cell>
          <cell r="I177">
            <v>2008</v>
          </cell>
          <cell r="J177" t="str">
            <v>Điều dưỡng (hạng IV)</v>
          </cell>
          <cell r="O177" t="str">
            <v>Anh B</v>
          </cell>
          <cell r="P177" t="str">
            <v>Tày</v>
          </cell>
          <cell r="Q177" t="str">
            <v>Cơ bản</v>
          </cell>
        </row>
        <row r="178">
          <cell r="B178" t="str">
            <v>BV0228</v>
          </cell>
          <cell r="C178" t="str">
            <v>Đàm Thị Na</v>
          </cell>
          <cell r="D178" t="str">
            <v>BV0228</v>
          </cell>
          <cell r="E178" t="str">
            <v>x</v>
          </cell>
          <cell r="F178" t="str">
            <v>Điều dưỡng TC</v>
          </cell>
          <cell r="G178" t="str">
            <v>TĐ013</v>
          </cell>
          <cell r="H178" t="str">
            <v>CĐ Y tế Lạng Sơn</v>
          </cell>
          <cell r="I178">
            <v>2007</v>
          </cell>
          <cell r="J178" t="str">
            <v>Điều dưỡng (hạng IV)</v>
          </cell>
          <cell r="O178" t="str">
            <v>x</v>
          </cell>
          <cell r="Q178" t="str">
            <v>x</v>
          </cell>
        </row>
        <row r="179">
          <cell r="B179" t="str">
            <v>BV0223</v>
          </cell>
          <cell r="C179" t="str">
            <v>Nguyễn Thị Phương</v>
          </cell>
          <cell r="D179" t="str">
            <v>BV0223</v>
          </cell>
          <cell r="E179" t="str">
            <v>x</v>
          </cell>
          <cell r="F179" t="str">
            <v>Điều dưỡng TC</v>
          </cell>
          <cell r="G179" t="str">
            <v>TĐ013</v>
          </cell>
          <cell r="H179" t="str">
            <v>CĐ Y tế Lạng Sơn</v>
          </cell>
          <cell r="I179">
            <v>2007</v>
          </cell>
          <cell r="J179" t="str">
            <v>Điều dưỡng (hạng IV)</v>
          </cell>
          <cell r="N179" t="str">
            <v>Sơ cấp</v>
          </cell>
          <cell r="O179" t="str">
            <v>Anh B1; dân tộc</v>
          </cell>
          <cell r="Q179" t="str">
            <v>Cơ bản</v>
          </cell>
        </row>
        <row r="180">
          <cell r="B180" t="str">
            <v>BV0026</v>
          </cell>
          <cell r="C180" t="str">
            <v>Hoàng Huy Thắng</v>
          </cell>
          <cell r="D180" t="str">
            <v>BV0026</v>
          </cell>
          <cell r="F180" t="str">
            <v>Điều dưỡng TC</v>
          </cell>
          <cell r="G180" t="str">
            <v>TĐ013</v>
          </cell>
          <cell r="H180" t="str">
            <v>CĐ Y tế Lạng Sơn</v>
          </cell>
          <cell r="I180">
            <v>2007</v>
          </cell>
          <cell r="J180" t="str">
            <v>Điều dưỡng (hạng IV)</v>
          </cell>
          <cell r="O180" t="str">
            <v>Anh B</v>
          </cell>
          <cell r="Q180" t="str">
            <v>Tin B</v>
          </cell>
        </row>
        <row r="181">
          <cell r="B181" t="str">
            <v>BV0010</v>
          </cell>
          <cell r="C181" t="str">
            <v>Lý Thị Sòi</v>
          </cell>
          <cell r="D181" t="str">
            <v>BV0010</v>
          </cell>
          <cell r="E181" t="str">
            <v>x</v>
          </cell>
          <cell r="F181" t="str">
            <v>KTY TC</v>
          </cell>
          <cell r="G181" t="str">
            <v>TĐ016</v>
          </cell>
          <cell r="H181" t="e">
            <v>#N/A</v>
          </cell>
          <cell r="I181" t="e">
            <v>#N/A</v>
          </cell>
          <cell r="J181" t="str">
            <v>Kỹ thuật y (hạng IV)</v>
          </cell>
        </row>
        <row r="182">
          <cell r="B182" t="str">
            <v>BV0658</v>
          </cell>
          <cell r="C182" t="str">
            <v>Vi Hồng Đức</v>
          </cell>
          <cell r="D182" t="str">
            <v>BV0658</v>
          </cell>
          <cell r="F182" t="str">
            <v>BSCKII</v>
          </cell>
          <cell r="G182" t="str">
            <v>TĐ001</v>
          </cell>
          <cell r="H182">
            <v>0</v>
          </cell>
          <cell r="I182">
            <v>0</v>
          </cell>
          <cell r="J182" t="str">
            <v>Bác sĩ chính (hạng II)</v>
          </cell>
          <cell r="M182" t="str">
            <v>x</v>
          </cell>
        </row>
        <row r="183">
          <cell r="B183" t="str">
            <v>BV0209</v>
          </cell>
          <cell r="C183" t="str">
            <v>Nguyễn Xuân Trường</v>
          </cell>
          <cell r="D183" t="str">
            <v>BV0209</v>
          </cell>
          <cell r="F183" t="str">
            <v>BSCKI</v>
          </cell>
          <cell r="G183" t="str">
            <v>TĐ003</v>
          </cell>
          <cell r="H183" t="str">
            <v>Đại học Y Hà Nội</v>
          </cell>
          <cell r="I183">
            <v>2018</v>
          </cell>
          <cell r="J183" t="str">
            <v>Bác sĩ (hạng III)</v>
          </cell>
          <cell r="N183" t="str">
            <v>Trung cấp</v>
          </cell>
        </row>
        <row r="184">
          <cell r="B184" t="str">
            <v>BV0164</v>
          </cell>
          <cell r="C184" t="str">
            <v>Lương Văn Sỹ</v>
          </cell>
          <cell r="D184" t="str">
            <v>BV0164</v>
          </cell>
          <cell r="F184" t="str">
            <v>Thạc sỹ</v>
          </cell>
          <cell r="G184" t="str">
            <v>TĐ004</v>
          </cell>
          <cell r="H184" t="str">
            <v>Học viện Quân y</v>
          </cell>
          <cell r="I184">
            <v>2015</v>
          </cell>
          <cell r="J184" t="str">
            <v>Bác sĩ (hạng III)</v>
          </cell>
          <cell r="M184" t="str">
            <v>x</v>
          </cell>
          <cell r="P184" t="str">
            <v>Tày</v>
          </cell>
          <cell r="Q184" t="str">
            <v>Cơ bản</v>
          </cell>
        </row>
        <row r="185">
          <cell r="B185" t="str">
            <v>BV0034</v>
          </cell>
          <cell r="C185" t="str">
            <v>Hoàng Thanh Tiếp</v>
          </cell>
          <cell r="D185" t="str">
            <v>BV0034</v>
          </cell>
          <cell r="F185" t="str">
            <v>Điều dưỡng ĐH</v>
          </cell>
          <cell r="G185" t="str">
            <v>TĐ011</v>
          </cell>
          <cell r="H185" t="str">
            <v>Đại học Y dược Thái Nguyên</v>
          </cell>
          <cell r="I185">
            <v>2014</v>
          </cell>
          <cell r="J185" t="str">
            <v>Điều dưỡng (hạng III)</v>
          </cell>
        </row>
        <row r="186">
          <cell r="B186" t="str">
            <v>BV0555</v>
          </cell>
          <cell r="C186" t="str">
            <v>Phạm Hùng Tuấn</v>
          </cell>
          <cell r="D186" t="str">
            <v>BV0555</v>
          </cell>
          <cell r="F186" t="str">
            <v>Điều dưỡng ĐH</v>
          </cell>
          <cell r="G186" t="str">
            <v>TĐ011</v>
          </cell>
          <cell r="H186">
            <v>0</v>
          </cell>
          <cell r="I186">
            <v>0</v>
          </cell>
          <cell r="J186" t="str">
            <v>Điều dưỡng (hạng III)</v>
          </cell>
        </row>
        <row r="187">
          <cell r="B187" t="str">
            <v>BV0213</v>
          </cell>
          <cell r="C187" t="str">
            <v>Dương Thị Huyền</v>
          </cell>
          <cell r="D187" t="str">
            <v>BV0213</v>
          </cell>
          <cell r="E187" t="str">
            <v>x</v>
          </cell>
          <cell r="F187" t="str">
            <v>Điều dưỡng CĐ</v>
          </cell>
          <cell r="G187" t="str">
            <v>TĐ012</v>
          </cell>
          <cell r="H187" t="str">
            <v>CĐ Y tế Lạng Sơn</v>
          </cell>
          <cell r="I187">
            <v>2012</v>
          </cell>
          <cell r="J187" t="str">
            <v>Điều dưỡng (hạng IV)</v>
          </cell>
        </row>
        <row r="188">
          <cell r="B188" t="str">
            <v>BV0215</v>
          </cell>
          <cell r="C188" t="str">
            <v>Tô Thị Lan</v>
          </cell>
          <cell r="D188" t="str">
            <v>BV0215</v>
          </cell>
          <cell r="E188" t="str">
            <v>x</v>
          </cell>
          <cell r="F188" t="str">
            <v>Điều dưỡng CĐ</v>
          </cell>
          <cell r="G188" t="str">
            <v>TĐ012</v>
          </cell>
          <cell r="H188" t="str">
            <v>CĐ Y tế Lạng Sơn</v>
          </cell>
          <cell r="I188">
            <v>2011</v>
          </cell>
          <cell r="J188" t="str">
            <v>Điều dưỡng (hạng IV)</v>
          </cell>
          <cell r="O188" t="str">
            <v>Anh B</v>
          </cell>
          <cell r="P188" t="str">
            <v>Tày</v>
          </cell>
          <cell r="Q188" t="str">
            <v>B</v>
          </cell>
        </row>
        <row r="189">
          <cell r="B189" t="str">
            <v>BV0214</v>
          </cell>
          <cell r="C189" t="str">
            <v>Phùng Thị Nguyệt Nga</v>
          </cell>
          <cell r="D189" t="str">
            <v>BV0214</v>
          </cell>
          <cell r="E189" t="str">
            <v>x</v>
          </cell>
          <cell r="F189" t="str">
            <v>Điều dưỡng CĐ</v>
          </cell>
          <cell r="G189" t="str">
            <v>TĐ012</v>
          </cell>
          <cell r="H189" t="e">
            <v>#N/A</v>
          </cell>
          <cell r="I189" t="e">
            <v>#N/A</v>
          </cell>
          <cell r="J189" t="str">
            <v>Điều dưỡng (hạng IV)</v>
          </cell>
          <cell r="N189" t="str">
            <v>Sơ cấp</v>
          </cell>
          <cell r="P189" t="str">
            <v>Tày</v>
          </cell>
          <cell r="Q189" t="str">
            <v>Cơ bản</v>
          </cell>
        </row>
        <row r="190">
          <cell r="B190" t="str">
            <v>BV0834</v>
          </cell>
          <cell r="C190" t="str">
            <v>Nông Quốc Phòng</v>
          </cell>
          <cell r="D190" t="str">
            <v>BV0834</v>
          </cell>
          <cell r="F190" t="str">
            <v>Điều dưỡng CĐ</v>
          </cell>
          <cell r="G190" t="str">
            <v>TĐ012</v>
          </cell>
          <cell r="H190" t="str">
            <v>CĐ Y tế Lạng Sơn</v>
          </cell>
          <cell r="I190">
            <v>2015</v>
          </cell>
          <cell r="J190" t="str">
            <v>Điều dưỡng (hạng IV)</v>
          </cell>
          <cell r="O190" t="str">
            <v>Anh B</v>
          </cell>
          <cell r="Q190" t="str">
            <v>B</v>
          </cell>
        </row>
        <row r="191">
          <cell r="B191" t="str">
            <v>BV0216</v>
          </cell>
          <cell r="C191" t="str">
            <v>Vi Văn Trình</v>
          </cell>
          <cell r="D191" t="str">
            <v>BV0216</v>
          </cell>
          <cell r="F191" t="str">
            <v>Điều dưỡng CĐ</v>
          </cell>
          <cell r="G191" t="str">
            <v>TĐ012</v>
          </cell>
          <cell r="H191" t="str">
            <v>CĐ Y tế Lạng Sơn</v>
          </cell>
          <cell r="I191" t="str">
            <v>2012</v>
          </cell>
          <cell r="J191" t="str">
            <v>Điều dưỡng (hạng IV)</v>
          </cell>
          <cell r="O191" t="str">
            <v>Anh B</v>
          </cell>
          <cell r="Q191" t="str">
            <v>B</v>
          </cell>
        </row>
        <row r="192">
          <cell r="B192" t="str">
            <v>BV0344</v>
          </cell>
          <cell r="C192" t="str">
            <v>Lâm Văn Đức</v>
          </cell>
          <cell r="D192" t="str">
            <v>BV0344</v>
          </cell>
          <cell r="F192" t="str">
            <v>Điều dưỡng TC</v>
          </cell>
          <cell r="G192" t="str">
            <v>TĐ013</v>
          </cell>
          <cell r="H192" t="e">
            <v>#N/A</v>
          </cell>
          <cell r="I192" t="e">
            <v>#N/A</v>
          </cell>
          <cell r="J192" t="str">
            <v>Điều dưỡng (hạng IV)</v>
          </cell>
        </row>
        <row r="193">
          <cell r="B193" t="str">
            <v>BV0551</v>
          </cell>
          <cell r="C193" t="str">
            <v>Vũ Tiến Dũng</v>
          </cell>
          <cell r="D193" t="str">
            <v>BV0551</v>
          </cell>
          <cell r="F193" t="str">
            <v>Điều dưỡng TC</v>
          </cell>
          <cell r="G193" t="str">
            <v>TĐ013</v>
          </cell>
          <cell r="H193" t="str">
            <v>CĐ Y tế Nam Định</v>
          </cell>
          <cell r="I193">
            <v>2002</v>
          </cell>
          <cell r="J193" t="str">
            <v>Điều dưỡng (hạng IV)</v>
          </cell>
        </row>
        <row r="194">
          <cell r="B194" t="str">
            <v>BV0237</v>
          </cell>
          <cell r="C194" t="str">
            <v>Lâm Bích Hợp</v>
          </cell>
          <cell r="D194" t="str">
            <v>BV0237</v>
          </cell>
          <cell r="E194" t="str">
            <v>x</v>
          </cell>
          <cell r="F194" t="str">
            <v>Điều dưỡng TC</v>
          </cell>
          <cell r="G194" t="str">
            <v>TĐ013</v>
          </cell>
          <cell r="H194">
            <v>0</v>
          </cell>
          <cell r="I194">
            <v>0</v>
          </cell>
          <cell r="J194" t="str">
            <v>Điều dưỡng (hạng IV)</v>
          </cell>
        </row>
        <row r="195">
          <cell r="B195" t="str">
            <v>BV0234</v>
          </cell>
          <cell r="C195" t="str">
            <v>Chu Văn Huân</v>
          </cell>
          <cell r="D195" t="str">
            <v>BV0234</v>
          </cell>
          <cell r="F195" t="str">
            <v>Điều dưỡng TC</v>
          </cell>
          <cell r="G195" t="str">
            <v>TĐ013</v>
          </cell>
          <cell r="H195" t="str">
            <v>CĐ Y tế Lạng Sơn</v>
          </cell>
          <cell r="I195">
            <v>2008</v>
          </cell>
          <cell r="J195" t="str">
            <v>Điều dưỡng (hạng IV)</v>
          </cell>
          <cell r="O195" t="str">
            <v>Anh B</v>
          </cell>
          <cell r="Q195" t="str">
            <v>B</v>
          </cell>
        </row>
        <row r="196">
          <cell r="B196" t="str">
            <v>BV0017</v>
          </cell>
          <cell r="C196" t="str">
            <v>Hoàng Thị Thanh</v>
          </cell>
          <cell r="D196" t="str">
            <v>BV0017</v>
          </cell>
          <cell r="E196" t="str">
            <v>x</v>
          </cell>
          <cell r="F196" t="str">
            <v>Điều dưỡng TC</v>
          </cell>
          <cell r="G196" t="str">
            <v>TĐ013</v>
          </cell>
          <cell r="H196" t="str">
            <v>TH Y tế Lạng Sơn</v>
          </cell>
          <cell r="I196">
            <v>2006</v>
          </cell>
          <cell r="J196" t="str">
            <v>Điều dưỡng (hạng IV)</v>
          </cell>
        </row>
        <row r="197">
          <cell r="B197" t="str">
            <v>BV0240</v>
          </cell>
          <cell r="C197" t="str">
            <v>Phan Thanh Hải</v>
          </cell>
          <cell r="D197" t="str">
            <v>BV0240</v>
          </cell>
          <cell r="F197" t="str">
            <v>BSCKII</v>
          </cell>
          <cell r="G197" t="str">
            <v>TĐ001</v>
          </cell>
          <cell r="H197" t="e">
            <v>#N/A</v>
          </cell>
          <cell r="I197" t="e">
            <v>#N/A</v>
          </cell>
          <cell r="J197" t="str">
            <v>Bác sĩ chính (hạng II)</v>
          </cell>
          <cell r="K197" t="str">
            <v>x</v>
          </cell>
          <cell r="L197" t="str">
            <v>x</v>
          </cell>
          <cell r="M197" t="str">
            <v>x</v>
          </cell>
          <cell r="N197" t="str">
            <v>x</v>
          </cell>
          <cell r="O197" t="str">
            <v>x</v>
          </cell>
          <cell r="P197" t="str">
            <v>x</v>
          </cell>
          <cell r="Q197" t="str">
            <v>x</v>
          </cell>
        </row>
        <row r="198">
          <cell r="B198" t="str">
            <v>BV0242</v>
          </cell>
          <cell r="C198" t="str">
            <v>Vi Thị Việt Hà</v>
          </cell>
          <cell r="D198" t="str">
            <v>BV0242</v>
          </cell>
          <cell r="E198" t="str">
            <v>x</v>
          </cell>
          <cell r="F198" t="str">
            <v>BSCKI</v>
          </cell>
          <cell r="G198" t="str">
            <v>TĐ003</v>
          </cell>
          <cell r="H198" t="str">
            <v>Đại học Y Hà Nội</v>
          </cell>
          <cell r="I198">
            <v>2012</v>
          </cell>
          <cell r="J198" t="str">
            <v>Bác sĩ chính (hạng II)</v>
          </cell>
          <cell r="K198" t="str">
            <v>BS chính</v>
          </cell>
          <cell r="P198" t="str">
            <v>Tày</v>
          </cell>
          <cell r="Q198" t="str">
            <v>B</v>
          </cell>
        </row>
        <row r="199">
          <cell r="B199" t="str">
            <v>BV0241</v>
          </cell>
          <cell r="C199" t="str">
            <v>Phạm Thanh Huyền</v>
          </cell>
          <cell r="D199" t="str">
            <v>BV0241</v>
          </cell>
          <cell r="E199" t="str">
            <v>x</v>
          </cell>
          <cell r="F199" t="str">
            <v>BSCKI</v>
          </cell>
          <cell r="G199" t="str">
            <v>TĐ003</v>
          </cell>
          <cell r="H199" t="str">
            <v>Đại học Y Hà Nội</v>
          </cell>
          <cell r="I199">
            <v>2005</v>
          </cell>
          <cell r="J199" t="str">
            <v>Bác sĩ chính (hạng II)</v>
          </cell>
          <cell r="K199" t="str">
            <v>BS chính</v>
          </cell>
          <cell r="L199" t="str">
            <v>Chuyên viên</v>
          </cell>
          <cell r="M199" t="str">
            <v>x</v>
          </cell>
          <cell r="N199" t="str">
            <v>Trung cấp</v>
          </cell>
          <cell r="O199" t="str">
            <v>Anh B</v>
          </cell>
          <cell r="P199" t="str">
            <v>Nùng</v>
          </cell>
          <cell r="Q199" t="str">
            <v>B</v>
          </cell>
        </row>
        <row r="200">
          <cell r="B200" t="str">
            <v>BV0003</v>
          </cell>
          <cell r="C200" t="str">
            <v>Nguyễn Thúy Vân</v>
          </cell>
          <cell r="D200" t="str">
            <v>BV0003</v>
          </cell>
          <cell r="E200" t="str">
            <v>x</v>
          </cell>
          <cell r="F200" t="str">
            <v>BSCKI</v>
          </cell>
          <cell r="G200" t="str">
            <v>TĐ003</v>
          </cell>
          <cell r="H200" t="str">
            <v>Đại học Y Hà Nội</v>
          </cell>
          <cell r="I200">
            <v>2005</v>
          </cell>
          <cell r="J200" t="str">
            <v>Bác sĩ (hạng III)</v>
          </cell>
          <cell r="P200" t="str">
            <v>Nùng</v>
          </cell>
          <cell r="Q200" t="str">
            <v>Cơ bản</v>
          </cell>
        </row>
        <row r="201">
          <cell r="B201" t="str">
            <v>BV0246</v>
          </cell>
          <cell r="C201" t="str">
            <v>Hoàng Thị Hồng Chiêm</v>
          </cell>
          <cell r="D201" t="str">
            <v>BV0246</v>
          </cell>
          <cell r="E201" t="str">
            <v>x</v>
          </cell>
          <cell r="F201" t="str">
            <v>BSCKI</v>
          </cell>
          <cell r="G201" t="str">
            <v>TĐ003</v>
          </cell>
          <cell r="H201" t="str">
            <v>Đại học Y Hà Nội</v>
          </cell>
          <cell r="I201">
            <v>2018</v>
          </cell>
          <cell r="J201" t="str">
            <v>Bác sĩ (hạng III)</v>
          </cell>
        </row>
        <row r="202">
          <cell r="B202" t="str">
            <v>BV0245</v>
          </cell>
          <cell r="C202" t="str">
            <v>Như Thùy Vân</v>
          </cell>
          <cell r="D202" t="str">
            <v>BV0245</v>
          </cell>
          <cell r="E202" t="str">
            <v>x</v>
          </cell>
          <cell r="F202" t="str">
            <v>Thạc sỹ</v>
          </cell>
          <cell r="G202" t="str">
            <v>TĐ004</v>
          </cell>
          <cell r="H202" t="str">
            <v>Đại học Y Hà Nội</v>
          </cell>
          <cell r="I202">
            <v>2016</v>
          </cell>
          <cell r="J202" t="str">
            <v>Bác sĩ (hạng III)</v>
          </cell>
          <cell r="M202" t="str">
            <v>x</v>
          </cell>
          <cell r="N202" t="str">
            <v>Trung cấp</v>
          </cell>
          <cell r="O202" t="str">
            <v>Anh B</v>
          </cell>
          <cell r="P202" t="str">
            <v>Tày</v>
          </cell>
          <cell r="Q202" t="str">
            <v>Cơ bản</v>
          </cell>
        </row>
        <row r="203">
          <cell r="B203" t="str">
            <v>BV0243</v>
          </cell>
          <cell r="C203" t="str">
            <v>Đoàn Anh Đức</v>
          </cell>
          <cell r="D203" t="str">
            <v>BV0243</v>
          </cell>
          <cell r="F203" t="str">
            <v>Thạc sỹ</v>
          </cell>
          <cell r="G203" t="str">
            <v>TĐ004</v>
          </cell>
          <cell r="H203" t="str">
            <v xml:space="preserve">ĐH Y Hà Nội </v>
          </cell>
          <cell r="I203">
            <v>2014</v>
          </cell>
          <cell r="J203" t="str">
            <v>Bác sĩ (hạng III)</v>
          </cell>
        </row>
        <row r="204">
          <cell r="B204" t="str">
            <v>BV0841</v>
          </cell>
          <cell r="C204" t="str">
            <v>Vi Việt Chinh</v>
          </cell>
          <cell r="D204" t="str">
            <v>BV0841</v>
          </cell>
          <cell r="F204" t="str">
            <v>Bác sĩ</v>
          </cell>
          <cell r="G204" t="str">
            <v>TĐ005</v>
          </cell>
          <cell r="H204" t="str">
            <v>Đại học Y Dược Hải Phòng</v>
          </cell>
          <cell r="I204">
            <v>2017</v>
          </cell>
          <cell r="J204" t="str">
            <v>Bác sĩ (hạng III)</v>
          </cell>
          <cell r="O204" t="str">
            <v>Anh B</v>
          </cell>
          <cell r="Q204" t="str">
            <v>Cơ bản</v>
          </cell>
        </row>
        <row r="205">
          <cell r="B205" t="str">
            <v>BV0790</v>
          </cell>
          <cell r="C205" t="str">
            <v>Dương Tuyết Nhung</v>
          </cell>
          <cell r="D205" t="str">
            <v>BV0790</v>
          </cell>
          <cell r="E205" t="str">
            <v>x</v>
          </cell>
          <cell r="F205" t="str">
            <v>Bác sĩ</v>
          </cell>
          <cell r="G205" t="str">
            <v>TĐ005</v>
          </cell>
          <cell r="H205" t="str">
            <v>ĐH Y Dược Thái Bình</v>
          </cell>
          <cell r="I205">
            <v>2017</v>
          </cell>
          <cell r="J205" t="str">
            <v>Bác sĩ (hạng III)</v>
          </cell>
        </row>
        <row r="206">
          <cell r="B206" t="str">
            <v>BV0248</v>
          </cell>
          <cell r="C206" t="str">
            <v>Đặng Thúy Loan</v>
          </cell>
          <cell r="D206" t="str">
            <v>BV0248</v>
          </cell>
          <cell r="E206" t="str">
            <v>x</v>
          </cell>
          <cell r="F206" t="str">
            <v>Bác sĩ</v>
          </cell>
          <cell r="G206" t="str">
            <v>TĐ005</v>
          </cell>
          <cell r="H206" t="str">
            <v>Đại học Y Dược Thái Bình</v>
          </cell>
          <cell r="I206">
            <v>2014</v>
          </cell>
          <cell r="J206" t="str">
            <v>Bác sĩ (hạng III)</v>
          </cell>
        </row>
        <row r="207">
          <cell r="B207" t="str">
            <v>BV0687</v>
          </cell>
          <cell r="C207" t="str">
            <v>Đàm Thị Hồng Vân</v>
          </cell>
          <cell r="D207" t="str">
            <v>BV0687</v>
          </cell>
          <cell r="E207" t="str">
            <v>x</v>
          </cell>
          <cell r="F207" t="str">
            <v>Bác sĩ</v>
          </cell>
          <cell r="G207" t="str">
            <v>TĐ005</v>
          </cell>
          <cell r="H207" t="e">
            <v>#N/A</v>
          </cell>
          <cell r="I207" t="e">
            <v>#N/A</v>
          </cell>
          <cell r="J207" t="str">
            <v>Bác sĩ (hạng III)</v>
          </cell>
          <cell r="O207" t="str">
            <v>Anh C</v>
          </cell>
          <cell r="Q207" t="str">
            <v>B</v>
          </cell>
        </row>
        <row r="208">
          <cell r="B208" t="str">
            <v>BV0809</v>
          </cell>
          <cell r="C208" t="str">
            <v>Bạch Khánh Vân</v>
          </cell>
          <cell r="D208" t="str">
            <v>BV0809</v>
          </cell>
          <cell r="E208" t="str">
            <v>x</v>
          </cell>
          <cell r="F208" t="str">
            <v>Bác sĩ</v>
          </cell>
          <cell r="G208" t="str">
            <v>TĐ005</v>
          </cell>
          <cell r="H208" t="str">
            <v>Đại học Y Dược  - ĐH Thái Nguyên</v>
          </cell>
          <cell r="I208">
            <v>2015</v>
          </cell>
          <cell r="J208" t="str">
            <v>Bác sĩ (hạng III)</v>
          </cell>
          <cell r="O208" t="str">
            <v>Anh B</v>
          </cell>
          <cell r="Q208" t="str">
            <v>B</v>
          </cell>
        </row>
        <row r="209">
          <cell r="B209" t="str">
            <v>BV0684</v>
          </cell>
          <cell r="C209" t="str">
            <v>Tạ Tuấn Vũ</v>
          </cell>
          <cell r="D209" t="str">
            <v>BV0684</v>
          </cell>
          <cell r="F209" t="str">
            <v>Bác sĩ</v>
          </cell>
          <cell r="G209" t="str">
            <v>TĐ005</v>
          </cell>
          <cell r="H209" t="str">
            <v>Đại học Y Dược  - ĐH Thái Nguyên</v>
          </cell>
          <cell r="I209">
            <v>2015</v>
          </cell>
          <cell r="J209" t="str">
            <v>Bác sĩ (hạng III)</v>
          </cell>
        </row>
        <row r="210">
          <cell r="B210" t="str">
            <v>BV0265</v>
          </cell>
          <cell r="C210" t="str">
            <v>Quách Thị Hà</v>
          </cell>
          <cell r="D210" t="str">
            <v>BV0265</v>
          </cell>
          <cell r="E210" t="str">
            <v>x</v>
          </cell>
          <cell r="F210" t="str">
            <v>Điều dưỡng ĐH</v>
          </cell>
          <cell r="G210" t="str">
            <v>TĐ011</v>
          </cell>
          <cell r="H210">
            <v>0</v>
          </cell>
          <cell r="I210">
            <v>0</v>
          </cell>
          <cell r="J210" t="str">
            <v>Hộ sinh (hạng III)</v>
          </cell>
          <cell r="O210" t="str">
            <v>Anh B</v>
          </cell>
          <cell r="P210" t="str">
            <v>Tày</v>
          </cell>
          <cell r="Q210" t="str">
            <v>B</v>
          </cell>
        </row>
        <row r="211">
          <cell r="B211" t="str">
            <v>BV0264</v>
          </cell>
          <cell r="C211" t="str">
            <v>Trần Thị Hương</v>
          </cell>
          <cell r="D211" t="str">
            <v>BV0264</v>
          </cell>
          <cell r="E211" t="str">
            <v>x</v>
          </cell>
          <cell r="F211" t="str">
            <v>Điều dưỡng ĐH</v>
          </cell>
          <cell r="G211" t="str">
            <v>TĐ011</v>
          </cell>
          <cell r="H211">
            <v>0</v>
          </cell>
          <cell r="I211">
            <v>0</v>
          </cell>
          <cell r="J211" t="str">
            <v>Hộ sinh (hạng III)</v>
          </cell>
          <cell r="O211" t="str">
            <v>Anh B</v>
          </cell>
          <cell r="P211" t="str">
            <v>Tày</v>
          </cell>
          <cell r="Q211" t="str">
            <v>B</v>
          </cell>
        </row>
        <row r="212">
          <cell r="B212" t="str">
            <v>BV0266</v>
          </cell>
          <cell r="C212" t="str">
            <v>Âu Thị Thủy</v>
          </cell>
          <cell r="D212" t="str">
            <v>BV0266</v>
          </cell>
          <cell r="E212" t="str">
            <v>x</v>
          </cell>
          <cell r="F212" t="str">
            <v>Điều dưỡng ĐH</v>
          </cell>
          <cell r="G212" t="str">
            <v>TĐ011</v>
          </cell>
          <cell r="H212" t="str">
            <v>Đại học Điều dưỡng Nam Định</v>
          </cell>
          <cell r="I212">
            <v>2015</v>
          </cell>
          <cell r="J212" t="str">
            <v>Hộ sinh (hạng III)</v>
          </cell>
          <cell r="O212" t="str">
            <v>Anh B</v>
          </cell>
          <cell r="P212" t="str">
            <v>Tày</v>
          </cell>
          <cell r="Q212" t="str">
            <v>B</v>
          </cell>
        </row>
        <row r="213">
          <cell r="B213" t="str">
            <v>BV0252</v>
          </cell>
          <cell r="C213" t="str">
            <v>Triệu Hoàng Anh</v>
          </cell>
          <cell r="D213" t="str">
            <v>BV0252</v>
          </cell>
          <cell r="E213" t="str">
            <v>x</v>
          </cell>
          <cell r="F213" t="str">
            <v>Hộ sinh ĐH</v>
          </cell>
          <cell r="G213" t="str">
            <v>TĐ017</v>
          </cell>
          <cell r="H213" t="str">
            <v>ĐH Điều dưỡng Nam Định</v>
          </cell>
          <cell r="I213">
            <v>2011</v>
          </cell>
          <cell r="J213" t="str">
            <v>Hộ sinh (hạng III)</v>
          </cell>
          <cell r="N213" t="str">
            <v>Sơ cấp</v>
          </cell>
          <cell r="O213" t="str">
            <v>Anh B</v>
          </cell>
          <cell r="P213" t="str">
            <v>Tày</v>
          </cell>
          <cell r="Q213" t="str">
            <v>B</v>
          </cell>
        </row>
        <row r="214">
          <cell r="B214" t="str">
            <v>BV0268</v>
          </cell>
          <cell r="C214" t="str">
            <v>Hoàng Thị Hưởng</v>
          </cell>
          <cell r="D214" t="str">
            <v>BV0268</v>
          </cell>
          <cell r="E214" t="str">
            <v>x</v>
          </cell>
          <cell r="F214" t="str">
            <v>Hộ sinh ĐH</v>
          </cell>
          <cell r="G214" t="str">
            <v>TĐ017</v>
          </cell>
          <cell r="H214" t="str">
            <v>CĐ Y tế Lạng Sơn</v>
          </cell>
          <cell r="I214" t="str">
            <v>2006</v>
          </cell>
          <cell r="J214" t="str">
            <v>Hộ sinh (hạng III)</v>
          </cell>
          <cell r="P214" t="str">
            <v>Tày</v>
          </cell>
          <cell r="Q214" t="str">
            <v>B</v>
          </cell>
        </row>
        <row r="215">
          <cell r="B215" t="str">
            <v>BV0251</v>
          </cell>
          <cell r="C215" t="str">
            <v>Hoàng Thị Nụ</v>
          </cell>
          <cell r="D215" t="str">
            <v>BV0251</v>
          </cell>
          <cell r="E215" t="str">
            <v>x</v>
          </cell>
          <cell r="F215" t="str">
            <v>Hộ sinh ĐH</v>
          </cell>
          <cell r="G215" t="str">
            <v>TĐ017</v>
          </cell>
          <cell r="H215" t="str">
            <v>Đại học Điều dưỡng Nam Định</v>
          </cell>
          <cell r="I215">
            <v>2008</v>
          </cell>
          <cell r="J215" t="str">
            <v>Hộ sinh (hạng III)</v>
          </cell>
          <cell r="O215" t="str">
            <v>x</v>
          </cell>
          <cell r="Q215" t="str">
            <v>x</v>
          </cell>
        </row>
        <row r="216">
          <cell r="B216" t="str">
            <v>BV0253</v>
          </cell>
          <cell r="C216" t="str">
            <v>Bùi Thị Oanh</v>
          </cell>
          <cell r="D216" t="str">
            <v>BV0253</v>
          </cell>
          <cell r="E216" t="str">
            <v>x</v>
          </cell>
          <cell r="F216" t="str">
            <v>Hộ sinh ĐH</v>
          </cell>
          <cell r="G216" t="str">
            <v>TĐ017</v>
          </cell>
          <cell r="H216" t="str">
            <v>ĐH Điều dưỡng Nam Định</v>
          </cell>
          <cell r="I216">
            <v>2014</v>
          </cell>
          <cell r="J216" t="str">
            <v>Hộ sinh (hạng III)</v>
          </cell>
          <cell r="O216" t="str">
            <v>Anh B</v>
          </cell>
          <cell r="Q216" t="str">
            <v>B</v>
          </cell>
        </row>
        <row r="217">
          <cell r="B217" t="str">
            <v>BV0250</v>
          </cell>
          <cell r="C217" t="str">
            <v>Lương Thị Thoa</v>
          </cell>
          <cell r="D217" t="str">
            <v>BV0250</v>
          </cell>
          <cell r="E217" t="str">
            <v>x</v>
          </cell>
          <cell r="F217" t="str">
            <v>Hộ sinh ĐH</v>
          </cell>
          <cell r="G217" t="str">
            <v>TĐ017</v>
          </cell>
          <cell r="H217" t="str">
            <v>Đại học Điều dưỡng Nam Định</v>
          </cell>
          <cell r="I217">
            <v>2009</v>
          </cell>
          <cell r="J217" t="str">
            <v>Hộ sinh (hạng III)</v>
          </cell>
          <cell r="O217" t="str">
            <v>Anh B</v>
          </cell>
          <cell r="Q217" t="str">
            <v>B</v>
          </cell>
        </row>
        <row r="218">
          <cell r="B218" t="str">
            <v>BV0996</v>
          </cell>
          <cell r="C218" t="str">
            <v>Hoàng Thị Thuần</v>
          </cell>
          <cell r="D218" t="str">
            <v>BV0996</v>
          </cell>
          <cell r="E218" t="str">
            <v>x</v>
          </cell>
          <cell r="F218" t="str">
            <v>Hộ sinh ĐH</v>
          </cell>
          <cell r="G218" t="str">
            <v>TĐ017</v>
          </cell>
          <cell r="H218">
            <v>0</v>
          </cell>
          <cell r="I218">
            <v>0</v>
          </cell>
          <cell r="J218" t="str">
            <v>Hộ sinh (hạng III)</v>
          </cell>
          <cell r="P218" t="str">
            <v>Tày</v>
          </cell>
          <cell r="Q218" t="str">
            <v>Cơ bản</v>
          </cell>
        </row>
        <row r="219">
          <cell r="B219" t="str">
            <v>BV0255</v>
          </cell>
          <cell r="C219" t="str">
            <v>Hoàng Quế Anh</v>
          </cell>
          <cell r="D219" t="str">
            <v>BV0255</v>
          </cell>
          <cell r="E219" t="str">
            <v>x</v>
          </cell>
          <cell r="F219" t="str">
            <v>Hộ sinh ĐH</v>
          </cell>
          <cell r="G219" t="str">
            <v>TĐ018</v>
          </cell>
          <cell r="H219" t="str">
            <v>ĐH Điều dưỡng Nam Định</v>
          </cell>
          <cell r="I219">
            <v>2005</v>
          </cell>
          <cell r="J219" t="str">
            <v>Hộ sinh (hạng IV)</v>
          </cell>
          <cell r="N219" t="str">
            <v>Sơ cấp</v>
          </cell>
          <cell r="O219" t="str">
            <v>Anh A2</v>
          </cell>
          <cell r="P219" t="str">
            <v>Tày</v>
          </cell>
          <cell r="Q219" t="str">
            <v>Cơ bản</v>
          </cell>
        </row>
        <row r="220">
          <cell r="B220" t="str">
            <v>BV0008</v>
          </cell>
          <cell r="C220" t="str">
            <v>Nguyễn Thị Thắm</v>
          </cell>
          <cell r="D220" t="str">
            <v>BV0008</v>
          </cell>
          <cell r="E220" t="str">
            <v>x</v>
          </cell>
          <cell r="F220" t="str">
            <v>Hộ sinh CĐ</v>
          </cell>
          <cell r="G220" t="str">
            <v>TĐ018</v>
          </cell>
          <cell r="H220" t="str">
            <v>ĐH KT Y tế Hải Dương</v>
          </cell>
          <cell r="I220">
            <v>2008</v>
          </cell>
          <cell r="J220" t="str">
            <v>Hộ sinh (hạng IV)</v>
          </cell>
          <cell r="O220" t="str">
            <v>Anh B</v>
          </cell>
          <cell r="Q220" t="str">
            <v>B</v>
          </cell>
        </row>
        <row r="221">
          <cell r="B221" t="str">
            <v>BV0254</v>
          </cell>
          <cell r="C221" t="str">
            <v>Nông Thị Thu Trang</v>
          </cell>
          <cell r="D221" t="str">
            <v>BV0254</v>
          </cell>
          <cell r="E221" t="str">
            <v>x</v>
          </cell>
          <cell r="F221" t="str">
            <v>Hộ sinh CĐ</v>
          </cell>
          <cell r="G221" t="str">
            <v>TĐ018</v>
          </cell>
          <cell r="H221" t="str">
            <v>CĐ Y tế Lạng Sơn</v>
          </cell>
          <cell r="I221">
            <v>2006</v>
          </cell>
          <cell r="J221" t="str">
            <v>Hộ sinh (hạng IV)</v>
          </cell>
          <cell r="O221" t="str">
            <v>Anh A2</v>
          </cell>
          <cell r="Q221" t="str">
            <v>Cơ bản</v>
          </cell>
        </row>
        <row r="222">
          <cell r="B222" t="str">
            <v>BV0284</v>
          </cell>
          <cell r="C222" t="str">
            <v>Lăng Thị Điệp</v>
          </cell>
          <cell r="D222" t="str">
            <v>BV0284</v>
          </cell>
          <cell r="E222" t="str">
            <v>x</v>
          </cell>
          <cell r="F222" t="str">
            <v>Hộ sinh TC</v>
          </cell>
          <cell r="G222" t="str">
            <v>TĐ019</v>
          </cell>
          <cell r="H222" t="str">
            <v>CĐ Y tế Lạng Sơn</v>
          </cell>
          <cell r="I222">
            <v>2011</v>
          </cell>
          <cell r="J222" t="str">
            <v>Hộ sinh (hạng IV)</v>
          </cell>
        </row>
        <row r="223">
          <cell r="B223" t="str">
            <v>BV0040</v>
          </cell>
          <cell r="C223" t="str">
            <v>Hoàng Hồ Điệp</v>
          </cell>
          <cell r="D223" t="str">
            <v>BV0040</v>
          </cell>
          <cell r="E223" t="str">
            <v>x</v>
          </cell>
          <cell r="F223" t="str">
            <v>Hộ sinh TC</v>
          </cell>
          <cell r="G223" t="str">
            <v>TĐ019</v>
          </cell>
          <cell r="H223" t="str">
            <v>Trung học Y tế Lạng Sơn</v>
          </cell>
          <cell r="I223">
            <v>2005</v>
          </cell>
          <cell r="J223" t="str">
            <v>Hộ sinh (hạng IV)</v>
          </cell>
          <cell r="O223" t="str">
            <v>Anh B</v>
          </cell>
        </row>
        <row r="224">
          <cell r="B224" t="str">
            <v>BV0280</v>
          </cell>
          <cell r="C224" t="str">
            <v>Nguyễn Thị Định</v>
          </cell>
          <cell r="D224" t="str">
            <v>BV0280</v>
          </cell>
          <cell r="E224" t="str">
            <v>x</v>
          </cell>
          <cell r="F224" t="str">
            <v>Hộ sinh TC</v>
          </cell>
          <cell r="G224" t="str">
            <v>TĐ019</v>
          </cell>
          <cell r="H224" t="str">
            <v>CĐ Y tế Lạng Sơn</v>
          </cell>
          <cell r="I224">
            <v>2008</v>
          </cell>
          <cell r="J224" t="str">
            <v>Hộ sinh (hạng IV)</v>
          </cell>
          <cell r="O224" t="str">
            <v>x</v>
          </cell>
          <cell r="Q224" t="str">
            <v>x</v>
          </cell>
        </row>
        <row r="225">
          <cell r="B225" t="str">
            <v>BV0041</v>
          </cell>
          <cell r="C225" t="str">
            <v>Vi Thị Hương Giang</v>
          </cell>
          <cell r="D225" t="str">
            <v>BV0041</v>
          </cell>
          <cell r="E225" t="str">
            <v>x</v>
          </cell>
          <cell r="F225" t="str">
            <v>Hộ sinh TC</v>
          </cell>
          <cell r="G225" t="str">
            <v>TĐ019</v>
          </cell>
          <cell r="H225" t="str">
            <v>CĐ Y tế Lạng Sơn</v>
          </cell>
          <cell r="I225">
            <v>2018</v>
          </cell>
          <cell r="J225" t="str">
            <v>Hộ sinh (hạng IV)</v>
          </cell>
          <cell r="Q225" t="str">
            <v>B</v>
          </cell>
        </row>
        <row r="226">
          <cell r="B226" t="str">
            <v>BV0274</v>
          </cell>
          <cell r="C226" t="str">
            <v>Lưu Thị Thu Hằng</v>
          </cell>
          <cell r="D226" t="str">
            <v>BV0274</v>
          </cell>
          <cell r="E226" t="str">
            <v>x</v>
          </cell>
          <cell r="F226" t="str">
            <v>Hộ sinh ĐH</v>
          </cell>
          <cell r="G226" t="str">
            <v>TĐ019</v>
          </cell>
          <cell r="H226" t="str">
            <v>ĐH Trà Vinh</v>
          </cell>
          <cell r="I226">
            <v>2022</v>
          </cell>
          <cell r="J226" t="str">
            <v>Hộ sinh (hạng IV)</v>
          </cell>
        </row>
        <row r="227">
          <cell r="B227" t="str">
            <v>BV0282</v>
          </cell>
          <cell r="C227" t="str">
            <v>Hoàng Thị Hiển</v>
          </cell>
          <cell r="D227" t="str">
            <v>BV0282</v>
          </cell>
          <cell r="E227" t="str">
            <v>x</v>
          </cell>
          <cell r="F227" t="str">
            <v>Hộ sinh TC</v>
          </cell>
          <cell r="G227" t="str">
            <v>TĐ019</v>
          </cell>
          <cell r="H227" t="str">
            <v>CĐ Y tế Lạng Sơn</v>
          </cell>
          <cell r="I227">
            <v>2009</v>
          </cell>
          <cell r="J227" t="str">
            <v>Hộ sinh (hạng IV)</v>
          </cell>
          <cell r="O227" t="str">
            <v>x</v>
          </cell>
        </row>
        <row r="228">
          <cell r="B228" t="str">
            <v>BV0256</v>
          </cell>
          <cell r="C228" t="str">
            <v>Nguyễn Bích Hòa</v>
          </cell>
          <cell r="D228" t="str">
            <v>BV0256</v>
          </cell>
          <cell r="E228" t="str">
            <v>x</v>
          </cell>
          <cell r="F228" t="str">
            <v>Hộ sinh TC</v>
          </cell>
          <cell r="G228" t="str">
            <v>TĐ019</v>
          </cell>
          <cell r="H228" t="e">
            <v>#N/A</v>
          </cell>
          <cell r="I228" t="e">
            <v>#N/A</v>
          </cell>
          <cell r="J228" t="str">
            <v>Hộ sinh (hạng IV)</v>
          </cell>
        </row>
        <row r="229">
          <cell r="B229" t="str">
            <v>BV0288</v>
          </cell>
          <cell r="C229" t="str">
            <v>Hứa Thu Hồng</v>
          </cell>
          <cell r="D229" t="str">
            <v>BV0288</v>
          </cell>
          <cell r="E229" t="str">
            <v>x</v>
          </cell>
          <cell r="F229" t="str">
            <v>Hộ sinh TC</v>
          </cell>
          <cell r="G229" t="str">
            <v>TĐ019</v>
          </cell>
          <cell r="H229" t="str">
            <v>Trung học Y tế Lạng Sơn</v>
          </cell>
          <cell r="I229">
            <v>2003</v>
          </cell>
          <cell r="J229" t="str">
            <v>Hộ sinh (hạng IV)</v>
          </cell>
          <cell r="O229" t="str">
            <v>TOEIC</v>
          </cell>
          <cell r="Q229" t="str">
            <v>Cơ bản</v>
          </cell>
        </row>
        <row r="230">
          <cell r="B230" t="str">
            <v>BV0275</v>
          </cell>
          <cell r="C230" t="str">
            <v>Dương Thị Huế</v>
          </cell>
          <cell r="D230" t="str">
            <v>BV0275</v>
          </cell>
          <cell r="E230" t="str">
            <v>x</v>
          </cell>
          <cell r="F230" t="str">
            <v>Hộ sinh TC</v>
          </cell>
          <cell r="G230" t="str">
            <v>TĐ019</v>
          </cell>
          <cell r="H230" t="str">
            <v>CĐ Y tế Lạng Sơn</v>
          </cell>
          <cell r="I230">
            <v>2007</v>
          </cell>
          <cell r="J230" t="str">
            <v>Hộ sinh (hạng IV)</v>
          </cell>
        </row>
        <row r="231">
          <cell r="B231" t="str">
            <v>BV0283</v>
          </cell>
          <cell r="C231" t="str">
            <v>Nguyễn Thị Huế</v>
          </cell>
          <cell r="D231" t="str">
            <v>BV0283</v>
          </cell>
          <cell r="E231" t="str">
            <v>x</v>
          </cell>
          <cell r="F231" t="str">
            <v>Hộ sinh TC</v>
          </cell>
          <cell r="G231" t="str">
            <v>TĐ019</v>
          </cell>
          <cell r="H231" t="str">
            <v>CĐ Y tế Lạng Sơn</v>
          </cell>
          <cell r="I231">
            <v>2011</v>
          </cell>
          <cell r="J231" t="str">
            <v>Hộ sinh (hạng IV)</v>
          </cell>
          <cell r="Q231" t="str">
            <v>x</v>
          </cell>
        </row>
        <row r="232">
          <cell r="B232" t="str">
            <v>BV0269</v>
          </cell>
          <cell r="C232" t="str">
            <v>Hoàng Thị Hương</v>
          </cell>
          <cell r="D232" t="str">
            <v>BV0269</v>
          </cell>
          <cell r="E232" t="str">
            <v>x</v>
          </cell>
          <cell r="F232" t="str">
            <v>Hộ sinh TC</v>
          </cell>
          <cell r="G232" t="str">
            <v>TĐ019</v>
          </cell>
          <cell r="H232" t="str">
            <v>Trung học Y tế Lạng Sơn</v>
          </cell>
          <cell r="I232">
            <v>1995</v>
          </cell>
          <cell r="J232" t="str">
            <v>Hộ sinh (hạng IV)</v>
          </cell>
        </row>
        <row r="233">
          <cell r="B233" t="str">
            <v>BV0279</v>
          </cell>
          <cell r="C233" t="str">
            <v>Phạm Thu Hương</v>
          </cell>
          <cell r="D233" t="str">
            <v>BV0279</v>
          </cell>
          <cell r="E233" t="str">
            <v>x</v>
          </cell>
          <cell r="F233" t="str">
            <v>Hộ sinh TC</v>
          </cell>
          <cell r="G233" t="str">
            <v>TĐ019</v>
          </cell>
          <cell r="H233" t="str">
            <v>CĐ Kỹ thuật y tế Hải Dương</v>
          </cell>
          <cell r="I233">
            <v>2007</v>
          </cell>
          <cell r="J233" t="str">
            <v>Hộ sinh (hạng IV)</v>
          </cell>
          <cell r="O233" t="str">
            <v>x</v>
          </cell>
          <cell r="Q233" t="str">
            <v>x</v>
          </cell>
        </row>
        <row r="234">
          <cell r="B234" t="str">
            <v>BV0257</v>
          </cell>
          <cell r="C234" t="str">
            <v>Lý Thị Hường</v>
          </cell>
          <cell r="D234" t="str">
            <v>BV0257</v>
          </cell>
          <cell r="E234" t="str">
            <v>x</v>
          </cell>
          <cell r="F234" t="str">
            <v>Hộ sinh TC</v>
          </cell>
          <cell r="G234" t="str">
            <v>TĐ019</v>
          </cell>
          <cell r="H234" t="str">
            <v>Trung học Y tế Lạng Sơn</v>
          </cell>
          <cell r="I234">
            <v>2005</v>
          </cell>
          <cell r="J234" t="str">
            <v>Hộ sinh (hạng IV)</v>
          </cell>
          <cell r="P234" t="str">
            <v>x</v>
          </cell>
          <cell r="Q234" t="str">
            <v>x</v>
          </cell>
        </row>
        <row r="235">
          <cell r="B235" t="str">
            <v>BV0281</v>
          </cell>
          <cell r="C235" t="str">
            <v>Phạm Thúy Hường</v>
          </cell>
          <cell r="D235" t="str">
            <v>BV0281</v>
          </cell>
          <cell r="E235" t="str">
            <v>x</v>
          </cell>
          <cell r="F235" t="str">
            <v>Hộ sinh TC</v>
          </cell>
          <cell r="G235" t="str">
            <v>TĐ019</v>
          </cell>
          <cell r="H235" t="str">
            <v>Trung học Y tế Lạng Sơn</v>
          </cell>
          <cell r="I235">
            <v>2005</v>
          </cell>
          <cell r="J235" t="str">
            <v>Hộ sinh (hạng IV)</v>
          </cell>
          <cell r="Q235" t="str">
            <v>Cơ bản</v>
          </cell>
        </row>
        <row r="236">
          <cell r="B236" t="str">
            <v>BV0846</v>
          </cell>
          <cell r="C236" t="str">
            <v>Hoàng Thị Khuynh</v>
          </cell>
          <cell r="D236" t="str">
            <v>BV0846</v>
          </cell>
          <cell r="E236" t="str">
            <v>x</v>
          </cell>
          <cell r="F236" t="str">
            <v>Hộ sinh TC</v>
          </cell>
          <cell r="G236" t="str">
            <v>TĐ019</v>
          </cell>
          <cell r="H236" t="str">
            <v>CĐ Y tế Lạng Sơn</v>
          </cell>
          <cell r="I236">
            <v>2007</v>
          </cell>
          <cell r="J236" t="str">
            <v>Hộ sinh (hạng IV)</v>
          </cell>
          <cell r="O236" t="str">
            <v>x</v>
          </cell>
          <cell r="Q236" t="str">
            <v>x</v>
          </cell>
        </row>
        <row r="237">
          <cell r="B237" t="str">
            <v>BV0277</v>
          </cell>
          <cell r="C237" t="str">
            <v>Phạm Mai Lê</v>
          </cell>
          <cell r="D237" t="str">
            <v>BV0277</v>
          </cell>
          <cell r="E237" t="str">
            <v>x</v>
          </cell>
          <cell r="F237" t="str">
            <v>Hộ sinh TC</v>
          </cell>
          <cell r="G237" t="str">
            <v>TĐ019</v>
          </cell>
          <cell r="H237" t="e">
            <v>#N/A</v>
          </cell>
          <cell r="I237" t="e">
            <v>#N/A</v>
          </cell>
          <cell r="J237" t="str">
            <v>Hộ sinh (hạng IV)</v>
          </cell>
        </row>
        <row r="238">
          <cell r="B238" t="str">
            <v>BV0843</v>
          </cell>
          <cell r="C238" t="str">
            <v>Lý Thị Diệu Linh</v>
          </cell>
          <cell r="D238" t="str">
            <v>BV0843</v>
          </cell>
          <cell r="E238" t="str">
            <v>x</v>
          </cell>
          <cell r="F238" t="str">
            <v>Hộ sinh TC</v>
          </cell>
          <cell r="G238" t="str">
            <v>TĐ019</v>
          </cell>
          <cell r="H238" t="str">
            <v>CĐ Y tế Lạng Sơn</v>
          </cell>
          <cell r="I238">
            <v>2014</v>
          </cell>
          <cell r="J238" t="str">
            <v>Hộ sinh (hạng IV)</v>
          </cell>
          <cell r="O238" t="str">
            <v>x</v>
          </cell>
          <cell r="Q238" t="str">
            <v>x</v>
          </cell>
        </row>
        <row r="239">
          <cell r="B239" t="str">
            <v>BV0285</v>
          </cell>
          <cell r="C239" t="str">
            <v>Trần Thị Hoàng Mai</v>
          </cell>
          <cell r="D239" t="str">
            <v>BV0285</v>
          </cell>
          <cell r="E239" t="str">
            <v>x</v>
          </cell>
          <cell r="F239" t="str">
            <v>Hộ sinh TC</v>
          </cell>
          <cell r="G239" t="str">
            <v>TĐ019</v>
          </cell>
          <cell r="H239" t="str">
            <v>CĐ Y tế Lạng Sơn</v>
          </cell>
          <cell r="I239">
            <v>2011</v>
          </cell>
          <cell r="J239" t="str">
            <v>Hộ sinh (hạng IV)</v>
          </cell>
          <cell r="O239" t="str">
            <v>Trung A</v>
          </cell>
          <cell r="Q239" t="str">
            <v>A</v>
          </cell>
        </row>
        <row r="240">
          <cell r="B240" t="str">
            <v>BV0271</v>
          </cell>
          <cell r="C240" t="str">
            <v>Chu Thị Mười</v>
          </cell>
          <cell r="D240" t="str">
            <v>BV0271</v>
          </cell>
          <cell r="E240" t="str">
            <v>x</v>
          </cell>
          <cell r="F240" t="str">
            <v>Hộ sinh TC</v>
          </cell>
          <cell r="G240" t="str">
            <v>TĐ019</v>
          </cell>
          <cell r="H240" t="str">
            <v>Trung học Y tế Lạng Sơn</v>
          </cell>
          <cell r="I240">
            <v>2005</v>
          </cell>
          <cell r="J240" t="str">
            <v>Hộ sinh (hạng IV)</v>
          </cell>
        </row>
        <row r="241">
          <cell r="B241" t="str">
            <v>BV0270</v>
          </cell>
          <cell r="C241" t="str">
            <v>Đàm Thị Nga</v>
          </cell>
          <cell r="D241" t="str">
            <v>BV0270</v>
          </cell>
          <cell r="E241" t="str">
            <v>x</v>
          </cell>
          <cell r="F241" t="str">
            <v>Hộ sinh TC</v>
          </cell>
          <cell r="G241" t="str">
            <v>TĐ019</v>
          </cell>
          <cell r="H241" t="e">
            <v>#N/A</v>
          </cell>
          <cell r="I241" t="e">
            <v>#N/A</v>
          </cell>
          <cell r="J241" t="str">
            <v>Hộ sinh (hạng IV)</v>
          </cell>
          <cell r="O241" t="str">
            <v>Anh B</v>
          </cell>
          <cell r="Q241" t="str">
            <v>Cơ bản</v>
          </cell>
        </row>
        <row r="242">
          <cell r="B242" t="str">
            <v>BV0272</v>
          </cell>
          <cell r="C242" t="str">
            <v>Hứa Thanh Ngà</v>
          </cell>
          <cell r="D242" t="str">
            <v>BV0272</v>
          </cell>
          <cell r="E242" t="str">
            <v>x</v>
          </cell>
          <cell r="F242" t="str">
            <v>Hộ sinh TC</v>
          </cell>
          <cell r="G242" t="str">
            <v>TĐ019</v>
          </cell>
          <cell r="H242" t="str">
            <v>Trung học Y tế Lạng Sơn</v>
          </cell>
          <cell r="I242">
            <v>2004</v>
          </cell>
          <cell r="J242" t="str">
            <v>Hộ sinh (hạng IV)</v>
          </cell>
          <cell r="O242" t="str">
            <v>Anh A2</v>
          </cell>
          <cell r="Q242" t="str">
            <v>Cơ bản</v>
          </cell>
        </row>
        <row r="243">
          <cell r="B243" t="str">
            <v>BV0290</v>
          </cell>
          <cell r="C243" t="str">
            <v>Ngọ Thị Ngoan</v>
          </cell>
          <cell r="D243" t="str">
            <v>BV0290</v>
          </cell>
          <cell r="E243" t="str">
            <v>x</v>
          </cell>
          <cell r="F243" t="str">
            <v>Hộ sinh CĐ</v>
          </cell>
          <cell r="G243" t="str">
            <v>TĐ019</v>
          </cell>
          <cell r="H243" t="str">
            <v>Trung học Y tế Lạng Sơn</v>
          </cell>
          <cell r="I243">
            <v>2005</v>
          </cell>
          <cell r="J243" t="str">
            <v>Hộ sinh (hạng IV)</v>
          </cell>
        </row>
        <row r="244">
          <cell r="B244" t="str">
            <v>BV0276</v>
          </cell>
          <cell r="C244" t="str">
            <v>Hoàng Thị Nhung</v>
          </cell>
          <cell r="D244" t="str">
            <v>BV0276</v>
          </cell>
          <cell r="E244" t="str">
            <v>x</v>
          </cell>
          <cell r="F244" t="str">
            <v>Hộ sinh TC</v>
          </cell>
          <cell r="G244" t="str">
            <v>TĐ019</v>
          </cell>
          <cell r="H244" t="str">
            <v>Trung học Y tế Lạng Sơn</v>
          </cell>
          <cell r="I244">
            <v>2005</v>
          </cell>
          <cell r="J244" t="str">
            <v>Hộ sinh (hạng IV)</v>
          </cell>
          <cell r="O244" t="str">
            <v>Anh B</v>
          </cell>
          <cell r="Q244" t="str">
            <v>Cơ bản</v>
          </cell>
        </row>
        <row r="245">
          <cell r="B245" t="str">
            <v>BV0267</v>
          </cell>
          <cell r="C245" t="str">
            <v>Hoàng Thị Mai Quỳnh</v>
          </cell>
          <cell r="D245" t="str">
            <v>BV0267</v>
          </cell>
          <cell r="E245" t="str">
            <v>x</v>
          </cell>
          <cell r="F245" t="str">
            <v>Hộ sinh TC</v>
          </cell>
          <cell r="G245" t="str">
            <v>TĐ019</v>
          </cell>
          <cell r="H245" t="str">
            <v>CĐ Y tế Lạng Sơn</v>
          </cell>
          <cell r="I245">
            <v>2007</v>
          </cell>
          <cell r="J245" t="str">
            <v>Hộ sinh (hạng IV)</v>
          </cell>
          <cell r="Q245" t="str">
            <v>Tin B</v>
          </cell>
        </row>
        <row r="246">
          <cell r="B246" t="str">
            <v>BV0291</v>
          </cell>
          <cell r="C246" t="str">
            <v>Nguyễn Thị Tuyết</v>
          </cell>
          <cell r="D246" t="str">
            <v>BV0291</v>
          </cell>
          <cell r="E246" t="str">
            <v>x</v>
          </cell>
          <cell r="F246" t="str">
            <v>Hộ sinh TC</v>
          </cell>
          <cell r="G246" t="str">
            <v>TĐ019</v>
          </cell>
          <cell r="H246" t="str">
            <v>Trung học Y tế Lạng Sơn</v>
          </cell>
          <cell r="I246">
            <v>2005</v>
          </cell>
          <cell r="J246" t="str">
            <v>Hộ sinh (hạng IV)</v>
          </cell>
          <cell r="O246" t="str">
            <v>Anh B</v>
          </cell>
          <cell r="Q246" t="str">
            <v>Cơ bản</v>
          </cell>
        </row>
        <row r="247">
          <cell r="B247" t="str">
            <v>BV0273</v>
          </cell>
          <cell r="C247" t="str">
            <v>Phan Thị Thi</v>
          </cell>
          <cell r="D247" t="str">
            <v>BV0273</v>
          </cell>
          <cell r="E247" t="str">
            <v>x</v>
          </cell>
          <cell r="F247" t="str">
            <v>Hộ sinh TC</v>
          </cell>
          <cell r="G247" t="str">
            <v>TĐ019</v>
          </cell>
          <cell r="H247" t="str">
            <v>CĐ Y tế Lạng Sơn</v>
          </cell>
          <cell r="I247">
            <v>2008</v>
          </cell>
          <cell r="J247" t="str">
            <v>Hộ sinh (hạng IV)</v>
          </cell>
        </row>
        <row r="248">
          <cell r="B248" t="str">
            <v>BV0287</v>
          </cell>
          <cell r="C248" t="str">
            <v>Hoàng Thị Thiệp</v>
          </cell>
          <cell r="D248" t="str">
            <v>BV0287</v>
          </cell>
          <cell r="E248" t="str">
            <v>x</v>
          </cell>
          <cell r="F248" t="str">
            <v>Hộ sinh TC</v>
          </cell>
          <cell r="G248" t="str">
            <v>TĐ019</v>
          </cell>
          <cell r="H248" t="str">
            <v>CĐ Kỹ thuật y tế Hải Dương</v>
          </cell>
          <cell r="I248">
            <v>2004</v>
          </cell>
          <cell r="J248" t="str">
            <v>Điều dưỡng (hạng IV)</v>
          </cell>
          <cell r="O248" t="str">
            <v>Anh A2</v>
          </cell>
          <cell r="Q248" t="str">
            <v>Cơ bản</v>
          </cell>
        </row>
        <row r="249">
          <cell r="B249" t="str">
            <v>BV0286</v>
          </cell>
          <cell r="C249" t="str">
            <v>Nông Thị Thời</v>
          </cell>
          <cell r="D249" t="str">
            <v>BV0286</v>
          </cell>
          <cell r="E249" t="str">
            <v>x</v>
          </cell>
          <cell r="F249" t="str">
            <v>Hộ sinh TC</v>
          </cell>
          <cell r="G249" t="str">
            <v>TĐ019</v>
          </cell>
          <cell r="H249" t="str">
            <v>CĐ Y tế Lạng Sơn</v>
          </cell>
          <cell r="I249">
            <v>2008</v>
          </cell>
          <cell r="J249" t="str">
            <v>Hộ sinh (hạng IV)</v>
          </cell>
        </row>
        <row r="250">
          <cell r="B250" t="str">
            <v>BV0042</v>
          </cell>
          <cell r="C250" t="str">
            <v>Triệu Thị Thơm</v>
          </cell>
          <cell r="D250" t="str">
            <v>BV0042</v>
          </cell>
          <cell r="E250" t="str">
            <v>x</v>
          </cell>
          <cell r="F250" t="str">
            <v>Hộ sinh TC</v>
          </cell>
          <cell r="G250" t="str">
            <v>TĐ019</v>
          </cell>
          <cell r="H250" t="e">
            <v>#N/A</v>
          </cell>
          <cell r="I250" t="e">
            <v>#N/A</v>
          </cell>
          <cell r="J250" t="str">
            <v>Hộ sinh (hạng IV)</v>
          </cell>
        </row>
        <row r="251">
          <cell r="B251" t="str">
            <v>BV0278</v>
          </cell>
          <cell r="C251" t="str">
            <v>Vi Thị Thuần</v>
          </cell>
          <cell r="D251" t="str">
            <v>BV0278</v>
          </cell>
          <cell r="E251" t="str">
            <v>x</v>
          </cell>
          <cell r="F251" t="str">
            <v>Hộ sinh TC</v>
          </cell>
          <cell r="G251" t="str">
            <v>TĐ019</v>
          </cell>
          <cell r="H251" t="str">
            <v>Trung học Y tế Lạng Sơn</v>
          </cell>
          <cell r="I251">
            <v>2005</v>
          </cell>
          <cell r="J251" t="str">
            <v>Hộ sinh (hạng IV)</v>
          </cell>
        </row>
        <row r="252">
          <cell r="B252" t="str">
            <v>BV0258</v>
          </cell>
          <cell r="C252" t="str">
            <v>Chu Thị Hồng Trang</v>
          </cell>
          <cell r="D252" t="str">
            <v>BV0258</v>
          </cell>
          <cell r="E252" t="str">
            <v>x</v>
          </cell>
          <cell r="F252" t="str">
            <v>Hộ sinh TC</v>
          </cell>
          <cell r="G252" t="str">
            <v>TĐ019</v>
          </cell>
          <cell r="H252" t="str">
            <v>Trung học Y tế Lạng Sơn</v>
          </cell>
          <cell r="I252">
            <v>2001</v>
          </cell>
          <cell r="J252" t="str">
            <v>Hộ sinh (hạng IV)</v>
          </cell>
          <cell r="Q252" t="str">
            <v>Cơ bản</v>
          </cell>
        </row>
        <row r="253">
          <cell r="B253" t="str">
            <v>BV1003</v>
          </cell>
          <cell r="C253" t="str">
            <v>Tô Thị Hành</v>
          </cell>
          <cell r="D253" t="str">
            <v>BV1003</v>
          </cell>
          <cell r="E253" t="str">
            <v>x</v>
          </cell>
          <cell r="F253" t="str">
            <v>Hộ sinh TC</v>
          </cell>
          <cell r="G253" t="str">
            <v>TĐ019</v>
          </cell>
          <cell r="H253">
            <v>0</v>
          </cell>
          <cell r="I253">
            <v>0</v>
          </cell>
          <cell r="J253" t="str">
            <v>Hộ sinh (hạng IV)</v>
          </cell>
          <cell r="O253" t="str">
            <v>x</v>
          </cell>
          <cell r="Q253" t="str">
            <v>Cơ bản</v>
          </cell>
        </row>
        <row r="254">
          <cell r="B254" t="str">
            <v>BV0315</v>
          </cell>
          <cell r="C254" t="str">
            <v>Hoàng Thị Vượng</v>
          </cell>
          <cell r="D254" t="str">
            <v>BV0315</v>
          </cell>
          <cell r="E254" t="str">
            <v>x</v>
          </cell>
          <cell r="F254" t="str">
            <v>Điều dưỡng TC</v>
          </cell>
          <cell r="G254" t="str">
            <v>TĐ013</v>
          </cell>
          <cell r="H254" t="str">
            <v>CĐ Y tế Lạng Sơn</v>
          </cell>
          <cell r="I254">
            <v>2008</v>
          </cell>
          <cell r="J254" t="str">
            <v>Điều dưỡng (hạng IV)</v>
          </cell>
          <cell r="O254" t="str">
            <v>Anh B</v>
          </cell>
          <cell r="Q254" t="str">
            <v>Cơ bản</v>
          </cell>
        </row>
        <row r="255">
          <cell r="B255" t="str">
            <v>BV0296</v>
          </cell>
          <cell r="C255" t="str">
            <v>Lê Quang Phương</v>
          </cell>
          <cell r="D255" t="str">
            <v>BV0296</v>
          </cell>
          <cell r="F255" t="str">
            <v>BSCKII</v>
          </cell>
          <cell r="G255" t="str">
            <v>TĐ001</v>
          </cell>
          <cell r="H255">
            <v>0</v>
          </cell>
          <cell r="I255">
            <v>0</v>
          </cell>
          <cell r="J255" t="str">
            <v>Bác sĩ chính (hạng II)</v>
          </cell>
          <cell r="L255" t="str">
            <v>Chuyên viên</v>
          </cell>
          <cell r="M255" t="str">
            <v>x</v>
          </cell>
          <cell r="N255" t="str">
            <v>Trung cấp</v>
          </cell>
          <cell r="O255" t="str">
            <v>Anh B</v>
          </cell>
          <cell r="Q255" t="str">
            <v>Tin B</v>
          </cell>
        </row>
        <row r="256">
          <cell r="B256" t="str">
            <v>BV0295</v>
          </cell>
          <cell r="C256" t="str">
            <v>Ma Văn Minh</v>
          </cell>
          <cell r="D256" t="str">
            <v>BV0295</v>
          </cell>
          <cell r="F256" t="str">
            <v>BSCKI</v>
          </cell>
          <cell r="G256" t="str">
            <v>TĐ003</v>
          </cell>
          <cell r="H256" t="e">
            <v>#N/A</v>
          </cell>
          <cell r="I256" t="e">
            <v>#N/A</v>
          </cell>
          <cell r="J256" t="str">
            <v>Bác sĩ chính (hạng II)</v>
          </cell>
          <cell r="K256" t="str">
            <v>Bác sĩ chính</v>
          </cell>
          <cell r="L256" t="str">
            <v>x</v>
          </cell>
          <cell r="M256" t="str">
            <v>x</v>
          </cell>
          <cell r="N256" t="str">
            <v>Trung cấp</v>
          </cell>
          <cell r="O256" t="str">
            <v>Anh B</v>
          </cell>
          <cell r="Q256" t="str">
            <v>Cơ bản</v>
          </cell>
        </row>
        <row r="257">
          <cell r="B257" t="str">
            <v>BV0297</v>
          </cell>
          <cell r="C257" t="str">
            <v>Nông Thị Nga</v>
          </cell>
          <cell r="D257" t="str">
            <v>BV0297</v>
          </cell>
          <cell r="E257" t="str">
            <v>x</v>
          </cell>
          <cell r="F257" t="str">
            <v>BSCKI</v>
          </cell>
          <cell r="G257" t="str">
            <v>TĐ003</v>
          </cell>
          <cell r="H257" t="e">
            <v>#N/A</v>
          </cell>
          <cell r="I257" t="e">
            <v>#N/A</v>
          </cell>
          <cell r="J257" t="str">
            <v>Bác sĩ (hạng III)</v>
          </cell>
          <cell r="N257" t="str">
            <v>x</v>
          </cell>
          <cell r="O257" t="str">
            <v>Anh C</v>
          </cell>
          <cell r="P257" t="str">
            <v>Tày</v>
          </cell>
          <cell r="Q257" t="str">
            <v>Cơ bản</v>
          </cell>
        </row>
        <row r="258">
          <cell r="B258" t="str">
            <v>BV0299</v>
          </cell>
          <cell r="C258" t="str">
            <v>Hoàng Đức Thuận</v>
          </cell>
          <cell r="D258" t="str">
            <v>BV0299</v>
          </cell>
          <cell r="F258" t="str">
            <v>BSCKI</v>
          </cell>
          <cell r="G258" t="str">
            <v>TĐ003</v>
          </cell>
          <cell r="H258" t="str">
            <v>Đại học Y Hà Nội</v>
          </cell>
          <cell r="I258">
            <v>2018</v>
          </cell>
          <cell r="J258" t="str">
            <v>Bác sĩ (hạng III)</v>
          </cell>
          <cell r="L258" t="str">
            <v>Chuyên viên</v>
          </cell>
          <cell r="N258" t="str">
            <v>Sơ cấp</v>
          </cell>
          <cell r="O258" t="str">
            <v>Anh B</v>
          </cell>
          <cell r="P258" t="str">
            <v>Tày</v>
          </cell>
          <cell r="Q258" t="str">
            <v>Cơ bản</v>
          </cell>
        </row>
        <row r="259">
          <cell r="B259" t="str">
            <v>BV0298</v>
          </cell>
          <cell r="C259" t="str">
            <v>Trần Thị Diệp</v>
          </cell>
          <cell r="D259" t="str">
            <v>BV0298</v>
          </cell>
          <cell r="E259" t="str">
            <v>x</v>
          </cell>
          <cell r="F259" t="str">
            <v>Thạc sỹ</v>
          </cell>
          <cell r="G259" t="str">
            <v>TĐ004</v>
          </cell>
          <cell r="H259" t="str">
            <v>Đại học Y Hà Nội</v>
          </cell>
          <cell r="I259">
            <v>2014</v>
          </cell>
          <cell r="J259" t="str">
            <v>Bác sĩ chính (hạng II)</v>
          </cell>
          <cell r="M259" t="str">
            <v>x</v>
          </cell>
          <cell r="N259" t="str">
            <v>x</v>
          </cell>
          <cell r="O259" t="str">
            <v>Anh B1</v>
          </cell>
          <cell r="P259" t="str">
            <v>Tày</v>
          </cell>
          <cell r="Q259" t="str">
            <v>CC tin Sau ĐH</v>
          </cell>
        </row>
        <row r="260">
          <cell r="B260" t="str">
            <v>BV0300</v>
          </cell>
          <cell r="C260" t="str">
            <v>Nguyễn Thành Long</v>
          </cell>
          <cell r="D260" t="str">
            <v>BV0300</v>
          </cell>
          <cell r="F260" t="str">
            <v>BSCKI</v>
          </cell>
          <cell r="G260" t="str">
            <v>TĐ005</v>
          </cell>
          <cell r="H260" t="str">
            <v>Đại học Y Dược Thái Nguyên</v>
          </cell>
          <cell r="I260">
            <v>2014</v>
          </cell>
          <cell r="J260" t="str">
            <v>Bác sĩ (hạng III)</v>
          </cell>
          <cell r="N260" t="str">
            <v>x</v>
          </cell>
          <cell r="O260" t="str">
            <v>Anh B</v>
          </cell>
          <cell r="Q260" t="str">
            <v>Tin B</v>
          </cell>
        </row>
        <row r="261">
          <cell r="B261" t="str">
            <v>BV0682</v>
          </cell>
          <cell r="C261" t="str">
            <v>Lăng Thùy Ngân</v>
          </cell>
          <cell r="D261" t="str">
            <v>BV0682</v>
          </cell>
          <cell r="E261" t="str">
            <v>x</v>
          </cell>
          <cell r="F261" t="str">
            <v>Bác sĩ</v>
          </cell>
          <cell r="G261" t="str">
            <v>TĐ005</v>
          </cell>
          <cell r="H261" t="str">
            <v>ĐH Y Dược Thái Nguyên</v>
          </cell>
          <cell r="I261">
            <v>2015</v>
          </cell>
          <cell r="J261" t="str">
            <v>Bác sĩ (hạng III)</v>
          </cell>
          <cell r="N261" t="str">
            <v>x</v>
          </cell>
          <cell r="O261" t="str">
            <v>Anh B</v>
          </cell>
          <cell r="Q261" t="str">
            <v>Tin B</v>
          </cell>
        </row>
        <row r="262">
          <cell r="B262" t="str">
            <v>BV0886</v>
          </cell>
          <cell r="C262" t="str">
            <v>Hoàng Thu Hiền</v>
          </cell>
          <cell r="D262" t="str">
            <v>BV0886</v>
          </cell>
          <cell r="E262" t="str">
            <v>x</v>
          </cell>
          <cell r="F262" t="str">
            <v>Bác sĩ</v>
          </cell>
          <cell r="G262" t="str">
            <v>TĐ005</v>
          </cell>
          <cell r="H262">
            <v>0</v>
          </cell>
          <cell r="I262">
            <v>0</v>
          </cell>
          <cell r="J262" t="str">
            <v>Bác sĩ (hạng III)</v>
          </cell>
          <cell r="O262" t="str">
            <v>Anh B</v>
          </cell>
          <cell r="Q262" t="str">
            <v>Cơ bản</v>
          </cell>
        </row>
        <row r="263">
          <cell r="B263" t="str">
            <v>BV0761</v>
          </cell>
          <cell r="C263" t="str">
            <v>Lục Thị Lan</v>
          </cell>
          <cell r="D263" t="str">
            <v>BV0761</v>
          </cell>
          <cell r="E263" t="str">
            <v>x</v>
          </cell>
          <cell r="F263" t="str">
            <v>Bác sĩ</v>
          </cell>
          <cell r="G263" t="str">
            <v>TĐ005</v>
          </cell>
          <cell r="H263" t="str">
            <v>ĐH Y Dược - ĐH Thái Nguyên</v>
          </cell>
          <cell r="I263" t="str">
            <v>2016</v>
          </cell>
          <cell r="J263" t="str">
            <v>Bác sĩ (hạng III)</v>
          </cell>
        </row>
        <row r="264">
          <cell r="B264" t="str">
            <v>BV0308</v>
          </cell>
          <cell r="C264" t="str">
            <v>Nguyễn Thị Minh Hiệp</v>
          </cell>
          <cell r="D264" t="str">
            <v>BV0308</v>
          </cell>
          <cell r="E264" t="str">
            <v>x</v>
          </cell>
          <cell r="F264" t="str">
            <v>Điều dưỡng ĐH</v>
          </cell>
          <cell r="G264" t="str">
            <v>TĐ011</v>
          </cell>
          <cell r="H264" t="str">
            <v>TH Y tế Lạng Sơn</v>
          </cell>
          <cell r="I264">
            <v>2005</v>
          </cell>
          <cell r="J264" t="str">
            <v>Điều dưỡng (hạng III)</v>
          </cell>
          <cell r="N264" t="str">
            <v>Sơ cấp</v>
          </cell>
          <cell r="O264" t="str">
            <v>Anh B</v>
          </cell>
          <cell r="P264" t="str">
            <v>Tày</v>
          </cell>
          <cell r="Q264" t="str">
            <v>Tin B</v>
          </cell>
        </row>
        <row r="265">
          <cell r="B265" t="str">
            <v>BV0301</v>
          </cell>
          <cell r="C265" t="str">
            <v>Nguyễn Thị Chanh</v>
          </cell>
          <cell r="D265" t="str">
            <v>BV0301</v>
          </cell>
          <cell r="E265" t="str">
            <v>x</v>
          </cell>
          <cell r="F265" t="str">
            <v>Điều dưỡng ĐH</v>
          </cell>
          <cell r="G265" t="str">
            <v>TĐ011</v>
          </cell>
          <cell r="H265">
            <v>0</v>
          </cell>
          <cell r="I265">
            <v>0</v>
          </cell>
          <cell r="J265" t="str">
            <v>Điều dưỡng (hạng III)</v>
          </cell>
          <cell r="L265" t="str">
            <v>Chuyên viên</v>
          </cell>
          <cell r="N265" t="str">
            <v>Sơ cấp</v>
          </cell>
          <cell r="O265" t="str">
            <v>Anh B</v>
          </cell>
          <cell r="P265" t="str">
            <v>Tày</v>
          </cell>
          <cell r="Q265" t="str">
            <v>Tin B</v>
          </cell>
        </row>
        <row r="266">
          <cell r="B266" t="str">
            <v>BV0303</v>
          </cell>
          <cell r="C266" t="str">
            <v>Lữ Thị Đại</v>
          </cell>
          <cell r="D266" t="str">
            <v>BV0303</v>
          </cell>
          <cell r="E266" t="str">
            <v>x</v>
          </cell>
          <cell r="F266" t="str">
            <v>Điều dưỡng CĐ</v>
          </cell>
          <cell r="G266" t="str">
            <v>TĐ012</v>
          </cell>
          <cell r="H266" t="str">
            <v>CĐ Y tế Lạng Sơn</v>
          </cell>
          <cell r="I266">
            <v>2011</v>
          </cell>
          <cell r="J266" t="str">
            <v>Điều dưỡng (hạng IV)</v>
          </cell>
          <cell r="N266" t="str">
            <v>x</v>
          </cell>
          <cell r="O266" t="str">
            <v>Anh A2</v>
          </cell>
          <cell r="Q266" t="str">
            <v>Cơ bản</v>
          </cell>
        </row>
        <row r="267">
          <cell r="B267" t="str">
            <v>BV0313</v>
          </cell>
          <cell r="C267" t="str">
            <v>Đàm Thị Liên</v>
          </cell>
          <cell r="D267" t="str">
            <v>BV0313</v>
          </cell>
          <cell r="E267" t="str">
            <v>x</v>
          </cell>
          <cell r="F267" t="str">
            <v>Điều dưỡng CĐ</v>
          </cell>
          <cell r="G267" t="str">
            <v>TĐ012</v>
          </cell>
          <cell r="H267" t="str">
            <v>CĐ Y tế Lạng Sơn</v>
          </cell>
          <cell r="I267">
            <v>2007</v>
          </cell>
          <cell r="J267" t="str">
            <v>Điều dưỡng (hạng IV)</v>
          </cell>
          <cell r="N267" t="str">
            <v xml:space="preserve">K </v>
          </cell>
          <cell r="O267" t="str">
            <v>Toefl</v>
          </cell>
          <cell r="P267" t="str">
            <v xml:space="preserve">K </v>
          </cell>
          <cell r="Q267" t="str">
            <v>Cơ bản</v>
          </cell>
        </row>
        <row r="268">
          <cell r="B268" t="str">
            <v>BV0310</v>
          </cell>
          <cell r="C268" t="str">
            <v>Nông Văn Bộ</v>
          </cell>
          <cell r="D268" t="str">
            <v>BV0310</v>
          </cell>
          <cell r="F268" t="str">
            <v>Điều dưỡng TC</v>
          </cell>
          <cell r="G268" t="str">
            <v>TĐ013</v>
          </cell>
          <cell r="H268" t="str">
            <v>CĐ Y tế Lạng Sơn</v>
          </cell>
          <cell r="I268">
            <v>2007</v>
          </cell>
          <cell r="J268" t="str">
            <v>Điều dưỡng (hạng IV)</v>
          </cell>
          <cell r="K268" t="str">
            <v>x</v>
          </cell>
          <cell r="N268" t="str">
            <v xml:space="preserve">K </v>
          </cell>
          <cell r="O268" t="str">
            <v>Toefl</v>
          </cell>
          <cell r="P268" t="str">
            <v xml:space="preserve">K </v>
          </cell>
          <cell r="Q268" t="str">
            <v>Cơ bản</v>
          </cell>
        </row>
        <row r="269">
          <cell r="B269" t="str">
            <v>BV0200</v>
          </cell>
          <cell r="C269" t="str">
            <v>Phan Văn Hiếu</v>
          </cell>
          <cell r="D269" t="str">
            <v>BV0200</v>
          </cell>
          <cell r="F269" t="str">
            <v>Điều dưỡng TC</v>
          </cell>
          <cell r="G269" t="str">
            <v>TĐ013</v>
          </cell>
          <cell r="H269" t="str">
            <v>CĐ Y tế Lạng Sơn</v>
          </cell>
          <cell r="I269">
            <v>2008</v>
          </cell>
          <cell r="J269" t="str">
            <v>Điều dưỡng (hạng IV)</v>
          </cell>
          <cell r="O269" t="str">
            <v>Anh A</v>
          </cell>
          <cell r="Q269" t="str">
            <v>A</v>
          </cell>
        </row>
        <row r="270">
          <cell r="B270" t="str">
            <v>BV0127</v>
          </cell>
          <cell r="C270" t="str">
            <v>Luân Thị Hiếu</v>
          </cell>
          <cell r="D270" t="str">
            <v>BV0127</v>
          </cell>
          <cell r="E270" t="str">
            <v>x</v>
          </cell>
          <cell r="F270" t="str">
            <v>Điều dưỡng TC</v>
          </cell>
          <cell r="G270" t="str">
            <v>TĐ013</v>
          </cell>
          <cell r="H270">
            <v>0</v>
          </cell>
          <cell r="I270">
            <v>0</v>
          </cell>
          <cell r="J270" t="str">
            <v>Điều dưỡng (hạng IV)</v>
          </cell>
          <cell r="K270" t="str">
            <v>x</v>
          </cell>
          <cell r="O270" t="str">
            <v>Anh B</v>
          </cell>
          <cell r="Q270" t="str">
            <v>B</v>
          </cell>
        </row>
        <row r="271">
          <cell r="B271" t="str">
            <v>BV0320</v>
          </cell>
          <cell r="C271" t="str">
            <v>Nông Thị Hợp</v>
          </cell>
          <cell r="D271" t="str">
            <v>BV0320</v>
          </cell>
          <cell r="E271" t="str">
            <v>x</v>
          </cell>
          <cell r="F271" t="str">
            <v>Điều dưỡng TC</v>
          </cell>
          <cell r="G271" t="str">
            <v>TĐ013</v>
          </cell>
          <cell r="H271" t="str">
            <v>CĐ Y tế Lạng Sơn</v>
          </cell>
          <cell r="I271">
            <v>2007</v>
          </cell>
          <cell r="J271" t="str">
            <v>Điều dưỡng (hạng IV)</v>
          </cell>
          <cell r="N271" t="str">
            <v xml:space="preserve">K </v>
          </cell>
          <cell r="O271" t="str">
            <v>Toefl</v>
          </cell>
          <cell r="P271" t="str">
            <v xml:space="preserve">K </v>
          </cell>
          <cell r="Q271" t="str">
            <v>Cơ bản</v>
          </cell>
        </row>
        <row r="272">
          <cell r="B272" t="str">
            <v>BV0317</v>
          </cell>
          <cell r="C272" t="str">
            <v>Tạ Thị Nguyên</v>
          </cell>
          <cell r="D272" t="str">
            <v>BV0317</v>
          </cell>
          <cell r="E272" t="str">
            <v>x</v>
          </cell>
          <cell r="F272" t="str">
            <v>Điều dưỡng TC</v>
          </cell>
          <cell r="G272" t="str">
            <v>TĐ013</v>
          </cell>
          <cell r="H272" t="e">
            <v>#N/A</v>
          </cell>
          <cell r="I272" t="e">
            <v>#N/A</v>
          </cell>
          <cell r="J272" t="str">
            <v>Điều dưỡng (hạng IV)</v>
          </cell>
        </row>
        <row r="273">
          <cell r="B273" t="str">
            <v>BV0316</v>
          </cell>
          <cell r="C273" t="str">
            <v>Vy Thị Nhuận</v>
          </cell>
          <cell r="D273" t="str">
            <v>BV0316</v>
          </cell>
          <cell r="E273" t="str">
            <v>x</v>
          </cell>
          <cell r="F273" t="str">
            <v>Điều dưỡng TC</v>
          </cell>
          <cell r="G273" t="str">
            <v>TĐ013</v>
          </cell>
          <cell r="H273" t="str">
            <v>CĐ Y tế Lạng Sơn</v>
          </cell>
          <cell r="I273">
            <v>2008</v>
          </cell>
          <cell r="J273" t="str">
            <v>Điều dưỡng (hạng IV)</v>
          </cell>
          <cell r="K273" t="str">
            <v>x</v>
          </cell>
          <cell r="N273" t="str">
            <v xml:space="preserve">K </v>
          </cell>
          <cell r="O273" t="str">
            <v>Toefl</v>
          </cell>
          <cell r="P273" t="str">
            <v xml:space="preserve">K </v>
          </cell>
          <cell r="Q273" t="str">
            <v>Cơ bản</v>
          </cell>
        </row>
        <row r="274">
          <cell r="B274" t="str">
            <v>BV0314</v>
          </cell>
          <cell r="C274" t="str">
            <v>Hoàng Thị Oanh</v>
          </cell>
          <cell r="D274" t="str">
            <v>BV0314</v>
          </cell>
          <cell r="E274" t="str">
            <v>x</v>
          </cell>
          <cell r="F274" t="str">
            <v>Điều dưỡng TC</v>
          </cell>
          <cell r="G274" t="str">
            <v>TĐ013</v>
          </cell>
          <cell r="H274" t="str">
            <v>CĐ Y tế Lạng Sơn</v>
          </cell>
          <cell r="I274">
            <v>2007</v>
          </cell>
          <cell r="J274" t="str">
            <v>Điều dưỡng (hạng IV)</v>
          </cell>
          <cell r="O274" t="str">
            <v>TOEIC</v>
          </cell>
          <cell r="Q274" t="str">
            <v>Cơ bản</v>
          </cell>
        </row>
        <row r="275">
          <cell r="B275" t="str">
            <v>BV0311</v>
          </cell>
          <cell r="C275" t="str">
            <v>Lương Thu Thảo</v>
          </cell>
          <cell r="D275" t="str">
            <v>BV0311</v>
          </cell>
          <cell r="E275" t="str">
            <v>x</v>
          </cell>
          <cell r="F275" t="str">
            <v>Điều dưỡng ĐH</v>
          </cell>
          <cell r="G275" t="str">
            <v>TĐ013</v>
          </cell>
          <cell r="H275" t="str">
            <v>TH Y tế Lạng Sơn</v>
          </cell>
          <cell r="I275">
            <v>2006</v>
          </cell>
          <cell r="J275" t="str">
            <v>Điều dưỡng (hạng IV)</v>
          </cell>
          <cell r="O275" t="str">
            <v>Anh A2</v>
          </cell>
          <cell r="Q275" t="str">
            <v>Cơ bản</v>
          </cell>
        </row>
        <row r="276">
          <cell r="B276" t="str">
            <v>BV0318</v>
          </cell>
          <cell r="C276" t="str">
            <v>Hà Thị Thơm</v>
          </cell>
          <cell r="D276" t="str">
            <v>BV0318</v>
          </cell>
          <cell r="E276" t="str">
            <v>x</v>
          </cell>
          <cell r="F276" t="str">
            <v>Điều dưỡng TC</v>
          </cell>
          <cell r="G276" t="str">
            <v>TĐ013</v>
          </cell>
          <cell r="H276" t="e">
            <v>#N/A</v>
          </cell>
          <cell r="I276" t="e">
            <v>#N/A</v>
          </cell>
          <cell r="J276" t="str">
            <v>Điều dưỡng (hạng IV)</v>
          </cell>
          <cell r="O276" t="str">
            <v>x</v>
          </cell>
          <cell r="P276" t="str">
            <v>Tày</v>
          </cell>
          <cell r="Q276" t="str">
            <v>A</v>
          </cell>
        </row>
        <row r="277">
          <cell r="B277" t="str">
            <v>BV0309</v>
          </cell>
          <cell r="C277" t="str">
            <v>Vi Thị Thùy</v>
          </cell>
          <cell r="D277" t="str">
            <v>BV0309</v>
          </cell>
          <cell r="E277" t="str">
            <v>x</v>
          </cell>
          <cell r="F277" t="str">
            <v>Điều dưỡng TC</v>
          </cell>
          <cell r="G277" t="str">
            <v>TĐ013</v>
          </cell>
          <cell r="H277">
            <v>0</v>
          </cell>
          <cell r="I277">
            <v>0</v>
          </cell>
          <cell r="J277" t="str">
            <v>Điều dưỡng (hạng IV)</v>
          </cell>
          <cell r="O277" t="str">
            <v>TOEIC</v>
          </cell>
          <cell r="Q277" t="str">
            <v>Cơ bản</v>
          </cell>
        </row>
        <row r="278">
          <cell r="B278" t="str">
            <v>BV0321</v>
          </cell>
          <cell r="C278" t="str">
            <v>Mạc Minh Thùy</v>
          </cell>
          <cell r="D278" t="str">
            <v>BV0321</v>
          </cell>
          <cell r="E278" t="str">
            <v>x</v>
          </cell>
          <cell r="F278" t="str">
            <v>Điều dưỡng TC</v>
          </cell>
          <cell r="G278" t="str">
            <v>TĐ013</v>
          </cell>
          <cell r="H278" t="str">
            <v>CĐ Y tế Lạng Sơn</v>
          </cell>
          <cell r="I278">
            <v>2008</v>
          </cell>
          <cell r="J278" t="str">
            <v>Điều dưỡng (hạng IV)</v>
          </cell>
          <cell r="N278" t="str">
            <v xml:space="preserve">K </v>
          </cell>
          <cell r="O278" t="str">
            <v>Toefl</v>
          </cell>
          <cell r="P278" t="str">
            <v xml:space="preserve">K </v>
          </cell>
          <cell r="Q278" t="str">
            <v>Cơ bản</v>
          </cell>
        </row>
        <row r="279">
          <cell r="B279" t="str">
            <v>BV0417</v>
          </cell>
          <cell r="C279" t="str">
            <v>Nguyễn Diệu Thúy</v>
          </cell>
          <cell r="D279" t="str">
            <v>BV0417</v>
          </cell>
          <cell r="E279" t="str">
            <v>x</v>
          </cell>
          <cell r="F279" t="str">
            <v>Điều dưỡng TC</v>
          </cell>
          <cell r="G279" t="str">
            <v>TĐ013</v>
          </cell>
          <cell r="H279" t="str">
            <v>CĐ Y tế Lạng Sơn</v>
          </cell>
          <cell r="I279">
            <v>2007</v>
          </cell>
          <cell r="J279" t="str">
            <v>Điều dưỡng (hạng IV)</v>
          </cell>
          <cell r="O279" t="str">
            <v>Toefl</v>
          </cell>
          <cell r="Q279" t="str">
            <v>B</v>
          </cell>
        </row>
        <row r="280">
          <cell r="B280" t="str">
            <v>BV0312</v>
          </cell>
          <cell r="C280" t="str">
            <v>Lăng Thị Yến</v>
          </cell>
          <cell r="D280" t="str">
            <v>BV0312</v>
          </cell>
          <cell r="E280" t="str">
            <v>x</v>
          </cell>
          <cell r="F280" t="str">
            <v>Điều dưỡng TC</v>
          </cell>
          <cell r="G280" t="str">
            <v>TĐ013</v>
          </cell>
          <cell r="H280" t="str">
            <v>CĐ Y tế Lạng Sơn</v>
          </cell>
          <cell r="I280">
            <v>2008</v>
          </cell>
          <cell r="J280" t="str">
            <v>Điều dưỡng (hạng IV)</v>
          </cell>
          <cell r="N280" t="str">
            <v xml:space="preserve">K </v>
          </cell>
          <cell r="O280" t="str">
            <v>Toefl</v>
          </cell>
          <cell r="P280" t="str">
            <v xml:space="preserve">K </v>
          </cell>
          <cell r="Q280" t="str">
            <v>Cơ bản</v>
          </cell>
        </row>
        <row r="281">
          <cell r="B281" t="str">
            <v>BV0327</v>
          </cell>
          <cell r="C281" t="str">
            <v>Nguyễn Quang Lương</v>
          </cell>
          <cell r="D281" t="str">
            <v>BV0327</v>
          </cell>
          <cell r="F281" t="str">
            <v>BSCKI</v>
          </cell>
          <cell r="G281" t="str">
            <v>TĐ003</v>
          </cell>
          <cell r="H281" t="str">
            <v>ĐH Y Hà Nội</v>
          </cell>
          <cell r="I281">
            <v>2010</v>
          </cell>
          <cell r="J281" t="str">
            <v>Bác sĩ (hạng III)</v>
          </cell>
          <cell r="M281" t="str">
            <v>x</v>
          </cell>
        </row>
        <row r="282">
          <cell r="B282" t="str">
            <v>BV0052</v>
          </cell>
          <cell r="C282" t="str">
            <v>La Thị Thu Hiền</v>
          </cell>
          <cell r="D282" t="str">
            <v>BV0052</v>
          </cell>
          <cell r="E282" t="str">
            <v>x</v>
          </cell>
          <cell r="F282" t="str">
            <v>Bác sĩ</v>
          </cell>
          <cell r="G282" t="str">
            <v>TĐ005</v>
          </cell>
          <cell r="H282" t="str">
            <v>ĐH Y Dược Thái Nguyên</v>
          </cell>
          <cell r="I282">
            <v>2015</v>
          </cell>
          <cell r="J282" t="str">
            <v>Bác sĩ (hạng III)</v>
          </cell>
          <cell r="L282" t="str">
            <v>Chuyên viên</v>
          </cell>
          <cell r="N282" t="str">
            <v>Sơ cấp</v>
          </cell>
          <cell r="O282" t="str">
            <v>Anh B</v>
          </cell>
          <cell r="Q282" t="str">
            <v>B</v>
          </cell>
        </row>
        <row r="283">
          <cell r="B283" t="str">
            <v>BV0018</v>
          </cell>
          <cell r="C283" t="str">
            <v>Lê Thị Ngọc Hoàng</v>
          </cell>
          <cell r="D283" t="str">
            <v>BV0018</v>
          </cell>
          <cell r="E283" t="str">
            <v>x</v>
          </cell>
          <cell r="F283" t="str">
            <v>Bác sĩ</v>
          </cell>
          <cell r="G283" t="str">
            <v>TĐ005</v>
          </cell>
          <cell r="H283" t="str">
            <v>Đại học Y dược Thái Bình</v>
          </cell>
          <cell r="I283">
            <v>2018</v>
          </cell>
          <cell r="J283" t="str">
            <v>Bác sĩ (hạng III)</v>
          </cell>
          <cell r="M283" t="str">
            <v>x</v>
          </cell>
          <cell r="N283" t="str">
            <v>Sơ cấp</v>
          </cell>
          <cell r="P283" t="str">
            <v>Tày</v>
          </cell>
          <cell r="Q283" t="str">
            <v>B</v>
          </cell>
        </row>
        <row r="284">
          <cell r="B284" t="str">
            <v>BV0126</v>
          </cell>
          <cell r="C284" t="str">
            <v>Lưu Hải Châu</v>
          </cell>
          <cell r="D284" t="str">
            <v>BV0126</v>
          </cell>
          <cell r="E284" t="str">
            <v>x</v>
          </cell>
          <cell r="F284" t="str">
            <v>Điều dưỡng ĐH</v>
          </cell>
          <cell r="G284" t="str">
            <v>TĐ011</v>
          </cell>
          <cell r="H284" t="str">
            <v>Đại học Y dược Thái Nguyên</v>
          </cell>
          <cell r="I284">
            <v>2017</v>
          </cell>
          <cell r="J284" t="str">
            <v>Điều dưỡng (hạng III)</v>
          </cell>
          <cell r="O284" t="str">
            <v>Anh B</v>
          </cell>
          <cell r="P284" t="str">
            <v>Tày</v>
          </cell>
          <cell r="Q284" t="str">
            <v>B</v>
          </cell>
        </row>
        <row r="285">
          <cell r="B285" t="str">
            <v>BV0014</v>
          </cell>
          <cell r="C285" t="str">
            <v>Mông Thị Luận</v>
          </cell>
          <cell r="D285" t="str">
            <v>BV0014</v>
          </cell>
          <cell r="E285" t="str">
            <v>x</v>
          </cell>
          <cell r="F285" t="str">
            <v>Điều dưỡng ĐH</v>
          </cell>
          <cell r="G285" t="str">
            <v>TĐ011</v>
          </cell>
          <cell r="H285" t="str">
            <v>ĐH Y Dược Thái Nguyên</v>
          </cell>
          <cell r="I285">
            <v>2013</v>
          </cell>
          <cell r="J285" t="str">
            <v>Y sĩ (hạng IV)</v>
          </cell>
        </row>
        <row r="286">
          <cell r="B286" t="str">
            <v>BV0330</v>
          </cell>
          <cell r="C286" t="str">
            <v>Chu Thị Thu Hường</v>
          </cell>
          <cell r="D286" t="str">
            <v>BV0330</v>
          </cell>
          <cell r="E286" t="str">
            <v>x</v>
          </cell>
          <cell r="F286" t="str">
            <v>Điều dưỡng ĐH</v>
          </cell>
          <cell r="G286" t="str">
            <v>TĐ012</v>
          </cell>
          <cell r="H286" t="e">
            <v>#N/A</v>
          </cell>
          <cell r="I286" t="e">
            <v>#N/A</v>
          </cell>
          <cell r="J286" t="str">
            <v>Điều dưỡng (hạng IV)</v>
          </cell>
          <cell r="O286" t="str">
            <v>A2</v>
          </cell>
          <cell r="Q286" t="str">
            <v>Cơ bản</v>
          </cell>
        </row>
        <row r="287">
          <cell r="B287" t="str">
            <v>BV0743</v>
          </cell>
          <cell r="C287" t="str">
            <v>Hứa Văn Quốc</v>
          </cell>
          <cell r="D287" t="str">
            <v>BV0743</v>
          </cell>
          <cell r="F287" t="str">
            <v>Điều dưỡng CĐ</v>
          </cell>
          <cell r="G287" t="str">
            <v>TĐ012</v>
          </cell>
          <cell r="H287" t="str">
            <v>CĐ Y tế Thái Nguyên</v>
          </cell>
          <cell r="I287">
            <v>2014</v>
          </cell>
          <cell r="J287" t="str">
            <v>Điều dưỡng (hạng IV)</v>
          </cell>
        </row>
        <row r="288">
          <cell r="B288" t="str">
            <v>BV0334</v>
          </cell>
          <cell r="C288" t="str">
            <v>Nguyễn Khắc Đảng</v>
          </cell>
          <cell r="D288" t="str">
            <v>BV0334</v>
          </cell>
          <cell r="F288" t="str">
            <v>Điều dưỡng TC</v>
          </cell>
          <cell r="G288" t="str">
            <v>TĐ013</v>
          </cell>
          <cell r="H288">
            <v>0</v>
          </cell>
          <cell r="I288">
            <v>0</v>
          </cell>
          <cell r="J288" t="str">
            <v>Điều dưỡng (hạng IV)</v>
          </cell>
          <cell r="Q288" t="str">
            <v>A</v>
          </cell>
        </row>
        <row r="289">
          <cell r="B289" t="str">
            <v>BV0197</v>
          </cell>
          <cell r="C289" t="str">
            <v>Nguyễn Thị Hợi</v>
          </cell>
          <cell r="D289" t="str">
            <v>BV0197</v>
          </cell>
          <cell r="E289" t="str">
            <v>x</v>
          </cell>
          <cell r="F289" t="str">
            <v>Điều dưỡng TC</v>
          </cell>
          <cell r="G289" t="str">
            <v>TĐ013</v>
          </cell>
          <cell r="H289">
            <v>0</v>
          </cell>
          <cell r="I289">
            <v>0</v>
          </cell>
          <cell r="J289" t="str">
            <v>Điều dưỡng (hạng IV)</v>
          </cell>
          <cell r="Q289" t="str">
            <v>Cơ bản</v>
          </cell>
        </row>
        <row r="290">
          <cell r="B290" t="str">
            <v>BV0332</v>
          </cell>
          <cell r="C290" t="str">
            <v>Nông Thị Mai</v>
          </cell>
          <cell r="D290" t="str">
            <v>BV0332</v>
          </cell>
          <cell r="E290" t="str">
            <v>x</v>
          </cell>
          <cell r="F290" t="str">
            <v>Điều dưỡng TC</v>
          </cell>
          <cell r="G290" t="str">
            <v>TĐ013</v>
          </cell>
          <cell r="H290" t="str">
            <v>CĐ Y tế Lang sơn</v>
          </cell>
          <cell r="I290">
            <v>2009</v>
          </cell>
          <cell r="J290" t="str">
            <v>Điều dưỡng (hạng IV)</v>
          </cell>
          <cell r="Q290" t="str">
            <v>Cơ bản</v>
          </cell>
        </row>
        <row r="291">
          <cell r="B291" t="str">
            <v>BV0337</v>
          </cell>
          <cell r="C291" t="str">
            <v>Lương Thị Minh</v>
          </cell>
          <cell r="D291" t="str">
            <v>BV0337</v>
          </cell>
          <cell r="E291" t="str">
            <v>x</v>
          </cell>
          <cell r="F291" t="str">
            <v>Điều dưỡng TC</v>
          </cell>
          <cell r="G291" t="str">
            <v>TĐ013</v>
          </cell>
          <cell r="H291" t="str">
            <v>CĐ Y tế Lang sơn</v>
          </cell>
          <cell r="I291">
            <v>2011</v>
          </cell>
          <cell r="J291" t="str">
            <v>Điều dưỡng (hạng IV)</v>
          </cell>
        </row>
        <row r="292">
          <cell r="B292" t="str">
            <v>BV0338</v>
          </cell>
          <cell r="C292" t="str">
            <v>Lương Thúy Nga</v>
          </cell>
          <cell r="D292" t="str">
            <v>BV0338</v>
          </cell>
          <cell r="E292" t="str">
            <v>x</v>
          </cell>
          <cell r="F292" t="str">
            <v>Điều dưỡng TC</v>
          </cell>
          <cell r="G292" t="str">
            <v>TĐ013</v>
          </cell>
          <cell r="H292">
            <v>0</v>
          </cell>
          <cell r="I292">
            <v>0</v>
          </cell>
          <cell r="J292" t="str">
            <v>Điều dưỡng (hạng IV)</v>
          </cell>
          <cell r="Q292" t="str">
            <v>Cơ bản</v>
          </cell>
        </row>
        <row r="293">
          <cell r="B293" t="str">
            <v>BV0335</v>
          </cell>
          <cell r="C293" t="str">
            <v>Lăng Thị Thúy</v>
          </cell>
          <cell r="D293" t="str">
            <v>BV0335</v>
          </cell>
          <cell r="E293" t="str">
            <v>x</v>
          </cell>
          <cell r="F293" t="str">
            <v>Điều dưỡng TC</v>
          </cell>
          <cell r="G293" t="str">
            <v>TĐ013</v>
          </cell>
          <cell r="H293" t="str">
            <v>CĐ Y tế Lang sơn</v>
          </cell>
          <cell r="I293">
            <v>2006</v>
          </cell>
          <cell r="J293" t="str">
            <v>Điều dưỡng (hạng IV)</v>
          </cell>
          <cell r="O293" t="str">
            <v>A2</v>
          </cell>
          <cell r="Q293" t="str">
            <v>Cơ bản</v>
          </cell>
        </row>
        <row r="294">
          <cell r="B294" t="str">
            <v>BV0036</v>
          </cell>
          <cell r="C294" t="str">
            <v>Nông Văn Sơn</v>
          </cell>
          <cell r="D294" t="str">
            <v>BV0036</v>
          </cell>
          <cell r="F294" t="str">
            <v>Điều dưỡng TC</v>
          </cell>
          <cell r="G294" t="str">
            <v>TĐ013</v>
          </cell>
          <cell r="H294" t="e">
            <v>#N/A</v>
          </cell>
          <cell r="I294" t="e">
            <v>#N/A</v>
          </cell>
          <cell r="J294" t="str">
            <v>Điều dưỡng (hạng IV)</v>
          </cell>
          <cell r="Q294" t="str">
            <v>Cơ bản</v>
          </cell>
        </row>
        <row r="295">
          <cell r="B295" t="str">
            <v>BV0342</v>
          </cell>
          <cell r="C295" t="str">
            <v>Nguyễn Mạnh Cường</v>
          </cell>
          <cell r="D295" t="str">
            <v>BV0342</v>
          </cell>
          <cell r="F295" t="str">
            <v>BSCKI</v>
          </cell>
          <cell r="G295" t="str">
            <v>TĐ003</v>
          </cell>
          <cell r="H295" t="str">
            <v>ĐH Y Hà Nội</v>
          </cell>
          <cell r="I295">
            <v>2016</v>
          </cell>
          <cell r="J295" t="str">
            <v>Bác sĩ (hạng III)</v>
          </cell>
          <cell r="M295" t="str">
            <v>X</v>
          </cell>
          <cell r="N295" t="str">
            <v>x</v>
          </cell>
          <cell r="O295" t="str">
            <v>B</v>
          </cell>
          <cell r="Q295" t="str">
            <v>B</v>
          </cell>
        </row>
        <row r="296">
          <cell r="B296" t="str">
            <v>BV0341</v>
          </cell>
          <cell r="C296" t="str">
            <v>Mông Tuấn Hùng</v>
          </cell>
          <cell r="D296" t="str">
            <v>BV0341</v>
          </cell>
          <cell r="F296" t="str">
            <v>BSCKI</v>
          </cell>
          <cell r="G296" t="str">
            <v>TĐ003</v>
          </cell>
          <cell r="H296" t="str">
            <v>ĐH Y Hà Nội</v>
          </cell>
          <cell r="I296">
            <v>0</v>
          </cell>
          <cell r="J296" t="str">
            <v>Bác sĩ chính (hạng II)</v>
          </cell>
          <cell r="K296" t="str">
            <v>x</v>
          </cell>
          <cell r="M296" t="str">
            <v>x</v>
          </cell>
          <cell r="N296" t="str">
            <v>x</v>
          </cell>
          <cell r="O296" t="str">
            <v>B</v>
          </cell>
          <cell r="Q296" t="str">
            <v>A</v>
          </cell>
        </row>
        <row r="297">
          <cell r="B297" t="str">
            <v>BV0823</v>
          </cell>
          <cell r="C297" t="str">
            <v>Lương Thị Hằng</v>
          </cell>
          <cell r="D297" t="str">
            <v>BV0823</v>
          </cell>
          <cell r="E297" t="str">
            <v>x</v>
          </cell>
          <cell r="F297" t="str">
            <v>Bác sĩ</v>
          </cell>
          <cell r="G297" t="str">
            <v>TĐ005</v>
          </cell>
          <cell r="H297">
            <v>0</v>
          </cell>
          <cell r="I297">
            <v>0</v>
          </cell>
          <cell r="J297" t="str">
            <v>Bác sĩ (hạng III)</v>
          </cell>
          <cell r="N297" t="str">
            <v>x</v>
          </cell>
          <cell r="Q297" t="str">
            <v>Cơ bản</v>
          </cell>
        </row>
        <row r="298">
          <cell r="B298" t="str">
            <v>BV0329</v>
          </cell>
          <cell r="C298" t="str">
            <v>Đào Thị Ngọc</v>
          </cell>
          <cell r="D298" t="str">
            <v>BV0329</v>
          </cell>
          <cell r="E298" t="str">
            <v>x</v>
          </cell>
          <cell r="F298" t="str">
            <v>Điều dưỡng ĐH</v>
          </cell>
          <cell r="G298" t="str">
            <v>TĐ011</v>
          </cell>
          <cell r="H298" t="str">
            <v>ĐH Điều dưỡng Nam Định</v>
          </cell>
          <cell r="I298">
            <v>2009</v>
          </cell>
          <cell r="J298" t="str">
            <v>Điều dưỡng (hạng III)</v>
          </cell>
          <cell r="K298" t="str">
            <v>x</v>
          </cell>
          <cell r="M298" t="str">
            <v>x</v>
          </cell>
          <cell r="N298" t="str">
            <v>x</v>
          </cell>
          <cell r="O298" t="str">
            <v>B</v>
          </cell>
          <cell r="Q298" t="str">
            <v>B</v>
          </cell>
        </row>
        <row r="299">
          <cell r="B299" t="str">
            <v>BV0108</v>
          </cell>
          <cell r="C299" t="str">
            <v>Nông Thị Hồng Điệp</v>
          </cell>
          <cell r="D299" t="str">
            <v>BV0108</v>
          </cell>
          <cell r="E299" t="str">
            <v>x</v>
          </cell>
          <cell r="F299" t="str">
            <v>Điều dưỡng CĐ</v>
          </cell>
          <cell r="G299" t="str">
            <v>TĐ012</v>
          </cell>
          <cell r="H299" t="str">
            <v>CĐ Y tế LS</v>
          </cell>
          <cell r="I299">
            <v>2015</v>
          </cell>
          <cell r="J299" t="str">
            <v>Điều dưỡng (hạng IV)</v>
          </cell>
          <cell r="P299" t="str">
            <v>Tày</v>
          </cell>
          <cell r="Q299" t="str">
            <v>A</v>
          </cell>
        </row>
        <row r="300">
          <cell r="B300" t="str">
            <v>BV0134</v>
          </cell>
          <cell r="C300" t="str">
            <v>Lý Thị Dần</v>
          </cell>
          <cell r="D300" t="str">
            <v>BV0134</v>
          </cell>
          <cell r="E300" t="str">
            <v>x</v>
          </cell>
          <cell r="F300" t="str">
            <v>Điều dưỡng TC</v>
          </cell>
          <cell r="G300" t="str">
            <v>TĐ013</v>
          </cell>
          <cell r="H300" t="str">
            <v>CĐ Y tế Lang sơn</v>
          </cell>
          <cell r="I300">
            <v>0</v>
          </cell>
          <cell r="J300" t="str">
            <v>Điều dưỡng (hạng IV)</v>
          </cell>
        </row>
        <row r="301">
          <cell r="B301" t="str">
            <v>BV0226</v>
          </cell>
          <cell r="C301" t="str">
            <v>Mã Thị Linh</v>
          </cell>
          <cell r="D301" t="str">
            <v>BV0226</v>
          </cell>
          <cell r="E301" t="str">
            <v>x</v>
          </cell>
          <cell r="F301" t="str">
            <v>Điều dưỡng TC</v>
          </cell>
          <cell r="G301" t="str">
            <v>TĐ013</v>
          </cell>
          <cell r="H301">
            <v>0</v>
          </cell>
          <cell r="I301">
            <v>0</v>
          </cell>
          <cell r="J301" t="str">
            <v>Điều dưỡng (hạng IV)</v>
          </cell>
          <cell r="O301" t="str">
            <v>C</v>
          </cell>
          <cell r="Q301" t="str">
            <v>C</v>
          </cell>
        </row>
        <row r="302">
          <cell r="B302" t="str">
            <v>BV0349</v>
          </cell>
          <cell r="C302" t="str">
            <v>Dương Thị Tiếp</v>
          </cell>
          <cell r="D302" t="str">
            <v>BV0349</v>
          </cell>
          <cell r="E302" t="str">
            <v>x</v>
          </cell>
          <cell r="F302" t="str">
            <v>Điều dưỡng TC</v>
          </cell>
          <cell r="G302" t="str">
            <v>TĐ013</v>
          </cell>
          <cell r="H302" t="str">
            <v>CĐ Y tế LS</v>
          </cell>
          <cell r="I302">
            <v>2008</v>
          </cell>
          <cell r="J302" t="str">
            <v>Điều dưỡng (hạng IV)</v>
          </cell>
          <cell r="O302" t="str">
            <v>A2</v>
          </cell>
          <cell r="Q302" t="str">
            <v>Cơ bản</v>
          </cell>
        </row>
        <row r="303">
          <cell r="B303" t="str">
            <v>BV0141</v>
          </cell>
          <cell r="C303" t="str">
            <v>Vũ Thị Thu Trang</v>
          </cell>
          <cell r="D303" t="str">
            <v>BV0141</v>
          </cell>
          <cell r="E303" t="str">
            <v>x</v>
          </cell>
          <cell r="F303" t="str">
            <v>Điều dưỡng TC</v>
          </cell>
          <cell r="G303" t="str">
            <v>TĐ013</v>
          </cell>
          <cell r="H303" t="str">
            <v>ĐH Kỹ thuật Y tế Hải Dương</v>
          </cell>
          <cell r="I303">
            <v>2012</v>
          </cell>
          <cell r="J303" t="str">
            <v>Điều dưỡng (hạng IV)</v>
          </cell>
          <cell r="O303" t="str">
            <v>B</v>
          </cell>
          <cell r="Q303" t="str">
            <v>B</v>
          </cell>
        </row>
        <row r="304">
          <cell r="B304" t="str">
            <v>BV0360</v>
          </cell>
          <cell r="C304" t="str">
            <v>Phạm Duy Thìn</v>
          </cell>
          <cell r="D304" t="str">
            <v>BV0360</v>
          </cell>
          <cell r="F304" t="str">
            <v>BSCKI</v>
          </cell>
          <cell r="G304" t="str">
            <v>TĐ003</v>
          </cell>
          <cell r="H304" t="e">
            <v>#N/A</v>
          </cell>
          <cell r="I304" t="e">
            <v>#N/A</v>
          </cell>
          <cell r="J304" t="str">
            <v>Bác sĩ (hạng III)</v>
          </cell>
          <cell r="K304" t="str">
            <v>x</v>
          </cell>
          <cell r="L304" t="str">
            <v>x</v>
          </cell>
          <cell r="M304" t="str">
            <v>x</v>
          </cell>
          <cell r="N304" t="str">
            <v>x</v>
          </cell>
          <cell r="O304" t="str">
            <v>x</v>
          </cell>
          <cell r="P304" t="str">
            <v>x</v>
          </cell>
          <cell r="Q304" t="str">
            <v>x</v>
          </cell>
        </row>
        <row r="305">
          <cell r="B305" t="str">
            <v>BV0353</v>
          </cell>
          <cell r="C305" t="str">
            <v>Vy Thị Hải</v>
          </cell>
          <cell r="D305" t="str">
            <v>BV0353</v>
          </cell>
          <cell r="E305" t="str">
            <v>x</v>
          </cell>
          <cell r="F305" t="str">
            <v>Bác sĩ</v>
          </cell>
          <cell r="G305" t="str">
            <v>TĐ005</v>
          </cell>
          <cell r="H305" t="e">
            <v>#N/A</v>
          </cell>
          <cell r="I305" t="e">
            <v>#N/A</v>
          </cell>
          <cell r="J305" t="str">
            <v>Bác sĩ (hạng III)</v>
          </cell>
          <cell r="O305" t="str">
            <v>x</v>
          </cell>
          <cell r="P305" t="str">
            <v>x</v>
          </cell>
          <cell r="Q305" t="str">
            <v>x</v>
          </cell>
        </row>
        <row r="306">
          <cell r="B306" t="str">
            <v>BV0351</v>
          </cell>
          <cell r="C306" t="str">
            <v>Ngô Thu Lê</v>
          </cell>
          <cell r="D306" t="str">
            <v>BV0351</v>
          </cell>
          <cell r="E306" t="str">
            <v>x</v>
          </cell>
          <cell r="F306" t="str">
            <v>Bác sĩ</v>
          </cell>
          <cell r="G306" t="str">
            <v>TĐ005</v>
          </cell>
          <cell r="H306" t="str">
            <v>Học viện Y dược học cổ truyền VN</v>
          </cell>
          <cell r="I306">
            <v>2013</v>
          </cell>
          <cell r="J306" t="str">
            <v>Bác sĩ (hạng III)</v>
          </cell>
          <cell r="N306" t="str">
            <v>x</v>
          </cell>
          <cell r="O306" t="str">
            <v>TOEIC</v>
          </cell>
          <cell r="Q306" t="str">
            <v>Cơ bản</v>
          </cell>
        </row>
        <row r="307">
          <cell r="B307" t="str">
            <v>BV0169</v>
          </cell>
          <cell r="C307" t="str">
            <v>Hoàng Thị Bích Hà</v>
          </cell>
          <cell r="D307" t="str">
            <v>BV0169</v>
          </cell>
          <cell r="E307" t="str">
            <v>x</v>
          </cell>
          <cell r="F307" t="str">
            <v>Điều dưỡng ĐH</v>
          </cell>
          <cell r="G307" t="str">
            <v>TĐ011</v>
          </cell>
          <cell r="H307" t="str">
            <v>ĐH Y Dược - ĐH Thái Nguyên</v>
          </cell>
          <cell r="I307">
            <v>2014</v>
          </cell>
          <cell r="J307" t="str">
            <v>Điều dưỡng (hạng III)</v>
          </cell>
          <cell r="N307" t="str">
            <v>x</v>
          </cell>
          <cell r="P307" t="str">
            <v>x</v>
          </cell>
          <cell r="Q307" t="str">
            <v>x</v>
          </cell>
        </row>
        <row r="308">
          <cell r="B308" t="str">
            <v>BV0227</v>
          </cell>
          <cell r="C308" t="str">
            <v>Mông Thị Thu</v>
          </cell>
          <cell r="D308" t="str">
            <v>BV0227</v>
          </cell>
          <cell r="E308" t="str">
            <v>x</v>
          </cell>
          <cell r="F308" t="str">
            <v>Điều dưỡng CĐ</v>
          </cell>
          <cell r="G308" t="str">
            <v>TĐ013</v>
          </cell>
          <cell r="H308" t="str">
            <v>TH Y tế Lạng Sơn</v>
          </cell>
          <cell r="I308">
            <v>2006</v>
          </cell>
          <cell r="J308" t="str">
            <v>Điều dưỡng (hạng IV)</v>
          </cell>
          <cell r="O308" t="str">
            <v>x</v>
          </cell>
          <cell r="Q308" t="str">
            <v>x</v>
          </cell>
        </row>
        <row r="309">
          <cell r="B309" t="str">
            <v>BV0029</v>
          </cell>
          <cell r="C309" t="str">
            <v>Triệu Thị Mai Hương</v>
          </cell>
          <cell r="D309" t="str">
            <v>BV0029</v>
          </cell>
          <cell r="E309" t="str">
            <v>x</v>
          </cell>
          <cell r="F309" t="str">
            <v>Điều dưỡng TC</v>
          </cell>
          <cell r="G309" t="str">
            <v>TĐ013</v>
          </cell>
          <cell r="H309" t="str">
            <v>Cao đẳng Y tế Lạng Sơn</v>
          </cell>
          <cell r="I309">
            <v>2008</v>
          </cell>
          <cell r="J309" t="str">
            <v>Điều dưỡng (hạng IV)</v>
          </cell>
          <cell r="O309" t="str">
            <v>x</v>
          </cell>
          <cell r="P309" t="str">
            <v>x</v>
          </cell>
          <cell r="Q309" t="str">
            <v>x</v>
          </cell>
        </row>
        <row r="310">
          <cell r="B310" t="str">
            <v>BV0358</v>
          </cell>
          <cell r="C310" t="str">
            <v>Nông Thị Thu Hường</v>
          </cell>
          <cell r="D310" t="str">
            <v>BV0358</v>
          </cell>
          <cell r="E310" t="str">
            <v>x</v>
          </cell>
          <cell r="F310" t="str">
            <v>Điều dưỡng CĐ</v>
          </cell>
          <cell r="G310" t="str">
            <v>TĐ013</v>
          </cell>
          <cell r="H310" t="str">
            <v>TH Y tế Lạng Sơn</v>
          </cell>
          <cell r="I310">
            <v>2006</v>
          </cell>
          <cell r="J310" t="str">
            <v>Điều dưỡng (hạng IV)</v>
          </cell>
          <cell r="P310" t="str">
            <v>Tày</v>
          </cell>
          <cell r="Q310" t="str">
            <v>Cơ bản</v>
          </cell>
        </row>
        <row r="311">
          <cell r="B311" t="str">
            <v>BV0355</v>
          </cell>
          <cell r="C311" t="str">
            <v>Trần Thị Huyền</v>
          </cell>
          <cell r="D311" t="str">
            <v>BV0355</v>
          </cell>
          <cell r="E311" t="str">
            <v>x</v>
          </cell>
          <cell r="F311" t="str">
            <v>Y sỹ</v>
          </cell>
          <cell r="G311" t="str">
            <v>TĐ020</v>
          </cell>
          <cell r="H311" t="str">
            <v xml:space="preserve">TH Y học cổ truyền Tuệ Tĩnh </v>
          </cell>
          <cell r="I311">
            <v>2002</v>
          </cell>
          <cell r="J311" t="str">
            <v>Y sĩ (hạng IV)</v>
          </cell>
          <cell r="P311" t="str">
            <v>x</v>
          </cell>
          <cell r="Q311" t="str">
            <v>x</v>
          </cell>
        </row>
        <row r="312">
          <cell r="B312" t="str">
            <v>BV0356</v>
          </cell>
          <cell r="C312" t="str">
            <v>Lê Thị Phượng</v>
          </cell>
          <cell r="D312" t="str">
            <v>BV0356</v>
          </cell>
          <cell r="E312" t="str">
            <v>x</v>
          </cell>
          <cell r="F312" t="str">
            <v>Y sỹ</v>
          </cell>
          <cell r="G312" t="str">
            <v>TĐ020</v>
          </cell>
          <cell r="H312" t="str">
            <v>CĐ Y tế Lạng Sơn</v>
          </cell>
          <cell r="I312">
            <v>2010</v>
          </cell>
          <cell r="J312" t="str">
            <v>Y sĩ (hạng IV)</v>
          </cell>
          <cell r="P312" t="str">
            <v>x</v>
          </cell>
          <cell r="Q312" t="str">
            <v>x</v>
          </cell>
        </row>
        <row r="313">
          <cell r="B313" t="str">
            <v>BV0354</v>
          </cell>
          <cell r="C313" t="str">
            <v>Chu Hương Thảo</v>
          </cell>
          <cell r="D313" t="str">
            <v>BV0354</v>
          </cell>
          <cell r="E313" t="str">
            <v>x</v>
          </cell>
          <cell r="F313" t="str">
            <v>Y sỹ</v>
          </cell>
          <cell r="G313" t="str">
            <v>TĐ020</v>
          </cell>
          <cell r="H313" t="str">
            <v>Y học dân tộc Tuệ Tĩnh</v>
          </cell>
          <cell r="I313">
            <v>1994</v>
          </cell>
          <cell r="J313" t="str">
            <v>Y sĩ (hạng IV)</v>
          </cell>
          <cell r="P313" t="str">
            <v>x</v>
          </cell>
          <cell r="Q313" t="str">
            <v>x</v>
          </cell>
        </row>
        <row r="314">
          <cell r="B314" t="str">
            <v>BV0352</v>
          </cell>
          <cell r="C314" t="str">
            <v>Lăng Thị Thẻ</v>
          </cell>
          <cell r="D314" t="str">
            <v>BV0352</v>
          </cell>
          <cell r="E314" t="str">
            <v>x</v>
          </cell>
          <cell r="F314" t="str">
            <v>Y sỹ</v>
          </cell>
          <cell r="G314" t="str">
            <v>TĐ020</v>
          </cell>
          <cell r="H314" t="e">
            <v>#N/A</v>
          </cell>
          <cell r="I314" t="e">
            <v>#N/A</v>
          </cell>
          <cell r="J314" t="str">
            <v>Y sĩ (hạng IV)</v>
          </cell>
        </row>
        <row r="315">
          <cell r="B315" t="str">
            <v>BV0838</v>
          </cell>
          <cell r="C315" t="str">
            <v>Hứa Mạnh Tuấn</v>
          </cell>
          <cell r="D315" t="str">
            <v>BV0838</v>
          </cell>
          <cell r="F315" t="str">
            <v>Bác sĩ</v>
          </cell>
          <cell r="G315" t="str">
            <v>TĐ005</v>
          </cell>
          <cell r="H315" t="str">
            <v>Đại học Y Dược - ĐH Thái Nguyên</v>
          </cell>
          <cell r="I315">
            <v>2016</v>
          </cell>
          <cell r="J315" t="str">
            <v>Bác sĩ (hạng III)</v>
          </cell>
        </row>
        <row r="316">
          <cell r="B316" t="str">
            <v>BV0679</v>
          </cell>
          <cell r="C316" t="str">
            <v>Nguyễn Tuấn An</v>
          </cell>
          <cell r="D316" t="str">
            <v>BV0679</v>
          </cell>
          <cell r="F316" t="str">
            <v>Bác sĩ</v>
          </cell>
          <cell r="G316" t="str">
            <v>TĐ005</v>
          </cell>
          <cell r="H316" t="str">
            <v>ĐH Y Dược - ĐH Thái Nguyên</v>
          </cell>
          <cell r="I316">
            <v>2014</v>
          </cell>
          <cell r="J316" t="str">
            <v>Bác sĩ (hạng III)</v>
          </cell>
        </row>
        <row r="317">
          <cell r="B317" t="str">
            <v>BV0361</v>
          </cell>
          <cell r="C317" t="str">
            <v>Lê Chí Hướng</v>
          </cell>
          <cell r="D317" t="str">
            <v>BV0361</v>
          </cell>
          <cell r="F317" t="str">
            <v>Bác sĩ</v>
          </cell>
          <cell r="G317" t="str">
            <v>TĐ005</v>
          </cell>
          <cell r="H317" t="str">
            <v>Học viên Trung y Quảng Tây, Trung Quốc</v>
          </cell>
          <cell r="I317">
            <v>2010</v>
          </cell>
          <cell r="J317" t="str">
            <v>Bác sĩ (hạng III)</v>
          </cell>
        </row>
        <row r="318">
          <cell r="B318" t="str">
            <v>BV0686</v>
          </cell>
          <cell r="C318" t="str">
            <v>Nông Thị Thanh</v>
          </cell>
          <cell r="D318" t="str">
            <v>BV0686</v>
          </cell>
          <cell r="E318" t="str">
            <v>x</v>
          </cell>
          <cell r="F318" t="str">
            <v>Bác sĩ</v>
          </cell>
          <cell r="G318" t="str">
            <v>TĐ005</v>
          </cell>
          <cell r="H318" t="str">
            <v>ĐH Y Dược - ĐH Thái Nguyên</v>
          </cell>
          <cell r="I318">
            <v>2015</v>
          </cell>
          <cell r="J318" t="str">
            <v>Bác sĩ (hạng III)</v>
          </cell>
          <cell r="M318" t="str">
            <v>x</v>
          </cell>
          <cell r="N318" t="str">
            <v>TC</v>
          </cell>
        </row>
        <row r="319">
          <cell r="B319" t="str">
            <v>BV0056</v>
          </cell>
          <cell r="C319" t="str">
            <v>Hoàng Diệu Linh</v>
          </cell>
          <cell r="D319" t="str">
            <v>BV0056</v>
          </cell>
          <cell r="E319" t="str">
            <v>x</v>
          </cell>
          <cell r="F319" t="str">
            <v>Điều dưỡng ĐH</v>
          </cell>
          <cell r="G319" t="str">
            <v>TĐ012</v>
          </cell>
          <cell r="H319" t="str">
            <v>CĐ Y tế Lạng Sơn</v>
          </cell>
          <cell r="I319">
            <v>2018</v>
          </cell>
          <cell r="J319" t="str">
            <v>Điều dưỡng (hạng IV)</v>
          </cell>
          <cell r="M319" t="str">
            <v>x</v>
          </cell>
          <cell r="Q319" t="str">
            <v>Cơ bản</v>
          </cell>
        </row>
        <row r="320">
          <cell r="B320" t="str">
            <v>BV0171</v>
          </cell>
          <cell r="C320" t="str">
            <v>Chu Thị Vinh</v>
          </cell>
          <cell r="D320" t="str">
            <v>BV0171</v>
          </cell>
          <cell r="E320" t="str">
            <v>x</v>
          </cell>
          <cell r="F320" t="str">
            <v>Điều dưỡng TC</v>
          </cell>
          <cell r="G320" t="str">
            <v>TĐ013</v>
          </cell>
          <cell r="H320" t="str">
            <v>CĐY tế Lạng Sơn</v>
          </cell>
          <cell r="I320">
            <v>2007</v>
          </cell>
          <cell r="J320" t="str">
            <v>Điều dưỡng (hạng IV)</v>
          </cell>
          <cell r="O320" t="str">
            <v>Anh B</v>
          </cell>
          <cell r="Q320" t="str">
            <v>B</v>
          </cell>
        </row>
        <row r="321">
          <cell r="B321" t="str">
            <v>BV0221</v>
          </cell>
          <cell r="C321" t="str">
            <v>Nông Quốc Công</v>
          </cell>
          <cell r="D321" t="str">
            <v>BV0221</v>
          </cell>
          <cell r="F321" t="str">
            <v>Điều dưỡng TC</v>
          </cell>
          <cell r="G321" t="str">
            <v>TĐ013</v>
          </cell>
          <cell r="H321" t="str">
            <v>CĐ Y tế Phú Thọ</v>
          </cell>
          <cell r="I321">
            <v>2007</v>
          </cell>
          <cell r="J321" t="str">
            <v>Điều dưỡng (hạng IV)</v>
          </cell>
          <cell r="O321" t="str">
            <v>Anh B</v>
          </cell>
          <cell r="Q321" t="str">
            <v>Cơ bản</v>
          </cell>
        </row>
        <row r="322">
          <cell r="B322" t="str">
            <v>BV0371</v>
          </cell>
          <cell r="C322" t="str">
            <v>Tô Thị Nghị</v>
          </cell>
          <cell r="D322" t="str">
            <v>BV0371</v>
          </cell>
          <cell r="E322" t="str">
            <v>x</v>
          </cell>
          <cell r="F322" t="str">
            <v>Điều dưỡng TC</v>
          </cell>
          <cell r="G322" t="str">
            <v>TĐ013</v>
          </cell>
          <cell r="H322" t="str">
            <v>TH y tế Lạng Sơn</v>
          </cell>
          <cell r="I322">
            <v>2006</v>
          </cell>
          <cell r="J322" t="str">
            <v>Điều dưỡng (hạng IV)</v>
          </cell>
          <cell r="Q322" t="str">
            <v>Cơ bản</v>
          </cell>
        </row>
        <row r="323">
          <cell r="B323" t="str">
            <v>BV0363</v>
          </cell>
          <cell r="C323" t="str">
            <v>Chu Thị Trang Nhung</v>
          </cell>
          <cell r="D323" t="str">
            <v>BV0363</v>
          </cell>
          <cell r="E323" t="str">
            <v>x</v>
          </cell>
          <cell r="F323" t="str">
            <v>KTY ĐH</v>
          </cell>
          <cell r="G323" t="str">
            <v>TĐ014</v>
          </cell>
          <cell r="H323" t="str">
            <v>CĐ KT Y tế I</v>
          </cell>
          <cell r="I323">
            <v>2007</v>
          </cell>
          <cell r="J323" t="str">
            <v>Kỹ thuật y (hạng III)</v>
          </cell>
        </row>
        <row r="324">
          <cell r="B324" t="str">
            <v>BV0362</v>
          </cell>
          <cell r="C324" t="str">
            <v>Nguyễn Thị Hà</v>
          </cell>
          <cell r="D324" t="str">
            <v>BV0362</v>
          </cell>
          <cell r="E324" t="str">
            <v>x</v>
          </cell>
          <cell r="F324" t="str">
            <v>KTY TC</v>
          </cell>
          <cell r="G324" t="str">
            <v>TĐ016</v>
          </cell>
          <cell r="H324" t="str">
            <v>Trung học Kỹ thuật y tế TW 1</v>
          </cell>
          <cell r="I324">
            <v>1992</v>
          </cell>
          <cell r="J324" t="str">
            <v>Kỹ thuật y (hạng IV)</v>
          </cell>
        </row>
        <row r="325">
          <cell r="B325" t="str">
            <v>BV0364</v>
          </cell>
          <cell r="C325" t="str">
            <v>Hoàng Thu Lèn</v>
          </cell>
          <cell r="D325" t="str">
            <v>BV0364</v>
          </cell>
          <cell r="E325" t="str">
            <v>x</v>
          </cell>
          <cell r="F325" t="str">
            <v>KTY TC</v>
          </cell>
          <cell r="G325" t="str">
            <v>TĐ016</v>
          </cell>
          <cell r="H325" t="e">
            <v>#N/A</v>
          </cell>
          <cell r="I325" t="e">
            <v>#N/A</v>
          </cell>
          <cell r="J325" t="str">
            <v>Kỹ thuật y (hạng IV)</v>
          </cell>
        </row>
        <row r="326">
          <cell r="B326" t="str">
            <v>BV0365</v>
          </cell>
          <cell r="C326" t="str">
            <v>Dương Thị Nguyệt</v>
          </cell>
          <cell r="D326" t="str">
            <v>BV0365</v>
          </cell>
          <cell r="E326" t="str">
            <v>x</v>
          </cell>
          <cell r="F326" t="str">
            <v>KTY TC</v>
          </cell>
          <cell r="G326" t="str">
            <v>TĐ016</v>
          </cell>
          <cell r="H326" t="e">
            <v>#N/A</v>
          </cell>
          <cell r="I326" t="e">
            <v>#N/A</v>
          </cell>
          <cell r="J326" t="str">
            <v>Kỹ thuật y (hạng IV)</v>
          </cell>
        </row>
        <row r="327">
          <cell r="B327" t="str">
            <v>BV0367</v>
          </cell>
          <cell r="C327" t="str">
            <v>Nguyễn Hữu Tài</v>
          </cell>
          <cell r="D327" t="str">
            <v>BV0367</v>
          </cell>
          <cell r="F327" t="str">
            <v>KTY TC</v>
          </cell>
          <cell r="G327" t="str">
            <v>TĐ016</v>
          </cell>
          <cell r="H327" t="str">
            <v>ĐH Kỹ thuật y tế Hải Dương</v>
          </cell>
          <cell r="I327">
            <v>2009</v>
          </cell>
          <cell r="J327" t="str">
            <v>Kỹ thuật y (hạng IV)</v>
          </cell>
        </row>
        <row r="328">
          <cell r="B328" t="str">
            <v>BV0366</v>
          </cell>
          <cell r="C328" t="str">
            <v>Hoàng Quốc Hưởng</v>
          </cell>
          <cell r="D328" t="str">
            <v>BV0366</v>
          </cell>
          <cell r="F328" t="str">
            <v>Y sỹ</v>
          </cell>
          <cell r="G328" t="str">
            <v>TĐ020</v>
          </cell>
          <cell r="H328" t="str">
            <v>TC Công nghệ và y tế Pasreur</v>
          </cell>
          <cell r="I328">
            <v>2012</v>
          </cell>
          <cell r="J328" t="str">
            <v>Y sĩ (hạng IV)</v>
          </cell>
        </row>
        <row r="329">
          <cell r="B329" t="str">
            <v>BV0370</v>
          </cell>
          <cell r="C329" t="str">
            <v>Hoàng Mạnh Linh</v>
          </cell>
          <cell r="D329" t="str">
            <v>BV0370</v>
          </cell>
          <cell r="F329" t="str">
            <v>Y sỹ</v>
          </cell>
          <cell r="G329" t="str">
            <v>TĐ020</v>
          </cell>
          <cell r="H329" t="str">
            <v>CĐ Y tế Lạng Sơn</v>
          </cell>
          <cell r="I329">
            <v>2014</v>
          </cell>
          <cell r="J329" t="str">
            <v>Y sĩ (hạng IV)</v>
          </cell>
        </row>
        <row r="330">
          <cell r="B330" t="str">
            <v>BV0375</v>
          </cell>
          <cell r="C330" t="str">
            <v>Lý Thị Anh</v>
          </cell>
          <cell r="D330" t="str">
            <v>BV0375</v>
          </cell>
          <cell r="E330" t="str">
            <v>x</v>
          </cell>
          <cell r="F330" t="str">
            <v>BSCKI</v>
          </cell>
          <cell r="G330" t="str">
            <v>TĐ003</v>
          </cell>
          <cell r="H330" t="str">
            <v>ĐH Y Hà Nội</v>
          </cell>
          <cell r="I330">
            <v>2012</v>
          </cell>
          <cell r="J330" t="str">
            <v>Bác sĩ (hạng III)</v>
          </cell>
          <cell r="M330" t="str">
            <v>x</v>
          </cell>
        </row>
        <row r="331">
          <cell r="B331" t="str">
            <v>BV0374</v>
          </cell>
          <cell r="C331" t="str">
            <v>Bùi Thiệu Hùng</v>
          </cell>
          <cell r="D331" t="str">
            <v>BV0374</v>
          </cell>
          <cell r="F331" t="str">
            <v>BSCKI</v>
          </cell>
          <cell r="G331" t="str">
            <v>TĐ003</v>
          </cell>
          <cell r="H331" t="e">
            <v>#N/A</v>
          </cell>
          <cell r="I331" t="e">
            <v>#N/A</v>
          </cell>
          <cell r="J331" t="str">
            <v>Bác sĩ (hạng III)</v>
          </cell>
          <cell r="M331" t="str">
            <v>x</v>
          </cell>
        </row>
        <row r="332">
          <cell r="B332" t="str">
            <v>BV0373</v>
          </cell>
          <cell r="C332" t="str">
            <v>Nguyễn Văn Xuân</v>
          </cell>
          <cell r="D332" t="str">
            <v>BV0373</v>
          </cell>
          <cell r="F332" t="str">
            <v>BSCKI</v>
          </cell>
          <cell r="G332" t="str">
            <v>TĐ003</v>
          </cell>
          <cell r="H332" t="e">
            <v>#N/A</v>
          </cell>
          <cell r="I332" t="e">
            <v>#N/A</v>
          </cell>
          <cell r="J332" t="str">
            <v>Bác sĩ chính (hạng II)</v>
          </cell>
        </row>
        <row r="333">
          <cell r="B333" t="str">
            <v>BV0006</v>
          </cell>
          <cell r="C333" t="str">
            <v>Nguyễn Mạnh Cường</v>
          </cell>
          <cell r="D333" t="str">
            <v>BV0006</v>
          </cell>
          <cell r="F333" t="str">
            <v>Bác sĩ</v>
          </cell>
          <cell r="G333" t="str">
            <v>TĐ005</v>
          </cell>
          <cell r="H333" t="str">
            <v>ĐH Y Dược Thái Nguyên</v>
          </cell>
          <cell r="I333">
            <v>2011</v>
          </cell>
          <cell r="J333" t="str">
            <v>Bác sĩ (hạng III)</v>
          </cell>
          <cell r="L333" t="str">
            <v>Chuyên viên</v>
          </cell>
          <cell r="O333" t="str">
            <v>Pháp bậc 3</v>
          </cell>
          <cell r="Q333" t="str">
            <v>CC SĐH</v>
          </cell>
        </row>
        <row r="334">
          <cell r="B334" t="str">
            <v>BV0249</v>
          </cell>
          <cell r="C334" t="str">
            <v>Trần Hồng Nhung</v>
          </cell>
          <cell r="D334" t="str">
            <v>BV0249</v>
          </cell>
          <cell r="E334" t="str">
            <v>x</v>
          </cell>
          <cell r="F334" t="str">
            <v>Bác sĩ</v>
          </cell>
          <cell r="G334" t="str">
            <v>TĐ005</v>
          </cell>
          <cell r="H334" t="str">
            <v>ĐH Y Dược Thái Nguyên</v>
          </cell>
          <cell r="I334">
            <v>2014</v>
          </cell>
          <cell r="J334" t="str">
            <v>Bác sĩ (hạng III)</v>
          </cell>
        </row>
        <row r="335">
          <cell r="B335" t="str">
            <v>BV0376</v>
          </cell>
          <cell r="C335" t="str">
            <v>Hoàng Thu Hường</v>
          </cell>
          <cell r="D335" t="str">
            <v>BV0376</v>
          </cell>
          <cell r="E335" t="str">
            <v>x</v>
          </cell>
          <cell r="F335" t="str">
            <v>Điều dưỡng ĐH</v>
          </cell>
          <cell r="G335" t="str">
            <v>TĐ011</v>
          </cell>
          <cell r="H335" t="str">
            <v>ĐH Y Dược Thái Nguyên</v>
          </cell>
          <cell r="I335">
            <v>2010</v>
          </cell>
          <cell r="J335" t="str">
            <v>Điều dưỡng (hạng III)</v>
          </cell>
        </row>
        <row r="336">
          <cell r="B336" t="str">
            <v>BV0380</v>
          </cell>
          <cell r="C336" t="str">
            <v>Nông Thị Tươi</v>
          </cell>
          <cell r="D336" t="str">
            <v>BV0380</v>
          </cell>
          <cell r="E336" t="str">
            <v>x</v>
          </cell>
          <cell r="F336" t="str">
            <v>Điều dưỡng ĐH</v>
          </cell>
          <cell r="G336" t="str">
            <v>TĐ011</v>
          </cell>
          <cell r="H336" t="str">
            <v>TH Y Tế Lạng Sơn</v>
          </cell>
          <cell r="I336">
            <v>2004</v>
          </cell>
          <cell r="J336" t="str">
            <v>Điều dưỡng (hạng IV)</v>
          </cell>
          <cell r="O336" t="str">
            <v>Anh B</v>
          </cell>
          <cell r="Q336" t="str">
            <v>Tin B</v>
          </cell>
        </row>
        <row r="337">
          <cell r="B337" t="str">
            <v>BV0386</v>
          </cell>
          <cell r="C337" t="str">
            <v>Ngô Thị Huyền</v>
          </cell>
          <cell r="D337" t="str">
            <v>BV0386</v>
          </cell>
          <cell r="E337" t="str">
            <v>x</v>
          </cell>
          <cell r="F337" t="str">
            <v>Điều dưỡng CĐ</v>
          </cell>
          <cell r="G337" t="str">
            <v>TĐ012</v>
          </cell>
          <cell r="H337" t="str">
            <v>CĐ Y tế Lạng Sơn</v>
          </cell>
          <cell r="I337">
            <v>2007</v>
          </cell>
          <cell r="J337" t="str">
            <v>Điều dưỡng (hạng IV)</v>
          </cell>
          <cell r="O337" t="str">
            <v>Anh B</v>
          </cell>
          <cell r="Q337" t="str">
            <v>Tin B</v>
          </cell>
        </row>
        <row r="338">
          <cell r="B338" t="str">
            <v>BV0021</v>
          </cell>
          <cell r="C338" t="str">
            <v>Lý Thị Lệ</v>
          </cell>
          <cell r="D338" t="str">
            <v>BV0021</v>
          </cell>
          <cell r="E338" t="str">
            <v>x</v>
          </cell>
          <cell r="F338" t="str">
            <v>Điều dưỡng CĐ</v>
          </cell>
          <cell r="G338" t="str">
            <v>TĐ012</v>
          </cell>
          <cell r="H338" t="str">
            <v>CĐ Y tế Lạng Sơn</v>
          </cell>
          <cell r="I338">
            <v>2007</v>
          </cell>
          <cell r="J338" t="str">
            <v>Điều dưỡng (hạng IV)</v>
          </cell>
          <cell r="Q338" t="str">
            <v>Tin B</v>
          </cell>
        </row>
        <row r="339">
          <cell r="B339" t="str">
            <v>BV0387</v>
          </cell>
          <cell r="C339" t="str">
            <v>Phạm Thị Huyền Trang</v>
          </cell>
          <cell r="D339" t="str">
            <v>BV0387</v>
          </cell>
          <cell r="E339" t="str">
            <v>x</v>
          </cell>
          <cell r="F339" t="str">
            <v>Điều dưỡng CĐ</v>
          </cell>
          <cell r="G339" t="str">
            <v>TĐ012</v>
          </cell>
          <cell r="H339" t="e">
            <v>#N/A</v>
          </cell>
          <cell r="I339" t="e">
            <v>#N/A</v>
          </cell>
          <cell r="J339" t="str">
            <v>Điều dưỡng (hạng IV)</v>
          </cell>
          <cell r="O339" t="str">
            <v>TOEIC</v>
          </cell>
          <cell r="Q339" t="str">
            <v>Cơ bản</v>
          </cell>
        </row>
        <row r="340">
          <cell r="B340" t="str">
            <v>BV0184</v>
          </cell>
          <cell r="C340" t="str">
            <v>Hoàng Thị Hải Yến</v>
          </cell>
          <cell r="D340" t="str">
            <v>BV0184</v>
          </cell>
          <cell r="E340" t="str">
            <v>x</v>
          </cell>
          <cell r="F340" t="str">
            <v>Điều dưỡng CĐ</v>
          </cell>
          <cell r="G340" t="str">
            <v>TĐ012</v>
          </cell>
          <cell r="H340" t="str">
            <v>CĐ Y tế Lạng Sơn</v>
          </cell>
          <cell r="I340">
            <v>2010</v>
          </cell>
          <cell r="J340" t="str">
            <v>Điều dưỡng (hạng IV)</v>
          </cell>
          <cell r="Q340" t="str">
            <v>A</v>
          </cell>
        </row>
        <row r="341">
          <cell r="B341" t="str">
            <v>BV0383</v>
          </cell>
          <cell r="C341" t="str">
            <v>Vũ Thúy Ngân</v>
          </cell>
          <cell r="D341" t="str">
            <v>BV0383</v>
          </cell>
          <cell r="E341" t="str">
            <v>x</v>
          </cell>
          <cell r="F341" t="str">
            <v>Điều dưỡng CĐ</v>
          </cell>
          <cell r="G341" t="str">
            <v>TĐ012</v>
          </cell>
          <cell r="H341" t="str">
            <v>TH Y Tế Lạng Sơn</v>
          </cell>
          <cell r="I341">
            <v>2004</v>
          </cell>
          <cell r="J341" t="str">
            <v>Điều dưỡng (hạng IV)</v>
          </cell>
        </row>
        <row r="342">
          <cell r="B342" t="str">
            <v>BV0381</v>
          </cell>
          <cell r="C342" t="str">
            <v>Nông Minh Hiếu</v>
          </cell>
          <cell r="D342" t="str">
            <v>BV0381</v>
          </cell>
          <cell r="E342" t="str">
            <v>x</v>
          </cell>
          <cell r="F342" t="str">
            <v>Điều dưỡng TC</v>
          </cell>
          <cell r="G342" t="str">
            <v>TĐ013</v>
          </cell>
          <cell r="H342" t="str">
            <v>TH Y Tế Lạng Sơn</v>
          </cell>
          <cell r="I342">
            <v>2005</v>
          </cell>
          <cell r="J342" t="str">
            <v>Điều dưỡng (hạng IV)</v>
          </cell>
          <cell r="O342" t="str">
            <v>Anh A</v>
          </cell>
          <cell r="P342" t="str">
            <v>Tày</v>
          </cell>
          <cell r="Q342" t="str">
            <v>Tin A</v>
          </cell>
        </row>
        <row r="343">
          <cell r="B343" t="str">
            <v>BV0388</v>
          </cell>
          <cell r="C343" t="str">
            <v>Trần Thị Nằng</v>
          </cell>
          <cell r="D343" t="str">
            <v>BV0388</v>
          </cell>
          <cell r="E343" t="str">
            <v>x</v>
          </cell>
          <cell r="F343" t="str">
            <v>Điều dưỡng TC</v>
          </cell>
          <cell r="G343" t="str">
            <v>TĐ013</v>
          </cell>
          <cell r="H343" t="e">
            <v>#N/A</v>
          </cell>
          <cell r="I343" t="e">
            <v>#N/A</v>
          </cell>
          <cell r="J343" t="str">
            <v>Điều dưỡng (hạng IV)</v>
          </cell>
        </row>
        <row r="344">
          <cell r="B344" t="str">
            <v>BV0194</v>
          </cell>
          <cell r="C344" t="str">
            <v>Hoàng Thị Nhài</v>
          </cell>
          <cell r="D344" t="str">
            <v>BV0194</v>
          </cell>
          <cell r="E344" t="str">
            <v>x</v>
          </cell>
          <cell r="F344" t="str">
            <v>Điều dưỡng TC</v>
          </cell>
          <cell r="G344" t="str">
            <v>TĐ013</v>
          </cell>
          <cell r="H344" t="str">
            <v>CĐ Y tế Lạng Sơn</v>
          </cell>
          <cell r="I344">
            <v>2008</v>
          </cell>
          <cell r="J344" t="str">
            <v>Điều dưỡng (hạng IV)</v>
          </cell>
          <cell r="O344" t="str">
            <v>TOEIC</v>
          </cell>
          <cell r="Q344" t="str">
            <v>Cơ bản</v>
          </cell>
        </row>
        <row r="345">
          <cell r="B345" t="str">
            <v>BV0391</v>
          </cell>
          <cell r="C345" t="str">
            <v>Bạch Ngọc Sỹ</v>
          </cell>
          <cell r="D345" t="str">
            <v>BV0391</v>
          </cell>
          <cell r="F345" t="str">
            <v>BSCKII</v>
          </cell>
          <cell r="G345" t="str">
            <v>TĐ001</v>
          </cell>
          <cell r="H345" t="str">
            <v>ĐH Y Hà Nội</v>
          </cell>
          <cell r="I345">
            <v>2017</v>
          </cell>
          <cell r="J345" t="str">
            <v>Bác sĩ chính (hạng II)</v>
          </cell>
          <cell r="K345" t="str">
            <v>BS chính</v>
          </cell>
          <cell r="L345" t="str">
            <v>x</v>
          </cell>
          <cell r="M345" t="str">
            <v>x</v>
          </cell>
          <cell r="N345" t="str">
            <v>Trung cấp</v>
          </cell>
          <cell r="O345" t="str">
            <v>Anh B</v>
          </cell>
          <cell r="P345" t="str">
            <v>x</v>
          </cell>
          <cell r="Q345" t="str">
            <v>Tin A</v>
          </cell>
        </row>
        <row r="346">
          <cell r="B346" t="str">
            <v>BV0393</v>
          </cell>
          <cell r="C346" t="str">
            <v>Trần Quốc Hải</v>
          </cell>
          <cell r="D346" t="str">
            <v>BV0393</v>
          </cell>
          <cell r="F346" t="str">
            <v>BSCKI</v>
          </cell>
          <cell r="G346" t="str">
            <v>TĐ003</v>
          </cell>
          <cell r="H346">
            <v>0</v>
          </cell>
          <cell r="I346">
            <v>0</v>
          </cell>
          <cell r="J346" t="str">
            <v>Bác sĩ chính (hạng II)</v>
          </cell>
          <cell r="K346" t="str">
            <v>BS chính</v>
          </cell>
          <cell r="O346" t="str">
            <v>Anh B</v>
          </cell>
          <cell r="P346" t="str">
            <v>Tày</v>
          </cell>
          <cell r="Q346" t="str">
            <v>B</v>
          </cell>
        </row>
        <row r="347">
          <cell r="B347" t="str">
            <v>BV0392</v>
          </cell>
          <cell r="C347" t="str">
            <v>Hoàng Sơn</v>
          </cell>
          <cell r="D347" t="str">
            <v>BV0392</v>
          </cell>
          <cell r="F347" t="str">
            <v>Thạc sỹ</v>
          </cell>
          <cell r="G347" t="str">
            <v>TĐ004</v>
          </cell>
          <cell r="H347" t="str">
            <v>ĐH Y Hà Nội</v>
          </cell>
          <cell r="I347">
            <v>2011</v>
          </cell>
          <cell r="J347" t="str">
            <v>Bác sĩ chính (hạng II)</v>
          </cell>
          <cell r="K347" t="str">
            <v>BS chính</v>
          </cell>
          <cell r="L347" t="str">
            <v>x</v>
          </cell>
          <cell r="M347" t="str">
            <v>x</v>
          </cell>
          <cell r="O347" t="str">
            <v>Tiếng anh C</v>
          </cell>
          <cell r="P347" t="str">
            <v>x</v>
          </cell>
          <cell r="Q347" t="str">
            <v>Tin B</v>
          </cell>
        </row>
        <row r="348">
          <cell r="B348" t="str">
            <v>BV0394</v>
          </cell>
          <cell r="C348" t="str">
            <v>Vũ Toàn Phong</v>
          </cell>
          <cell r="D348" t="str">
            <v>BV0394</v>
          </cell>
          <cell r="F348" t="str">
            <v>Bác sĩ</v>
          </cell>
          <cell r="G348" t="str">
            <v>TĐ005</v>
          </cell>
          <cell r="H348" t="e">
            <v>#N/A</v>
          </cell>
          <cell r="I348" t="e">
            <v>#N/A</v>
          </cell>
          <cell r="J348" t="str">
            <v>Bác sĩ (hạng III)</v>
          </cell>
          <cell r="N348" t="str">
            <v>Sơ cấp</v>
          </cell>
          <cell r="O348" t="str">
            <v>Tiếng anh B</v>
          </cell>
          <cell r="Q348" t="str">
            <v>Tin B</v>
          </cell>
        </row>
        <row r="349">
          <cell r="B349" t="str">
            <v>BV0395</v>
          </cell>
          <cell r="C349" t="str">
            <v>Lý Ngọc Thủy</v>
          </cell>
          <cell r="D349" t="str">
            <v>BV0395</v>
          </cell>
          <cell r="E349" t="str">
            <v>x</v>
          </cell>
          <cell r="F349" t="str">
            <v>Bác sĩ</v>
          </cell>
          <cell r="G349" t="str">
            <v>TĐ005</v>
          </cell>
          <cell r="H349" t="str">
            <v>ĐH Y Dược Thái Nguyên</v>
          </cell>
          <cell r="I349">
            <v>2012</v>
          </cell>
          <cell r="J349" t="str">
            <v>Bác sĩ (hạng III)</v>
          </cell>
          <cell r="O349" t="str">
            <v>Anh B</v>
          </cell>
          <cell r="Q349" t="str">
            <v>Cơ bản</v>
          </cell>
        </row>
        <row r="350">
          <cell r="B350" t="str">
            <v>BV0400</v>
          </cell>
          <cell r="C350" t="str">
            <v>Hoàng Minh Hiếu</v>
          </cell>
          <cell r="D350" t="str">
            <v>BV0400</v>
          </cell>
          <cell r="F350" t="str">
            <v>Điều dưỡng ĐH</v>
          </cell>
          <cell r="G350" t="str">
            <v>TĐ011</v>
          </cell>
          <cell r="H350" t="str">
            <v>ĐH Y Dược Thái Nguyên</v>
          </cell>
          <cell r="I350">
            <v>2015</v>
          </cell>
          <cell r="J350" t="str">
            <v>Điều dưỡng (hạng III)</v>
          </cell>
          <cell r="N350" t="str">
            <v>Sơ cấp</v>
          </cell>
          <cell r="P350" t="str">
            <v>x</v>
          </cell>
          <cell r="Q350" t="str">
            <v>Tin A</v>
          </cell>
        </row>
        <row r="351">
          <cell r="B351" t="str">
            <v>BV0396</v>
          </cell>
          <cell r="C351" t="str">
            <v>Từ Như Huyền</v>
          </cell>
          <cell r="D351" t="str">
            <v>BV0396</v>
          </cell>
          <cell r="E351" t="str">
            <v>x</v>
          </cell>
          <cell r="F351" t="str">
            <v>Điều dưỡng ĐH</v>
          </cell>
          <cell r="G351" t="str">
            <v>TĐ011</v>
          </cell>
          <cell r="H351" t="e">
            <v>#N/A</v>
          </cell>
          <cell r="I351" t="e">
            <v>#N/A</v>
          </cell>
          <cell r="J351" t="str">
            <v>Điều dưỡng (hạng III)</v>
          </cell>
          <cell r="L351" t="str">
            <v>x</v>
          </cell>
          <cell r="N351" t="str">
            <v>Sơ cấp</v>
          </cell>
          <cell r="O351" t="str">
            <v>Tiếng Anh B</v>
          </cell>
          <cell r="P351" t="str">
            <v>x</v>
          </cell>
          <cell r="Q351" t="str">
            <v>Cơ bản</v>
          </cell>
        </row>
        <row r="352">
          <cell r="B352" t="str">
            <v>BV0398</v>
          </cell>
          <cell r="C352" t="str">
            <v>Phạm Thị Ngần</v>
          </cell>
          <cell r="D352" t="str">
            <v>BV0398</v>
          </cell>
          <cell r="E352" t="str">
            <v>x</v>
          </cell>
          <cell r="F352" t="str">
            <v>Điều dưỡng ĐH</v>
          </cell>
          <cell r="G352" t="str">
            <v>TĐ011</v>
          </cell>
          <cell r="H352" t="str">
            <v>ĐH Điều dưỡng nam Định</v>
          </cell>
          <cell r="I352">
            <v>2012</v>
          </cell>
          <cell r="J352" t="str">
            <v>Điều dưỡng (hạng III)</v>
          </cell>
          <cell r="O352" t="str">
            <v>Tiếng anh B</v>
          </cell>
          <cell r="Q352" t="str">
            <v>Tin B</v>
          </cell>
        </row>
        <row r="353">
          <cell r="B353" t="str">
            <v>BV0124</v>
          </cell>
          <cell r="C353" t="str">
            <v>Hà Văn Tiệp</v>
          </cell>
          <cell r="D353" t="str">
            <v>BV0124</v>
          </cell>
          <cell r="F353" t="str">
            <v>Điều dưỡng ĐH</v>
          </cell>
          <cell r="G353" t="str">
            <v>TĐ011</v>
          </cell>
          <cell r="H353" t="e">
            <v>#N/A</v>
          </cell>
          <cell r="I353" t="e">
            <v>#N/A</v>
          </cell>
          <cell r="J353" t="str">
            <v>Điều dưỡng (hạng III)</v>
          </cell>
          <cell r="O353" t="str">
            <v>Tiếng anh B</v>
          </cell>
          <cell r="P353" t="str">
            <v>x</v>
          </cell>
          <cell r="Q353" t="str">
            <v>Tin B</v>
          </cell>
        </row>
        <row r="354">
          <cell r="B354" t="str">
            <v>BV0302</v>
          </cell>
          <cell r="C354" t="str">
            <v>Nguyễn Thanh Thúy</v>
          </cell>
          <cell r="D354" t="str">
            <v>BV0302</v>
          </cell>
          <cell r="E354" t="str">
            <v>x</v>
          </cell>
          <cell r="F354" t="str">
            <v>Điều dưỡng ĐH</v>
          </cell>
          <cell r="G354" t="str">
            <v>TĐ012</v>
          </cell>
          <cell r="H354">
            <v>0</v>
          </cell>
          <cell r="I354">
            <v>0</v>
          </cell>
          <cell r="J354" t="str">
            <v>Điều dưỡng (hạng IV)</v>
          </cell>
          <cell r="M354" t="str">
            <v>x</v>
          </cell>
          <cell r="N354" t="str">
            <v>Sơ cấp</v>
          </cell>
          <cell r="O354" t="str">
            <v>Tiếng anh A2</v>
          </cell>
          <cell r="P354" t="str">
            <v>x</v>
          </cell>
          <cell r="Q354" t="str">
            <v>CNTT cơ bản</v>
          </cell>
        </row>
        <row r="355">
          <cell r="B355" t="str">
            <v>BV0399</v>
          </cell>
          <cell r="C355" t="str">
            <v>Lê Thị Hoa</v>
          </cell>
          <cell r="D355" t="str">
            <v>BV0399</v>
          </cell>
          <cell r="E355" t="str">
            <v>x</v>
          </cell>
          <cell r="F355" t="str">
            <v>Điều dưỡng TC</v>
          </cell>
          <cell r="G355" t="str">
            <v>TĐ013</v>
          </cell>
          <cell r="H355" t="e">
            <v>#N/A</v>
          </cell>
          <cell r="I355" t="e">
            <v>#N/A</v>
          </cell>
          <cell r="J355" t="str">
            <v>Điều dưỡng (hạng IV)</v>
          </cell>
        </row>
        <row r="356">
          <cell r="B356" t="str">
            <v>BV0403</v>
          </cell>
          <cell r="C356" t="str">
            <v>Hà Thị Thanh Lý</v>
          </cell>
          <cell r="D356" t="str">
            <v>BV0403</v>
          </cell>
          <cell r="E356" t="str">
            <v>x</v>
          </cell>
          <cell r="F356" t="str">
            <v>Điều dưỡng CĐ</v>
          </cell>
          <cell r="G356" t="str">
            <v>TĐ013</v>
          </cell>
          <cell r="H356" t="str">
            <v>CĐ Y tế LS</v>
          </cell>
          <cell r="I356">
            <v>2007</v>
          </cell>
          <cell r="J356" t="str">
            <v>Điều dưỡng (hạng IV)</v>
          </cell>
          <cell r="Q356" t="str">
            <v>Tin B</v>
          </cell>
        </row>
        <row r="357">
          <cell r="B357" t="str">
            <v>BV0406</v>
          </cell>
          <cell r="C357" t="str">
            <v>Nguyễn Khắc Trường</v>
          </cell>
          <cell r="D357" t="str">
            <v>BV0406</v>
          </cell>
          <cell r="F357" t="str">
            <v>BSCKI</v>
          </cell>
          <cell r="G357" t="str">
            <v>TĐ003</v>
          </cell>
          <cell r="H357" t="str">
            <v>ĐH Y Hà Nội</v>
          </cell>
          <cell r="I357">
            <v>2007</v>
          </cell>
          <cell r="J357" t="str">
            <v>Bác sĩ chính (hạng II)</v>
          </cell>
          <cell r="N357" t="str">
            <v>Sơ cấp</v>
          </cell>
          <cell r="O357" t="str">
            <v>C</v>
          </cell>
          <cell r="P357" t="str">
            <v>x</v>
          </cell>
          <cell r="Q357" t="str">
            <v>Tin học B</v>
          </cell>
        </row>
        <row r="358">
          <cell r="B358" t="str">
            <v>BV0887</v>
          </cell>
          <cell r="C358" t="str">
            <v>Hoàng Mai Loan</v>
          </cell>
          <cell r="D358" t="str">
            <v>BV0887</v>
          </cell>
          <cell r="E358" t="str">
            <v>x</v>
          </cell>
          <cell r="F358" t="str">
            <v>Bác sĩ</v>
          </cell>
          <cell r="G358" t="str">
            <v>TĐ005</v>
          </cell>
          <cell r="H358">
            <v>0</v>
          </cell>
          <cell r="I358">
            <v>0</v>
          </cell>
          <cell r="J358" t="str">
            <v>Bác sĩ (hạng III)</v>
          </cell>
          <cell r="N358" t="str">
            <v>Sơ cấp</v>
          </cell>
          <cell r="O358" t="str">
            <v>B</v>
          </cell>
          <cell r="P358" t="str">
            <v>x</v>
          </cell>
          <cell r="Q358" t="str">
            <v>Tin học IC3</v>
          </cell>
        </row>
        <row r="359">
          <cell r="B359" t="str">
            <v>BV0808</v>
          </cell>
          <cell r="C359" t="str">
            <v>Nông Văn Nam</v>
          </cell>
          <cell r="D359" t="str">
            <v>BV0808</v>
          </cell>
          <cell r="F359" t="str">
            <v>Bác sĩ</v>
          </cell>
          <cell r="G359" t="str">
            <v>TĐ005</v>
          </cell>
          <cell r="H359" t="e">
            <v>#N/A</v>
          </cell>
          <cell r="I359" t="e">
            <v>#N/A</v>
          </cell>
          <cell r="J359" t="str">
            <v>Bác sĩ (hạng III)</v>
          </cell>
          <cell r="N359" t="str">
            <v>Sơ cấp</v>
          </cell>
          <cell r="O359" t="str">
            <v>B</v>
          </cell>
          <cell r="P359" t="str">
            <v>x</v>
          </cell>
          <cell r="Q359" t="str">
            <v>Cơ bản</v>
          </cell>
        </row>
        <row r="360">
          <cell r="B360" t="str">
            <v>BV0919</v>
          </cell>
          <cell r="C360" t="str">
            <v>Hoàng Doãn Toán</v>
          </cell>
          <cell r="D360" t="str">
            <v>BV0919</v>
          </cell>
          <cell r="F360" t="str">
            <v>Bác sĩ</v>
          </cell>
          <cell r="G360" t="str">
            <v>TĐ005</v>
          </cell>
          <cell r="H360" t="str">
            <v>Y Hà Nội</v>
          </cell>
          <cell r="I360">
            <v>2012</v>
          </cell>
          <cell r="J360" t="str">
            <v>Bác sĩ (hạng III)</v>
          </cell>
          <cell r="M360" t="str">
            <v>x</v>
          </cell>
          <cell r="N360" t="str">
            <v>Sơ cấp</v>
          </cell>
          <cell r="O360" t="str">
            <v>B</v>
          </cell>
          <cell r="P360" t="str">
            <v>x</v>
          </cell>
          <cell r="Q360" t="str">
            <v>Cơ bản</v>
          </cell>
        </row>
        <row r="361">
          <cell r="B361" t="str">
            <v>BV1031</v>
          </cell>
          <cell r="C361" t="str">
            <v>Nông Thị Bích Phương</v>
          </cell>
          <cell r="D361" t="str">
            <v>BV1031</v>
          </cell>
          <cell r="E361" t="str">
            <v>x</v>
          </cell>
          <cell r="F361" t="str">
            <v>Bác sĩ</v>
          </cell>
          <cell r="G361" t="str">
            <v>TĐ005</v>
          </cell>
          <cell r="H361" t="str">
            <v>Y Hà Nội</v>
          </cell>
          <cell r="I361">
            <v>2013</v>
          </cell>
          <cell r="J361" t="str">
            <v>Bác sĩ (hạng III)</v>
          </cell>
          <cell r="N361" t="str">
            <v>Sơ cấp</v>
          </cell>
          <cell r="O361" t="str">
            <v>B</v>
          </cell>
          <cell r="Q361" t="str">
            <v>Tin học B</v>
          </cell>
        </row>
        <row r="362">
          <cell r="B362" t="str">
            <v>BV0217</v>
          </cell>
          <cell r="C362" t="str">
            <v>Vi Thị Nhị</v>
          </cell>
          <cell r="D362" t="str">
            <v>BV0217</v>
          </cell>
          <cell r="E362" t="str">
            <v>x</v>
          </cell>
          <cell r="F362" t="str">
            <v>Điều dưỡng ĐH</v>
          </cell>
          <cell r="G362" t="str">
            <v>TĐ011</v>
          </cell>
          <cell r="H362">
            <v>0</v>
          </cell>
          <cell r="I362">
            <v>0</v>
          </cell>
          <cell r="J362" t="str">
            <v>Điều dưỡng (hạng III)</v>
          </cell>
          <cell r="N362" t="str">
            <v>Sơ cấp</v>
          </cell>
          <cell r="O362" t="str">
            <v>B</v>
          </cell>
          <cell r="P362" t="str">
            <v>x</v>
          </cell>
          <cell r="Q362" t="str">
            <v>Cơ bản</v>
          </cell>
        </row>
        <row r="363">
          <cell r="B363" t="str">
            <v>BV0232</v>
          </cell>
          <cell r="C363" t="str">
            <v>Hoàng Thị Thùy Dung</v>
          </cell>
          <cell r="D363" t="str">
            <v>BV0232</v>
          </cell>
          <cell r="E363" t="str">
            <v>x</v>
          </cell>
          <cell r="F363" t="str">
            <v>Điều dưỡng TC</v>
          </cell>
          <cell r="G363" t="str">
            <v>TĐ013</v>
          </cell>
          <cell r="H363" t="str">
            <v>CĐ Y Thái  Nguyên</v>
          </cell>
          <cell r="I363">
            <v>2010</v>
          </cell>
          <cell r="J363" t="str">
            <v>Điều dưỡng (hạng IV)</v>
          </cell>
        </row>
        <row r="364">
          <cell r="B364" t="str">
            <v>BV0064</v>
          </cell>
          <cell r="C364" t="str">
            <v>Dương Thị Cương</v>
          </cell>
          <cell r="D364" t="str">
            <v>BV0064</v>
          </cell>
          <cell r="E364" t="str">
            <v>x</v>
          </cell>
          <cell r="F364" t="str">
            <v>Điều dưỡng TC</v>
          </cell>
          <cell r="G364" t="str">
            <v>TĐ013</v>
          </cell>
          <cell r="H364" t="str">
            <v>CĐ Y tế LS</v>
          </cell>
          <cell r="I364">
            <v>2008</v>
          </cell>
          <cell r="J364" t="str">
            <v>Điều dưỡng (hạng IV)</v>
          </cell>
        </row>
        <row r="365">
          <cell r="B365" t="str">
            <v>BV0413</v>
          </cell>
          <cell r="C365" t="str">
            <v>Lâm Diệu Hằng</v>
          </cell>
          <cell r="D365" t="str">
            <v>BV0413</v>
          </cell>
          <cell r="E365" t="str">
            <v>x</v>
          </cell>
          <cell r="F365" t="str">
            <v>Điều dưỡng TC</v>
          </cell>
          <cell r="G365" t="str">
            <v>TĐ013</v>
          </cell>
          <cell r="H365">
            <v>0</v>
          </cell>
          <cell r="I365">
            <v>0</v>
          </cell>
          <cell r="J365" t="str">
            <v>Điều dưỡng (hạng IV)</v>
          </cell>
          <cell r="Q365" t="str">
            <v>Tin học A</v>
          </cell>
        </row>
        <row r="366">
          <cell r="B366" t="str">
            <v>BV0415</v>
          </cell>
          <cell r="C366" t="str">
            <v>Hoàng Thị Hoa</v>
          </cell>
          <cell r="D366" t="str">
            <v>BV0415</v>
          </cell>
          <cell r="E366" t="str">
            <v>x</v>
          </cell>
          <cell r="F366" t="str">
            <v>Điều dưỡng TC</v>
          </cell>
          <cell r="G366" t="str">
            <v>TĐ013</v>
          </cell>
          <cell r="H366" t="str">
            <v>CĐ Y tế LS</v>
          </cell>
          <cell r="I366">
            <v>2007</v>
          </cell>
          <cell r="J366" t="str">
            <v>Điều dưỡng (hạng IV)</v>
          </cell>
        </row>
        <row r="367">
          <cell r="B367" t="str">
            <v>BV0419</v>
          </cell>
          <cell r="C367" t="str">
            <v>Đoàn Thị Thúy Liễu</v>
          </cell>
          <cell r="D367" t="str">
            <v>BV0419</v>
          </cell>
          <cell r="E367" t="str">
            <v>x</v>
          </cell>
          <cell r="F367" t="str">
            <v>Điều dưỡng TC</v>
          </cell>
          <cell r="G367" t="str">
            <v>TĐ013</v>
          </cell>
          <cell r="H367" t="str">
            <v>ĐH Y tế Hải Dương</v>
          </cell>
          <cell r="I367">
            <v>2007</v>
          </cell>
          <cell r="J367" t="str">
            <v>Điều dưỡng (hạng IV)</v>
          </cell>
        </row>
        <row r="368">
          <cell r="B368" t="str">
            <v>BV0412</v>
          </cell>
          <cell r="C368" t="str">
            <v>Hoàng Văn Phai</v>
          </cell>
          <cell r="D368" t="str">
            <v>BV0412</v>
          </cell>
          <cell r="F368" t="str">
            <v>Điều dưỡng TC</v>
          </cell>
          <cell r="G368" t="str">
            <v>TĐ013</v>
          </cell>
          <cell r="H368" t="e">
            <v>#N/A</v>
          </cell>
          <cell r="I368" t="e">
            <v>#N/A</v>
          </cell>
          <cell r="J368" t="str">
            <v>Điều dưỡng (hạng IV)</v>
          </cell>
        </row>
        <row r="369">
          <cell r="B369" t="str">
            <v>BV0416</v>
          </cell>
          <cell r="C369" t="str">
            <v>Lành Thị Hương Quỳnh</v>
          </cell>
          <cell r="D369" t="str">
            <v>BV0416</v>
          </cell>
          <cell r="E369" t="str">
            <v>x</v>
          </cell>
          <cell r="F369" t="str">
            <v>Điều dưỡng TC</v>
          </cell>
          <cell r="G369" t="str">
            <v>TĐ013</v>
          </cell>
          <cell r="H369" t="e">
            <v>#N/A</v>
          </cell>
          <cell r="I369" t="e">
            <v>#N/A</v>
          </cell>
          <cell r="J369" t="str">
            <v>Điều dưỡng (hạng IV)</v>
          </cell>
          <cell r="N369" t="str">
            <v>Sơ cấp</v>
          </cell>
          <cell r="O369" t="str">
            <v>B</v>
          </cell>
          <cell r="P369" t="str">
            <v>x</v>
          </cell>
          <cell r="Q369" t="str">
            <v>Cơ bản</v>
          </cell>
        </row>
        <row r="370">
          <cell r="B370" t="str">
            <v>BV0423</v>
          </cell>
          <cell r="C370" t="str">
            <v>Hoàng Văn Yêu</v>
          </cell>
          <cell r="D370" t="str">
            <v>BV0423</v>
          </cell>
          <cell r="F370" t="str">
            <v>BSCKII</v>
          </cell>
          <cell r="G370" t="str">
            <v>TĐ001</v>
          </cell>
          <cell r="H370">
            <v>0</v>
          </cell>
          <cell r="I370">
            <v>0</v>
          </cell>
          <cell r="J370" t="str">
            <v>Bác sĩ (hạng III)</v>
          </cell>
          <cell r="M370" t="str">
            <v>x</v>
          </cell>
        </row>
        <row r="371">
          <cell r="B371" t="str">
            <v>BV0587</v>
          </cell>
          <cell r="C371" t="str">
            <v>Hoàng Văn Minh</v>
          </cell>
          <cell r="D371" t="str">
            <v>BV0587</v>
          </cell>
          <cell r="F371" t="str">
            <v>BSCKII</v>
          </cell>
          <cell r="G371" t="str">
            <v>TĐ001</v>
          </cell>
          <cell r="H371" t="e">
            <v>#N/A</v>
          </cell>
          <cell r="I371" t="e">
            <v>#N/A</v>
          </cell>
          <cell r="J371" t="str">
            <v>Bác sĩ chính (hạng II)</v>
          </cell>
          <cell r="K371" t="str">
            <v>Bác sĩ chính</v>
          </cell>
          <cell r="L371" t="str">
            <v>Chuyên viên</v>
          </cell>
          <cell r="M371" t="str">
            <v>x</v>
          </cell>
          <cell r="N371" t="str">
            <v>Sơ cấp</v>
          </cell>
          <cell r="O371" t="str">
            <v>Anh B</v>
          </cell>
          <cell r="Q371" t="str">
            <v>Tin A</v>
          </cell>
        </row>
        <row r="372">
          <cell r="B372" t="str">
            <v>BV0425</v>
          </cell>
          <cell r="C372" t="str">
            <v>Nguyễn Thị Hồng Duyên</v>
          </cell>
          <cell r="D372" t="str">
            <v>BV0425</v>
          </cell>
          <cell r="E372" t="str">
            <v>x</v>
          </cell>
          <cell r="F372" t="str">
            <v>BSCKI</v>
          </cell>
          <cell r="G372" t="str">
            <v>TĐ003</v>
          </cell>
          <cell r="H372">
            <v>0</v>
          </cell>
          <cell r="I372">
            <v>0</v>
          </cell>
          <cell r="J372" t="str">
            <v>Bác sĩ (hạng III)</v>
          </cell>
          <cell r="O372" t="str">
            <v>Anh B</v>
          </cell>
          <cell r="Q372" t="str">
            <v>B</v>
          </cell>
        </row>
        <row r="373">
          <cell r="B373" t="str">
            <v>BV0424</v>
          </cell>
          <cell r="C373" t="str">
            <v>Hoàng Thị Hiên</v>
          </cell>
          <cell r="D373" t="str">
            <v>BV0424</v>
          </cell>
          <cell r="E373" t="str">
            <v>x</v>
          </cell>
          <cell r="F373" t="str">
            <v>Thạc sỹ</v>
          </cell>
          <cell r="G373" t="str">
            <v>TĐ004</v>
          </cell>
          <cell r="H373">
            <v>0</v>
          </cell>
          <cell r="I373">
            <v>0</v>
          </cell>
          <cell r="J373" t="str">
            <v>Bác sĩ chính (hạng II)</v>
          </cell>
          <cell r="K373" t="str">
            <v>BS chính</v>
          </cell>
          <cell r="L373" t="str">
            <v>Chuyên viên</v>
          </cell>
          <cell r="M373" t="str">
            <v>x</v>
          </cell>
          <cell r="N373" t="str">
            <v>Trung cấp</v>
          </cell>
          <cell r="O373" t="str">
            <v>Anh C</v>
          </cell>
          <cell r="P373" t="str">
            <v>Tày</v>
          </cell>
          <cell r="Q373" t="str">
            <v>Cơ bản</v>
          </cell>
        </row>
        <row r="374">
          <cell r="B374" t="str">
            <v>BV0840</v>
          </cell>
          <cell r="C374" t="str">
            <v>Lộc Huy Hiệp</v>
          </cell>
          <cell r="D374" t="str">
            <v>BV0840</v>
          </cell>
          <cell r="F374" t="str">
            <v>Bác sĩ</v>
          </cell>
          <cell r="G374" t="str">
            <v>TĐ005</v>
          </cell>
          <cell r="H374" t="str">
            <v>Đại học Y Dược Thái Bình</v>
          </cell>
          <cell r="I374">
            <v>2017</v>
          </cell>
          <cell r="J374" t="str">
            <v>Bác sĩ (hạng III)</v>
          </cell>
        </row>
        <row r="375">
          <cell r="B375" t="str">
            <v>BV0889</v>
          </cell>
          <cell r="C375" t="str">
            <v>Tô Thị Kim Anh</v>
          </cell>
          <cell r="D375" t="str">
            <v>BV0889</v>
          </cell>
          <cell r="E375" t="str">
            <v>x</v>
          </cell>
          <cell r="F375" t="str">
            <v>Bác sĩ</v>
          </cell>
          <cell r="G375" t="str">
            <v>TĐ005</v>
          </cell>
          <cell r="H375">
            <v>0</v>
          </cell>
          <cell r="I375">
            <v>0</v>
          </cell>
          <cell r="J375" t="str">
            <v>Bác sĩ (hạng III)</v>
          </cell>
        </row>
        <row r="376">
          <cell r="B376" t="str">
            <v>BV0426</v>
          </cell>
          <cell r="C376" t="str">
            <v>Hoàng Thị Hoa</v>
          </cell>
          <cell r="D376" t="str">
            <v>BV0426</v>
          </cell>
          <cell r="E376" t="str">
            <v>x</v>
          </cell>
          <cell r="F376" t="str">
            <v>Bác sĩ</v>
          </cell>
          <cell r="G376" t="str">
            <v>TĐ005</v>
          </cell>
          <cell r="H376" t="str">
            <v>Y dược TN</v>
          </cell>
          <cell r="I376">
            <v>2013</v>
          </cell>
          <cell r="J376" t="str">
            <v>Bác sĩ (hạng III)</v>
          </cell>
          <cell r="M376" t="str">
            <v>x</v>
          </cell>
          <cell r="N376" t="str">
            <v>Sơ cấp</v>
          </cell>
          <cell r="Q376" t="str">
            <v>Cơ bản</v>
          </cell>
        </row>
        <row r="377">
          <cell r="B377" t="str">
            <v>BV0740</v>
          </cell>
          <cell r="C377" t="str">
            <v>Hoàng Thị Minh Thu</v>
          </cell>
          <cell r="D377" t="str">
            <v>BV0740</v>
          </cell>
          <cell r="E377" t="str">
            <v>x</v>
          </cell>
          <cell r="F377" t="str">
            <v>Bác sĩ</v>
          </cell>
          <cell r="G377" t="str">
            <v>TĐ005</v>
          </cell>
          <cell r="H377" t="e">
            <v>#N/A</v>
          </cell>
          <cell r="I377" t="e">
            <v>#N/A</v>
          </cell>
          <cell r="J377" t="str">
            <v>Bác sĩ (hạng III)</v>
          </cell>
          <cell r="O377" t="str">
            <v>Anh B</v>
          </cell>
          <cell r="Q377" t="str">
            <v>B</v>
          </cell>
        </row>
        <row r="378">
          <cell r="B378" t="str">
            <v>BV0220</v>
          </cell>
          <cell r="C378" t="str">
            <v>Nông Bích Đào</v>
          </cell>
          <cell r="D378" t="str">
            <v>BV0220</v>
          </cell>
          <cell r="E378" t="str">
            <v>x</v>
          </cell>
          <cell r="F378" t="str">
            <v>Điều dưỡng ĐH</v>
          </cell>
          <cell r="G378" t="str">
            <v>TĐ011</v>
          </cell>
          <cell r="H378" t="str">
            <v>ĐH điều dưỡng Nam Định</v>
          </cell>
          <cell r="I378">
            <v>2017</v>
          </cell>
          <cell r="J378" t="str">
            <v>Điều dưỡng (hạng III)</v>
          </cell>
          <cell r="O378" t="str">
            <v>Anh A2</v>
          </cell>
          <cell r="P378" t="str">
            <v>Tày</v>
          </cell>
          <cell r="Q378" t="str">
            <v>B</v>
          </cell>
        </row>
        <row r="379">
          <cell r="B379" t="str">
            <v>BV0427</v>
          </cell>
          <cell r="C379" t="str">
            <v>Đinh Thị Thu Hà</v>
          </cell>
          <cell r="D379" t="str">
            <v>BV0427</v>
          </cell>
          <cell r="E379" t="str">
            <v>x</v>
          </cell>
          <cell r="F379" t="str">
            <v>Điều dưỡng ĐH</v>
          </cell>
          <cell r="G379" t="str">
            <v>TĐ012</v>
          </cell>
          <cell r="H379">
            <v>2008</v>
          </cell>
          <cell r="I379">
            <v>0</v>
          </cell>
          <cell r="J379" t="str">
            <v>Điều dưỡng (hạng IV)</v>
          </cell>
          <cell r="N379" t="str">
            <v>Sơ cấp</v>
          </cell>
          <cell r="O379" t="str">
            <v>Anh A2</v>
          </cell>
          <cell r="P379" t="str">
            <v>Tày</v>
          </cell>
        </row>
        <row r="380">
          <cell r="B380" t="str">
            <v>BV0738</v>
          </cell>
          <cell r="C380" t="str">
            <v>Nguyễn Văn Huy</v>
          </cell>
          <cell r="D380" t="str">
            <v>BV0738</v>
          </cell>
          <cell r="F380" t="str">
            <v>Điều dưỡng CĐ</v>
          </cell>
          <cell r="G380" t="str">
            <v>TĐ012</v>
          </cell>
          <cell r="H380">
            <v>0</v>
          </cell>
          <cell r="I380">
            <v>0</v>
          </cell>
          <cell r="J380" t="str">
            <v>Điều dưỡng (hạng IV)</v>
          </cell>
          <cell r="Q380" t="str">
            <v>Cơ bản</v>
          </cell>
        </row>
        <row r="381">
          <cell r="B381" t="str">
            <v>BV0428</v>
          </cell>
          <cell r="C381" t="str">
            <v>Lành Văn Lượng</v>
          </cell>
          <cell r="D381" t="str">
            <v>BV0428</v>
          </cell>
          <cell r="F381" t="str">
            <v>Điều dưỡng CĐ</v>
          </cell>
          <cell r="G381" t="str">
            <v>TĐ012</v>
          </cell>
          <cell r="H381" t="str">
            <v>ĐH KYYT Hải dương</v>
          </cell>
          <cell r="I381">
            <v>2011</v>
          </cell>
          <cell r="J381" t="str">
            <v>Điều dưỡng (hạng IV)</v>
          </cell>
          <cell r="O381" t="str">
            <v>Anh B</v>
          </cell>
          <cell r="Q381" t="str">
            <v>B</v>
          </cell>
        </row>
        <row r="382">
          <cell r="B382" t="str">
            <v>BV0429</v>
          </cell>
          <cell r="C382" t="str">
            <v>Hoàng Thị Mơ</v>
          </cell>
          <cell r="D382" t="str">
            <v>BV0429</v>
          </cell>
          <cell r="E382" t="str">
            <v>x</v>
          </cell>
          <cell r="F382" t="str">
            <v>Điều dưỡng CĐ</v>
          </cell>
          <cell r="G382" t="str">
            <v>TĐ012</v>
          </cell>
          <cell r="H382">
            <v>0</v>
          </cell>
          <cell r="I382">
            <v>0</v>
          </cell>
          <cell r="J382" t="str">
            <v>Kỹ thuật y (hạng IV)</v>
          </cell>
          <cell r="O382" t="str">
            <v>Anh A</v>
          </cell>
          <cell r="Q382" t="str">
            <v>B</v>
          </cell>
        </row>
        <row r="383">
          <cell r="B383" t="str">
            <v>BV0066</v>
          </cell>
          <cell r="C383" t="str">
            <v>Lương Thị Quyến</v>
          </cell>
          <cell r="D383" t="str">
            <v>BV0066</v>
          </cell>
          <cell r="E383" t="str">
            <v>x</v>
          </cell>
          <cell r="F383" t="str">
            <v>Điều dưỡng CĐ</v>
          </cell>
          <cell r="G383" t="str">
            <v>TĐ012</v>
          </cell>
          <cell r="H383">
            <v>0</v>
          </cell>
          <cell r="I383">
            <v>0</v>
          </cell>
          <cell r="J383" t="str">
            <v>Điều dưỡng (hạng IV)</v>
          </cell>
          <cell r="N383" t="str">
            <v>Sơ cấp</v>
          </cell>
          <cell r="Q383" t="str">
            <v>B</v>
          </cell>
        </row>
        <row r="384">
          <cell r="B384" t="str">
            <v>BV0196</v>
          </cell>
          <cell r="C384" t="str">
            <v>Vi Thị Niệm</v>
          </cell>
          <cell r="D384" t="str">
            <v>BV0196</v>
          </cell>
          <cell r="E384" t="str">
            <v>x</v>
          </cell>
          <cell r="F384" t="str">
            <v>Điều dưỡng CĐ</v>
          </cell>
          <cell r="G384" t="str">
            <v>TĐ013</v>
          </cell>
          <cell r="H384" t="str">
            <v>Cao đẳng Y tế Lạng Sơn</v>
          </cell>
          <cell r="I384">
            <v>2009</v>
          </cell>
          <cell r="J384" t="str">
            <v>Điều dưỡng (hạng IV)</v>
          </cell>
          <cell r="Q384" t="str">
            <v>Cơ bản</v>
          </cell>
        </row>
        <row r="385">
          <cell r="B385" t="str">
            <v>BV0067</v>
          </cell>
          <cell r="C385" t="str">
            <v>Hoàng Xuân Cường</v>
          </cell>
          <cell r="D385" t="str">
            <v>BV0067</v>
          </cell>
          <cell r="F385" t="str">
            <v>Điều dưỡng TC</v>
          </cell>
          <cell r="G385" t="str">
            <v>TĐ013</v>
          </cell>
          <cell r="H385" t="str">
            <v>Cao đẳng Y tế Lạng Sơn</v>
          </cell>
          <cell r="I385">
            <v>2007</v>
          </cell>
          <cell r="J385" t="str">
            <v>Điều dưỡng (hạng IV)</v>
          </cell>
          <cell r="Q385" t="str">
            <v>Cơ bản</v>
          </cell>
        </row>
        <row r="386">
          <cell r="B386" t="str">
            <v>BV0440</v>
          </cell>
          <cell r="C386" t="str">
            <v>Hoàng Thị Điệp</v>
          </cell>
          <cell r="D386" t="str">
            <v>BV0440</v>
          </cell>
          <cell r="E386" t="str">
            <v>x</v>
          </cell>
          <cell r="F386" t="str">
            <v>Điều dưỡng CĐ</v>
          </cell>
          <cell r="G386" t="str">
            <v>TĐ013</v>
          </cell>
          <cell r="H386">
            <v>0</v>
          </cell>
          <cell r="I386">
            <v>0</v>
          </cell>
          <cell r="J386" t="str">
            <v>Điều dưỡng (hạng IV)</v>
          </cell>
        </row>
        <row r="387">
          <cell r="B387" t="str">
            <v>BV0445</v>
          </cell>
          <cell r="C387" t="str">
            <v>Nông Thị Len</v>
          </cell>
          <cell r="D387" t="str">
            <v>BV0445</v>
          </cell>
          <cell r="E387" t="str">
            <v>x</v>
          </cell>
          <cell r="F387" t="str">
            <v>Điều dưỡng TC</v>
          </cell>
          <cell r="G387" t="str">
            <v>TĐ013</v>
          </cell>
          <cell r="H387">
            <v>0</v>
          </cell>
          <cell r="I387">
            <v>0</v>
          </cell>
          <cell r="J387" t="str">
            <v>Điều dưỡng (hạng IV)</v>
          </cell>
          <cell r="O387" t="str">
            <v>Anh B</v>
          </cell>
          <cell r="Q387" t="str">
            <v>Cơ bản</v>
          </cell>
        </row>
        <row r="388">
          <cell r="B388" t="str">
            <v>BV0437</v>
          </cell>
          <cell r="C388" t="str">
            <v>Hoàng Thanh Lê</v>
          </cell>
          <cell r="D388" t="str">
            <v>BV0437</v>
          </cell>
          <cell r="E388" t="str">
            <v>x</v>
          </cell>
          <cell r="F388" t="str">
            <v>Điều dưỡng CĐ</v>
          </cell>
          <cell r="G388" t="str">
            <v>TĐ013</v>
          </cell>
          <cell r="H388">
            <v>0</v>
          </cell>
          <cell r="I388">
            <v>0</v>
          </cell>
          <cell r="J388" t="str">
            <v>Điều dưỡng (hạng IV)</v>
          </cell>
          <cell r="Q388" t="str">
            <v>Cơ bản</v>
          </cell>
        </row>
        <row r="389">
          <cell r="B389" t="str">
            <v>BV0436</v>
          </cell>
          <cell r="C389" t="str">
            <v>Triệu Thị Minh</v>
          </cell>
          <cell r="D389" t="str">
            <v>BV0436</v>
          </cell>
          <cell r="E389" t="str">
            <v>x</v>
          </cell>
          <cell r="F389" t="str">
            <v>Điều dưỡng CĐ</v>
          </cell>
          <cell r="G389" t="str">
            <v>TĐ013</v>
          </cell>
          <cell r="H389">
            <v>0</v>
          </cell>
          <cell r="I389">
            <v>0</v>
          </cell>
          <cell r="J389" t="str">
            <v>Điều dưỡng (hạng IV)</v>
          </cell>
          <cell r="Q389" t="str">
            <v>Cơ bản</v>
          </cell>
        </row>
        <row r="390">
          <cell r="B390" t="str">
            <v>BV0442</v>
          </cell>
          <cell r="C390" t="str">
            <v>Nông Thị Bích Ngọc</v>
          </cell>
          <cell r="D390" t="str">
            <v>BV0442</v>
          </cell>
          <cell r="E390" t="str">
            <v>x</v>
          </cell>
          <cell r="F390" t="str">
            <v>Điều dưỡng TC</v>
          </cell>
          <cell r="G390" t="str">
            <v>TĐ013</v>
          </cell>
          <cell r="H390">
            <v>0</v>
          </cell>
          <cell r="I390">
            <v>0</v>
          </cell>
          <cell r="J390" t="str">
            <v>Điều dưỡng (hạng IV)</v>
          </cell>
          <cell r="Q390" t="str">
            <v>Cơ bản</v>
          </cell>
        </row>
        <row r="391">
          <cell r="B391" t="str">
            <v>BV0439</v>
          </cell>
          <cell r="C391" t="str">
            <v>Trần Thị Nguyệt</v>
          </cell>
          <cell r="D391" t="str">
            <v>BV0439</v>
          </cell>
          <cell r="E391" t="str">
            <v>x</v>
          </cell>
          <cell r="F391" t="str">
            <v>Điều dưỡng TC</v>
          </cell>
          <cell r="G391" t="str">
            <v>TĐ013</v>
          </cell>
          <cell r="H391" t="str">
            <v>CĐ Y tế Lạng Sơn</v>
          </cell>
          <cell r="I391">
            <v>2000</v>
          </cell>
          <cell r="J391" t="str">
            <v>Điều dưỡng (hạng IV)</v>
          </cell>
          <cell r="Q391" t="str">
            <v>Cơ bản</v>
          </cell>
        </row>
        <row r="392">
          <cell r="B392" t="str">
            <v>BV0438</v>
          </cell>
          <cell r="C392" t="str">
            <v>Lương Tuyết Nhung</v>
          </cell>
          <cell r="D392" t="str">
            <v>BV0438</v>
          </cell>
          <cell r="E392" t="str">
            <v>x</v>
          </cell>
          <cell r="F392" t="str">
            <v>Điều dưỡng CĐ</v>
          </cell>
          <cell r="G392" t="str">
            <v>TĐ013</v>
          </cell>
          <cell r="H392">
            <v>0</v>
          </cell>
          <cell r="I392">
            <v>0</v>
          </cell>
          <cell r="J392" t="str">
            <v>Điều dưỡng (hạng IV)</v>
          </cell>
          <cell r="Q392" t="str">
            <v>Cơ bản</v>
          </cell>
        </row>
        <row r="393">
          <cell r="B393" t="str">
            <v>BV0435</v>
          </cell>
          <cell r="C393" t="str">
            <v>Nghiêm Thị Lệ Thanh</v>
          </cell>
          <cell r="D393" t="str">
            <v>BV0435</v>
          </cell>
          <cell r="E393" t="str">
            <v>x</v>
          </cell>
          <cell r="F393" t="str">
            <v>Điều dưỡng TC</v>
          </cell>
          <cell r="G393" t="str">
            <v>TĐ013</v>
          </cell>
          <cell r="H393" t="e">
            <v>#N/A</v>
          </cell>
          <cell r="I393" t="e">
            <v>#N/A</v>
          </cell>
          <cell r="J393" t="str">
            <v>Điều dưỡng (hạng IV)</v>
          </cell>
        </row>
        <row r="394">
          <cell r="B394" t="str">
            <v>BV0441</v>
          </cell>
          <cell r="C394" t="str">
            <v>Vy Thị Thảo</v>
          </cell>
          <cell r="D394" t="str">
            <v>BV0441</v>
          </cell>
          <cell r="E394" t="str">
            <v>x</v>
          </cell>
          <cell r="F394" t="str">
            <v>Điều dưỡng ĐH</v>
          </cell>
          <cell r="G394" t="str">
            <v>TĐ013</v>
          </cell>
          <cell r="H394">
            <v>0</v>
          </cell>
          <cell r="I394">
            <v>0</v>
          </cell>
          <cell r="J394" t="str">
            <v>Điều dưỡng (hạng IV)</v>
          </cell>
          <cell r="O394" t="str">
            <v>TOEIC</v>
          </cell>
          <cell r="P394" t="str">
            <v>tày</v>
          </cell>
          <cell r="Q394" t="str">
            <v>Cơ bản</v>
          </cell>
        </row>
        <row r="395">
          <cell r="B395" t="str">
            <v>BV0434</v>
          </cell>
          <cell r="C395" t="str">
            <v>Lăng Thị Thương</v>
          </cell>
          <cell r="D395" t="str">
            <v>BV0434</v>
          </cell>
          <cell r="E395" t="str">
            <v>x</v>
          </cell>
          <cell r="F395" t="str">
            <v>Điều dưỡng CĐ</v>
          </cell>
          <cell r="G395" t="str">
            <v>TĐ013</v>
          </cell>
          <cell r="H395" t="str">
            <v>CĐ Y tế Lạng Sơn</v>
          </cell>
          <cell r="I395">
            <v>2006</v>
          </cell>
          <cell r="J395" t="str">
            <v>Điều dưỡng (hạng IV)</v>
          </cell>
          <cell r="Q395" t="str">
            <v>B</v>
          </cell>
        </row>
        <row r="396">
          <cell r="B396" t="str">
            <v>BV0443</v>
          </cell>
          <cell r="C396" t="str">
            <v>Vy Huyền Trang</v>
          </cell>
          <cell r="D396" t="str">
            <v>BV0443</v>
          </cell>
          <cell r="E396" t="str">
            <v>x</v>
          </cell>
          <cell r="F396" t="str">
            <v>Điều dưỡng TC</v>
          </cell>
          <cell r="G396" t="str">
            <v>TĐ013</v>
          </cell>
          <cell r="H396" t="str">
            <v>CĐ Y tế Lạng Sơn</v>
          </cell>
          <cell r="I396">
            <v>2008</v>
          </cell>
          <cell r="J396" t="str">
            <v>Điều dưỡng (hạng IV)</v>
          </cell>
          <cell r="O396" t="str">
            <v>B</v>
          </cell>
          <cell r="Q396" t="str">
            <v>A</v>
          </cell>
        </row>
        <row r="397">
          <cell r="B397" t="str">
            <v>BV0444</v>
          </cell>
          <cell r="C397" t="str">
            <v>Vi Thị Hoài Vân</v>
          </cell>
          <cell r="D397" t="str">
            <v>BV0444</v>
          </cell>
          <cell r="E397" t="str">
            <v>x</v>
          </cell>
          <cell r="F397" t="str">
            <v>Điều dưỡng TC</v>
          </cell>
          <cell r="G397" t="str">
            <v>TĐ013</v>
          </cell>
          <cell r="H397">
            <v>0</v>
          </cell>
          <cell r="I397">
            <v>0</v>
          </cell>
          <cell r="J397" t="str">
            <v>Điều dưỡng (hạng IV)</v>
          </cell>
          <cell r="O397" t="str">
            <v>B</v>
          </cell>
          <cell r="Q397" t="str">
            <v>A</v>
          </cell>
        </row>
        <row r="398">
          <cell r="B398" t="str">
            <v>BV0431</v>
          </cell>
          <cell r="C398" t="str">
            <v>Liễu Kim Hoa</v>
          </cell>
          <cell r="D398" t="str">
            <v>BV0431</v>
          </cell>
          <cell r="E398" t="str">
            <v>x</v>
          </cell>
          <cell r="F398" t="str">
            <v>KTY TC</v>
          </cell>
          <cell r="G398" t="str">
            <v>TĐ016</v>
          </cell>
          <cell r="H398">
            <v>0</v>
          </cell>
          <cell r="I398">
            <v>0</v>
          </cell>
          <cell r="J398" t="str">
            <v>Kỹ thuật y (hạng IV)</v>
          </cell>
          <cell r="Q398" t="str">
            <v>A</v>
          </cell>
        </row>
        <row r="399">
          <cell r="B399" t="str">
            <v>BV0430</v>
          </cell>
          <cell r="C399" t="str">
            <v>Ma Thị Hòe</v>
          </cell>
          <cell r="D399" t="str">
            <v>BV0430</v>
          </cell>
          <cell r="E399" t="str">
            <v>x</v>
          </cell>
          <cell r="F399" t="str">
            <v>KTY TC</v>
          </cell>
          <cell r="G399" t="str">
            <v>TĐ016</v>
          </cell>
          <cell r="H399">
            <v>0</v>
          </cell>
          <cell r="I399">
            <v>0</v>
          </cell>
          <cell r="J399" t="str">
            <v>Kỹ thuật y (hạng IV)</v>
          </cell>
          <cell r="Q399" t="str">
            <v>Cơ bản</v>
          </cell>
        </row>
        <row r="400">
          <cell r="B400" t="str">
            <v>BV0432</v>
          </cell>
          <cell r="C400" t="str">
            <v>Lương Lệ Mỹ</v>
          </cell>
          <cell r="D400" t="str">
            <v>BV0432</v>
          </cell>
          <cell r="E400" t="str">
            <v>x</v>
          </cell>
          <cell r="F400" t="str">
            <v>Điều dưỡng CĐ</v>
          </cell>
          <cell r="G400" t="str">
            <v>TĐ016</v>
          </cell>
          <cell r="H400">
            <v>0</v>
          </cell>
          <cell r="I400">
            <v>0</v>
          </cell>
          <cell r="J400" t="str">
            <v>Kỹ thuật y (hạng IV)</v>
          </cell>
        </row>
        <row r="401">
          <cell r="B401" t="str">
            <v>BV0433</v>
          </cell>
          <cell r="C401" t="str">
            <v>Nông Ngọc Tân</v>
          </cell>
          <cell r="D401" t="str">
            <v>BV0433</v>
          </cell>
          <cell r="F401" t="str">
            <v>KTY TC</v>
          </cell>
          <cell r="G401" t="str">
            <v>TĐ016</v>
          </cell>
          <cell r="H401">
            <v>0</v>
          </cell>
          <cell r="I401">
            <v>0</v>
          </cell>
          <cell r="J401" t="str">
            <v>Kỹ thuật y (hạng IV)</v>
          </cell>
          <cell r="Q401" t="str">
            <v>Cơ bản</v>
          </cell>
        </row>
        <row r="402">
          <cell r="B402" t="str">
            <v>BV0762</v>
          </cell>
          <cell r="C402" t="str">
            <v>Hoàng Thị Thuận</v>
          </cell>
          <cell r="D402" t="str">
            <v>BV0762</v>
          </cell>
          <cell r="E402" t="str">
            <v>x</v>
          </cell>
          <cell r="F402" t="str">
            <v>Điều dưỡng CĐ</v>
          </cell>
          <cell r="G402" t="str">
            <v>TĐ019</v>
          </cell>
          <cell r="H402">
            <v>0</v>
          </cell>
          <cell r="I402">
            <v>0</v>
          </cell>
          <cell r="J402" t="str">
            <v>Hộ sinh (hạng IV)</v>
          </cell>
          <cell r="Q402" t="str">
            <v>Cơ bản</v>
          </cell>
        </row>
        <row r="403">
          <cell r="B403" t="str">
            <v>BV0450</v>
          </cell>
          <cell r="C403" t="str">
            <v>Vi Thị Dung</v>
          </cell>
          <cell r="D403" t="str">
            <v>BV0450</v>
          </cell>
          <cell r="E403" t="str">
            <v>x</v>
          </cell>
          <cell r="F403" t="str">
            <v>Điều dưỡng ĐH</v>
          </cell>
          <cell r="G403" t="str">
            <v>TĐ011</v>
          </cell>
          <cell r="H403">
            <v>0</v>
          </cell>
          <cell r="I403">
            <v>0</v>
          </cell>
          <cell r="J403" t="str">
            <v>Điều dưỡng (hạng III)</v>
          </cell>
          <cell r="N403" t="str">
            <v>Sơ cấp</v>
          </cell>
          <cell r="P403" t="str">
            <v>Tiếng tày</v>
          </cell>
          <cell r="Q403" t="str">
            <v>Cơ bản</v>
          </cell>
        </row>
        <row r="404">
          <cell r="B404" t="str">
            <v>BV0480</v>
          </cell>
          <cell r="C404" t="str">
            <v>Đinh Thị Huyền Trang</v>
          </cell>
          <cell r="D404" t="str">
            <v>BV0480</v>
          </cell>
          <cell r="E404" t="str">
            <v>x</v>
          </cell>
          <cell r="F404" t="str">
            <v>DSCKI</v>
          </cell>
          <cell r="G404" t="str">
            <v>TĐ007</v>
          </cell>
          <cell r="H404">
            <v>0</v>
          </cell>
          <cell r="I404">
            <v>0</v>
          </cell>
          <cell r="J404" t="str">
            <v>Dược sĩ (hạng III)</v>
          </cell>
        </row>
        <row r="405">
          <cell r="B405" t="str">
            <v>BV0466</v>
          </cell>
          <cell r="C405" t="str">
            <v>Nguyễn Thị Thùy Dương</v>
          </cell>
          <cell r="D405" t="str">
            <v>BV0466</v>
          </cell>
          <cell r="E405" t="str">
            <v>x</v>
          </cell>
          <cell r="F405" t="str">
            <v>Dược sỹ ĐH</v>
          </cell>
          <cell r="G405" t="str">
            <v>TĐ008</v>
          </cell>
          <cell r="H405">
            <v>0</v>
          </cell>
          <cell r="I405">
            <v>0</v>
          </cell>
          <cell r="J405" t="str">
            <v>Dược sĩ (hạng III)</v>
          </cell>
        </row>
        <row r="406">
          <cell r="B406" t="str">
            <v>BV0465</v>
          </cell>
          <cell r="C406" t="str">
            <v>Hứa Thị Thu Hà</v>
          </cell>
          <cell r="D406" t="str">
            <v>BV0465</v>
          </cell>
          <cell r="E406" t="str">
            <v>x</v>
          </cell>
          <cell r="F406" t="str">
            <v>Dược sỹ ĐH</v>
          </cell>
          <cell r="G406" t="str">
            <v>TĐ008</v>
          </cell>
          <cell r="H406">
            <v>0</v>
          </cell>
          <cell r="I406">
            <v>0</v>
          </cell>
          <cell r="J406" t="str">
            <v>Dược (hạng IV)</v>
          </cell>
        </row>
        <row r="407">
          <cell r="B407" t="str">
            <v>BV0460</v>
          </cell>
          <cell r="C407" t="str">
            <v>Trịnh Nguyệt Hằng</v>
          </cell>
          <cell r="D407" t="str">
            <v>BV0460</v>
          </cell>
          <cell r="E407" t="str">
            <v>x</v>
          </cell>
          <cell r="F407" t="str">
            <v>Dược sỹ ĐH</v>
          </cell>
          <cell r="G407" t="str">
            <v>TĐ008</v>
          </cell>
          <cell r="H407" t="e">
            <v>#N/A</v>
          </cell>
          <cell r="I407" t="e">
            <v>#N/A</v>
          </cell>
          <cell r="J407" t="str">
            <v>Dược sĩ (hạng III)</v>
          </cell>
        </row>
        <row r="408">
          <cell r="B408" t="str">
            <v>BV0462</v>
          </cell>
          <cell r="C408" t="str">
            <v>Linh Lan Hương</v>
          </cell>
          <cell r="D408" t="str">
            <v>BV0462</v>
          </cell>
          <cell r="E408" t="str">
            <v>x</v>
          </cell>
          <cell r="F408" t="str">
            <v>DSCKI</v>
          </cell>
          <cell r="G408" t="str">
            <v>TĐ008</v>
          </cell>
          <cell r="H408">
            <v>0</v>
          </cell>
          <cell r="I408">
            <v>0</v>
          </cell>
          <cell r="J408" t="str">
            <v>Dược sĩ (hạng III)</v>
          </cell>
          <cell r="M408" t="str">
            <v>x</v>
          </cell>
        </row>
        <row r="409">
          <cell r="B409" t="str">
            <v>BV0765</v>
          </cell>
          <cell r="C409" t="str">
            <v>Bùi Thị Sao Mi</v>
          </cell>
          <cell r="D409" t="str">
            <v>BV0765</v>
          </cell>
          <cell r="E409" t="str">
            <v>x</v>
          </cell>
          <cell r="F409" t="str">
            <v>DSCKI</v>
          </cell>
          <cell r="G409" t="str">
            <v>TĐ008</v>
          </cell>
          <cell r="H409">
            <v>0</v>
          </cell>
          <cell r="I409">
            <v>0</v>
          </cell>
          <cell r="J409" t="str">
            <v>Dược sĩ (hạng III)</v>
          </cell>
        </row>
        <row r="410">
          <cell r="B410" t="str">
            <v>BV0459</v>
          </cell>
          <cell r="C410" t="str">
            <v>Lý Thanh Tâm</v>
          </cell>
          <cell r="D410" t="str">
            <v>BV0459</v>
          </cell>
          <cell r="E410" t="str">
            <v>x</v>
          </cell>
          <cell r="F410" t="str">
            <v>DSCKI</v>
          </cell>
          <cell r="G410" t="str">
            <v>TĐ008</v>
          </cell>
          <cell r="H410">
            <v>0</v>
          </cell>
          <cell r="I410">
            <v>0</v>
          </cell>
          <cell r="J410" t="str">
            <v>Dược sĩ (hạng III)</v>
          </cell>
        </row>
        <row r="411">
          <cell r="B411" t="str">
            <v>BV0471</v>
          </cell>
          <cell r="C411" t="str">
            <v>Thạch Quỳnh Hoa</v>
          </cell>
          <cell r="D411" t="str">
            <v>BV0471</v>
          </cell>
          <cell r="E411" t="str">
            <v>x</v>
          </cell>
          <cell r="F411" t="str">
            <v>Dược sỹ CĐ</v>
          </cell>
          <cell r="G411" t="str">
            <v>TĐ009</v>
          </cell>
          <cell r="H411">
            <v>0</v>
          </cell>
          <cell r="I411">
            <v>0</v>
          </cell>
          <cell r="J411" t="str">
            <v>Dược (hạng IV)</v>
          </cell>
        </row>
        <row r="412">
          <cell r="B412" t="str">
            <v>BV0468</v>
          </cell>
          <cell r="C412" t="str">
            <v>Hà Thị Thu Hương</v>
          </cell>
          <cell r="D412" t="str">
            <v>BV0468</v>
          </cell>
          <cell r="E412" t="str">
            <v>x</v>
          </cell>
          <cell r="F412" t="str">
            <v>Dược sỹ CĐ</v>
          </cell>
          <cell r="G412" t="str">
            <v>TĐ009</v>
          </cell>
          <cell r="H412">
            <v>0</v>
          </cell>
          <cell r="I412">
            <v>0</v>
          </cell>
          <cell r="J412" t="str">
            <v>Dược (hạng IV)</v>
          </cell>
        </row>
        <row r="413">
          <cell r="B413" t="str">
            <v>BV0476</v>
          </cell>
          <cell r="C413" t="str">
            <v>Đào Thị Quang</v>
          </cell>
          <cell r="D413" t="str">
            <v>BV0476</v>
          </cell>
          <cell r="E413" t="str">
            <v>x</v>
          </cell>
          <cell r="F413" t="str">
            <v>Dược sỹ CĐ</v>
          </cell>
          <cell r="G413" t="str">
            <v>TĐ009</v>
          </cell>
          <cell r="H413">
            <v>0</v>
          </cell>
          <cell r="I413">
            <v>0</v>
          </cell>
          <cell r="J413" t="str">
            <v>Dược (hạng IV)</v>
          </cell>
        </row>
        <row r="414">
          <cell r="B414" t="str">
            <v>BV0472</v>
          </cell>
          <cell r="C414" t="str">
            <v>Lộc Thị Nga</v>
          </cell>
          <cell r="D414" t="str">
            <v>BV0472</v>
          </cell>
          <cell r="E414" t="str">
            <v>x</v>
          </cell>
          <cell r="F414" t="str">
            <v>Dược sỹ CĐ</v>
          </cell>
          <cell r="G414" t="str">
            <v>TĐ009</v>
          </cell>
          <cell r="H414">
            <v>0</v>
          </cell>
          <cell r="I414">
            <v>0</v>
          </cell>
          <cell r="J414" t="str">
            <v>Dược (hạng IV)</v>
          </cell>
        </row>
        <row r="415">
          <cell r="B415" t="str">
            <v>BV0825</v>
          </cell>
          <cell r="C415" t="str">
            <v>Chu Hoàng Dưỡng</v>
          </cell>
          <cell r="D415" t="str">
            <v>BV0825</v>
          </cell>
          <cell r="F415" t="str">
            <v>Dược sỹ TC</v>
          </cell>
          <cell r="G415" t="str">
            <v>TĐ010</v>
          </cell>
          <cell r="H415">
            <v>0</v>
          </cell>
          <cell r="I415">
            <v>0</v>
          </cell>
          <cell r="J415" t="str">
            <v>Dược (hạng IV)</v>
          </cell>
        </row>
        <row r="416">
          <cell r="B416" t="str">
            <v>BV0474</v>
          </cell>
          <cell r="C416" t="str">
            <v>Nghiêm Lan Hương</v>
          </cell>
          <cell r="D416" t="str">
            <v>BV0474</v>
          </cell>
          <cell r="E416" t="str">
            <v>x</v>
          </cell>
          <cell r="F416" t="str">
            <v>Dược sỹ TC</v>
          </cell>
          <cell r="G416" t="str">
            <v>TĐ010</v>
          </cell>
          <cell r="H416" t="str">
            <v>CĐ Y tế Lạng Sơn</v>
          </cell>
          <cell r="I416">
            <v>2009</v>
          </cell>
          <cell r="J416" t="str">
            <v>Dược (hạng IV)</v>
          </cell>
        </row>
        <row r="417">
          <cell r="B417" t="str">
            <v>BV0469</v>
          </cell>
          <cell r="C417" t="str">
            <v>Vũ Minh Phượng</v>
          </cell>
          <cell r="D417" t="str">
            <v>BV0469</v>
          </cell>
          <cell r="E417" t="str">
            <v>x</v>
          </cell>
          <cell r="F417" t="str">
            <v>Dược sỹ TC</v>
          </cell>
          <cell r="G417" t="str">
            <v>TĐ010</v>
          </cell>
          <cell r="H417">
            <v>0</v>
          </cell>
          <cell r="I417">
            <v>0</v>
          </cell>
          <cell r="J417" t="str">
            <v>Dược (hạng IV)</v>
          </cell>
        </row>
        <row r="418">
          <cell r="B418" t="str">
            <v>BV0475</v>
          </cell>
          <cell r="C418" t="str">
            <v>Lương Bích Thùy</v>
          </cell>
          <cell r="D418" t="str">
            <v>BV0475</v>
          </cell>
          <cell r="E418" t="str">
            <v>x</v>
          </cell>
          <cell r="F418" t="str">
            <v>Dược sỹ TC</v>
          </cell>
          <cell r="G418" t="str">
            <v>TĐ010</v>
          </cell>
          <cell r="H418">
            <v>0</v>
          </cell>
          <cell r="I418">
            <v>0</v>
          </cell>
          <cell r="J418" t="str">
            <v>Dược (hạng IV)</v>
          </cell>
        </row>
        <row r="419">
          <cell r="B419" t="str">
            <v>BV0479</v>
          </cell>
          <cell r="C419" t="str">
            <v>Đỗ Diệu Thúy</v>
          </cell>
          <cell r="D419" t="str">
            <v>BV0479</v>
          </cell>
          <cell r="E419" t="str">
            <v>x</v>
          </cell>
          <cell r="F419" t="str">
            <v>Dược sỹ TC</v>
          </cell>
          <cell r="G419" t="str">
            <v>TĐ010</v>
          </cell>
          <cell r="H419">
            <v>0</v>
          </cell>
          <cell r="I419">
            <v>0</v>
          </cell>
          <cell r="J419" t="str">
            <v>Dược (hạng IV)</v>
          </cell>
        </row>
        <row r="420">
          <cell r="B420" t="str">
            <v>BV0484</v>
          </cell>
          <cell r="C420" t="str">
            <v>Lâm Thị Kiểm</v>
          </cell>
          <cell r="D420" t="str">
            <v>BV0484</v>
          </cell>
          <cell r="E420" t="str">
            <v>x</v>
          </cell>
          <cell r="F420" t="str">
            <v>Bác sĩ</v>
          </cell>
          <cell r="G420" t="str">
            <v>TĐ005</v>
          </cell>
          <cell r="H420">
            <v>0</v>
          </cell>
          <cell r="I420">
            <v>0</v>
          </cell>
          <cell r="J420" t="str">
            <v>Bác sĩ (hạng III)</v>
          </cell>
          <cell r="M420" t="str">
            <v>x</v>
          </cell>
          <cell r="N420" t="str">
            <v>Sơ cấp</v>
          </cell>
          <cell r="O420" t="str">
            <v>Anh B</v>
          </cell>
          <cell r="Q420" t="str">
            <v>Tin B</v>
          </cell>
        </row>
        <row r="421">
          <cell r="B421" t="str">
            <v>BV0485</v>
          </cell>
          <cell r="C421" t="str">
            <v>Nông Thị Nòm</v>
          </cell>
          <cell r="D421" t="str">
            <v>BV0485</v>
          </cell>
          <cell r="E421" t="str">
            <v>x</v>
          </cell>
          <cell r="F421" t="str">
            <v>Bác sĩ</v>
          </cell>
          <cell r="G421" t="str">
            <v>TĐ005</v>
          </cell>
          <cell r="H421">
            <v>0</v>
          </cell>
          <cell r="I421">
            <v>0</v>
          </cell>
          <cell r="J421" t="str">
            <v>Bác sĩ (hạng III)</v>
          </cell>
          <cell r="L421" t="str">
            <v>Chuyên viên</v>
          </cell>
          <cell r="O421" t="str">
            <v>Anh B</v>
          </cell>
          <cell r="P421" t="str">
            <v>Tày</v>
          </cell>
          <cell r="Q421" t="str">
            <v>Cơ bản</v>
          </cell>
        </row>
        <row r="422">
          <cell r="B422" t="str">
            <v>BV0486</v>
          </cell>
          <cell r="C422" t="str">
            <v>Hoàng Thị Bích Liên</v>
          </cell>
          <cell r="D422" t="str">
            <v>BV0486</v>
          </cell>
          <cell r="E422" t="str">
            <v>x</v>
          </cell>
          <cell r="F422" t="str">
            <v>KTY ĐH</v>
          </cell>
          <cell r="G422" t="str">
            <v>TĐ014</v>
          </cell>
          <cell r="H422">
            <v>0</v>
          </cell>
          <cell r="I422">
            <v>0</v>
          </cell>
          <cell r="J422" t="str">
            <v>Kỹ thuật y (hạng III)</v>
          </cell>
          <cell r="N422" t="str">
            <v>Sơ cấp</v>
          </cell>
          <cell r="O422" t="str">
            <v>Anh C</v>
          </cell>
          <cell r="P422" t="str">
            <v>Tày</v>
          </cell>
          <cell r="Q422" t="str">
            <v>Tin B</v>
          </cell>
        </row>
        <row r="423">
          <cell r="B423" t="str">
            <v>BV0487</v>
          </cell>
          <cell r="C423" t="str">
            <v>Hoàng Thị Thúy</v>
          </cell>
          <cell r="D423" t="str">
            <v>BV0487</v>
          </cell>
          <cell r="E423" t="str">
            <v>x</v>
          </cell>
          <cell r="F423" t="str">
            <v>KTY ĐH</v>
          </cell>
          <cell r="G423" t="str">
            <v>TĐ014</v>
          </cell>
          <cell r="H423">
            <v>0</v>
          </cell>
          <cell r="I423">
            <v>0</v>
          </cell>
          <cell r="J423" t="str">
            <v>Kỹ thuật y (hạng IV)</v>
          </cell>
          <cell r="O423" t="str">
            <v>Anh B</v>
          </cell>
          <cell r="P423" t="str">
            <v>Tày</v>
          </cell>
          <cell r="Q423" t="str">
            <v>Cơ bản</v>
          </cell>
        </row>
        <row r="424">
          <cell r="B424" t="str">
            <v>BV0806</v>
          </cell>
          <cell r="C424" t="str">
            <v>Nông Thị Dung</v>
          </cell>
          <cell r="D424" t="str">
            <v>BV0806</v>
          </cell>
          <cell r="E424" t="str">
            <v>x</v>
          </cell>
          <cell r="F424" t="str">
            <v>KTY CĐ</v>
          </cell>
          <cell r="G424" t="str">
            <v>TĐ015</v>
          </cell>
          <cell r="H424">
            <v>0</v>
          </cell>
          <cell r="I424">
            <v>0</v>
          </cell>
          <cell r="J424" t="str">
            <v>Kỹ thuật y (hạng IV)</v>
          </cell>
          <cell r="O424" t="str">
            <v>Anh B</v>
          </cell>
          <cell r="Q424" t="str">
            <v>Tin B</v>
          </cell>
        </row>
        <row r="425">
          <cell r="B425" t="str">
            <v>BV0491</v>
          </cell>
          <cell r="C425" t="str">
            <v>Triệu Thị Đào</v>
          </cell>
          <cell r="D425" t="str">
            <v>BV0491</v>
          </cell>
          <cell r="E425" t="str">
            <v>x</v>
          </cell>
          <cell r="F425" t="str">
            <v>KTY TC</v>
          </cell>
          <cell r="G425" t="str">
            <v>TĐ016</v>
          </cell>
          <cell r="H425">
            <v>0</v>
          </cell>
          <cell r="I425">
            <v>0</v>
          </cell>
          <cell r="J425" t="str">
            <v>Kỹ thuật y (hạng IV)</v>
          </cell>
        </row>
        <row r="426">
          <cell r="B426" t="str">
            <v>BV0828</v>
          </cell>
          <cell r="C426" t="str">
            <v>Triệu Thị Lên</v>
          </cell>
          <cell r="D426" t="str">
            <v>BV0828</v>
          </cell>
          <cell r="E426" t="str">
            <v>x</v>
          </cell>
          <cell r="F426" t="str">
            <v>KTY TC</v>
          </cell>
          <cell r="G426" t="str">
            <v>TĐ016</v>
          </cell>
          <cell r="H426">
            <v>0</v>
          </cell>
          <cell r="I426">
            <v>0</v>
          </cell>
          <cell r="J426" t="str">
            <v>Kỹ thuật y (hạng IV)</v>
          </cell>
          <cell r="O426" t="str">
            <v>Tin B</v>
          </cell>
          <cell r="Q426" t="str">
            <v>Tin B</v>
          </cell>
        </row>
        <row r="427">
          <cell r="B427" t="str">
            <v>BV0488</v>
          </cell>
          <cell r="C427" t="str">
            <v>Doãn Hồng Oanh</v>
          </cell>
          <cell r="D427" t="str">
            <v>BV0488</v>
          </cell>
          <cell r="E427" t="str">
            <v>x</v>
          </cell>
          <cell r="F427" t="str">
            <v>KTY ĐH</v>
          </cell>
          <cell r="G427" t="str">
            <v>TĐ016</v>
          </cell>
          <cell r="H427">
            <v>0</v>
          </cell>
          <cell r="I427">
            <v>0</v>
          </cell>
          <cell r="J427" t="str">
            <v>Kỹ thuật y (hạng IV)</v>
          </cell>
          <cell r="O427" t="str">
            <v>Anh A2</v>
          </cell>
          <cell r="Q427" t="str">
            <v>Cơ bản</v>
          </cell>
        </row>
        <row r="428">
          <cell r="B428" t="str">
            <v>BV0493</v>
          </cell>
          <cell r="C428" t="str">
            <v>Trần Thị Thanh Tuyền</v>
          </cell>
          <cell r="D428" t="str">
            <v>BV0493</v>
          </cell>
          <cell r="E428" t="str">
            <v>x</v>
          </cell>
          <cell r="F428" t="str">
            <v>KTY ĐH</v>
          </cell>
          <cell r="G428" t="str">
            <v>TĐ016</v>
          </cell>
          <cell r="H428">
            <v>0</v>
          </cell>
          <cell r="I428">
            <v>0</v>
          </cell>
          <cell r="J428" t="str">
            <v>Kỹ thuật y (hạng IV)</v>
          </cell>
          <cell r="O428" t="str">
            <v>Anh A2</v>
          </cell>
          <cell r="P428" t="str">
            <v>Tày</v>
          </cell>
          <cell r="Q428" t="str">
            <v>Cơ bản</v>
          </cell>
        </row>
        <row r="429">
          <cell r="B429" t="str">
            <v>BV0494</v>
          </cell>
          <cell r="C429" t="str">
            <v>Hoàng Huy Thưởng</v>
          </cell>
          <cell r="D429" t="str">
            <v>BV0494</v>
          </cell>
          <cell r="F429" t="str">
            <v>KTY TC</v>
          </cell>
          <cell r="G429" t="str">
            <v>TĐ016</v>
          </cell>
          <cell r="H429">
            <v>0</v>
          </cell>
          <cell r="I429">
            <v>0</v>
          </cell>
          <cell r="J429" t="str">
            <v>Kỹ thuật y (hạng IV)</v>
          </cell>
        </row>
        <row r="430">
          <cell r="B430" t="str">
            <v>BV0492</v>
          </cell>
          <cell r="C430" t="str">
            <v>Bế Thị Thu Trang</v>
          </cell>
          <cell r="D430" t="str">
            <v>BV0492</v>
          </cell>
          <cell r="E430" t="str">
            <v>x</v>
          </cell>
          <cell r="F430" t="str">
            <v>KTY ĐH</v>
          </cell>
          <cell r="G430" t="str">
            <v>TĐ016</v>
          </cell>
          <cell r="H430">
            <v>0</v>
          </cell>
          <cell r="I430">
            <v>0</v>
          </cell>
          <cell r="J430" t="str">
            <v>Kỹ thuật y (hạng IV)</v>
          </cell>
          <cell r="O430" t="str">
            <v>Anh B</v>
          </cell>
          <cell r="P430" t="str">
            <v>Tày</v>
          </cell>
          <cell r="Q430" t="str">
            <v>Cơ bản</v>
          </cell>
        </row>
        <row r="431">
          <cell r="B431" t="str">
            <v>BV0883</v>
          </cell>
          <cell r="C431" t="str">
            <v>Hoàng Hải Yến</v>
          </cell>
          <cell r="D431" t="str">
            <v>BV0883</v>
          </cell>
          <cell r="E431" t="str">
            <v>x</v>
          </cell>
          <cell r="F431" t="str">
            <v>KTY TC</v>
          </cell>
          <cell r="G431" t="str">
            <v>TĐ016</v>
          </cell>
          <cell r="H431" t="e">
            <v>#N/A</v>
          </cell>
          <cell r="I431" t="e">
            <v>#N/A</v>
          </cell>
          <cell r="J431" t="str">
            <v>Kỹ thuật y (hạng IV)</v>
          </cell>
          <cell r="O431" t="str">
            <v>Anh B</v>
          </cell>
          <cell r="P431" t="str">
            <v>Tày</v>
          </cell>
          <cell r="Q431" t="str">
            <v>Cơ bản</v>
          </cell>
        </row>
        <row r="432">
          <cell r="B432" t="str">
            <v>BV0238</v>
          </cell>
          <cell r="C432" t="str">
            <v>Trịnh Thị Lê</v>
          </cell>
          <cell r="D432" t="str">
            <v>BV0238</v>
          </cell>
          <cell r="E432" t="str">
            <v>x</v>
          </cell>
          <cell r="F432" t="str">
            <v>Hộ lý</v>
          </cell>
          <cell r="G432" t="str">
            <v>TĐ047</v>
          </cell>
          <cell r="H432" t="e">
            <v>#N/A</v>
          </cell>
          <cell r="I432" t="e">
            <v>#N/A</v>
          </cell>
          <cell r="J432" t="str">
            <v>Hộ lý</v>
          </cell>
        </row>
        <row r="433">
          <cell r="B433" t="str">
            <v>BV0496</v>
          </cell>
          <cell r="C433" t="str">
            <v>Vũ Thị Vy</v>
          </cell>
          <cell r="D433" t="str">
            <v>BV0496</v>
          </cell>
          <cell r="E433" t="str">
            <v>x</v>
          </cell>
          <cell r="F433" t="str">
            <v>BSCKI</v>
          </cell>
          <cell r="G433" t="str">
            <v>TĐ003</v>
          </cell>
          <cell r="H433">
            <v>0</v>
          </cell>
          <cell r="I433">
            <v>0</v>
          </cell>
          <cell r="J433" t="str">
            <v>Bác sĩ chính (hạng II)</v>
          </cell>
          <cell r="K433" t="str">
            <v>Chứng chỉ ngạch BS chính</v>
          </cell>
          <cell r="L433" t="str">
            <v>Có</v>
          </cell>
          <cell r="M433" t="str">
            <v>Có</v>
          </cell>
          <cell r="N433" t="str">
            <v>TCLLCT</v>
          </cell>
          <cell r="O433" t="str">
            <v>Anh C</v>
          </cell>
          <cell r="P433" t="str">
            <v>Có</v>
          </cell>
          <cell r="Q433" t="str">
            <v>Tin học văn phòng B</v>
          </cell>
        </row>
        <row r="434">
          <cell r="B434" t="str">
            <v>BV0701</v>
          </cell>
          <cell r="C434" t="str">
            <v>Hoàng Diệu Linh</v>
          </cell>
          <cell r="D434" t="str">
            <v>BV0701</v>
          </cell>
          <cell r="E434" t="str">
            <v>x</v>
          </cell>
          <cell r="F434" t="str">
            <v>Bác sĩ</v>
          </cell>
          <cell r="G434" t="str">
            <v>TĐ005</v>
          </cell>
          <cell r="H434">
            <v>0</v>
          </cell>
          <cell r="I434">
            <v>0</v>
          </cell>
          <cell r="J434" t="str">
            <v>Bác sĩ (hạng III)</v>
          </cell>
          <cell r="M434" t="str">
            <v>Có</v>
          </cell>
          <cell r="N434" t="str">
            <v>Sơ cấp</v>
          </cell>
          <cell r="O434" t="str">
            <v>Anh B</v>
          </cell>
          <cell r="Q434" t="str">
            <v>Tin học văn phòng B</v>
          </cell>
        </row>
        <row r="435">
          <cell r="B435" t="str">
            <v>BV0500</v>
          </cell>
          <cell r="C435" t="str">
            <v>Dương Thị Thùy</v>
          </cell>
          <cell r="D435" t="str">
            <v>BV0500</v>
          </cell>
          <cell r="E435" t="str">
            <v>x</v>
          </cell>
          <cell r="F435" t="str">
            <v>KTY ĐH</v>
          </cell>
          <cell r="G435" t="str">
            <v>TĐ014</v>
          </cell>
          <cell r="H435" t="e">
            <v>#N/A</v>
          </cell>
          <cell r="I435" t="e">
            <v>#N/A</v>
          </cell>
          <cell r="J435" t="str">
            <v>Kỹ thuật y (hạng III)</v>
          </cell>
          <cell r="O435" t="str">
            <v>Anh B</v>
          </cell>
          <cell r="P435" t="str">
            <v>Có</v>
          </cell>
          <cell r="Q435" t="str">
            <v>Tin học văn phòng B</v>
          </cell>
        </row>
        <row r="436">
          <cell r="B436" t="str">
            <v>BV0503</v>
          </cell>
          <cell r="C436" t="str">
            <v>Vũ Bích Thủy</v>
          </cell>
          <cell r="D436" t="str">
            <v>BV0503</v>
          </cell>
          <cell r="E436" t="str">
            <v>x</v>
          </cell>
          <cell r="F436" t="str">
            <v>KTY ĐH</v>
          </cell>
          <cell r="G436" t="str">
            <v>TĐ014</v>
          </cell>
          <cell r="H436">
            <v>0</v>
          </cell>
          <cell r="I436">
            <v>0</v>
          </cell>
          <cell r="J436" t="str">
            <v>Kỹ thuật y (hạng III)</v>
          </cell>
          <cell r="P436" t="str">
            <v>Có</v>
          </cell>
          <cell r="Q436" t="str">
            <v>Cơ bản</v>
          </cell>
        </row>
        <row r="437">
          <cell r="B437" t="str">
            <v>BV0498</v>
          </cell>
          <cell r="C437" t="str">
            <v>Nông Thị Hằng</v>
          </cell>
          <cell r="D437" t="str">
            <v>BV0498</v>
          </cell>
          <cell r="E437" t="str">
            <v>x</v>
          </cell>
          <cell r="F437" t="str">
            <v>KTY CĐ</v>
          </cell>
          <cell r="G437" t="str">
            <v>TĐ015</v>
          </cell>
          <cell r="H437">
            <v>0</v>
          </cell>
          <cell r="I437">
            <v>0</v>
          </cell>
          <cell r="J437" t="str">
            <v>Kỹ thuật y (hạng IV)</v>
          </cell>
          <cell r="O437" t="str">
            <v>Anh B</v>
          </cell>
          <cell r="Q437" t="str">
            <v>Tin học B</v>
          </cell>
        </row>
        <row r="438">
          <cell r="B438" t="str">
            <v>BV0501</v>
          </cell>
          <cell r="C438" t="str">
            <v>Đặng Thị Thảo</v>
          </cell>
          <cell r="D438" t="str">
            <v>BV0501</v>
          </cell>
          <cell r="E438" t="str">
            <v>x</v>
          </cell>
          <cell r="F438" t="str">
            <v>KTY CĐ</v>
          </cell>
          <cell r="G438" t="str">
            <v>TĐ015</v>
          </cell>
          <cell r="H438">
            <v>0</v>
          </cell>
          <cell r="I438">
            <v>0</v>
          </cell>
          <cell r="J438" t="str">
            <v>Kỹ thuật y (hạng IV)</v>
          </cell>
          <cell r="O438" t="str">
            <v>Anh B</v>
          </cell>
          <cell r="Q438" t="str">
            <v>Tin học văn phòng B</v>
          </cell>
        </row>
        <row r="439">
          <cell r="B439" t="str">
            <v>BV0507</v>
          </cell>
          <cell r="C439" t="str">
            <v>Hoàng Thị Hường</v>
          </cell>
          <cell r="D439" t="str">
            <v>BV0507</v>
          </cell>
          <cell r="E439" t="str">
            <v>x</v>
          </cell>
          <cell r="F439" t="str">
            <v>KTY TC</v>
          </cell>
          <cell r="G439" t="str">
            <v>TĐ016</v>
          </cell>
          <cell r="H439">
            <v>0</v>
          </cell>
          <cell r="I439">
            <v>0</v>
          </cell>
          <cell r="J439" t="str">
            <v>Kỹ thuật y (hạng IV)</v>
          </cell>
          <cell r="O439" t="str">
            <v>Anh A2</v>
          </cell>
          <cell r="Q439" t="str">
            <v>Cơ bản</v>
          </cell>
        </row>
        <row r="440">
          <cell r="B440" t="str">
            <v>BV0827</v>
          </cell>
          <cell r="C440" t="str">
            <v>Hoàng Văn Lượng</v>
          </cell>
          <cell r="D440" t="str">
            <v>BV0827</v>
          </cell>
          <cell r="F440" t="str">
            <v>KTY TC</v>
          </cell>
          <cell r="G440" t="str">
            <v>TĐ016</v>
          </cell>
          <cell r="H440">
            <v>0</v>
          </cell>
          <cell r="I440">
            <v>0</v>
          </cell>
          <cell r="J440" t="str">
            <v>Kỹ thuật y (hạng IV)</v>
          </cell>
          <cell r="O440" t="str">
            <v>Anh B</v>
          </cell>
          <cell r="P440" t="str">
            <v>Có</v>
          </cell>
          <cell r="Q440" t="str">
            <v>Tin học văn phòng B</v>
          </cell>
        </row>
        <row r="441">
          <cell r="B441" t="str">
            <v>BV0508</v>
          </cell>
          <cell r="C441" t="str">
            <v>Hoàng Thị Nghĩa</v>
          </cell>
          <cell r="D441" t="str">
            <v>BV0508</v>
          </cell>
          <cell r="E441" t="str">
            <v>x</v>
          </cell>
          <cell r="F441" t="str">
            <v>KTY TC</v>
          </cell>
          <cell r="G441" t="str">
            <v>TĐ016</v>
          </cell>
          <cell r="H441" t="e">
            <v>#N/A</v>
          </cell>
          <cell r="I441" t="e">
            <v>#N/A</v>
          </cell>
          <cell r="J441" t="str">
            <v>Kỹ thuật y (hạng IV)</v>
          </cell>
          <cell r="O441" t="str">
            <v>Anh A2</v>
          </cell>
          <cell r="Q441" t="str">
            <v>Cơ bản</v>
          </cell>
        </row>
        <row r="442">
          <cell r="B442" t="str">
            <v>BV0509</v>
          </cell>
          <cell r="C442" t="str">
            <v>Hoàng Thị Mai Thành</v>
          </cell>
          <cell r="D442" t="str">
            <v>BV0509</v>
          </cell>
          <cell r="E442" t="str">
            <v>x</v>
          </cell>
          <cell r="F442" t="str">
            <v>KTY TC</v>
          </cell>
          <cell r="G442" t="str">
            <v>TĐ016</v>
          </cell>
          <cell r="H442">
            <v>0</v>
          </cell>
          <cell r="I442">
            <v>0</v>
          </cell>
          <cell r="J442" t="str">
            <v>Kỹ thuật y (hạng IV)</v>
          </cell>
          <cell r="O442" t="str">
            <v>Anh A2</v>
          </cell>
          <cell r="Q442" t="str">
            <v>Cơ bản</v>
          </cell>
        </row>
        <row r="443">
          <cell r="B443" t="str">
            <v>BV0505</v>
          </cell>
          <cell r="C443" t="str">
            <v>Thi Thị Thuận</v>
          </cell>
          <cell r="D443" t="str">
            <v>BV0505</v>
          </cell>
          <cell r="E443" t="str">
            <v>x</v>
          </cell>
          <cell r="F443" t="str">
            <v>KTY TC</v>
          </cell>
          <cell r="G443" t="str">
            <v>TĐ016</v>
          </cell>
          <cell r="H443">
            <v>0</v>
          </cell>
          <cell r="I443">
            <v>0</v>
          </cell>
          <cell r="J443" t="str">
            <v>Kỹ thuật y (hạng IV)</v>
          </cell>
          <cell r="O443" t="str">
            <v>Anh B</v>
          </cell>
          <cell r="Q443" t="str">
            <v>Tin học A</v>
          </cell>
        </row>
        <row r="444">
          <cell r="B444" t="str">
            <v>BV0502</v>
          </cell>
          <cell r="C444" t="str">
            <v>Đỗ Thanh Thủy</v>
          </cell>
          <cell r="D444" t="str">
            <v>BV0502</v>
          </cell>
          <cell r="E444" t="str">
            <v>x</v>
          </cell>
          <cell r="F444" t="str">
            <v>KTY TC</v>
          </cell>
          <cell r="G444" t="str">
            <v>TĐ016</v>
          </cell>
          <cell r="H444">
            <v>0</v>
          </cell>
          <cell r="I444">
            <v>0</v>
          </cell>
          <cell r="J444" t="str">
            <v>Kỹ thuật y (hạng IV)</v>
          </cell>
          <cell r="O444" t="str">
            <v>Anh B</v>
          </cell>
          <cell r="Q444" t="str">
            <v>Tin học văn phòng B</v>
          </cell>
        </row>
        <row r="445">
          <cell r="B445" t="str">
            <v>BV0325</v>
          </cell>
          <cell r="C445" t="str">
            <v>Đàm Thị Thoa</v>
          </cell>
          <cell r="D445" t="str">
            <v>BV0325</v>
          </cell>
          <cell r="E445" t="str">
            <v>x</v>
          </cell>
          <cell r="F445" t="str">
            <v>Hộ lý</v>
          </cell>
          <cell r="G445" t="str">
            <v>TĐ047</v>
          </cell>
          <cell r="H445" t="e">
            <v>#N/A</v>
          </cell>
          <cell r="I445" t="e">
            <v>#N/A</v>
          </cell>
          <cell r="J445" t="str">
            <v>Hộ lý</v>
          </cell>
        </row>
        <row r="446">
          <cell r="B446" t="str">
            <v>BV0538</v>
          </cell>
          <cell r="C446" t="str">
            <v>Nguyễn Thu Trang</v>
          </cell>
          <cell r="D446" t="str">
            <v>BV0538</v>
          </cell>
          <cell r="E446" t="str">
            <v>x</v>
          </cell>
          <cell r="F446" t="str">
            <v>BSCKI</v>
          </cell>
          <cell r="G446" t="str">
            <v>TĐ003</v>
          </cell>
          <cell r="H446">
            <v>0</v>
          </cell>
          <cell r="I446">
            <v>0</v>
          </cell>
          <cell r="J446" t="str">
            <v>Bác sĩ (hạng III)</v>
          </cell>
          <cell r="M446" t="str">
            <v>x</v>
          </cell>
          <cell r="O446" t="str">
            <v>Anh B</v>
          </cell>
          <cell r="Q446" t="str">
            <v>CC sau ĐH</v>
          </cell>
        </row>
        <row r="447">
          <cell r="B447" t="str">
            <v>BV0537</v>
          </cell>
          <cell r="C447" t="str">
            <v>Đoàn Văn Sang</v>
          </cell>
          <cell r="D447" t="str">
            <v>BV0537</v>
          </cell>
          <cell r="F447" t="str">
            <v>Thạc sỹ</v>
          </cell>
          <cell r="G447" t="str">
            <v>TĐ004</v>
          </cell>
          <cell r="H447">
            <v>0</v>
          </cell>
          <cell r="I447">
            <v>0</v>
          </cell>
          <cell r="J447" t="str">
            <v>Bác sĩ (hạng III)</v>
          </cell>
          <cell r="M447" t="str">
            <v>x</v>
          </cell>
          <cell r="O447" t="str">
            <v>Anh B1</v>
          </cell>
          <cell r="Q447" t="str">
            <v>B</v>
          </cell>
        </row>
        <row r="448">
          <cell r="B448" t="str">
            <v>BV0836</v>
          </cell>
          <cell r="C448" t="str">
            <v>Nguyễn Ngọc Linh</v>
          </cell>
          <cell r="D448" t="str">
            <v>BV0836</v>
          </cell>
          <cell r="F448" t="str">
            <v>Bác sĩ</v>
          </cell>
          <cell r="G448" t="str">
            <v>TĐ005</v>
          </cell>
          <cell r="H448" t="str">
            <v>Đại học Y Dược Thái Nguyên</v>
          </cell>
          <cell r="I448">
            <v>2015</v>
          </cell>
          <cell r="J448" t="str">
            <v>Bác sĩ (hạng III)</v>
          </cell>
          <cell r="O448" t="str">
            <v>Anh B</v>
          </cell>
          <cell r="Q448" t="str">
            <v>B</v>
          </cell>
        </row>
        <row r="449">
          <cell r="B449" t="str">
            <v>BV0024</v>
          </cell>
          <cell r="C449" t="str">
            <v>Mã Thị Thủy</v>
          </cell>
          <cell r="D449" t="str">
            <v>BV0024</v>
          </cell>
          <cell r="E449" t="str">
            <v>x</v>
          </cell>
          <cell r="F449" t="str">
            <v>Điều dưỡng ĐH</v>
          </cell>
          <cell r="G449" t="str">
            <v>TĐ011</v>
          </cell>
          <cell r="H449">
            <v>0</v>
          </cell>
          <cell r="I449">
            <v>0</v>
          </cell>
          <cell r="J449" t="str">
            <v>Điều dưỡng (hạng III)</v>
          </cell>
          <cell r="O449" t="str">
            <v>x</v>
          </cell>
          <cell r="P449" t="str">
            <v>Tày</v>
          </cell>
          <cell r="Q449" t="str">
            <v>B</v>
          </cell>
        </row>
        <row r="450">
          <cell r="B450" t="str">
            <v>BV0540</v>
          </cell>
          <cell r="C450" t="str">
            <v>Hoàng Thị Hiển</v>
          </cell>
          <cell r="D450" t="str">
            <v>BV0540</v>
          </cell>
          <cell r="E450" t="str">
            <v>x</v>
          </cell>
          <cell r="F450" t="str">
            <v>Điều dưỡng ĐH</v>
          </cell>
          <cell r="G450" t="str">
            <v>TĐ011</v>
          </cell>
          <cell r="H450">
            <v>0</v>
          </cell>
          <cell r="I450">
            <v>0</v>
          </cell>
          <cell r="J450" t="str">
            <v>Điều dưỡng (hạng III)</v>
          </cell>
          <cell r="O450" t="str">
            <v>Anh B</v>
          </cell>
          <cell r="Q450" t="str">
            <v>B</v>
          </cell>
        </row>
        <row r="451">
          <cell r="B451" t="str">
            <v>BV0541</v>
          </cell>
          <cell r="C451" t="str">
            <v>Nông Thị Kim Hoa</v>
          </cell>
          <cell r="D451" t="str">
            <v>BV0541</v>
          </cell>
          <cell r="E451" t="str">
            <v>x</v>
          </cell>
          <cell r="F451" t="str">
            <v>Điều dưỡng CĐ</v>
          </cell>
          <cell r="G451" t="str">
            <v>TĐ012</v>
          </cell>
          <cell r="H451">
            <v>0</v>
          </cell>
          <cell r="I451">
            <v>0</v>
          </cell>
          <cell r="J451" t="str">
            <v>Điều dưỡng (hạng IV)</v>
          </cell>
          <cell r="O451" t="str">
            <v>Anh B</v>
          </cell>
          <cell r="Q451" t="str">
            <v>B</v>
          </cell>
        </row>
        <row r="452">
          <cell r="B452" t="str">
            <v>BV0545</v>
          </cell>
          <cell r="C452" t="str">
            <v>Lã Bích Hiệp</v>
          </cell>
          <cell r="D452" t="str">
            <v>BV0545</v>
          </cell>
          <cell r="E452" t="str">
            <v>x</v>
          </cell>
          <cell r="F452" t="str">
            <v>Điều dưỡng CĐ</v>
          </cell>
          <cell r="G452" t="str">
            <v>TĐ012</v>
          </cell>
          <cell r="H452">
            <v>0</v>
          </cell>
          <cell r="I452">
            <v>0</v>
          </cell>
          <cell r="J452" t="str">
            <v>Điều dưỡng (hạng IV)</v>
          </cell>
          <cell r="P452" t="str">
            <v>x</v>
          </cell>
          <cell r="Q452" t="str">
            <v>B</v>
          </cell>
        </row>
        <row r="453">
          <cell r="B453" t="str">
            <v>BV0542</v>
          </cell>
          <cell r="C453" t="str">
            <v>Hoàng Thanh Hương</v>
          </cell>
          <cell r="D453" t="str">
            <v>BV0542</v>
          </cell>
          <cell r="E453" t="str">
            <v>x</v>
          </cell>
          <cell r="F453" t="str">
            <v>Điều dưỡng CĐ</v>
          </cell>
          <cell r="G453" t="str">
            <v>TĐ012</v>
          </cell>
          <cell r="H453">
            <v>0</v>
          </cell>
          <cell r="I453">
            <v>0</v>
          </cell>
          <cell r="J453" t="str">
            <v>Điều dưỡng (hạng IV)</v>
          </cell>
          <cell r="Q453" t="str">
            <v>x</v>
          </cell>
        </row>
        <row r="454">
          <cell r="B454" t="str">
            <v>BV0543</v>
          </cell>
          <cell r="C454" t="str">
            <v>Lăng Kim Liên</v>
          </cell>
          <cell r="D454" t="str">
            <v>BV0543</v>
          </cell>
          <cell r="E454" t="str">
            <v>x</v>
          </cell>
          <cell r="F454" t="str">
            <v>Điều dưỡng CĐ</v>
          </cell>
          <cell r="G454" t="str">
            <v>TĐ012</v>
          </cell>
          <cell r="H454">
            <v>0</v>
          </cell>
          <cell r="I454">
            <v>0</v>
          </cell>
          <cell r="J454" t="str">
            <v>Điều dưỡng (hạng IV)</v>
          </cell>
          <cell r="Q454" t="str">
            <v>A</v>
          </cell>
        </row>
        <row r="455">
          <cell r="B455" t="str">
            <v>BV0547</v>
          </cell>
          <cell r="C455" t="str">
            <v>Trịnh Thị Hồng Nhung</v>
          </cell>
          <cell r="D455" t="str">
            <v>BV0547</v>
          </cell>
          <cell r="E455" t="str">
            <v>x</v>
          </cell>
          <cell r="F455" t="str">
            <v>Điều dưỡng CĐ</v>
          </cell>
          <cell r="G455" t="str">
            <v>TĐ012</v>
          </cell>
          <cell r="H455" t="e">
            <v>#N/A</v>
          </cell>
          <cell r="I455" t="e">
            <v>#N/A</v>
          </cell>
          <cell r="J455" t="str">
            <v>Điều dưỡng (hạng IV)</v>
          </cell>
          <cell r="P455" t="str">
            <v>x</v>
          </cell>
          <cell r="Q455">
            <v>1</v>
          </cell>
        </row>
        <row r="456">
          <cell r="B456" t="str">
            <v>BV0548</v>
          </cell>
          <cell r="C456" t="str">
            <v>Triệu Văn Tuân</v>
          </cell>
          <cell r="D456" t="str">
            <v>BV0548</v>
          </cell>
          <cell r="F456" t="str">
            <v>Điều dưỡng CĐ</v>
          </cell>
          <cell r="G456" t="str">
            <v>TĐ012</v>
          </cell>
          <cell r="H456" t="str">
            <v>CĐ Y Lạng Sơn</v>
          </cell>
          <cell r="I456">
            <v>2018</v>
          </cell>
          <cell r="J456" t="str">
            <v>Điều dưỡng (hạng IV)</v>
          </cell>
          <cell r="P456" t="str">
            <v>x</v>
          </cell>
          <cell r="Q456" t="str">
            <v>A</v>
          </cell>
        </row>
        <row r="457">
          <cell r="B457" t="str">
            <v>BV0011</v>
          </cell>
          <cell r="C457" t="str">
            <v>Vi Văn Hải</v>
          </cell>
          <cell r="D457" t="str">
            <v>BV0011</v>
          </cell>
          <cell r="F457" t="str">
            <v>Điều dưỡng CĐ</v>
          </cell>
          <cell r="G457" t="str">
            <v>TĐ013</v>
          </cell>
          <cell r="H457" t="str">
            <v>Trung học Y tế Lạng Sơn</v>
          </cell>
          <cell r="I457">
            <v>2002</v>
          </cell>
          <cell r="J457" t="str">
            <v>Điều dưỡng (hạng IV)</v>
          </cell>
          <cell r="P457" t="str">
            <v>x</v>
          </cell>
          <cell r="Q457" t="str">
            <v>B</v>
          </cell>
        </row>
        <row r="458">
          <cell r="B458" t="str">
            <v>BV0514</v>
          </cell>
          <cell r="C458" t="str">
            <v>Lý Kiên Trung</v>
          </cell>
          <cell r="D458" t="str">
            <v>BV0514</v>
          </cell>
          <cell r="F458" t="str">
            <v>BSCKI</v>
          </cell>
          <cell r="G458" t="str">
            <v>TĐ003</v>
          </cell>
          <cell r="H458" t="str">
            <v>ĐH Y hà Nội</v>
          </cell>
          <cell r="I458">
            <v>2017</v>
          </cell>
          <cell r="J458" t="str">
            <v>Bác sĩ (hạng III)</v>
          </cell>
          <cell r="L458" t="str">
            <v>X</v>
          </cell>
          <cell r="N458" t="str">
            <v>TC</v>
          </cell>
          <cell r="O458" t="str">
            <v>Anh C</v>
          </cell>
          <cell r="P458" t="str">
            <v>X</v>
          </cell>
          <cell r="Q458" t="str">
            <v>B</v>
          </cell>
        </row>
        <row r="459">
          <cell r="B459" t="str">
            <v>BV0497</v>
          </cell>
          <cell r="C459" t="str">
            <v>Hoàng Thế Xuân</v>
          </cell>
          <cell r="D459" t="str">
            <v>BV0497</v>
          </cell>
          <cell r="F459" t="str">
            <v>BSCKI</v>
          </cell>
          <cell r="G459" t="str">
            <v>TĐ003</v>
          </cell>
          <cell r="H459" t="str">
            <v>ĐH Y dược Thái Nguyên</v>
          </cell>
          <cell r="I459">
            <v>2013</v>
          </cell>
          <cell r="J459" t="str">
            <v>Bác sĩ (hạng III)</v>
          </cell>
          <cell r="K459" t="str">
            <v>Sư phạm Y học</v>
          </cell>
          <cell r="M459" t="str">
            <v>X</v>
          </cell>
          <cell r="N459" t="str">
            <v>Sơ cấp</v>
          </cell>
          <cell r="O459" t="str">
            <v>Anh B</v>
          </cell>
          <cell r="Q459" t="str">
            <v>B</v>
          </cell>
        </row>
        <row r="460">
          <cell r="B460" t="str">
            <v>BV0826</v>
          </cell>
          <cell r="C460" t="str">
            <v>Triệu Văn Tú</v>
          </cell>
          <cell r="D460" t="str">
            <v>BV0826</v>
          </cell>
          <cell r="F460" t="str">
            <v>Bác sĩ</v>
          </cell>
          <cell r="G460" t="str">
            <v>TĐ005</v>
          </cell>
          <cell r="H460" t="str">
            <v>ĐH Y Dược Thái Nguyên</v>
          </cell>
          <cell r="I460">
            <v>2013</v>
          </cell>
          <cell r="J460" t="str">
            <v>Bác sĩ (hạng III)</v>
          </cell>
          <cell r="M460" t="str">
            <v>X</v>
          </cell>
          <cell r="N460" t="str">
            <v>Sơ cấp</v>
          </cell>
          <cell r="P460" t="str">
            <v>X</v>
          </cell>
          <cell r="Q460" t="str">
            <v>Cơ bản</v>
          </cell>
        </row>
        <row r="461">
          <cell r="B461" t="str">
            <v>BV0755</v>
          </cell>
          <cell r="C461" t="str">
            <v>Lương Khánh Tú</v>
          </cell>
          <cell r="D461" t="str">
            <v>BV0755</v>
          </cell>
          <cell r="E461" t="str">
            <v>x</v>
          </cell>
          <cell r="F461" t="str">
            <v>Bác sĩ</v>
          </cell>
          <cell r="G461" t="str">
            <v>TĐ005</v>
          </cell>
          <cell r="H461" t="str">
            <v>Đại học Y Dược  - ĐH Thái Nguyên</v>
          </cell>
          <cell r="I461">
            <v>2016</v>
          </cell>
          <cell r="J461" t="str">
            <v>Bác sĩ (hạng III)</v>
          </cell>
          <cell r="N461" t="str">
            <v>Sơ cấp</v>
          </cell>
          <cell r="O461" t="str">
            <v>Anh A2</v>
          </cell>
          <cell r="Q461" t="str">
            <v>B</v>
          </cell>
        </row>
        <row r="462">
          <cell r="B462" t="str">
            <v>BV0517</v>
          </cell>
          <cell r="C462" t="str">
            <v>Nguyễn Thị Bách</v>
          </cell>
          <cell r="D462" t="str">
            <v>BV0517</v>
          </cell>
          <cell r="E462" t="str">
            <v>x</v>
          </cell>
          <cell r="F462" t="str">
            <v>Bác sĩ</v>
          </cell>
          <cell r="G462" t="str">
            <v>TĐ005</v>
          </cell>
          <cell r="H462" t="str">
            <v>ĐH Y dược Thái Nguyên</v>
          </cell>
          <cell r="I462">
            <v>2014</v>
          </cell>
          <cell r="J462" t="str">
            <v>Bác sĩ (hạng III)</v>
          </cell>
          <cell r="N462" t="str">
            <v>Sơ cấp</v>
          </cell>
          <cell r="O462" t="str">
            <v>Anh A2</v>
          </cell>
          <cell r="Q462" t="str">
            <v>Cơ bản</v>
          </cell>
        </row>
        <row r="463">
          <cell r="B463" t="str">
            <v>BV0680</v>
          </cell>
          <cell r="C463" t="str">
            <v>Bế Thị Thu Giang</v>
          </cell>
          <cell r="D463" t="str">
            <v>BV0680</v>
          </cell>
          <cell r="E463" t="str">
            <v>x</v>
          </cell>
          <cell r="F463" t="str">
            <v>Bác sĩ</v>
          </cell>
          <cell r="G463" t="str">
            <v>TĐ005</v>
          </cell>
          <cell r="H463" t="e">
            <v>#N/A</v>
          </cell>
          <cell r="I463" t="e">
            <v>#N/A</v>
          </cell>
          <cell r="J463" t="str">
            <v>Bác sĩ (hạng III)</v>
          </cell>
          <cell r="O463" t="str">
            <v>Anh A2</v>
          </cell>
          <cell r="Q463" t="str">
            <v>B</v>
          </cell>
        </row>
        <row r="464">
          <cell r="B464" t="str">
            <v>BV0678</v>
          </cell>
          <cell r="C464" t="str">
            <v>Hoàng Trọng Hiếu</v>
          </cell>
          <cell r="D464" t="str">
            <v>BV0678</v>
          </cell>
          <cell r="F464" t="str">
            <v>Bác sĩ</v>
          </cell>
          <cell r="G464" t="str">
            <v>TĐ005</v>
          </cell>
          <cell r="H464" t="str">
            <v>ĐH Y Hà Nội</v>
          </cell>
          <cell r="I464">
            <v>2015</v>
          </cell>
          <cell r="J464" t="str">
            <v>Bác sĩ (hạng III)</v>
          </cell>
          <cell r="N464" t="str">
            <v>Sơ cấp</v>
          </cell>
          <cell r="O464" t="str">
            <v>Anh B2</v>
          </cell>
          <cell r="Q464" t="str">
            <v>B</v>
          </cell>
        </row>
        <row r="465">
          <cell r="B465" t="str">
            <v>BV0449</v>
          </cell>
          <cell r="C465" t="str">
            <v>Nguyễn Văn Quỳnh</v>
          </cell>
          <cell r="D465" t="str">
            <v>BV0449</v>
          </cell>
          <cell r="F465" t="str">
            <v>Điều dưỡng ĐH</v>
          </cell>
          <cell r="G465" t="str">
            <v>TĐ011</v>
          </cell>
          <cell r="H465" t="str">
            <v>ĐH Y dược Thái Nguyên</v>
          </cell>
          <cell r="I465">
            <v>2010</v>
          </cell>
          <cell r="J465" t="str">
            <v>Điều dưỡng (hạng III)</v>
          </cell>
          <cell r="K465" t="str">
            <v>Quản lý Điều dưỡng</v>
          </cell>
          <cell r="M465" t="str">
            <v>X</v>
          </cell>
          <cell r="N465" t="str">
            <v>Sơ cấp</v>
          </cell>
          <cell r="O465" t="str">
            <v>Anh B</v>
          </cell>
          <cell r="Q465" t="str">
            <v>B</v>
          </cell>
        </row>
        <row r="466">
          <cell r="B466" t="str">
            <v>BV0530</v>
          </cell>
          <cell r="C466" t="str">
            <v>Hoàng Trung Diện</v>
          </cell>
          <cell r="D466" t="str">
            <v>BV0530</v>
          </cell>
          <cell r="F466" t="str">
            <v>Điều dưỡng CĐ</v>
          </cell>
          <cell r="G466" t="str">
            <v>TĐ012</v>
          </cell>
          <cell r="H466" t="str">
            <v>CĐ Y tế Lạng sơn</v>
          </cell>
          <cell r="I466">
            <v>2008</v>
          </cell>
          <cell r="J466" t="str">
            <v>Điều dưỡng (hạng IV)</v>
          </cell>
          <cell r="O466" t="str">
            <v>Anh A2</v>
          </cell>
          <cell r="P466" t="str">
            <v>Tày</v>
          </cell>
          <cell r="Q466" t="str">
            <v>Cơ bản</v>
          </cell>
        </row>
        <row r="467">
          <cell r="B467" t="str">
            <v>BV0527</v>
          </cell>
          <cell r="C467" t="str">
            <v>Ngô Thị Thúy</v>
          </cell>
          <cell r="D467" t="str">
            <v>BV0527</v>
          </cell>
          <cell r="E467" t="str">
            <v>x</v>
          </cell>
          <cell r="F467" t="str">
            <v>Điều dưỡng CĐ</v>
          </cell>
          <cell r="G467" t="str">
            <v>TĐ012</v>
          </cell>
          <cell r="H467">
            <v>0</v>
          </cell>
          <cell r="I467">
            <v>0</v>
          </cell>
          <cell r="J467" t="str">
            <v>Điều dưỡng (hạng IV)</v>
          </cell>
          <cell r="P467" t="str">
            <v>Tày</v>
          </cell>
          <cell r="Q467" t="str">
            <v>Cơ bản</v>
          </cell>
        </row>
        <row r="468">
          <cell r="B468" t="str">
            <v>BV0824</v>
          </cell>
          <cell r="C468" t="str">
            <v>Lô Hoàng Cương</v>
          </cell>
          <cell r="D468" t="str">
            <v>BV0824</v>
          </cell>
          <cell r="F468" t="str">
            <v>Điều dưỡng TC</v>
          </cell>
          <cell r="G468" t="str">
            <v>TĐ013</v>
          </cell>
          <cell r="H468" t="str">
            <v>Cao đẳng Y tế Lạng Sơn</v>
          </cell>
          <cell r="I468">
            <v>2007</v>
          </cell>
          <cell r="J468" t="str">
            <v>Điều dưỡng (hạng IV)</v>
          </cell>
          <cell r="Q468" t="str">
            <v>A</v>
          </cell>
        </row>
        <row r="469">
          <cell r="B469" t="str">
            <v>BV0528</v>
          </cell>
          <cell r="C469" t="str">
            <v>Lưu Viết Hoàn</v>
          </cell>
          <cell r="D469" t="str">
            <v>BV0528</v>
          </cell>
          <cell r="F469" t="str">
            <v>Điều dưỡng TC</v>
          </cell>
          <cell r="G469" t="str">
            <v>TĐ013</v>
          </cell>
          <cell r="H469" t="str">
            <v>CĐ Y tế Lạng sơn</v>
          </cell>
          <cell r="I469">
            <v>2007</v>
          </cell>
          <cell r="J469" t="str">
            <v>Kỹ thuật y (hạng IV)</v>
          </cell>
          <cell r="O469" t="str">
            <v>Anh A2</v>
          </cell>
          <cell r="Q469" t="str">
            <v>Cơ bản</v>
          </cell>
        </row>
        <row r="470">
          <cell r="B470" t="str">
            <v>BV0532</v>
          </cell>
          <cell r="C470" t="str">
            <v>Nguyễn Xuân Mai</v>
          </cell>
          <cell r="D470" t="str">
            <v>BV0532</v>
          </cell>
          <cell r="F470" t="str">
            <v>Điều dưỡng TC</v>
          </cell>
          <cell r="G470" t="str">
            <v>TĐ013</v>
          </cell>
          <cell r="H470" t="str">
            <v>TH Y tế Lạng Sơn</v>
          </cell>
          <cell r="I470">
            <v>2005</v>
          </cell>
          <cell r="J470" t="str">
            <v>Điều dưỡng (hạng IV)</v>
          </cell>
          <cell r="O470" t="str">
            <v>Anh B</v>
          </cell>
          <cell r="Q470" t="str">
            <v>A</v>
          </cell>
        </row>
        <row r="471">
          <cell r="B471" t="str">
            <v>BV0531</v>
          </cell>
          <cell r="C471" t="str">
            <v>Lâm Minh Mạnh</v>
          </cell>
          <cell r="D471" t="str">
            <v>BV0531</v>
          </cell>
          <cell r="F471" t="str">
            <v>Điều dưỡng ĐH</v>
          </cell>
          <cell r="G471" t="str">
            <v>TĐ013</v>
          </cell>
          <cell r="H471" t="str">
            <v>CĐ Y tế Lạng sơn</v>
          </cell>
          <cell r="I471">
            <v>2008</v>
          </cell>
          <cell r="J471" t="str">
            <v>Điều dưỡng (hạng IV)</v>
          </cell>
          <cell r="O471" t="str">
            <v>Anh A2</v>
          </cell>
          <cell r="Q471" t="str">
            <v>Cơ bản</v>
          </cell>
        </row>
        <row r="472">
          <cell r="B472" t="str">
            <v>BV0529</v>
          </cell>
          <cell r="C472" t="str">
            <v>Hoàng Ngọc Quảng</v>
          </cell>
          <cell r="D472" t="str">
            <v>BV0529</v>
          </cell>
          <cell r="F472" t="str">
            <v>Điều dưỡng TC</v>
          </cell>
          <cell r="G472" t="str">
            <v>TĐ013</v>
          </cell>
          <cell r="H472" t="str">
            <v>CĐ Y tế Lạng sơn</v>
          </cell>
          <cell r="I472">
            <v>2008</v>
          </cell>
          <cell r="J472" t="str">
            <v>Điều dưỡng (hạng IV)</v>
          </cell>
          <cell r="O472" t="str">
            <v>Anh A2</v>
          </cell>
          <cell r="Q472" t="str">
            <v>Cơ bản</v>
          </cell>
        </row>
        <row r="473">
          <cell r="B473" t="str">
            <v>BV0520</v>
          </cell>
          <cell r="C473" t="str">
            <v>Nguyễn Trung Hiếu</v>
          </cell>
          <cell r="D473" t="str">
            <v>BV0520</v>
          </cell>
          <cell r="F473" t="str">
            <v>KTY ĐH</v>
          </cell>
          <cell r="G473" t="str">
            <v>TĐ014</v>
          </cell>
          <cell r="H473" t="str">
            <v>DĐH Y tế Hải Dương</v>
          </cell>
          <cell r="I473">
            <v>2009</v>
          </cell>
          <cell r="J473" t="str">
            <v>Kỹ thuật y (hạng III)</v>
          </cell>
          <cell r="P473" t="str">
            <v>X</v>
          </cell>
          <cell r="Q473" t="str">
            <v>B</v>
          </cell>
        </row>
        <row r="474">
          <cell r="B474" t="str">
            <v>BV0519</v>
          </cell>
          <cell r="C474" t="str">
            <v>Trương Hùng Khoan</v>
          </cell>
          <cell r="D474" t="str">
            <v>BV0519</v>
          </cell>
          <cell r="F474" t="str">
            <v>KTY ĐH</v>
          </cell>
          <cell r="G474" t="str">
            <v>TĐ014</v>
          </cell>
          <cell r="H474" t="str">
            <v>ĐH Kỹ thuật Y tế Hải Dương</v>
          </cell>
          <cell r="I474">
            <v>2009</v>
          </cell>
          <cell r="J474" t="str">
            <v>Kỹ thuật y (hạng III)</v>
          </cell>
          <cell r="P474" t="str">
            <v>X</v>
          </cell>
          <cell r="Q474" t="str">
            <v>A</v>
          </cell>
        </row>
        <row r="475">
          <cell r="B475" t="str">
            <v>BV0518</v>
          </cell>
          <cell r="C475" t="str">
            <v>Nguyễn Anh Tuấn</v>
          </cell>
          <cell r="D475" t="str">
            <v>BV0518</v>
          </cell>
          <cell r="F475" t="str">
            <v>KTY ĐH</v>
          </cell>
          <cell r="G475" t="str">
            <v>TĐ014</v>
          </cell>
          <cell r="H475" t="str">
            <v>DH Kỹ thuật Hải Dương</v>
          </cell>
          <cell r="I475">
            <v>2011</v>
          </cell>
          <cell r="J475" t="str">
            <v>Kỹ thuật y (hạng III)</v>
          </cell>
          <cell r="L475" t="str">
            <v>Chuyên viên</v>
          </cell>
          <cell r="N475" t="str">
            <v>Sơ cấp</v>
          </cell>
          <cell r="O475" t="str">
            <v>Anh B</v>
          </cell>
          <cell r="Q475" t="str">
            <v>B</v>
          </cell>
        </row>
        <row r="476">
          <cell r="B476" t="str">
            <v>BV0997</v>
          </cell>
          <cell r="C476" t="str">
            <v>Bạch Tiến Cường</v>
          </cell>
          <cell r="D476" t="str">
            <v>BV0997</v>
          </cell>
          <cell r="F476" t="str">
            <v>KTY ĐH</v>
          </cell>
          <cell r="G476" t="str">
            <v>TĐ014</v>
          </cell>
          <cell r="H476" t="str">
            <v>ĐH Kỹ thuật y tế Hải Dương</v>
          </cell>
          <cell r="I476">
            <v>2014</v>
          </cell>
          <cell r="J476" t="str">
            <v>Kỹ thuật y (hạng III)</v>
          </cell>
          <cell r="O476" t="str">
            <v>Anh B</v>
          </cell>
          <cell r="Q476" t="str">
            <v>B</v>
          </cell>
        </row>
        <row r="477">
          <cell r="B477" t="str">
            <v>BV0521</v>
          </cell>
          <cell r="C477" t="str">
            <v>Hoàng Văn Bé</v>
          </cell>
          <cell r="D477" t="str">
            <v>BV0521</v>
          </cell>
          <cell r="F477" t="str">
            <v>KTY CĐ</v>
          </cell>
          <cell r="G477" t="str">
            <v>TĐ015</v>
          </cell>
          <cell r="H477" t="str">
            <v>CĐ kỹ thuật y tế Hải Dương</v>
          </cell>
          <cell r="I477">
            <v>2007</v>
          </cell>
          <cell r="J477" t="str">
            <v>Kỹ thuật y (hạng IV)</v>
          </cell>
          <cell r="O477" t="str">
            <v>Anh B</v>
          </cell>
          <cell r="Q477" t="str">
            <v>B</v>
          </cell>
        </row>
        <row r="478">
          <cell r="B478" t="str">
            <v>BV0524</v>
          </cell>
          <cell r="C478" t="str">
            <v>Trần Trung Dũng</v>
          </cell>
          <cell r="D478" t="str">
            <v>BV0524</v>
          </cell>
          <cell r="F478" t="str">
            <v>KTY CĐ</v>
          </cell>
          <cell r="G478" t="str">
            <v>TĐ016</v>
          </cell>
          <cell r="H478" t="str">
            <v>CĐ Kỹ thuật Y tế I- Bộ Y tế</v>
          </cell>
          <cell r="I478">
            <v>2004</v>
          </cell>
          <cell r="J478" t="str">
            <v>Kỹ thuật y (hạng IV)</v>
          </cell>
          <cell r="Q478" t="str">
            <v>A</v>
          </cell>
        </row>
        <row r="479">
          <cell r="B479" t="str">
            <v>BV0523</v>
          </cell>
          <cell r="C479" t="str">
            <v>Hoàng Văn Hòa</v>
          </cell>
          <cell r="D479" t="str">
            <v>BV0523</v>
          </cell>
          <cell r="F479" t="str">
            <v>KTY TC</v>
          </cell>
          <cell r="G479" t="str">
            <v>TĐ016</v>
          </cell>
          <cell r="H479" t="str">
            <v>TH Kỹ thuật Y tế I-Bộ Y tế</v>
          </cell>
          <cell r="I479">
            <v>1998</v>
          </cell>
          <cell r="J479" t="str">
            <v>Kỹ thuật y (hạng IV)</v>
          </cell>
          <cell r="Q479" t="str">
            <v>A</v>
          </cell>
        </row>
        <row r="480">
          <cell r="B480" t="str">
            <v>BV0526</v>
          </cell>
          <cell r="C480" t="str">
            <v>Hoàng Văn Sỹ</v>
          </cell>
          <cell r="D480" t="str">
            <v>BV0526</v>
          </cell>
          <cell r="F480" t="str">
            <v>KTY CĐ</v>
          </cell>
          <cell r="G480" t="str">
            <v>TĐ015</v>
          </cell>
          <cell r="H480" t="str">
            <v>ĐH Kỹ thuật Y tế Hải Dương</v>
          </cell>
          <cell r="I480">
            <v>2007</v>
          </cell>
          <cell r="J480" t="str">
            <v>Kỹ thuật y (hạng IV)</v>
          </cell>
          <cell r="Q480" t="str">
            <v>B</v>
          </cell>
        </row>
        <row r="481">
          <cell r="B481" t="str">
            <v>BV0525</v>
          </cell>
          <cell r="C481" t="str">
            <v>Hoàng Tư Vấn</v>
          </cell>
          <cell r="D481" t="str">
            <v>BV0525</v>
          </cell>
          <cell r="F481" t="str">
            <v>KTY TC</v>
          </cell>
          <cell r="G481" t="str">
            <v>TĐ016</v>
          </cell>
          <cell r="H481" t="str">
            <v>CĐ Kỹ thuật Y tế I- Bộ Y tế</v>
          </cell>
          <cell r="I481">
            <v>2005</v>
          </cell>
          <cell r="J481" t="str">
            <v>Kỹ thuật y (hạng IV)</v>
          </cell>
        </row>
        <row r="482">
          <cell r="B482" t="str">
            <v>BV0422</v>
          </cell>
          <cell r="C482" t="str">
            <v>Vũ Thủy Tiên</v>
          </cell>
          <cell r="D482" t="str">
            <v>BV0422</v>
          </cell>
          <cell r="E482" t="str">
            <v>x</v>
          </cell>
          <cell r="F482" t="str">
            <v>Hộ sinh TC</v>
          </cell>
          <cell r="G482" t="str">
            <v>TĐ019</v>
          </cell>
          <cell r="H482">
            <v>0</v>
          </cell>
          <cell r="I482">
            <v>0</v>
          </cell>
          <cell r="J482" t="str">
            <v>Hộ sinh (hạng IV)</v>
          </cell>
          <cell r="O482" t="str">
            <v>Anh B</v>
          </cell>
          <cell r="Q482" t="str">
            <v>A</v>
          </cell>
        </row>
        <row r="483">
          <cell r="B483" t="str">
            <v>BV0522</v>
          </cell>
          <cell r="C483" t="str">
            <v>Phạm Tiến Sỹ</v>
          </cell>
          <cell r="D483" t="str">
            <v>BV0522</v>
          </cell>
          <cell r="F483" t="str">
            <v>Y sỹ</v>
          </cell>
          <cell r="G483" t="str">
            <v>TĐ020</v>
          </cell>
          <cell r="H483" t="e">
            <v>#N/A</v>
          </cell>
          <cell r="I483" t="e">
            <v>#N/A</v>
          </cell>
          <cell r="J483" t="str">
            <v>Y sĩ (hạng IV)</v>
          </cell>
        </row>
        <row r="484">
          <cell r="B484" t="str">
            <v>BV0550</v>
          </cell>
          <cell r="C484" t="str">
            <v>Chu Văn Hải</v>
          </cell>
          <cell r="D484" t="str">
            <v>BV0550</v>
          </cell>
          <cell r="F484" t="str">
            <v>BSCKI</v>
          </cell>
          <cell r="G484" t="str">
            <v>TĐ003</v>
          </cell>
          <cell r="H484">
            <v>0</v>
          </cell>
          <cell r="I484">
            <v>0</v>
          </cell>
          <cell r="J484" t="str">
            <v>Bác sĩ (hạng III)</v>
          </cell>
          <cell r="M484" t="str">
            <v>X</v>
          </cell>
          <cell r="N484" t="str">
            <v>Trung cấp</v>
          </cell>
          <cell r="O484" t="str">
            <v>Anh C</v>
          </cell>
          <cell r="P484" t="str">
            <v>Tày</v>
          </cell>
          <cell r="Q484" t="str">
            <v>Cơ bản</v>
          </cell>
        </row>
        <row r="485">
          <cell r="B485" t="str">
            <v>BV0546</v>
          </cell>
          <cell r="C485" t="str">
            <v>Nguyễn An Hải</v>
          </cell>
          <cell r="D485" t="str">
            <v>BV0546</v>
          </cell>
          <cell r="E485" t="str">
            <v>x</v>
          </cell>
          <cell r="F485" t="str">
            <v>Bác sĩ</v>
          </cell>
          <cell r="G485" t="str">
            <v>TĐ005</v>
          </cell>
          <cell r="H485">
            <v>0</v>
          </cell>
          <cell r="I485">
            <v>0</v>
          </cell>
          <cell r="J485" t="str">
            <v>Bác sĩ (hạng III)</v>
          </cell>
          <cell r="N485" t="str">
            <v>Sơ cấp</v>
          </cell>
          <cell r="O485" t="str">
            <v>Anh B</v>
          </cell>
          <cell r="P485" t="str">
            <v>Tày</v>
          </cell>
          <cell r="Q485" t="str">
            <v>Cơ bản</v>
          </cell>
        </row>
        <row r="486">
          <cell r="B486" t="str">
            <v>BV0739</v>
          </cell>
          <cell r="C486" t="str">
            <v>Nguyễn Thị Thường</v>
          </cell>
          <cell r="D486" t="str">
            <v>BV0739</v>
          </cell>
          <cell r="E486" t="str">
            <v>x</v>
          </cell>
          <cell r="F486" t="str">
            <v>Bác sĩ</v>
          </cell>
          <cell r="G486" t="str">
            <v>TĐ005</v>
          </cell>
          <cell r="H486">
            <v>0</v>
          </cell>
          <cell r="I486">
            <v>0</v>
          </cell>
          <cell r="J486" t="str">
            <v>Bác sĩ (hạng III)</v>
          </cell>
          <cell r="L486" t="str">
            <v>Chuyên viên</v>
          </cell>
          <cell r="N486" t="str">
            <v>Sơ cấp</v>
          </cell>
          <cell r="O486" t="str">
            <v>Anh B</v>
          </cell>
          <cell r="Q486" t="str">
            <v>B</v>
          </cell>
        </row>
        <row r="487">
          <cell r="B487" t="str">
            <v>BV0544</v>
          </cell>
          <cell r="C487" t="str">
            <v>Nguyễn Thị Nga</v>
          </cell>
          <cell r="D487" t="str">
            <v>BV0544</v>
          </cell>
          <cell r="E487" t="str">
            <v>x</v>
          </cell>
          <cell r="F487" t="str">
            <v>Điều dưỡng TC</v>
          </cell>
          <cell r="G487" t="str">
            <v>TĐ013</v>
          </cell>
          <cell r="H487">
            <v>0</v>
          </cell>
          <cell r="I487">
            <v>0</v>
          </cell>
          <cell r="J487" t="str">
            <v>Điều dưỡng (hạng IV)</v>
          </cell>
          <cell r="M487" t="str">
            <v>X</v>
          </cell>
          <cell r="O487" t="str">
            <v>Anh B</v>
          </cell>
          <cell r="P487" t="str">
            <v>Tày</v>
          </cell>
          <cell r="Q487" t="str">
            <v>Cơ bản</v>
          </cell>
        </row>
        <row r="488">
          <cell r="B488" t="str">
            <v>BV0822</v>
          </cell>
          <cell r="C488" t="str">
            <v>Hoàng Đức Thịnh</v>
          </cell>
          <cell r="D488" t="str">
            <v>BV0822</v>
          </cell>
          <cell r="F488" t="str">
            <v>Điều dưỡng TC</v>
          </cell>
          <cell r="G488" t="str">
            <v>TĐ013</v>
          </cell>
          <cell r="H488">
            <v>0</v>
          </cell>
          <cell r="I488">
            <v>0</v>
          </cell>
          <cell r="J488" t="str">
            <v>Điều dưỡng (hạng IV)</v>
          </cell>
          <cell r="O488" t="str">
            <v>Anh</v>
          </cell>
          <cell r="P488" t="str">
            <v>Tày</v>
          </cell>
          <cell r="Q488" t="str">
            <v>Cơ bản</v>
          </cell>
        </row>
        <row r="489">
          <cell r="B489" t="str">
            <v>BV0304</v>
          </cell>
          <cell r="C489" t="str">
            <v>Võ Thị Hương</v>
          </cell>
          <cell r="D489" t="str">
            <v>BV0304</v>
          </cell>
          <cell r="E489" t="str">
            <v>x</v>
          </cell>
          <cell r="F489" t="str">
            <v>Điều dưỡng TC</v>
          </cell>
          <cell r="G489" t="str">
            <v>TĐ013</v>
          </cell>
          <cell r="H489">
            <v>0</v>
          </cell>
          <cell r="I489">
            <v>0</v>
          </cell>
          <cell r="J489" t="str">
            <v>Điều dưỡng (hạng IV)</v>
          </cell>
          <cell r="O489" t="str">
            <v>Toefl</v>
          </cell>
          <cell r="Q489" t="str">
            <v>Cơ bản</v>
          </cell>
        </row>
        <row r="490">
          <cell r="B490" t="str">
            <v>BV0553</v>
          </cell>
          <cell r="C490" t="str">
            <v>Nguyễn Tiến Lâm</v>
          </cell>
          <cell r="D490" t="str">
            <v>BV0553</v>
          </cell>
          <cell r="F490" t="str">
            <v>KTY TC</v>
          </cell>
          <cell r="G490" t="str">
            <v>TĐ016</v>
          </cell>
          <cell r="H490">
            <v>0</v>
          </cell>
          <cell r="I490">
            <v>0</v>
          </cell>
          <cell r="J490" t="str">
            <v>Kỹ thuật y (hạng IV)</v>
          </cell>
          <cell r="O490" t="str">
            <v>Toefl</v>
          </cell>
          <cell r="Q490" t="str">
            <v>Cơ bản</v>
          </cell>
        </row>
        <row r="491">
          <cell r="B491" t="str">
            <v>BV0097</v>
          </cell>
          <cell r="C491" t="str">
            <v>Nguyễn Thị Oanh</v>
          </cell>
          <cell r="D491" t="str">
            <v>BV0097</v>
          </cell>
          <cell r="E491" t="str">
            <v>x</v>
          </cell>
          <cell r="F491" t="str">
            <v>Thạc sỹ</v>
          </cell>
          <cell r="G491" t="str">
            <v>TĐ011</v>
          </cell>
          <cell r="H491" t="str">
            <v>ĐH Y tế công cộng - Thạc sĩ Quản lý BV</v>
          </cell>
          <cell r="I491">
            <v>2019</v>
          </cell>
          <cell r="J491" t="str">
            <v>Điều dưỡng (hạng III)</v>
          </cell>
          <cell r="O491" t="str">
            <v>Anh B</v>
          </cell>
          <cell r="Q491" t="str">
            <v>Văn phòng -B</v>
          </cell>
        </row>
        <row r="492">
          <cell r="B492" t="str">
            <v>BV0379</v>
          </cell>
          <cell r="C492" t="str">
            <v>Hà Thị Thu Thảo</v>
          </cell>
          <cell r="D492" t="str">
            <v>BV0379</v>
          </cell>
          <cell r="E492" t="str">
            <v>x</v>
          </cell>
          <cell r="F492" t="str">
            <v>Điều dưỡng ĐH</v>
          </cell>
          <cell r="G492" t="str">
            <v>TĐ011</v>
          </cell>
          <cell r="H492" t="e">
            <v>#N/A</v>
          </cell>
          <cell r="I492" t="e">
            <v>#N/A</v>
          </cell>
          <cell r="J492" t="str">
            <v>Điều dưỡng (hạng III)</v>
          </cell>
          <cell r="O492" t="str">
            <v>Anh</v>
          </cell>
          <cell r="P492" t="str">
            <v>Tày</v>
          </cell>
          <cell r="Q492" t="str">
            <v>Văn phòng -B</v>
          </cell>
        </row>
        <row r="493">
          <cell r="B493" t="str">
            <v>BV0409</v>
          </cell>
          <cell r="C493" t="str">
            <v>Chu Thị Bích Thoan</v>
          </cell>
          <cell r="D493" t="str">
            <v>BV0409</v>
          </cell>
          <cell r="E493" t="str">
            <v>x</v>
          </cell>
          <cell r="F493" t="str">
            <v>Điều dưỡng ĐH</v>
          </cell>
          <cell r="G493" t="str">
            <v>TĐ011</v>
          </cell>
          <cell r="H493" t="str">
            <v>ĐH  Y Dược Thái Nguyên</v>
          </cell>
          <cell r="I493">
            <v>2012</v>
          </cell>
          <cell r="J493" t="str">
            <v>Điều dưỡng (hạng III)</v>
          </cell>
          <cell r="O493" t="str">
            <v>Anh</v>
          </cell>
          <cell r="P493" t="str">
            <v>Tày</v>
          </cell>
          <cell r="Q493" t="str">
            <v>Văn phòng -B</v>
          </cell>
        </row>
        <row r="494">
          <cell r="B494" t="str">
            <v>BV0456</v>
          </cell>
          <cell r="C494" t="str">
            <v>Chu Thanh Thảo</v>
          </cell>
          <cell r="D494" t="str">
            <v>BV0456</v>
          </cell>
          <cell r="E494" t="str">
            <v>x</v>
          </cell>
          <cell r="F494" t="str">
            <v>Điều dưỡng TC</v>
          </cell>
          <cell r="G494" t="str">
            <v>TĐ013</v>
          </cell>
          <cell r="H494" t="e">
            <v>#N/A</v>
          </cell>
          <cell r="I494" t="e">
            <v>#N/A</v>
          </cell>
          <cell r="J494" t="str">
            <v>Điều dưỡng (hạng IV)</v>
          </cell>
          <cell r="Q494" t="str">
            <v>A</v>
          </cell>
        </row>
        <row r="495">
          <cell r="B495" t="str">
            <v>BV0557</v>
          </cell>
          <cell r="C495" t="str">
            <v>Lương Thị Cúc</v>
          </cell>
          <cell r="D495" t="str">
            <v>BV0557</v>
          </cell>
          <cell r="E495" t="str">
            <v>x</v>
          </cell>
          <cell r="F495" t="str">
            <v>Điều dưỡng CĐ</v>
          </cell>
          <cell r="G495" t="str">
            <v>TĐ013</v>
          </cell>
          <cell r="H495">
            <v>0</v>
          </cell>
          <cell r="I495">
            <v>0</v>
          </cell>
          <cell r="J495" t="str">
            <v>Điều dưỡng (hạng IV)</v>
          </cell>
          <cell r="Q495" t="str">
            <v>A</v>
          </cell>
        </row>
        <row r="496">
          <cell r="B496" t="str">
            <v>BV0558</v>
          </cell>
          <cell r="C496" t="str">
            <v>Nguyễn Lệ Hà</v>
          </cell>
          <cell r="D496" t="str">
            <v>BV0558</v>
          </cell>
          <cell r="E496" t="str">
            <v>x</v>
          </cell>
          <cell r="F496" t="str">
            <v>Điều dưỡng TC</v>
          </cell>
          <cell r="G496" t="str">
            <v>TĐ013</v>
          </cell>
          <cell r="H496">
            <v>0</v>
          </cell>
          <cell r="I496">
            <v>0</v>
          </cell>
          <cell r="J496" t="str">
            <v>Điều dưỡng (hạng IV)</v>
          </cell>
          <cell r="O496" t="str">
            <v>Anh B</v>
          </cell>
          <cell r="Q496" t="str">
            <v>Cơ bản</v>
          </cell>
        </row>
        <row r="497">
          <cell r="B497" t="str">
            <v>BV0614</v>
          </cell>
          <cell r="C497" t="str">
            <v>Hoàng Thị Thơm</v>
          </cell>
          <cell r="D497" t="str">
            <v>BV0614</v>
          </cell>
          <cell r="E497" t="str">
            <v>x</v>
          </cell>
          <cell r="F497" t="str">
            <v>Điều dưỡng TC</v>
          </cell>
          <cell r="G497" t="str">
            <v>TĐ013</v>
          </cell>
          <cell r="H497" t="e">
            <v>#N/A</v>
          </cell>
          <cell r="I497" t="e">
            <v>#N/A</v>
          </cell>
          <cell r="J497" t="str">
            <v>Điều dưỡng (hạng IV)</v>
          </cell>
        </row>
        <row r="498">
          <cell r="B498" t="str">
            <v>BV0607</v>
          </cell>
          <cell r="C498" t="str">
            <v>Nguyễn Văn Chung</v>
          </cell>
          <cell r="D498" t="str">
            <v>BV0607</v>
          </cell>
          <cell r="F498" t="str">
            <v>Bảo vệ</v>
          </cell>
          <cell r="G498" t="str">
            <v>TĐ044</v>
          </cell>
          <cell r="H498" t="e">
            <v>#N/A</v>
          </cell>
          <cell r="I498" t="e">
            <v>#N/A</v>
          </cell>
          <cell r="J498" t="str">
            <v>Nhân viên</v>
          </cell>
        </row>
        <row r="499">
          <cell r="B499" t="str">
            <v>BV0359</v>
          </cell>
          <cell r="C499" t="str">
            <v>Hoàng Thị Vọng</v>
          </cell>
          <cell r="D499" t="str">
            <v>BV0359</v>
          </cell>
          <cell r="E499" t="str">
            <v>x</v>
          </cell>
          <cell r="F499" t="str">
            <v>NVPV</v>
          </cell>
          <cell r="G499" t="str">
            <v>TĐ048</v>
          </cell>
          <cell r="H499" t="e">
            <v>#N/A</v>
          </cell>
          <cell r="I499" t="e">
            <v>#N/A</v>
          </cell>
          <cell r="J499" t="str">
            <v>Nhân viên</v>
          </cell>
        </row>
        <row r="500">
          <cell r="B500" t="str">
            <v>BV0572</v>
          </cell>
          <cell r="C500" t="str">
            <v>Nguyễn Thị Bình</v>
          </cell>
          <cell r="D500" t="str">
            <v>BV0572</v>
          </cell>
          <cell r="E500" t="str">
            <v>x</v>
          </cell>
          <cell r="F500" t="str">
            <v>Điều dưỡng ĐH</v>
          </cell>
          <cell r="G500" t="str">
            <v>TĐ011</v>
          </cell>
          <cell r="H500" t="e">
            <v>#N/A</v>
          </cell>
          <cell r="I500" t="e">
            <v>#N/A</v>
          </cell>
          <cell r="J500" t="str">
            <v>Điều dưỡng (hạng III)</v>
          </cell>
          <cell r="N500" t="str">
            <v>Sơ cấp lý luận chính trị</v>
          </cell>
          <cell r="O500" t="str">
            <v>Tiếng anh A2</v>
          </cell>
          <cell r="Q500" t="str">
            <v>Cơ bản</v>
          </cell>
        </row>
        <row r="501">
          <cell r="B501" t="str">
            <v>BV0100</v>
          </cell>
          <cell r="C501" t="str">
            <v>Nguyễn Thị Thu Thương</v>
          </cell>
          <cell r="D501" t="str">
            <v>BV0100</v>
          </cell>
          <cell r="E501" t="str">
            <v>x</v>
          </cell>
          <cell r="F501" t="str">
            <v>Điều dưỡng ĐH</v>
          </cell>
          <cell r="G501" t="str">
            <v>TĐ011</v>
          </cell>
          <cell r="H501">
            <v>0</v>
          </cell>
          <cell r="I501">
            <v>0</v>
          </cell>
          <cell r="J501" t="str">
            <v>Điều dưỡng (hạng III)</v>
          </cell>
          <cell r="L501" t="str">
            <v>Bồi dưỡng ngạch chuyên viên</v>
          </cell>
          <cell r="N501" t="str">
            <v>Sơ cấp lý luận chính trị</v>
          </cell>
          <cell r="O501" t="str">
            <v>Anh B</v>
          </cell>
          <cell r="Q501" t="str">
            <v>Tin B</v>
          </cell>
        </row>
        <row r="502">
          <cell r="B502" t="str">
            <v>BV0102</v>
          </cell>
          <cell r="C502" t="str">
            <v>Vi Thị Hiếu</v>
          </cell>
          <cell r="D502" t="str">
            <v>BV0102</v>
          </cell>
          <cell r="E502" t="str">
            <v>x</v>
          </cell>
          <cell r="F502" t="str">
            <v>Điều dưỡng CĐ</v>
          </cell>
          <cell r="G502" t="str">
            <v>TĐ012</v>
          </cell>
          <cell r="H502" t="str">
            <v>Cao đẳng Y tế Lạng  Sơn</v>
          </cell>
          <cell r="I502">
            <v>2011</v>
          </cell>
          <cell r="J502" t="str">
            <v>Điều dưỡng (hạng IV)</v>
          </cell>
          <cell r="N502" t="str">
            <v>Sơ cấp lý luận chính trị</v>
          </cell>
          <cell r="O502" t="str">
            <v>Tiếng anh B</v>
          </cell>
          <cell r="Q502" t="str">
            <v>Cơ bản</v>
          </cell>
        </row>
        <row r="503">
          <cell r="B503" t="str">
            <v>BV0461</v>
          </cell>
          <cell r="C503" t="str">
            <v>Hoàng Bích Thủy</v>
          </cell>
          <cell r="D503" t="str">
            <v>BV0461</v>
          </cell>
          <cell r="E503" t="str">
            <v>x</v>
          </cell>
          <cell r="F503" t="str">
            <v>Dược sỹ ĐH</v>
          </cell>
          <cell r="G503" t="str">
            <v>TĐ008</v>
          </cell>
          <cell r="H503">
            <v>0</v>
          </cell>
          <cell r="I503">
            <v>0</v>
          </cell>
          <cell r="J503" t="str">
            <v>Dược sĩ (hạng III)</v>
          </cell>
          <cell r="L503" t="str">
            <v>Bồi dưỡng ngạch chuyên viên</v>
          </cell>
          <cell r="O503" t="str">
            <v>Anh B</v>
          </cell>
          <cell r="P503" t="str">
            <v>Tày</v>
          </cell>
          <cell r="Q503" t="str">
            <v>B</v>
          </cell>
        </row>
        <row r="504">
          <cell r="B504" t="str">
            <v>BV0477</v>
          </cell>
          <cell r="C504" t="str">
            <v>Hoàng Lan Thịnh</v>
          </cell>
          <cell r="D504" t="str">
            <v>BV0477</v>
          </cell>
          <cell r="E504" t="str">
            <v>x</v>
          </cell>
          <cell r="F504" t="str">
            <v>Dược sỹ CĐ</v>
          </cell>
          <cell r="G504" t="str">
            <v>TĐ009</v>
          </cell>
          <cell r="H504">
            <v>0</v>
          </cell>
          <cell r="I504">
            <v>0</v>
          </cell>
          <cell r="J504" t="str">
            <v>Dược (hạng IV)</v>
          </cell>
          <cell r="K504" t="str">
            <v>Dược</v>
          </cell>
          <cell r="O504" t="str">
            <v>Anh B</v>
          </cell>
          <cell r="Q504" t="str">
            <v>B</v>
          </cell>
        </row>
        <row r="505">
          <cell r="B505" t="str">
            <v>BV0473</v>
          </cell>
          <cell r="C505" t="str">
            <v>Đào Minh An</v>
          </cell>
          <cell r="D505" t="str">
            <v>BV0473</v>
          </cell>
          <cell r="E505" t="str">
            <v>x</v>
          </cell>
          <cell r="F505" t="str">
            <v>Dược sỹ CĐ</v>
          </cell>
          <cell r="G505" t="str">
            <v>TĐ009</v>
          </cell>
          <cell r="H505" t="str">
            <v>CĐ Y tế Lạng Sơn</v>
          </cell>
          <cell r="I505">
            <v>2008</v>
          </cell>
          <cell r="J505" t="str">
            <v>Dược (hạng IV)</v>
          </cell>
          <cell r="K505" t="str">
            <v>Dược</v>
          </cell>
          <cell r="O505" t="str">
            <v>Anh B</v>
          </cell>
          <cell r="P505" t="str">
            <v>Tày</v>
          </cell>
          <cell r="Q505" t="str">
            <v>B</v>
          </cell>
        </row>
        <row r="506">
          <cell r="B506" t="str">
            <v>BV0581</v>
          </cell>
          <cell r="C506" t="str">
            <v>La Thị Hương</v>
          </cell>
          <cell r="D506" t="str">
            <v>BV0581</v>
          </cell>
          <cell r="E506" t="str">
            <v>x</v>
          </cell>
          <cell r="F506" t="str">
            <v>Dược sỹ TC</v>
          </cell>
          <cell r="G506" t="str">
            <v>TĐ010</v>
          </cell>
          <cell r="H506" t="e">
            <v>#N/A</v>
          </cell>
          <cell r="I506" t="e">
            <v>#N/A</v>
          </cell>
          <cell r="J506" t="str">
            <v>Dược (hạng IV)</v>
          </cell>
        </row>
        <row r="507">
          <cell r="B507" t="str">
            <v>BV0579</v>
          </cell>
          <cell r="C507" t="str">
            <v>Bùi Mạnh Ước</v>
          </cell>
          <cell r="D507" t="str">
            <v>BV0579</v>
          </cell>
          <cell r="F507" t="str">
            <v>Kỹ sư</v>
          </cell>
          <cell r="G507" t="str">
            <v>TĐ029</v>
          </cell>
          <cell r="H507" t="str">
            <v>ĐH Bách khoa HN</v>
          </cell>
          <cell r="I507">
            <v>2018</v>
          </cell>
          <cell r="J507" t="str">
            <v>Cán sự</v>
          </cell>
          <cell r="L507" t="str">
            <v>Chuyên viên</v>
          </cell>
          <cell r="N507" t="str">
            <v>Trung cấp</v>
          </cell>
          <cell r="O507" t="str">
            <v>Anh B</v>
          </cell>
          <cell r="P507" t="str">
            <v>Tày</v>
          </cell>
          <cell r="Q507" t="str">
            <v>A</v>
          </cell>
        </row>
        <row r="508">
          <cell r="B508" t="str">
            <v>BV0577</v>
          </cell>
          <cell r="C508" t="str">
            <v>Ma Duy Tường</v>
          </cell>
          <cell r="D508" t="str">
            <v>BV0577</v>
          </cell>
          <cell r="F508" t="str">
            <v>Kỹ sư</v>
          </cell>
          <cell r="G508" t="str">
            <v>TĐ029</v>
          </cell>
          <cell r="H508" t="str">
            <v>ĐH Bách khoa HN</v>
          </cell>
          <cell r="I508">
            <v>2011</v>
          </cell>
          <cell r="J508" t="str">
            <v>Nhân viên</v>
          </cell>
          <cell r="L508" t="str">
            <v>Chuyên viên</v>
          </cell>
          <cell r="M508" t="str">
            <v>x</v>
          </cell>
          <cell r="N508" t="str">
            <v>Trung cấp</v>
          </cell>
          <cell r="O508" t="str">
            <v>Anh B</v>
          </cell>
          <cell r="P508" t="str">
            <v>Tày</v>
          </cell>
          <cell r="Q508" t="str">
            <v>B</v>
          </cell>
        </row>
        <row r="509">
          <cell r="B509" t="str">
            <v>BV0578</v>
          </cell>
          <cell r="C509" t="str">
            <v>Hứa Trọng Tôn</v>
          </cell>
          <cell r="D509" t="str">
            <v>BV0578</v>
          </cell>
          <cell r="F509" t="str">
            <v>CĐ y sinh</v>
          </cell>
          <cell r="G509" t="str">
            <v>TĐ040</v>
          </cell>
          <cell r="H509" t="str">
            <v>ĐH Bách khoa HN</v>
          </cell>
          <cell r="I509">
            <v>2008</v>
          </cell>
          <cell r="J509" t="str">
            <v>Kỹ thuật viên (hạng IV)</v>
          </cell>
        </row>
        <row r="510">
          <cell r="B510" t="str">
            <v>BV0580</v>
          </cell>
          <cell r="C510" t="str">
            <v>Ma Bá Tiếp</v>
          </cell>
          <cell r="D510" t="str">
            <v>BV0580</v>
          </cell>
          <cell r="F510" t="str">
            <v>CV cao đẳng</v>
          </cell>
          <cell r="G510" t="str">
            <v>TĐ041</v>
          </cell>
          <cell r="H510" t="str">
            <v>CĐ Nghề Kỹ thuật thiết bị y tế</v>
          </cell>
          <cell r="I510">
            <v>2011</v>
          </cell>
          <cell r="J510" t="str">
            <v>Cán sự</v>
          </cell>
          <cell r="O510" t="str">
            <v>Anh C</v>
          </cell>
          <cell r="Q510" t="str">
            <v>Tin B</v>
          </cell>
        </row>
        <row r="511">
          <cell r="B511" t="str">
            <v>BV0821</v>
          </cell>
          <cell r="C511" t="str">
            <v>Trần Đức Vinh</v>
          </cell>
          <cell r="D511" t="str">
            <v>BV0821</v>
          </cell>
          <cell r="F511" t="str">
            <v>BSCKI</v>
          </cell>
          <cell r="G511" t="str">
            <v>TĐ003</v>
          </cell>
          <cell r="H511" t="str">
            <v>ĐH Y - Dược Thái Nguyên</v>
          </cell>
          <cell r="I511">
            <v>2013</v>
          </cell>
          <cell r="J511" t="str">
            <v>Bác sĩ (hạng III)</v>
          </cell>
          <cell r="M511" t="str">
            <v>x</v>
          </cell>
          <cell r="O511" t="str">
            <v>Anh C</v>
          </cell>
          <cell r="Q511" t="str">
            <v>Tin B</v>
          </cell>
        </row>
        <row r="512">
          <cell r="B512" t="str">
            <v>BV0590</v>
          </cell>
          <cell r="C512" t="str">
            <v>Nguyễn Ngọc Tám</v>
          </cell>
          <cell r="D512" t="str">
            <v>BV0590</v>
          </cell>
          <cell r="E512" t="str">
            <v>x</v>
          </cell>
          <cell r="F512" t="str">
            <v>Điều dưỡng ĐH</v>
          </cell>
          <cell r="G512" t="str">
            <v>TĐ011</v>
          </cell>
          <cell r="H512" t="e">
            <v>#N/A</v>
          </cell>
          <cell r="I512" t="e">
            <v>#N/A</v>
          </cell>
          <cell r="J512" t="str">
            <v>Điều dưỡng (hạng III)</v>
          </cell>
        </row>
        <row r="513">
          <cell r="B513" t="str">
            <v>BV0666</v>
          </cell>
          <cell r="C513" t="str">
            <v>Hoàng Tuấn Anh</v>
          </cell>
          <cell r="D513" t="str">
            <v>BV0666</v>
          </cell>
          <cell r="F513" t="str">
            <v>TC tin học</v>
          </cell>
          <cell r="G513" t="str">
            <v>TĐ028</v>
          </cell>
          <cell r="H513" t="str">
            <v>CĐ Cơ khí Luyện Kim Thái Nguyên</v>
          </cell>
          <cell r="I513">
            <v>2002</v>
          </cell>
          <cell r="J513" t="str">
            <v>Kỹ thuật viên (hạng IV)</v>
          </cell>
          <cell r="O513" t="str">
            <v>Anh B</v>
          </cell>
          <cell r="Q513" t="str">
            <v>TC</v>
          </cell>
        </row>
        <row r="514">
          <cell r="B514" t="str">
            <v>BV0592</v>
          </cell>
          <cell r="C514" t="str">
            <v>Đoàn Trung Tuấn</v>
          </cell>
          <cell r="D514" t="str">
            <v>BV0592</v>
          </cell>
          <cell r="F514" t="str">
            <v>ĐH QTNL</v>
          </cell>
          <cell r="G514" t="str">
            <v>TĐ031</v>
          </cell>
          <cell r="H514" t="str">
            <v>ĐH LĐ-XH</v>
          </cell>
          <cell r="I514">
            <v>2012</v>
          </cell>
          <cell r="J514" t="str">
            <v>Cán sự</v>
          </cell>
          <cell r="L514" t="str">
            <v>Chuyên viên</v>
          </cell>
          <cell r="N514" t="str">
            <v>Sơ cấp</v>
          </cell>
          <cell r="O514" t="str">
            <v>Anh B</v>
          </cell>
          <cell r="Q514" t="str">
            <v>B</v>
          </cell>
        </row>
        <row r="515">
          <cell r="B515" t="str">
            <v>BV0593</v>
          </cell>
          <cell r="C515" t="str">
            <v>Hoàng Thị Ngọc Mai</v>
          </cell>
          <cell r="D515" t="str">
            <v>BV0593</v>
          </cell>
          <cell r="E515" t="str">
            <v>x</v>
          </cell>
          <cell r="F515" t="str">
            <v>ĐH QTNL</v>
          </cell>
          <cell r="G515" t="str">
            <v>TĐ031</v>
          </cell>
          <cell r="H515" t="str">
            <v>ĐH Nội Vụ Hà Nội</v>
          </cell>
          <cell r="I515">
            <v>2013</v>
          </cell>
          <cell r="J515" t="str">
            <v>Cán sự</v>
          </cell>
          <cell r="L515" t="str">
            <v>Chuyên viên</v>
          </cell>
          <cell r="N515" t="str">
            <v>Sơ cấp</v>
          </cell>
          <cell r="O515" t="str">
            <v>Anh B</v>
          </cell>
          <cell r="P515" t="str">
            <v>Tày</v>
          </cell>
          <cell r="Q515" t="str">
            <v>B</v>
          </cell>
        </row>
        <row r="516">
          <cell r="B516" t="str">
            <v>BV0852</v>
          </cell>
          <cell r="C516" t="str">
            <v>Hoàng Thị Hường</v>
          </cell>
          <cell r="D516" t="str">
            <v>BV0852</v>
          </cell>
          <cell r="E516" t="str">
            <v>x</v>
          </cell>
          <cell r="F516" t="str">
            <v>Cử nhân Luật</v>
          </cell>
          <cell r="G516" t="str">
            <v>TĐ033</v>
          </cell>
          <cell r="H516" t="str">
            <v>ĐH Thái Nguyên</v>
          </cell>
          <cell r="I516">
            <v>2018</v>
          </cell>
          <cell r="J516" t="str">
            <v>Chuyên viên</v>
          </cell>
        </row>
        <row r="517">
          <cell r="B517" t="str">
            <v>BV0596</v>
          </cell>
          <cell r="C517" t="str">
            <v>Phạm Văn Bình</v>
          </cell>
          <cell r="D517" t="str">
            <v>BV0596</v>
          </cell>
          <cell r="F517" t="str">
            <v>Điều dưỡng ĐH</v>
          </cell>
          <cell r="G517" t="str">
            <v>TĐ011</v>
          </cell>
          <cell r="H517" t="str">
            <v>ĐH Y Dược Thái Nguyên</v>
          </cell>
          <cell r="I517">
            <v>2009</v>
          </cell>
          <cell r="J517" t="str">
            <v>Điều dưỡng (hạng III)</v>
          </cell>
          <cell r="L517" t="str">
            <v>Chuyên viên</v>
          </cell>
          <cell r="N517" t="str">
            <v>Trung cấp</v>
          </cell>
          <cell r="O517" t="str">
            <v>Anh A</v>
          </cell>
          <cell r="P517" t="str">
            <v>Tày</v>
          </cell>
          <cell r="Q517" t="str">
            <v>Cơ bản</v>
          </cell>
        </row>
        <row r="518">
          <cell r="B518" t="str">
            <v>BV0598</v>
          </cell>
          <cell r="C518" t="str">
            <v>Lê Ngọc Ân</v>
          </cell>
          <cell r="D518" t="str">
            <v>BV0598</v>
          </cell>
          <cell r="F518" t="str">
            <v>Kỹ sư</v>
          </cell>
          <cell r="G518" t="str">
            <v>TĐ029</v>
          </cell>
          <cell r="H518" t="str">
            <v>ĐH kỹ thuật CN</v>
          </cell>
          <cell r="I518">
            <v>2007</v>
          </cell>
          <cell r="J518" t="str">
            <v>Kỹ sư (hạng III)</v>
          </cell>
        </row>
        <row r="519">
          <cell r="B519" t="str">
            <v>BV0600</v>
          </cell>
          <cell r="C519" t="str">
            <v>Triệu Thị Hằng</v>
          </cell>
          <cell r="D519" t="str">
            <v>BV0600</v>
          </cell>
          <cell r="E519" t="str">
            <v>x</v>
          </cell>
          <cell r="F519" t="str">
            <v>Cử nhân HC</v>
          </cell>
          <cell r="G519" t="str">
            <v>TĐ035</v>
          </cell>
          <cell r="H519" t="str">
            <v>Học viên HCQG</v>
          </cell>
          <cell r="I519">
            <v>2012</v>
          </cell>
          <cell r="J519" t="str">
            <v>Chuyên viên</v>
          </cell>
          <cell r="L519" t="str">
            <v>Chuyên viên</v>
          </cell>
          <cell r="M519" t="str">
            <v>x</v>
          </cell>
          <cell r="N519" t="str">
            <v>Sơ cấp</v>
          </cell>
          <cell r="O519" t="str">
            <v>Anh B</v>
          </cell>
          <cell r="Q519" t="str">
            <v>Tin B</v>
          </cell>
        </row>
        <row r="520">
          <cell r="B520" t="str">
            <v>BV0819</v>
          </cell>
          <cell r="C520" t="str">
            <v>Lưu Mai Hương</v>
          </cell>
          <cell r="D520" t="str">
            <v>BV0819</v>
          </cell>
          <cell r="E520" t="str">
            <v>x</v>
          </cell>
          <cell r="F520" t="str">
            <v>Cử nhân HC</v>
          </cell>
          <cell r="G520" t="str">
            <v>TĐ035</v>
          </cell>
          <cell r="H520" t="str">
            <v>ĐH Nội Vụ Hà Nội</v>
          </cell>
          <cell r="I520">
            <v>2017</v>
          </cell>
          <cell r="J520" t="str">
            <v>Chuyên viên</v>
          </cell>
          <cell r="K520" t="str">
            <v>Chuyên viên</v>
          </cell>
        </row>
        <row r="521">
          <cell r="B521" t="str">
            <v>BV0620</v>
          </cell>
          <cell r="C521" t="str">
            <v>Lý Minh Hường</v>
          </cell>
          <cell r="D521" t="str">
            <v>BV0620</v>
          </cell>
          <cell r="E521" t="str">
            <v>x</v>
          </cell>
          <cell r="F521" t="str">
            <v>Cử nhân HC</v>
          </cell>
          <cell r="G521" t="str">
            <v>TĐ035</v>
          </cell>
          <cell r="H521" t="str">
            <v>Học viên HCQG</v>
          </cell>
          <cell r="I521">
            <v>2014</v>
          </cell>
          <cell r="J521" t="str">
            <v>Chuyên viên</v>
          </cell>
          <cell r="K521" t="str">
            <v>Chuyên viên</v>
          </cell>
        </row>
        <row r="522">
          <cell r="B522" t="str">
            <v>BV0612</v>
          </cell>
          <cell r="C522" t="str">
            <v>Nguyễn Thị Hà</v>
          </cell>
          <cell r="D522" t="str">
            <v>BV0612</v>
          </cell>
          <cell r="E522" t="str">
            <v>x</v>
          </cell>
          <cell r="F522" t="str">
            <v>Văn thư</v>
          </cell>
          <cell r="G522" t="str">
            <v>TĐ042</v>
          </cell>
          <cell r="H522" t="str">
            <v>CĐ Nội vụ Hà Nội</v>
          </cell>
          <cell r="I522">
            <v>2011</v>
          </cell>
          <cell r="J522" t="str">
            <v>Lưu trữ viên trung cấp</v>
          </cell>
          <cell r="Q522" t="str">
            <v>Tin A</v>
          </cell>
        </row>
        <row r="523">
          <cell r="B523" t="str">
            <v>BV0601</v>
          </cell>
          <cell r="C523" t="str">
            <v>Lương Viết Bảo</v>
          </cell>
          <cell r="D523" t="str">
            <v>BV0601</v>
          </cell>
          <cell r="F523" t="str">
            <v>Lái xe</v>
          </cell>
          <cell r="G523" t="str">
            <v>TĐ043</v>
          </cell>
          <cell r="H523">
            <v>0</v>
          </cell>
          <cell r="I523">
            <v>0</v>
          </cell>
          <cell r="J523" t="str">
            <v>Nhân viên</v>
          </cell>
        </row>
        <row r="524">
          <cell r="B524" t="str">
            <v>BV0635</v>
          </cell>
          <cell r="C524" t="str">
            <v>Nông Thị Lan Anh</v>
          </cell>
          <cell r="D524" t="str">
            <v>BV0635</v>
          </cell>
          <cell r="E524" t="str">
            <v>x</v>
          </cell>
          <cell r="F524" t="str">
            <v>KTĐH</v>
          </cell>
          <cell r="G524" t="str">
            <v>TĐ021</v>
          </cell>
          <cell r="H524" t="str">
            <v>ĐH Kinh tế quốc dân</v>
          </cell>
          <cell r="I524">
            <v>2013</v>
          </cell>
          <cell r="J524" t="str">
            <v>Kế toán viên</v>
          </cell>
          <cell r="K524" t="str">
            <v>Kế toán viên, chuyên viên</v>
          </cell>
          <cell r="O524" t="str">
            <v>Anh B</v>
          </cell>
          <cell r="Q524" t="str">
            <v>B</v>
          </cell>
        </row>
        <row r="525">
          <cell r="B525" t="str">
            <v>BV0636</v>
          </cell>
          <cell r="C525" t="str">
            <v>Dương Thị Quỳnh Anh</v>
          </cell>
          <cell r="D525" t="str">
            <v>BV0636</v>
          </cell>
          <cell r="E525" t="str">
            <v>x</v>
          </cell>
          <cell r="F525" t="str">
            <v>KTĐH</v>
          </cell>
          <cell r="G525" t="str">
            <v>TĐ021</v>
          </cell>
          <cell r="H525" t="e">
            <v>#N/A</v>
          </cell>
          <cell r="I525" t="e">
            <v>#N/A</v>
          </cell>
          <cell r="J525" t="str">
            <v>Kế toán viên</v>
          </cell>
          <cell r="O525" t="str">
            <v>Anh B</v>
          </cell>
          <cell r="Q525" t="str">
            <v>B</v>
          </cell>
        </row>
        <row r="526">
          <cell r="B526" t="str">
            <v>BV0802</v>
          </cell>
          <cell r="C526" t="str">
            <v>Lâm Văn Dỷ</v>
          </cell>
          <cell r="D526" t="str">
            <v>BV0802</v>
          </cell>
          <cell r="F526" t="str">
            <v>KTĐH</v>
          </cell>
          <cell r="G526" t="str">
            <v>TĐ021</v>
          </cell>
          <cell r="H526" t="e">
            <v>#N/A</v>
          </cell>
          <cell r="I526" t="e">
            <v>#N/A</v>
          </cell>
          <cell r="J526" t="str">
            <v>Chuyên viên</v>
          </cell>
          <cell r="N526" t="str">
            <v>Trung cấp</v>
          </cell>
        </row>
        <row r="527">
          <cell r="B527" t="str">
            <v>BV0631</v>
          </cell>
          <cell r="C527" t="str">
            <v>Chu Thị Hằng</v>
          </cell>
          <cell r="D527" t="str">
            <v>BV0631</v>
          </cell>
          <cell r="E527" t="str">
            <v>x</v>
          </cell>
          <cell r="F527" t="str">
            <v>Thạc sĩ</v>
          </cell>
          <cell r="G527" t="str">
            <v>TĐ021</v>
          </cell>
          <cell r="H527" t="str">
            <v>ĐH Kinh doanh công nghệ</v>
          </cell>
          <cell r="I527">
            <v>2018</v>
          </cell>
          <cell r="J527" t="str">
            <v>Kế toán viên</v>
          </cell>
          <cell r="N527" t="str">
            <v>Trung cấp</v>
          </cell>
          <cell r="O527" t="str">
            <v>Trung C</v>
          </cell>
          <cell r="Q527" t="str">
            <v>B</v>
          </cell>
        </row>
        <row r="528">
          <cell r="B528" t="str">
            <v>BV0632</v>
          </cell>
          <cell r="C528" t="str">
            <v>Hoàng Thu Hiền</v>
          </cell>
          <cell r="D528" t="str">
            <v>BV0632</v>
          </cell>
          <cell r="E528" t="str">
            <v>x</v>
          </cell>
          <cell r="F528" t="str">
            <v>KTĐH</v>
          </cell>
          <cell r="G528" t="str">
            <v>TĐ021</v>
          </cell>
          <cell r="H528" t="str">
            <v>ĐH Kinh tế quốc dân</v>
          </cell>
          <cell r="I528">
            <v>2008</v>
          </cell>
          <cell r="J528" t="str">
            <v>Kế toán viên</v>
          </cell>
          <cell r="K528" t="str">
            <v>Kế toán viên</v>
          </cell>
          <cell r="N528" t="str">
            <v>Sơ cấp</v>
          </cell>
          <cell r="O528" t="str">
            <v>Trung C</v>
          </cell>
          <cell r="Q528" t="str">
            <v>B</v>
          </cell>
        </row>
        <row r="529">
          <cell r="B529" t="str">
            <v>BV0641</v>
          </cell>
          <cell r="C529" t="str">
            <v>Vi Thu Huyền</v>
          </cell>
          <cell r="D529" t="str">
            <v>BV0641</v>
          </cell>
          <cell r="E529" t="str">
            <v>x</v>
          </cell>
          <cell r="F529" t="str">
            <v>KTĐH</v>
          </cell>
          <cell r="G529" t="str">
            <v>TĐ021</v>
          </cell>
          <cell r="H529" t="str">
            <v>ĐH Kinh tế quốc dân</v>
          </cell>
          <cell r="I529">
            <v>2012</v>
          </cell>
          <cell r="J529" t="str">
            <v>Kế toán viên</v>
          </cell>
          <cell r="K529" t="str">
            <v>Kế toán viên</v>
          </cell>
          <cell r="O529" t="str">
            <v>Anh B</v>
          </cell>
          <cell r="Q529" t="str">
            <v>B</v>
          </cell>
        </row>
        <row r="530">
          <cell r="B530" t="str">
            <v>BV0651</v>
          </cell>
          <cell r="C530" t="str">
            <v>Nông Thị Mơ</v>
          </cell>
          <cell r="D530" t="str">
            <v>BV0651</v>
          </cell>
          <cell r="E530" t="str">
            <v>x</v>
          </cell>
          <cell r="F530" t="str">
            <v>KTĐH</v>
          </cell>
          <cell r="G530" t="str">
            <v>TĐ021</v>
          </cell>
          <cell r="H530" t="str">
            <v>HV Tài chính</v>
          </cell>
          <cell r="I530">
            <v>2011</v>
          </cell>
          <cell r="J530" t="str">
            <v>Kế toán viên TC</v>
          </cell>
          <cell r="K530" t="str">
            <v>Kế toán viên</v>
          </cell>
          <cell r="O530" t="str">
            <v>Anh B</v>
          </cell>
          <cell r="P530" t="str">
            <v>Tày</v>
          </cell>
          <cell r="Q530" t="str">
            <v>B</v>
          </cell>
        </row>
        <row r="531">
          <cell r="B531" t="str">
            <v>BV0639</v>
          </cell>
          <cell r="C531" t="str">
            <v>Ngô Mai Nguyệt</v>
          </cell>
          <cell r="D531" t="str">
            <v>BV0639</v>
          </cell>
          <cell r="E531" t="str">
            <v>x</v>
          </cell>
          <cell r="F531" t="str">
            <v>KTĐH</v>
          </cell>
          <cell r="G531" t="str">
            <v>TĐ021</v>
          </cell>
          <cell r="H531" t="e">
            <v>#N/A</v>
          </cell>
          <cell r="I531" t="e">
            <v>#N/A</v>
          </cell>
          <cell r="J531" t="str">
            <v>Kế toán viên CĐ</v>
          </cell>
          <cell r="K531" t="str">
            <v>Kế toán viên, chuyên viên</v>
          </cell>
          <cell r="N531" t="str">
            <v>Sơ cấp</v>
          </cell>
          <cell r="O531" t="str">
            <v>Anh B</v>
          </cell>
          <cell r="P531" t="str">
            <v>Tày</v>
          </cell>
          <cell r="Q531" t="str">
            <v>B</v>
          </cell>
        </row>
        <row r="532">
          <cell r="B532" t="str">
            <v>BV0849</v>
          </cell>
          <cell r="C532" t="str">
            <v>Linh Trang Nhung</v>
          </cell>
          <cell r="D532" t="str">
            <v>BV0849</v>
          </cell>
          <cell r="E532" t="str">
            <v>x</v>
          </cell>
          <cell r="F532" t="str">
            <v>KTĐH</v>
          </cell>
          <cell r="G532" t="str">
            <v>TĐ021</v>
          </cell>
          <cell r="H532" t="e">
            <v>#N/A</v>
          </cell>
          <cell r="I532" t="e">
            <v>#N/A</v>
          </cell>
          <cell r="J532" t="str">
            <v>Kế toán viên</v>
          </cell>
          <cell r="K532" t="str">
            <v>Kế toán viên</v>
          </cell>
          <cell r="O532" t="str">
            <v>Anh B</v>
          </cell>
          <cell r="Q532" t="str">
            <v>B</v>
          </cell>
        </row>
        <row r="533">
          <cell r="B533" t="str">
            <v>BV0634</v>
          </cell>
          <cell r="C533" t="str">
            <v>Thi Thị Hồng Son</v>
          </cell>
          <cell r="D533" t="str">
            <v>BV0634</v>
          </cell>
          <cell r="E533" t="str">
            <v>x</v>
          </cell>
          <cell r="F533" t="str">
            <v>KTĐH</v>
          </cell>
          <cell r="G533" t="str">
            <v>TĐ021</v>
          </cell>
          <cell r="H533" t="e">
            <v>#N/A</v>
          </cell>
          <cell r="I533" t="e">
            <v>#N/A</v>
          </cell>
          <cell r="J533" t="str">
            <v>Kế toán viên</v>
          </cell>
          <cell r="K533" t="str">
            <v>Kế toán viên</v>
          </cell>
          <cell r="O533" t="str">
            <v>Anh C</v>
          </cell>
          <cell r="Q533" t="str">
            <v>Tin B</v>
          </cell>
        </row>
        <row r="534">
          <cell r="B534" t="str">
            <v>BV0648</v>
          </cell>
          <cell r="C534" t="str">
            <v>Ngô Anh Toàn</v>
          </cell>
          <cell r="D534" t="str">
            <v>BV0648</v>
          </cell>
          <cell r="F534" t="str">
            <v>Thạc sĩ kinh tế</v>
          </cell>
          <cell r="G534" t="str">
            <v>TĐ021</v>
          </cell>
          <cell r="H534" t="e">
            <v>#N/A</v>
          </cell>
          <cell r="I534" t="e">
            <v>#N/A</v>
          </cell>
          <cell r="J534" t="str">
            <v>Kế toán viên TC</v>
          </cell>
          <cell r="K534" t="str">
            <v>Kế toán viên</v>
          </cell>
          <cell r="L534" t="str">
            <v>Chuyên viên</v>
          </cell>
          <cell r="N534" t="str">
            <v>Sơ cấp</v>
          </cell>
          <cell r="O534" t="str">
            <v>Anh B1</v>
          </cell>
          <cell r="P534" t="str">
            <v>Tày</v>
          </cell>
          <cell r="Q534" t="str">
            <v>Cơ bản</v>
          </cell>
        </row>
        <row r="535">
          <cell r="B535" t="str">
            <v>BV0811</v>
          </cell>
          <cell r="C535" t="str">
            <v>Nguyễn Thu Thủy</v>
          </cell>
          <cell r="D535" t="str">
            <v>BV0811</v>
          </cell>
          <cell r="E535" t="str">
            <v>x</v>
          </cell>
          <cell r="F535" t="str">
            <v>KTĐH</v>
          </cell>
          <cell r="G535" t="str">
            <v>TĐ021</v>
          </cell>
          <cell r="H535" t="e">
            <v>#N/A</v>
          </cell>
          <cell r="I535" t="e">
            <v>#N/A</v>
          </cell>
          <cell r="J535" t="str">
            <v>Kế toán viên</v>
          </cell>
          <cell r="K535" t="str">
            <v>Kế toán viên</v>
          </cell>
          <cell r="N535" t="str">
            <v>Sơ cấp</v>
          </cell>
          <cell r="O535" t="str">
            <v>IELTS</v>
          </cell>
          <cell r="Q535" t="str">
            <v>Cơ bản</v>
          </cell>
        </row>
        <row r="536">
          <cell r="B536" t="str">
            <v>BV0656</v>
          </cell>
          <cell r="C536" t="str">
            <v>Trần Thị Vui</v>
          </cell>
          <cell r="D536" t="str">
            <v>BV0656</v>
          </cell>
          <cell r="E536" t="str">
            <v>x</v>
          </cell>
          <cell r="F536" t="str">
            <v>KTĐH</v>
          </cell>
          <cell r="G536" t="str">
            <v>TĐ021</v>
          </cell>
          <cell r="H536" t="str">
            <v>HV Nông nghiệp</v>
          </cell>
          <cell r="I536">
            <v>2014</v>
          </cell>
          <cell r="J536" t="str">
            <v>Kế toán viên</v>
          </cell>
          <cell r="K536" t="str">
            <v>Kế toán viên</v>
          </cell>
          <cell r="N536" t="str">
            <v>Sơ cấp</v>
          </cell>
          <cell r="O536" t="str">
            <v>Anh B</v>
          </cell>
          <cell r="Q536" t="str">
            <v>ĐH</v>
          </cell>
        </row>
        <row r="537">
          <cell r="B537" t="str">
            <v>BV0633</v>
          </cell>
          <cell r="C537" t="str">
            <v>Tô Thị Yêu</v>
          </cell>
          <cell r="D537" t="str">
            <v>BV0633</v>
          </cell>
          <cell r="E537" t="str">
            <v>x</v>
          </cell>
          <cell r="F537" t="str">
            <v>KTĐH</v>
          </cell>
          <cell r="G537" t="str">
            <v>TĐ021</v>
          </cell>
          <cell r="H537" t="str">
            <v>HV Tài chính</v>
          </cell>
          <cell r="I537">
            <v>2008</v>
          </cell>
          <cell r="J537" t="str">
            <v>Kế toán viên</v>
          </cell>
          <cell r="K537" t="str">
            <v>Kế toán viên</v>
          </cell>
          <cell r="O537" t="str">
            <v>Anh B</v>
          </cell>
          <cell r="Q537" t="str">
            <v>B</v>
          </cell>
        </row>
        <row r="538">
          <cell r="B538" t="str">
            <v>BV1030</v>
          </cell>
          <cell r="C538" t="str">
            <v>Bùi Thị Thắm</v>
          </cell>
          <cell r="D538" t="str">
            <v>BV1030</v>
          </cell>
          <cell r="E538" t="str">
            <v>x</v>
          </cell>
          <cell r="F538" t="str">
            <v>KTĐH</v>
          </cell>
          <cell r="G538" t="str">
            <v>TĐ021</v>
          </cell>
          <cell r="H538">
            <v>0</v>
          </cell>
          <cell r="I538">
            <v>0</v>
          </cell>
          <cell r="J538" t="str">
            <v>Kế toán viên</v>
          </cell>
          <cell r="O538" t="str">
            <v>Anh B</v>
          </cell>
          <cell r="Q538" t="str">
            <v>B</v>
          </cell>
        </row>
        <row r="539">
          <cell r="B539" t="str">
            <v>BV0644</v>
          </cell>
          <cell r="C539" t="str">
            <v>Đinh Hữu Đạt</v>
          </cell>
          <cell r="D539" t="str">
            <v>BV0644</v>
          </cell>
          <cell r="F539" t="str">
            <v>KTĐH</v>
          </cell>
          <cell r="G539" t="str">
            <v>TĐ022</v>
          </cell>
          <cell r="H539" t="str">
            <v>CĐ thống kê Bắc Ninh</v>
          </cell>
          <cell r="I539">
            <v>2011</v>
          </cell>
          <cell r="J539" t="str">
            <v>Kế toán viên CĐ</v>
          </cell>
          <cell r="K539" t="str">
            <v>Kế toán viên</v>
          </cell>
          <cell r="O539" t="str">
            <v>Anh B</v>
          </cell>
          <cell r="P539" t="str">
            <v>Tày</v>
          </cell>
          <cell r="Q539" t="str">
            <v>Cơ bản</v>
          </cell>
        </row>
        <row r="540">
          <cell r="B540" t="str">
            <v>BV0650</v>
          </cell>
          <cell r="C540" t="str">
            <v>Hoàng Thị Hảo</v>
          </cell>
          <cell r="D540" t="str">
            <v>BV0650</v>
          </cell>
          <cell r="E540" t="str">
            <v>x</v>
          </cell>
          <cell r="F540" t="str">
            <v>KTCĐ</v>
          </cell>
          <cell r="G540" t="str">
            <v>TĐ022</v>
          </cell>
          <cell r="H540" t="str">
            <v>ĐH Sao đỏ</v>
          </cell>
          <cell r="I540">
            <v>2010</v>
          </cell>
          <cell r="J540" t="str">
            <v>Kế toán viên TC</v>
          </cell>
          <cell r="K540" t="str">
            <v>Kế toán viên</v>
          </cell>
          <cell r="O540" t="str">
            <v>Anh B</v>
          </cell>
          <cell r="Q540" t="str">
            <v>B</v>
          </cell>
        </row>
        <row r="541">
          <cell r="B541" t="str">
            <v>BV0638</v>
          </cell>
          <cell r="C541" t="str">
            <v>Đinh Thị Quỳnh Nga</v>
          </cell>
          <cell r="D541" t="str">
            <v>BV0638</v>
          </cell>
          <cell r="E541" t="str">
            <v>x</v>
          </cell>
          <cell r="F541" t="str">
            <v>KTCĐ</v>
          </cell>
          <cell r="G541" t="str">
            <v>TĐ022</v>
          </cell>
          <cell r="H541">
            <v>0</v>
          </cell>
          <cell r="I541">
            <v>0</v>
          </cell>
          <cell r="J541" t="str">
            <v>Kế toán viên CĐ</v>
          </cell>
          <cell r="K541" t="str">
            <v>Kế toán viên</v>
          </cell>
          <cell r="O541" t="str">
            <v>Anh B</v>
          </cell>
          <cell r="P541" t="str">
            <v>Tày</v>
          </cell>
          <cell r="Q541" t="str">
            <v>Cơ bản</v>
          </cell>
        </row>
        <row r="542">
          <cell r="B542" t="str">
            <v>BV0637</v>
          </cell>
          <cell r="C542" t="str">
            <v>Lê Thanh Tú</v>
          </cell>
          <cell r="D542" t="str">
            <v>BV0637</v>
          </cell>
          <cell r="E542" t="str">
            <v>x</v>
          </cell>
          <cell r="F542" t="str">
            <v>KTCĐ</v>
          </cell>
          <cell r="G542" t="str">
            <v>TĐ022</v>
          </cell>
          <cell r="H542" t="str">
            <v>CĐ TMDL Thái Nguyên</v>
          </cell>
          <cell r="I542">
            <v>2010</v>
          </cell>
          <cell r="J542" t="str">
            <v>Kế toán viên CĐ</v>
          </cell>
          <cell r="K542" t="str">
            <v>Kế toán viên</v>
          </cell>
          <cell r="O542" t="str">
            <v>Anh B</v>
          </cell>
          <cell r="Q542" t="str">
            <v>B</v>
          </cell>
        </row>
        <row r="543">
          <cell r="B543" t="str">
            <v>BV1004</v>
          </cell>
          <cell r="C543" t="str">
            <v>Nguyễn Duy Khánh</v>
          </cell>
          <cell r="D543" t="str">
            <v>BV1004</v>
          </cell>
          <cell r="F543" t="str">
            <v>KTCĐ</v>
          </cell>
          <cell r="G543" t="str">
            <v>TĐ022</v>
          </cell>
          <cell r="H543">
            <v>0</v>
          </cell>
          <cell r="I543">
            <v>0</v>
          </cell>
          <cell r="J543" t="str">
            <v>Kế toán viên CĐ</v>
          </cell>
          <cell r="K543" t="str">
            <v>Kế toán viên</v>
          </cell>
          <cell r="O543" t="str">
            <v>Anh B</v>
          </cell>
          <cell r="Q543" t="str">
            <v>B</v>
          </cell>
        </row>
        <row r="544">
          <cell r="B544" t="str">
            <v>BV0655</v>
          </cell>
          <cell r="C544" t="str">
            <v>Tô Thị Đại</v>
          </cell>
          <cell r="D544" t="str">
            <v>BV0655</v>
          </cell>
          <cell r="E544" t="str">
            <v>x</v>
          </cell>
          <cell r="F544" t="str">
            <v>KTTC</v>
          </cell>
          <cell r="G544" t="str">
            <v>TĐ023</v>
          </cell>
          <cell r="H544" t="str">
            <v>Trung cấp xây dựng HN</v>
          </cell>
          <cell r="I544">
            <v>2008</v>
          </cell>
          <cell r="J544" t="str">
            <v>Kế toán viên TC</v>
          </cell>
          <cell r="K544" t="str">
            <v>Kế toán viên</v>
          </cell>
          <cell r="O544" t="str">
            <v>Anh B</v>
          </cell>
          <cell r="Q544" t="str">
            <v>B</v>
          </cell>
        </row>
        <row r="545">
          <cell r="B545" t="str">
            <v>BV0652</v>
          </cell>
          <cell r="C545" t="str">
            <v>Lương Thị Hồng</v>
          </cell>
          <cell r="D545" t="str">
            <v>BV0652</v>
          </cell>
          <cell r="E545" t="str">
            <v>x</v>
          </cell>
          <cell r="F545" t="str">
            <v>KTTC</v>
          </cell>
          <cell r="G545" t="str">
            <v>TĐ023</v>
          </cell>
          <cell r="H545" t="str">
            <v>ĐH Thương Mại</v>
          </cell>
          <cell r="I545">
            <v>0</v>
          </cell>
          <cell r="J545" t="str">
            <v>Kế toán viên TC</v>
          </cell>
          <cell r="K545" t="str">
            <v>Kế toán viên</v>
          </cell>
          <cell r="O545" t="str">
            <v>Anh B</v>
          </cell>
          <cell r="Q545" t="str">
            <v>B</v>
          </cell>
        </row>
        <row r="546">
          <cell r="B546" t="str">
            <v>BV0649</v>
          </cell>
          <cell r="C546" t="str">
            <v>Hoàng Thị Thanh</v>
          </cell>
          <cell r="D546" t="str">
            <v>BV0649</v>
          </cell>
          <cell r="E546" t="str">
            <v>x</v>
          </cell>
          <cell r="F546" t="str">
            <v>KTTC</v>
          </cell>
          <cell r="G546" t="str">
            <v>TĐ023</v>
          </cell>
          <cell r="H546" t="e">
            <v>#N/A</v>
          </cell>
          <cell r="I546" t="e">
            <v>#N/A</v>
          </cell>
          <cell r="J546" t="str">
            <v>Kế toán viên TC</v>
          </cell>
        </row>
        <row r="547">
          <cell r="B547" t="str">
            <v>BV0768</v>
          </cell>
          <cell r="C547" t="str">
            <v>Nguyễn Thanh Huyền</v>
          </cell>
          <cell r="D547" t="str">
            <v>BV0768</v>
          </cell>
          <cell r="E547" t="str">
            <v>x</v>
          </cell>
          <cell r="F547" t="str">
            <v>Cử nhân QTKD</v>
          </cell>
          <cell r="G547" t="str">
            <v>TĐ024</v>
          </cell>
          <cell r="H547" t="e">
            <v>#N/A</v>
          </cell>
          <cell r="I547" t="e">
            <v>#N/A</v>
          </cell>
          <cell r="J547" t="str">
            <v>Chuyên viên</v>
          </cell>
          <cell r="K547" t="str">
            <v>Chuyên viên</v>
          </cell>
          <cell r="O547" t="str">
            <v>Anh C</v>
          </cell>
          <cell r="Q547" t="str">
            <v>B</v>
          </cell>
        </row>
        <row r="548">
          <cell r="B548" t="str">
            <v>BV0830</v>
          </cell>
          <cell r="C548" t="str">
            <v>Lê Thị Na</v>
          </cell>
          <cell r="D548" t="str">
            <v>BV0830</v>
          </cell>
          <cell r="E548" t="str">
            <v>x</v>
          </cell>
          <cell r="F548" t="str">
            <v>Cử nhân QTKD</v>
          </cell>
          <cell r="G548" t="str">
            <v>TĐ024</v>
          </cell>
          <cell r="H548">
            <v>0</v>
          </cell>
          <cell r="I548">
            <v>0</v>
          </cell>
          <cell r="J548" t="str">
            <v>Chuyên viên</v>
          </cell>
          <cell r="K548" t="str">
            <v>Chuyên viên</v>
          </cell>
          <cell r="O548" t="str">
            <v>Anh B</v>
          </cell>
          <cell r="Q548" t="str">
            <v>B</v>
          </cell>
        </row>
        <row r="549">
          <cell r="B549" t="str">
            <v>BV0891</v>
          </cell>
          <cell r="C549" t="str">
            <v>Ma Thùy Ninh</v>
          </cell>
          <cell r="D549" t="str">
            <v>BV0891</v>
          </cell>
          <cell r="E549" t="str">
            <v>x</v>
          </cell>
          <cell r="F549" t="str">
            <v>Cử nhân QTKD</v>
          </cell>
          <cell r="G549" t="str">
            <v>TĐ024</v>
          </cell>
          <cell r="H549">
            <v>0</v>
          </cell>
          <cell r="I549">
            <v>0</v>
          </cell>
          <cell r="J549" t="str">
            <v>Chuyên viên</v>
          </cell>
        </row>
        <row r="550">
          <cell r="B550" t="str">
            <v>BV0812</v>
          </cell>
          <cell r="C550" t="str">
            <v>Dương Huyền Nhi</v>
          </cell>
          <cell r="D550" t="str">
            <v>BV0812</v>
          </cell>
          <cell r="E550" t="str">
            <v>x</v>
          </cell>
          <cell r="F550" t="str">
            <v>Cử nhân TCNH</v>
          </cell>
          <cell r="G550" t="str">
            <v>TĐ025</v>
          </cell>
          <cell r="H550" t="str">
            <v>HV Tài chính</v>
          </cell>
          <cell r="I550">
            <v>2016</v>
          </cell>
          <cell r="J550" t="str">
            <v>Chuyên viên</v>
          </cell>
          <cell r="O550" t="str">
            <v>Anh B</v>
          </cell>
          <cell r="Q550" t="str">
            <v>B</v>
          </cell>
        </row>
        <row r="551">
          <cell r="B551" t="str">
            <v>BV0231</v>
          </cell>
          <cell r="C551" t="str">
            <v>Nguyễn Thị Hương</v>
          </cell>
          <cell r="D551" t="str">
            <v>BV0231</v>
          </cell>
          <cell r="E551" t="str">
            <v>x</v>
          </cell>
          <cell r="F551" t="str">
            <v>Điều dưỡng ĐH</v>
          </cell>
          <cell r="G551" t="str">
            <v>TĐ011</v>
          </cell>
          <cell r="H551" t="str">
            <v>CĐ Y tế Lang Sơn</v>
          </cell>
          <cell r="I551">
            <v>2009</v>
          </cell>
          <cell r="J551" t="str">
            <v>Điều dưỡng (hạng IV)</v>
          </cell>
          <cell r="P551" t="str">
            <v>Tày</v>
          </cell>
          <cell r="Q551" t="str">
            <v>Cơ bản</v>
          </cell>
        </row>
        <row r="552">
          <cell r="B552" t="str">
            <v>BV0669</v>
          </cell>
          <cell r="C552" t="str">
            <v>Lành Thị Điển</v>
          </cell>
          <cell r="D552" t="str">
            <v>BV0669</v>
          </cell>
          <cell r="E552" t="str">
            <v>x</v>
          </cell>
          <cell r="F552" t="str">
            <v>Điều dưỡng CĐ</v>
          </cell>
          <cell r="G552" t="str">
            <v>TĐ012</v>
          </cell>
          <cell r="H552" t="str">
            <v>Trung học Y tế LS</v>
          </cell>
          <cell r="I552">
            <v>1998</v>
          </cell>
          <cell r="J552" t="str">
            <v>Điều dưỡng (hạng IV)</v>
          </cell>
          <cell r="P552" t="str">
            <v>Tày</v>
          </cell>
        </row>
        <row r="553">
          <cell r="B553" t="str">
            <v>BV0667</v>
          </cell>
          <cell r="C553" t="str">
            <v>Phạm Thị Tú</v>
          </cell>
          <cell r="D553" t="str">
            <v>BV0667</v>
          </cell>
          <cell r="E553" t="str">
            <v>x</v>
          </cell>
          <cell r="F553" t="str">
            <v>KTY TC</v>
          </cell>
          <cell r="G553" t="str">
            <v>TĐ016</v>
          </cell>
          <cell r="H553" t="e">
            <v>#N/A</v>
          </cell>
          <cell r="I553" t="e">
            <v>#N/A</v>
          </cell>
          <cell r="J553" t="str">
            <v>Kỹ thuật y (hạng IV)</v>
          </cell>
          <cell r="P553" t="str">
            <v>Tày</v>
          </cell>
        </row>
        <row r="554">
          <cell r="B554" t="str">
            <v>BV0661</v>
          </cell>
          <cell r="C554" t="str">
            <v>Lưu Kim Phượng</v>
          </cell>
          <cell r="D554" t="str">
            <v>BV0661</v>
          </cell>
          <cell r="E554" t="str">
            <v>x</v>
          </cell>
          <cell r="F554" t="str">
            <v>ĐH tin học</v>
          </cell>
          <cell r="G554" t="str">
            <v>TĐ026</v>
          </cell>
          <cell r="H554">
            <v>0</v>
          </cell>
          <cell r="I554">
            <v>0</v>
          </cell>
          <cell r="J554" t="str">
            <v>Kỹ sư (hạng III)</v>
          </cell>
        </row>
        <row r="555">
          <cell r="B555" t="str">
            <v>BV0664</v>
          </cell>
          <cell r="C555" t="str">
            <v>Nguyễn Thị Mai</v>
          </cell>
          <cell r="D555" t="str">
            <v>BV0664</v>
          </cell>
          <cell r="E555" t="str">
            <v>x</v>
          </cell>
          <cell r="F555" t="str">
            <v>ĐH tin học</v>
          </cell>
          <cell r="G555" t="str">
            <v>TĐ026</v>
          </cell>
          <cell r="H555" t="str">
            <v>ĐH Thái Nguyên</v>
          </cell>
          <cell r="I555">
            <v>2008</v>
          </cell>
          <cell r="J555" t="str">
            <v>Chuyên viên</v>
          </cell>
          <cell r="P555" t="str">
            <v>Tày</v>
          </cell>
        </row>
        <row r="556">
          <cell r="B556" t="str">
            <v>BV0672</v>
          </cell>
          <cell r="C556" t="str">
            <v>Lục Thị Ngọc Hoài</v>
          </cell>
          <cell r="D556" t="str">
            <v>BV0672</v>
          </cell>
          <cell r="E556" t="str">
            <v>x</v>
          </cell>
          <cell r="F556" t="str">
            <v>YTCC</v>
          </cell>
          <cell r="G556" t="str">
            <v>TĐ036</v>
          </cell>
          <cell r="H556" t="str">
            <v>ĐH Y tế Công cộng</v>
          </cell>
          <cell r="I556">
            <v>2014</v>
          </cell>
          <cell r="J556" t="str">
            <v>Y tế công cộng (hạng III)</v>
          </cell>
          <cell r="M556" t="str">
            <v>x</v>
          </cell>
        </row>
        <row r="557">
          <cell r="B557" t="str">
            <v>BV0078</v>
          </cell>
          <cell r="C557" t="str">
            <v>Phạm Lan Anh</v>
          </cell>
          <cell r="D557" t="str">
            <v>BV0078</v>
          </cell>
          <cell r="E557" t="str">
            <v>x</v>
          </cell>
          <cell r="F557" t="str">
            <v>Điều dưỡng ĐH</v>
          </cell>
          <cell r="G557" t="str">
            <v>TĐ011</v>
          </cell>
          <cell r="H557" t="str">
            <v>Đại học Điều dưỡng Nam Định</v>
          </cell>
          <cell r="I557">
            <v>2012</v>
          </cell>
          <cell r="J557" t="str">
            <v>Điều dưỡng (hạng III)</v>
          </cell>
          <cell r="N557" t="str">
            <v>Trung cấp</v>
          </cell>
          <cell r="O557" t="str">
            <v>Anh B</v>
          </cell>
          <cell r="Q557" t="str">
            <v>B</v>
          </cell>
        </row>
        <row r="558">
          <cell r="B558" t="str">
            <v>BV0670</v>
          </cell>
          <cell r="C558" t="str">
            <v>Hoàng Thị Xuân</v>
          </cell>
          <cell r="D558" t="str">
            <v>BV0670</v>
          </cell>
          <cell r="E558" t="str">
            <v>x</v>
          </cell>
          <cell r="F558" t="str">
            <v>Điều dưỡng ĐH</v>
          </cell>
          <cell r="G558" t="str">
            <v>TĐ011</v>
          </cell>
          <cell r="H558" t="e">
            <v>#N/A</v>
          </cell>
          <cell r="I558" t="e">
            <v>#N/A</v>
          </cell>
          <cell r="J558" t="str">
            <v>Điều dưỡng (hạng III)</v>
          </cell>
          <cell r="M558" t="str">
            <v>x</v>
          </cell>
          <cell r="O558" t="str">
            <v>x</v>
          </cell>
          <cell r="Q558" t="str">
            <v>x</v>
          </cell>
        </row>
        <row r="559">
          <cell r="B559" t="str">
            <v>BV0382</v>
          </cell>
          <cell r="C559" t="str">
            <v>Vy Thị Hồng Thơ</v>
          </cell>
          <cell r="D559" t="str">
            <v>BV0382</v>
          </cell>
          <cell r="E559" t="str">
            <v>x</v>
          </cell>
          <cell r="F559" t="str">
            <v>Điều dưỡng CĐ</v>
          </cell>
          <cell r="G559" t="str">
            <v>TĐ012</v>
          </cell>
          <cell r="H559" t="str">
            <v>CĐ Y tế Lạng Sơn</v>
          </cell>
          <cell r="I559">
            <v>2018</v>
          </cell>
          <cell r="J559" t="str">
            <v>Điều dưỡng (hạng IV)</v>
          </cell>
          <cell r="O559" t="str">
            <v>Anh A2</v>
          </cell>
          <cell r="P559" t="str">
            <v>x</v>
          </cell>
          <cell r="Q559" t="str">
            <v>Cơ bản</v>
          </cell>
        </row>
        <row r="560">
          <cell r="B560" t="str">
            <v>BV0084</v>
          </cell>
          <cell r="C560" t="str">
            <v>Hoàng Thị Mai Anh</v>
          </cell>
          <cell r="D560" t="str">
            <v>BV0084</v>
          </cell>
          <cell r="E560" t="str">
            <v>x</v>
          </cell>
          <cell r="F560" t="str">
            <v>Điều dưỡng TC</v>
          </cell>
          <cell r="G560" t="str">
            <v>TĐ013</v>
          </cell>
          <cell r="H560" t="str">
            <v>CĐ Y tế Lạng Sơn</v>
          </cell>
          <cell r="I560">
            <v>2010</v>
          </cell>
          <cell r="J560" t="str">
            <v>Điều dưỡng (hạng IV)</v>
          </cell>
          <cell r="O560" t="str">
            <v>Anh B</v>
          </cell>
          <cell r="Q560" t="str">
            <v>Cơ bản</v>
          </cell>
        </row>
        <row r="561">
          <cell r="B561" t="str">
            <v>BV0675</v>
          </cell>
          <cell r="C561" t="str">
            <v>Phạm Thùy Linh</v>
          </cell>
          <cell r="D561" t="str">
            <v>BV0675</v>
          </cell>
          <cell r="E561" t="str">
            <v>x</v>
          </cell>
          <cell r="F561" t="str">
            <v>Cử nhân QHCC</v>
          </cell>
          <cell r="G561" t="str">
            <v>TĐ037</v>
          </cell>
          <cell r="H561" t="str">
            <v>Học viện Báo chí và truyên truyền</v>
          </cell>
          <cell r="I561">
            <v>2015</v>
          </cell>
          <cell r="J561" t="str">
            <v>Chuyên viên</v>
          </cell>
          <cell r="K561" t="str">
            <v>Chuyên viên</v>
          </cell>
          <cell r="N561" t="str">
            <v>Trung cấp</v>
          </cell>
          <cell r="O561" t="str">
            <v>Anh A2</v>
          </cell>
          <cell r="Q561" t="str">
            <v>Cơ bản</v>
          </cell>
        </row>
        <row r="562">
          <cell r="B562" t="str">
            <v>BV0831</v>
          </cell>
          <cell r="C562" t="str">
            <v>Nguyễn Thị Thanh Tuyền</v>
          </cell>
          <cell r="D562" t="str">
            <v>BV0831</v>
          </cell>
          <cell r="E562" t="str">
            <v>x</v>
          </cell>
          <cell r="F562" t="str">
            <v>Cử nhân XHH</v>
          </cell>
          <cell r="G562" t="str">
            <v>TĐ038</v>
          </cell>
          <cell r="H562" t="e">
            <v>#N/A</v>
          </cell>
          <cell r="I562" t="e">
            <v>#N/A</v>
          </cell>
          <cell r="J562" t="str">
            <v>Chuyên viên</v>
          </cell>
          <cell r="K562" t="str">
            <v>Chuyên viên</v>
          </cell>
          <cell r="O562" t="str">
            <v>B</v>
          </cell>
          <cell r="Q562" t="str">
            <v>B</v>
          </cell>
        </row>
        <row r="563">
          <cell r="B563" t="str">
            <v>BV0832</v>
          </cell>
          <cell r="C563" t="str">
            <v>Nguyễn Thị Hà Thu</v>
          </cell>
          <cell r="D563" t="str">
            <v>BV0832</v>
          </cell>
          <cell r="E563" t="str">
            <v>x</v>
          </cell>
          <cell r="F563" t="str">
            <v>Cử nhân Báo chí</v>
          </cell>
          <cell r="G563" t="str">
            <v>TĐ039</v>
          </cell>
          <cell r="H563" t="str">
            <v>ĐH Báo Chí</v>
          </cell>
          <cell r="I563">
            <v>2016</v>
          </cell>
          <cell r="J563" t="str">
            <v>Chuyên viên</v>
          </cell>
          <cell r="K563" t="str">
            <v>Chuyên viên</v>
          </cell>
          <cell r="O563" t="str">
            <v>B</v>
          </cell>
          <cell r="Q563" t="str">
            <v>B</v>
          </cell>
        </row>
        <row r="564">
          <cell r="B564" t="str">
            <v>BV0668</v>
          </cell>
          <cell r="C564" t="str">
            <v>Trần Thị Bích</v>
          </cell>
          <cell r="D564" t="str">
            <v>BV0668</v>
          </cell>
          <cell r="E564" t="str">
            <v>x</v>
          </cell>
          <cell r="F564" t="str">
            <v>Điều dưỡng CĐ</v>
          </cell>
          <cell r="G564" t="str">
            <v>TĐ012</v>
          </cell>
          <cell r="H564" t="str">
            <v>Trung học Y tế Lạng Sơn</v>
          </cell>
          <cell r="I564">
            <v>2003</v>
          </cell>
          <cell r="J564" t="str">
            <v>Điều dưỡng (hạng IV)</v>
          </cell>
        </row>
        <row r="565">
          <cell r="B565" t="str">
            <v>BV0673</v>
          </cell>
          <cell r="C565" t="str">
            <v>Dương Thần Trưởng</v>
          </cell>
          <cell r="D565" t="str">
            <v>BV0673</v>
          </cell>
          <cell r="F565" t="str">
            <v>YTCC</v>
          </cell>
          <cell r="G565" t="str">
            <v>TĐ036</v>
          </cell>
          <cell r="H565" t="str">
            <v>ĐH Y tế Công cộng</v>
          </cell>
          <cell r="I565">
            <v>2015</v>
          </cell>
          <cell r="J565" t="str">
            <v>Y tế công cộng (hạng III)</v>
          </cell>
          <cell r="M565" t="str">
            <v>x</v>
          </cell>
        </row>
        <row r="566">
          <cell r="B566" t="str">
            <v>BV0247</v>
          </cell>
          <cell r="C566" t="str">
            <v>Đặng Thị Thơm</v>
          </cell>
          <cell r="D566" t="str">
            <v>BV0247</v>
          </cell>
          <cell r="E566" t="str">
            <v>x</v>
          </cell>
          <cell r="F566" t="str">
            <v>BSCKI</v>
          </cell>
          <cell r="G566" t="str">
            <v>TĐ003</v>
          </cell>
          <cell r="H566" t="str">
            <v>Đại học Y Hà Nội</v>
          </cell>
          <cell r="I566">
            <v>2018</v>
          </cell>
          <cell r="J566" t="str">
            <v>Bác sĩ (hạng III)</v>
          </cell>
          <cell r="M566" t="str">
            <v>x</v>
          </cell>
        </row>
        <row r="567">
          <cell r="B567" t="str">
            <v>BV0225</v>
          </cell>
          <cell r="C567" t="str">
            <v>Hà Thị Thanh</v>
          </cell>
          <cell r="D567" t="str">
            <v>BV0225</v>
          </cell>
          <cell r="E567" t="str">
            <v>x</v>
          </cell>
          <cell r="F567" t="str">
            <v>Điều dưỡng TC</v>
          </cell>
          <cell r="G567" t="str">
            <v>TĐ013</v>
          </cell>
          <cell r="H567" t="str">
            <v>CĐ Y tế Lạng Sơn</v>
          </cell>
          <cell r="I567">
            <v>2008</v>
          </cell>
          <cell r="J567" t="str">
            <v>Điều dưỡng (hạng IV)</v>
          </cell>
          <cell r="O567" t="str">
            <v>Anh B</v>
          </cell>
          <cell r="Q567" t="str">
            <v>Cơ bản</v>
          </cell>
        </row>
        <row r="568">
          <cell r="B568" t="str">
            <v>BV0829</v>
          </cell>
          <cell r="C568" t="str">
            <v>Hoàng Bảo Vượng</v>
          </cell>
          <cell r="D568" t="str">
            <v>BV0829</v>
          </cell>
          <cell r="F568" t="str">
            <v>YTCC</v>
          </cell>
          <cell r="G568" t="str">
            <v>TĐ036</v>
          </cell>
          <cell r="H568" t="str">
            <v>ĐH Y tế Công cộng</v>
          </cell>
          <cell r="I568">
            <v>2016</v>
          </cell>
          <cell r="J568" t="str">
            <v>Y tế công cộng (hạng III)</v>
          </cell>
        </row>
        <row r="569">
          <cell r="B569" t="str">
            <v>BV0659</v>
          </cell>
          <cell r="C569" t="str">
            <v>Lâm An Biên</v>
          </cell>
          <cell r="D569" t="str">
            <v>BV0659</v>
          </cell>
          <cell r="F569" t="str">
            <v>ĐH tin học</v>
          </cell>
          <cell r="G569" t="str">
            <v>TĐ026</v>
          </cell>
          <cell r="H569" t="str">
            <v>ĐH Mở Hà Nội</v>
          </cell>
          <cell r="I569">
            <v>2008</v>
          </cell>
          <cell r="J569" t="str">
            <v>Kỹ sư (hạng III)</v>
          </cell>
          <cell r="L569" t="str">
            <v>Chuyên viên</v>
          </cell>
          <cell r="M569" t="str">
            <v>QLBV</v>
          </cell>
          <cell r="N569" t="str">
            <v>TC</v>
          </cell>
          <cell r="O569" t="str">
            <v>B</v>
          </cell>
          <cell r="Q569" t="str">
            <v>Đại học</v>
          </cell>
        </row>
        <row r="570">
          <cell r="B570" t="str">
            <v>BV0663</v>
          </cell>
          <cell r="C570" t="str">
            <v>Nguyễn Thiện An</v>
          </cell>
          <cell r="D570" t="str">
            <v>BV0663</v>
          </cell>
          <cell r="F570" t="str">
            <v>ĐH tin học</v>
          </cell>
          <cell r="G570" t="str">
            <v>TĐ026</v>
          </cell>
          <cell r="H570" t="str">
            <v>ĐH Bách Khoa Nà Nẵng</v>
          </cell>
          <cell r="I570">
            <v>2008</v>
          </cell>
          <cell r="J570" t="str">
            <v>Kỹ sư (hạng III)</v>
          </cell>
          <cell r="M570" t="str">
            <v>x</v>
          </cell>
          <cell r="N570" t="str">
            <v>Sơ cấp</v>
          </cell>
          <cell r="O570" t="str">
            <v>A2</v>
          </cell>
          <cell r="Q570" t="str">
            <v>Đại học</v>
          </cell>
        </row>
        <row r="571">
          <cell r="B571" t="str">
            <v>BV0660</v>
          </cell>
          <cell r="C571" t="str">
            <v>Hoàng Đình Dũng</v>
          </cell>
          <cell r="D571" t="str">
            <v>BV0660</v>
          </cell>
          <cell r="F571" t="str">
            <v>ĐH tin học</v>
          </cell>
          <cell r="G571" t="str">
            <v>TĐ026</v>
          </cell>
          <cell r="H571" t="str">
            <v>ĐH Công nghệ thông tin Thái Nguyên</v>
          </cell>
          <cell r="I571">
            <v>2007</v>
          </cell>
          <cell r="J571" t="str">
            <v>Kỹ sư (hạng III)</v>
          </cell>
          <cell r="N571" t="str">
            <v>Sơ cấp</v>
          </cell>
          <cell r="O571" t="str">
            <v>C</v>
          </cell>
          <cell r="Q571" t="str">
            <v>Đại học</v>
          </cell>
        </row>
        <row r="572">
          <cell r="B572" t="str">
            <v>BV0662</v>
          </cell>
          <cell r="C572" t="str">
            <v>Nông Hoàng Phương</v>
          </cell>
          <cell r="D572" t="str">
            <v>BV0662</v>
          </cell>
          <cell r="F572" t="str">
            <v>ĐH tin học</v>
          </cell>
          <cell r="G572" t="str">
            <v>TĐ026</v>
          </cell>
          <cell r="H572" t="str">
            <v>ĐH Quốc gia TPHCM</v>
          </cell>
          <cell r="I572">
            <v>2009</v>
          </cell>
          <cell r="J572" t="str">
            <v>Kỹ sư (hạng III)</v>
          </cell>
          <cell r="N572" t="str">
            <v>Sơ cấp</v>
          </cell>
          <cell r="O572" t="str">
            <v>B</v>
          </cell>
          <cell r="Q572" t="str">
            <v>Đại học</v>
          </cell>
        </row>
        <row r="573">
          <cell r="B573" t="str">
            <v>BV1066</v>
          </cell>
          <cell r="C573" t="str">
            <v>Hoàng Thế Lâm</v>
          </cell>
          <cell r="D573" t="str">
            <v>BV1066</v>
          </cell>
          <cell r="F573" t="str">
            <v>ĐH tin học</v>
          </cell>
          <cell r="G573" t="str">
            <v>TĐ026</v>
          </cell>
          <cell r="H573">
            <v>0</v>
          </cell>
          <cell r="I573">
            <v>0</v>
          </cell>
          <cell r="J573" t="str">
            <v>Chuyên viên</v>
          </cell>
          <cell r="O573" t="str">
            <v>B</v>
          </cell>
          <cell r="Q573" t="str">
            <v>Đại học</v>
          </cell>
        </row>
        <row r="574">
          <cell r="B574" t="str">
            <v>BV0665</v>
          </cell>
          <cell r="C574" t="str">
            <v>Nguyễn Việt Hà</v>
          </cell>
          <cell r="D574" t="str">
            <v>BV0665</v>
          </cell>
          <cell r="F574" t="str">
            <v>CĐ tin học</v>
          </cell>
          <cell r="G574" t="str">
            <v>TĐ027</v>
          </cell>
          <cell r="H574" t="str">
            <v>ĐH Công nghệ Thông tin và Truyền thông</v>
          </cell>
          <cell r="I574">
            <v>2012</v>
          </cell>
          <cell r="J574" t="str">
            <v>Cán sự</v>
          </cell>
          <cell r="L574" t="str">
            <v>Chuyên viên</v>
          </cell>
          <cell r="Q574" t="str">
            <v>Đại học</v>
          </cell>
        </row>
        <row r="575">
          <cell r="B575" t="str">
            <v>BV0853</v>
          </cell>
          <cell r="C575" t="str">
            <v>Đặng Huy Đức</v>
          </cell>
          <cell r="D575" t="str">
            <v>BV0853</v>
          </cell>
          <cell r="F575" t="str">
            <v>Kỹ sư</v>
          </cell>
          <cell r="G575" t="str">
            <v>TĐ029</v>
          </cell>
          <cell r="H575">
            <v>0</v>
          </cell>
          <cell r="I575">
            <v>0</v>
          </cell>
          <cell r="J575" t="str">
            <v>Kỹ sư (hạng III)</v>
          </cell>
          <cell r="N575" t="str">
            <v>Sơ cấp</v>
          </cell>
          <cell r="Q575" t="str">
            <v>Đại học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9A5E-2BB6-4214-BA52-739B8C987AF8}">
  <dimension ref="A1:BD855"/>
  <sheetViews>
    <sheetView tabSelected="1" topLeftCell="A445" zoomScale="70" zoomScaleNormal="70" workbookViewId="0">
      <selection activeCell="E450" sqref="E450"/>
    </sheetView>
  </sheetViews>
  <sheetFormatPr defaultRowHeight="14.4" x14ac:dyDescent="0.3"/>
  <cols>
    <col min="1" max="2" width="9" bestFit="1" customWidth="1"/>
    <col min="3" max="3" width="28.5546875" customWidth="1"/>
    <col min="4" max="4" width="9" bestFit="1" customWidth="1"/>
    <col min="5" max="6" width="12.21875" bestFit="1" customWidth="1"/>
    <col min="7" max="7" width="18.109375" customWidth="1"/>
    <col min="8" max="8" width="9" bestFit="1" customWidth="1"/>
    <col min="9" max="9" width="10.88671875" bestFit="1" customWidth="1"/>
    <col min="10" max="10" width="15.5546875" customWidth="1"/>
    <col min="11" max="11" width="9" bestFit="1" customWidth="1"/>
    <col min="12" max="12" width="11.21875" bestFit="1" customWidth="1"/>
    <col min="13" max="37" width="9" bestFit="1" customWidth="1"/>
    <col min="39" max="56" width="9" bestFit="1" customWidth="1"/>
  </cols>
  <sheetData>
    <row r="1" spans="1:56" ht="15.6" x14ac:dyDescent="0.3">
      <c r="A1" s="1" t="s">
        <v>0</v>
      </c>
      <c r="B1" s="2"/>
      <c r="C1" s="3"/>
      <c r="D1" s="2"/>
      <c r="E1" s="2"/>
      <c r="F1" s="2"/>
      <c r="G1" s="4"/>
      <c r="H1" s="3"/>
      <c r="I1" s="3"/>
      <c r="J1" s="3"/>
      <c r="K1" s="3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5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1"/>
      <c r="AZ1" s="6"/>
      <c r="BA1" s="6"/>
      <c r="BB1" s="6"/>
      <c r="BC1" s="7"/>
      <c r="BD1" s="6"/>
    </row>
    <row r="2" spans="1:56" ht="132" x14ac:dyDescent="0.3">
      <c r="A2" s="8" t="s">
        <v>1</v>
      </c>
      <c r="B2" s="9" t="s">
        <v>2</v>
      </c>
      <c r="C2" s="9" t="s">
        <v>3</v>
      </c>
      <c r="D2" s="9" t="s">
        <v>1</v>
      </c>
      <c r="E2" s="10" t="s">
        <v>4</v>
      </c>
      <c r="F2" s="10"/>
      <c r="G2" s="11" t="s">
        <v>5</v>
      </c>
      <c r="H2" s="12" t="s">
        <v>6</v>
      </c>
      <c r="I2" s="13"/>
      <c r="J2" s="14">
        <f ca="1">TODAY()</f>
        <v>46236</v>
      </c>
      <c r="K2" s="15" t="s">
        <v>7</v>
      </c>
      <c r="L2" s="16"/>
      <c r="M2" s="16"/>
      <c r="N2" s="17"/>
      <c r="O2" s="15" t="s">
        <v>8</v>
      </c>
      <c r="P2" s="16"/>
      <c r="Q2" s="16"/>
      <c r="R2" s="15" t="s">
        <v>9</v>
      </c>
      <c r="S2" s="16"/>
      <c r="T2" s="16"/>
      <c r="U2" s="16"/>
      <c r="V2" s="18"/>
      <c r="W2" s="19" t="s">
        <v>10</v>
      </c>
      <c r="X2" s="19"/>
      <c r="Y2" s="18"/>
      <c r="Z2" s="18"/>
      <c r="AA2" s="20" t="s">
        <v>11</v>
      </c>
      <c r="AB2" s="21"/>
      <c r="AC2" s="22" t="s">
        <v>12</v>
      </c>
      <c r="AD2" s="18"/>
      <c r="AE2" s="18"/>
      <c r="AF2" s="23" t="s">
        <v>13</v>
      </c>
      <c r="AG2" s="23"/>
      <c r="AH2" s="17"/>
      <c r="AI2" s="23"/>
      <c r="AJ2" s="23"/>
      <c r="AK2" s="23"/>
      <c r="AL2" s="22" t="s">
        <v>14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18"/>
      <c r="AY2" s="18" t="s">
        <v>15</v>
      </c>
      <c r="AZ2" s="22" t="s">
        <v>16</v>
      </c>
      <c r="BA2" s="22"/>
      <c r="BB2" s="22"/>
      <c r="BC2" s="24"/>
      <c r="BD2" s="25" t="s">
        <v>17</v>
      </c>
    </row>
    <row r="3" spans="1:56" ht="55.2" x14ac:dyDescent="0.3">
      <c r="A3" s="8"/>
      <c r="B3" s="9"/>
      <c r="C3" s="9"/>
      <c r="D3" s="9"/>
      <c r="E3" s="26"/>
      <c r="F3" s="27" t="s">
        <v>18</v>
      </c>
      <c r="G3" s="16"/>
      <c r="H3" s="28" t="s">
        <v>19</v>
      </c>
      <c r="I3" s="28" t="s">
        <v>20</v>
      </c>
      <c r="J3" s="29" t="s">
        <v>21</v>
      </c>
      <c r="K3" s="30" t="s">
        <v>22</v>
      </c>
      <c r="L3" s="31" t="s">
        <v>23</v>
      </c>
      <c r="M3" s="31" t="s">
        <v>24</v>
      </c>
      <c r="N3" s="29" t="s">
        <v>25</v>
      </c>
      <c r="O3" s="32" t="s">
        <v>26</v>
      </c>
      <c r="P3" s="33" t="s">
        <v>27</v>
      </c>
      <c r="Q3" s="33" t="s">
        <v>28</v>
      </c>
      <c r="R3" s="31" t="s">
        <v>29</v>
      </c>
      <c r="S3" s="33" t="s">
        <v>26</v>
      </c>
      <c r="T3" s="33" t="s">
        <v>27</v>
      </c>
      <c r="U3" s="33" t="s">
        <v>28</v>
      </c>
      <c r="V3" s="31" t="s">
        <v>30</v>
      </c>
      <c r="W3" s="19"/>
      <c r="X3" s="19"/>
      <c r="Y3" s="34" t="s">
        <v>31</v>
      </c>
      <c r="Z3" s="34" t="s">
        <v>32</v>
      </c>
      <c r="AA3" s="20"/>
      <c r="AB3" s="21"/>
      <c r="AC3" s="22"/>
      <c r="AD3" s="18" t="s">
        <v>33</v>
      </c>
      <c r="AE3" s="18" t="s">
        <v>34</v>
      </c>
      <c r="AF3" s="35" t="s">
        <v>35</v>
      </c>
      <c r="AG3" s="36" t="s">
        <v>36</v>
      </c>
      <c r="AH3" s="29" t="s">
        <v>37</v>
      </c>
      <c r="AI3" s="36" t="s">
        <v>38</v>
      </c>
      <c r="AJ3" s="37" t="s">
        <v>39</v>
      </c>
      <c r="AK3" s="36" t="s">
        <v>40</v>
      </c>
      <c r="AL3" s="36" t="s">
        <v>14</v>
      </c>
      <c r="AM3" s="31" t="s">
        <v>41</v>
      </c>
      <c r="AN3" s="31" t="s">
        <v>42</v>
      </c>
      <c r="AO3" s="38" t="s">
        <v>43</v>
      </c>
      <c r="AP3" s="38" t="s">
        <v>44</v>
      </c>
      <c r="AQ3" s="39" t="s">
        <v>45</v>
      </c>
      <c r="AR3" s="31" t="s">
        <v>46</v>
      </c>
      <c r="AS3" s="31" t="s">
        <v>47</v>
      </c>
      <c r="AT3" s="31" t="s">
        <v>48</v>
      </c>
      <c r="AU3" s="31" t="s">
        <v>49</v>
      </c>
      <c r="AV3" s="31" t="s">
        <v>50</v>
      </c>
      <c r="AW3" s="31" t="s">
        <v>51</v>
      </c>
      <c r="AX3" s="31" t="s">
        <v>52</v>
      </c>
      <c r="AY3" s="18"/>
      <c r="AZ3" s="22"/>
      <c r="BA3" s="18" t="s">
        <v>53</v>
      </c>
      <c r="BB3" s="18" t="s">
        <v>54</v>
      </c>
      <c r="BC3" s="40" t="s">
        <v>23</v>
      </c>
      <c r="BD3" s="25"/>
    </row>
    <row r="4" spans="1:56" x14ac:dyDescent="0.3">
      <c r="A4" s="41">
        <v>1</v>
      </c>
      <c r="B4" s="42">
        <v>2</v>
      </c>
      <c r="C4" s="43" t="s">
        <v>55</v>
      </c>
      <c r="D4" s="42">
        <v>4</v>
      </c>
      <c r="E4" s="43">
        <v>5</v>
      </c>
      <c r="F4" s="42">
        <v>6</v>
      </c>
      <c r="G4" s="43" t="s">
        <v>56</v>
      </c>
      <c r="H4" s="42">
        <v>8</v>
      </c>
      <c r="I4" s="43">
        <v>9</v>
      </c>
      <c r="J4" s="42">
        <v>10</v>
      </c>
      <c r="K4" s="43">
        <v>11</v>
      </c>
      <c r="L4" s="42">
        <v>12</v>
      </c>
      <c r="M4" s="44">
        <v>13</v>
      </c>
      <c r="N4" s="42">
        <v>14</v>
      </c>
      <c r="O4" s="43">
        <v>15</v>
      </c>
      <c r="P4" s="42">
        <v>16</v>
      </c>
      <c r="Q4" s="43">
        <v>17</v>
      </c>
      <c r="R4" s="42">
        <v>18</v>
      </c>
      <c r="S4" s="43">
        <v>19</v>
      </c>
      <c r="T4" s="42">
        <v>20</v>
      </c>
      <c r="U4" s="43">
        <v>21</v>
      </c>
      <c r="V4" s="42">
        <v>22</v>
      </c>
      <c r="W4" s="43">
        <v>23</v>
      </c>
      <c r="X4" s="42">
        <v>24</v>
      </c>
      <c r="Y4" s="43">
        <v>25</v>
      </c>
      <c r="Z4" s="42">
        <v>26</v>
      </c>
      <c r="AA4" s="43">
        <v>27</v>
      </c>
      <c r="AB4" s="42">
        <v>28</v>
      </c>
      <c r="AC4" s="43">
        <v>29</v>
      </c>
      <c r="AD4" s="42">
        <v>30</v>
      </c>
      <c r="AE4" s="43">
        <v>31</v>
      </c>
      <c r="AF4" s="42">
        <v>32</v>
      </c>
      <c r="AG4" s="43">
        <v>33</v>
      </c>
      <c r="AH4" s="45">
        <v>34</v>
      </c>
      <c r="AI4" s="43">
        <v>35</v>
      </c>
      <c r="AJ4" s="42">
        <v>36</v>
      </c>
      <c r="AK4" s="43">
        <v>37</v>
      </c>
      <c r="AL4" s="43"/>
      <c r="AM4" s="42">
        <v>38</v>
      </c>
      <c r="AN4" s="43">
        <v>39</v>
      </c>
      <c r="AO4" s="42">
        <v>40</v>
      </c>
      <c r="AP4" s="43">
        <v>41</v>
      </c>
      <c r="AQ4" s="42">
        <v>42</v>
      </c>
      <c r="AR4" s="43">
        <v>43</v>
      </c>
      <c r="AS4" s="42">
        <v>44</v>
      </c>
      <c r="AT4" s="43">
        <v>45</v>
      </c>
      <c r="AU4" s="42">
        <v>46</v>
      </c>
      <c r="AV4" s="43">
        <v>47</v>
      </c>
      <c r="AW4" s="42">
        <v>48</v>
      </c>
      <c r="AX4" s="43">
        <v>49</v>
      </c>
      <c r="AY4" s="42">
        <v>50</v>
      </c>
      <c r="AZ4" s="43">
        <v>51</v>
      </c>
      <c r="BA4" s="42">
        <v>52</v>
      </c>
      <c r="BB4" s="43">
        <v>53</v>
      </c>
      <c r="BC4" s="42">
        <v>54</v>
      </c>
      <c r="BD4" s="43">
        <v>55</v>
      </c>
    </row>
    <row r="5" spans="1:56" x14ac:dyDescent="0.3">
      <c r="A5" s="46"/>
      <c r="B5" s="47" t="s">
        <v>57</v>
      </c>
      <c r="C5" s="48" t="s">
        <v>58</v>
      </c>
      <c r="D5" s="47"/>
      <c r="E5" s="49"/>
      <c r="F5" s="49"/>
      <c r="G5" s="49"/>
      <c r="H5" s="50"/>
      <c r="I5" s="51"/>
      <c r="J5" s="52"/>
      <c r="K5" s="41"/>
      <c r="L5" s="42"/>
      <c r="M5" s="53"/>
      <c r="N5" s="52"/>
      <c r="O5" s="54"/>
      <c r="P5" s="51"/>
      <c r="Q5" s="51"/>
      <c r="R5" s="51"/>
      <c r="S5" s="51"/>
      <c r="T5" s="51"/>
      <c r="U5" s="51"/>
      <c r="V5" s="51"/>
      <c r="W5" s="55"/>
      <c r="X5" s="41"/>
      <c r="Y5" s="41"/>
      <c r="Z5" s="41"/>
      <c r="AA5" s="42"/>
      <c r="AB5" s="42"/>
      <c r="AC5" s="42"/>
      <c r="AD5" s="42"/>
      <c r="AE5" s="42"/>
      <c r="AF5" s="41"/>
      <c r="AG5" s="42"/>
      <c r="AH5" s="45"/>
      <c r="AI5" s="47"/>
      <c r="AJ5" s="47"/>
      <c r="AK5" s="47"/>
      <c r="AL5" s="47"/>
      <c r="AM5" s="56"/>
      <c r="AN5" s="56"/>
      <c r="AO5" s="56"/>
      <c r="AP5" s="56"/>
      <c r="AQ5" s="56"/>
      <c r="AR5" s="47"/>
      <c r="AS5" s="47"/>
      <c r="AT5" s="47"/>
      <c r="AU5" s="47"/>
      <c r="AV5" s="47"/>
      <c r="AW5" s="47"/>
      <c r="AX5" s="47"/>
      <c r="AY5" s="57"/>
      <c r="AZ5" s="58"/>
      <c r="BA5" s="58"/>
      <c r="BB5" s="58"/>
      <c r="BC5" s="46"/>
      <c r="BD5" s="47"/>
    </row>
    <row r="6" spans="1:56" x14ac:dyDescent="0.3">
      <c r="A6" s="59"/>
      <c r="B6" s="48" t="s">
        <v>59</v>
      </c>
      <c r="C6" s="60" t="s">
        <v>60</v>
      </c>
      <c r="D6" s="59"/>
      <c r="E6" s="49"/>
      <c r="F6" s="49"/>
      <c r="G6" s="49"/>
      <c r="H6" s="50"/>
      <c r="I6" s="51"/>
      <c r="J6" s="52"/>
      <c r="K6" s="41"/>
      <c r="L6" s="42"/>
      <c r="M6" s="53"/>
      <c r="N6" s="52"/>
      <c r="O6" s="54"/>
      <c r="P6" s="51"/>
      <c r="Q6" s="51"/>
      <c r="R6" s="51"/>
      <c r="S6" s="51"/>
      <c r="T6" s="51"/>
      <c r="U6" s="51"/>
      <c r="V6" s="51"/>
      <c r="W6" s="55"/>
      <c r="X6" s="41"/>
      <c r="Y6" s="41"/>
      <c r="Z6" s="41"/>
      <c r="AA6" s="42"/>
      <c r="AB6" s="42"/>
      <c r="AC6" s="42"/>
      <c r="AD6" s="42"/>
      <c r="AE6" s="42"/>
      <c r="AF6" s="41"/>
      <c r="AG6" s="42"/>
      <c r="AH6" s="45"/>
      <c r="AI6" s="47"/>
      <c r="AJ6" s="47"/>
      <c r="AK6" s="47"/>
      <c r="AL6" s="47"/>
      <c r="AM6" s="56"/>
      <c r="AN6" s="56"/>
      <c r="AO6" s="56"/>
      <c r="AP6" s="56"/>
      <c r="AQ6" s="56"/>
      <c r="AR6" s="47"/>
      <c r="AS6" s="47"/>
      <c r="AT6" s="47"/>
      <c r="AU6" s="47"/>
      <c r="AV6" s="47"/>
      <c r="AW6" s="47"/>
      <c r="AX6" s="47"/>
      <c r="AY6" s="57"/>
      <c r="AZ6" s="58"/>
      <c r="BA6" s="58"/>
      <c r="BB6" s="58"/>
      <c r="BC6" s="61" t="s">
        <v>61</v>
      </c>
      <c r="BD6" s="62"/>
    </row>
    <row r="7" spans="1:56" ht="51" x14ac:dyDescent="0.3">
      <c r="A7" s="47" t="s">
        <v>62</v>
      </c>
      <c r="B7" s="42">
        <f t="shared" ref="B7:B261" si="0">ROW()-6</f>
        <v>1</v>
      </c>
      <c r="C7" s="63" t="s">
        <v>63</v>
      </c>
      <c r="D7" s="47" t="s">
        <v>62</v>
      </c>
      <c r="E7" s="61" t="s">
        <v>64</v>
      </c>
      <c r="F7" s="64"/>
      <c r="G7" s="49"/>
      <c r="H7" s="65">
        <v>26293</v>
      </c>
      <c r="I7" s="65"/>
      <c r="J7" s="66">
        <f t="shared" ref="J7:J11" ca="1" si="1">INT(DATEDIF(H7,$J$2,"d")/365)</f>
        <v>54</v>
      </c>
      <c r="K7" s="46" t="s">
        <v>65</v>
      </c>
      <c r="L7" s="46" t="s">
        <v>66</v>
      </c>
      <c r="M7" s="53" t="s">
        <v>67</v>
      </c>
      <c r="N7" s="52" t="s">
        <v>68</v>
      </c>
      <c r="O7" s="56" t="s">
        <v>69</v>
      </c>
      <c r="P7" s="47" t="s">
        <v>70</v>
      </c>
      <c r="Q7" s="47" t="s">
        <v>71</v>
      </c>
      <c r="R7" s="47" t="s">
        <v>72</v>
      </c>
      <c r="S7" s="47" t="s">
        <v>73</v>
      </c>
      <c r="T7" s="47" t="s">
        <v>74</v>
      </c>
      <c r="U7" s="47" t="s">
        <v>71</v>
      </c>
      <c r="V7" s="42" t="s">
        <v>75</v>
      </c>
      <c r="W7" s="67" t="s">
        <v>76</v>
      </c>
      <c r="X7" s="46" t="s">
        <v>76</v>
      </c>
      <c r="Y7" s="42"/>
      <c r="Z7" s="46"/>
      <c r="AA7" s="68" t="str">
        <f>VLOOKUP(A7,'[1]DANH SÁCH'!$B$8:$AD$841,12,0)</f>
        <v>Giám đốc</v>
      </c>
      <c r="AB7" s="49" t="str">
        <f>VLOOKUP(A7,'[1]DANH SÁCH'!$B$8:$H$841,6,0)</f>
        <v>TĐ001</v>
      </c>
      <c r="AC7" s="69" t="s">
        <v>77</v>
      </c>
      <c r="AD7" s="69" t="s">
        <v>78</v>
      </c>
      <c r="AE7" s="69" t="str">
        <f>VLOOKUP(A7,'[1]DANH SÁCH'!$B$8:$AD$841,13,0)</f>
        <v>Viên chức</v>
      </c>
      <c r="AF7" s="41" t="s">
        <v>79</v>
      </c>
      <c r="AG7" s="42" t="str">
        <f>VLOOKUP(A7,'[1]DANH SÁCH'!$B$8:$H$841,7,0)</f>
        <v>Bác sĩ chính (hạng II)</v>
      </c>
      <c r="AH7" s="45">
        <v>6.1</v>
      </c>
      <c r="AI7" s="42">
        <v>6</v>
      </c>
      <c r="AJ7" s="70">
        <v>0</v>
      </c>
      <c r="AK7" s="69">
        <v>45139</v>
      </c>
      <c r="AL7" s="71" t="s">
        <v>80</v>
      </c>
      <c r="AM7" s="53" t="str">
        <f>VLOOKUP(A7,'[1]DANH SÁCH'!$B$8:$F$841,5,0)</f>
        <v>BSCKII</v>
      </c>
      <c r="AN7" s="53" t="s">
        <v>81</v>
      </c>
      <c r="AO7" s="53"/>
      <c r="AP7" s="53"/>
      <c r="AQ7" s="72"/>
      <c r="AR7" s="42" t="s">
        <v>82</v>
      </c>
      <c r="AS7" s="47"/>
      <c r="AT7" s="47" t="s">
        <v>83</v>
      </c>
      <c r="AU7" s="42" t="s">
        <v>84</v>
      </c>
      <c r="AV7" s="47" t="s">
        <v>85</v>
      </c>
      <c r="AW7" s="47" t="s">
        <v>86</v>
      </c>
      <c r="AX7" s="47"/>
      <c r="AY7" s="73" t="s">
        <v>87</v>
      </c>
      <c r="AZ7" s="65">
        <v>38552</v>
      </c>
      <c r="BA7" s="74" t="e">
        <f t="shared" ref="BA7:BA27" si="2">VLOOKUP(A7,#REF!,4,0)</f>
        <v>#REF!</v>
      </c>
      <c r="BB7" s="74" t="e">
        <f t="shared" ref="BB7:BB27" si="3">VLOOKUP(A7,#REF!,5,0)</f>
        <v>#REF!</v>
      </c>
      <c r="BC7" s="7"/>
      <c r="BD7" s="6"/>
    </row>
    <row r="8" spans="1:56" ht="61.2" x14ac:dyDescent="0.3">
      <c r="A8" s="41" t="s">
        <v>88</v>
      </c>
      <c r="B8" s="42">
        <f t="shared" si="0"/>
        <v>2</v>
      </c>
      <c r="C8" s="68" t="s">
        <v>89</v>
      </c>
      <c r="D8" s="41" t="s">
        <v>88</v>
      </c>
      <c r="E8" s="75">
        <v>2008000157</v>
      </c>
      <c r="F8" s="49"/>
      <c r="G8" s="49"/>
      <c r="H8" s="76">
        <v>30552</v>
      </c>
      <c r="I8" s="76"/>
      <c r="J8" s="66">
        <f t="shared" ca="1" si="1"/>
        <v>42</v>
      </c>
      <c r="K8" s="75" t="s">
        <v>90</v>
      </c>
      <c r="L8" s="41" t="s">
        <v>91</v>
      </c>
      <c r="M8" s="53" t="s">
        <v>67</v>
      </c>
      <c r="N8" s="66"/>
      <c r="O8" s="53" t="s">
        <v>92</v>
      </c>
      <c r="P8" s="49" t="s">
        <v>93</v>
      </c>
      <c r="Q8" s="49" t="s">
        <v>94</v>
      </c>
      <c r="R8" s="77" t="s">
        <v>95</v>
      </c>
      <c r="S8" s="49" t="s">
        <v>96</v>
      </c>
      <c r="T8" s="53" t="s">
        <v>97</v>
      </c>
      <c r="U8" s="53" t="s">
        <v>94</v>
      </c>
      <c r="V8" s="49" t="str">
        <f t="shared" ref="V8:V28" si="4">S8&amp;", "&amp;T8&amp;", "&amp;U8</f>
        <v>Phường Hoàng Văn Thụ, Thành phố Lạng Sơn, Tỉnh Lạng Sơn</v>
      </c>
      <c r="W8" s="55" t="s">
        <v>98</v>
      </c>
      <c r="X8" s="78">
        <v>39356</v>
      </c>
      <c r="Y8" s="78"/>
      <c r="Z8" s="78"/>
      <c r="AA8" s="68" t="str">
        <f>VLOOKUP(A8,'[1]DANH SÁCH'!$B$8:$AD$841,12,0)</f>
        <v>Phó giám đốc</v>
      </c>
      <c r="AB8" s="49" t="str">
        <f>VLOOKUP(A8,'[1]DANH SÁCH'!$B$8:$H$841,6,0)</f>
        <v>TĐ003</v>
      </c>
      <c r="AC8" s="69" t="s">
        <v>77</v>
      </c>
      <c r="AD8" s="69" t="s">
        <v>78</v>
      </c>
      <c r="AE8" s="69" t="str">
        <f>VLOOKUP(A8,'[1]DANH SÁCH'!$B$8:$AD$841,13,0)</f>
        <v>Viên chức</v>
      </c>
      <c r="AF8" s="41" t="s">
        <v>79</v>
      </c>
      <c r="AG8" s="42" t="str">
        <f>VLOOKUP(A8,'[1]DANH SÁCH'!$B$8:$H$841,7,0)</f>
        <v>Bác sĩ chính (hạng II)</v>
      </c>
      <c r="AH8" s="45">
        <v>4.74</v>
      </c>
      <c r="AI8" s="42">
        <v>2</v>
      </c>
      <c r="AJ8" s="70">
        <v>0</v>
      </c>
      <c r="AK8" s="69">
        <v>45992</v>
      </c>
      <c r="AL8" s="71" t="s">
        <v>80</v>
      </c>
      <c r="AM8" s="53" t="str">
        <f>VLOOKUP(A8,'[1]DANH SÁCH'!$B$8:$F$841,5,0)</f>
        <v>BSCKI</v>
      </c>
      <c r="AN8" s="53" t="s">
        <v>99</v>
      </c>
      <c r="AO8" s="53"/>
      <c r="AP8" s="53"/>
      <c r="AQ8" s="72"/>
      <c r="AR8" s="42" t="s">
        <v>82</v>
      </c>
      <c r="AS8" s="42" t="s">
        <v>100</v>
      </c>
      <c r="AT8" s="47" t="s">
        <v>101</v>
      </c>
      <c r="AU8" s="42" t="s">
        <v>84</v>
      </c>
      <c r="AV8" s="42"/>
      <c r="AW8" s="42" t="s">
        <v>86</v>
      </c>
      <c r="AX8" s="53"/>
      <c r="AY8" s="57" t="s">
        <v>87</v>
      </c>
      <c r="AZ8" s="65">
        <v>43043</v>
      </c>
      <c r="BA8" s="74" t="e">
        <f t="shared" si="2"/>
        <v>#REF!</v>
      </c>
      <c r="BB8" s="74" t="e">
        <f t="shared" si="3"/>
        <v>#REF!</v>
      </c>
      <c r="BC8" s="7"/>
      <c r="BD8" s="6"/>
    </row>
    <row r="9" spans="1:56" ht="51" x14ac:dyDescent="0.3">
      <c r="A9" s="46" t="s">
        <v>102</v>
      </c>
      <c r="B9" s="42">
        <f t="shared" si="0"/>
        <v>3</v>
      </c>
      <c r="C9" s="68" t="s">
        <v>103</v>
      </c>
      <c r="D9" s="46" t="s">
        <v>102</v>
      </c>
      <c r="E9" s="61">
        <v>1500002050</v>
      </c>
      <c r="F9" s="64"/>
      <c r="G9" s="49"/>
      <c r="H9" s="76">
        <v>26605</v>
      </c>
      <c r="I9" s="76"/>
      <c r="J9" s="66">
        <f t="shared" ca="1" si="1"/>
        <v>53</v>
      </c>
      <c r="K9" s="75" t="s">
        <v>104</v>
      </c>
      <c r="L9" s="41" t="s">
        <v>105</v>
      </c>
      <c r="M9" s="53" t="s">
        <v>67</v>
      </c>
      <c r="N9" s="66" t="s">
        <v>106</v>
      </c>
      <c r="O9" s="53" t="s">
        <v>107</v>
      </c>
      <c r="P9" s="49" t="s">
        <v>108</v>
      </c>
      <c r="Q9" s="49" t="s">
        <v>94</v>
      </c>
      <c r="R9" s="49" t="s">
        <v>109</v>
      </c>
      <c r="S9" s="49" t="s">
        <v>73</v>
      </c>
      <c r="T9" s="53" t="s">
        <v>97</v>
      </c>
      <c r="U9" s="53" t="s">
        <v>94</v>
      </c>
      <c r="V9" s="49" t="str">
        <f t="shared" si="4"/>
        <v>Phường Vĩnh Trại, Thành phố Lạng Sơn, Tỉnh Lạng Sơn</v>
      </c>
      <c r="W9" s="55" t="s">
        <v>110</v>
      </c>
      <c r="X9" s="41"/>
      <c r="Y9" s="41"/>
      <c r="Z9" s="41"/>
      <c r="AA9" s="68" t="str">
        <f>VLOOKUP(A9,'[1]DANH SÁCH'!$B$8:$AD$841,12,0)</f>
        <v>Phó giám đốc; phụ trách khoa TT-TK</v>
      </c>
      <c r="AB9" s="49" t="str">
        <f>VLOOKUP(A9,'[1]DANH SÁCH'!$B$8:$H$841,6,0)</f>
        <v>TĐ001</v>
      </c>
      <c r="AC9" s="69" t="s">
        <v>77</v>
      </c>
      <c r="AD9" s="69" t="s">
        <v>78</v>
      </c>
      <c r="AE9" s="69" t="str">
        <f>VLOOKUP(A9,'[1]DANH SÁCH'!$B$8:$AD$841,13,0)</f>
        <v>Viên chức</v>
      </c>
      <c r="AF9" s="41" t="s">
        <v>79</v>
      </c>
      <c r="AG9" s="42" t="str">
        <f>VLOOKUP(A9,'[1]DANH SÁCH'!$B$8:$H$841,7,0)</f>
        <v>Bác sĩ chính (hạng II)</v>
      </c>
      <c r="AH9" s="45">
        <v>5.42</v>
      </c>
      <c r="AI9" s="42">
        <v>4</v>
      </c>
      <c r="AJ9" s="70">
        <v>0</v>
      </c>
      <c r="AK9" s="69">
        <v>44986</v>
      </c>
      <c r="AL9" s="71" t="s">
        <v>80</v>
      </c>
      <c r="AM9" s="53" t="str">
        <f>VLOOKUP(A9,'[1]DANH SÁCH'!$B$8:$F$841,5,0)</f>
        <v>BSCKII</v>
      </c>
      <c r="AN9" s="53" t="s">
        <v>111</v>
      </c>
      <c r="AO9" s="53" t="s">
        <v>112</v>
      </c>
      <c r="AP9" s="53">
        <v>2018</v>
      </c>
      <c r="AQ9" s="72" t="s">
        <v>113</v>
      </c>
      <c r="AR9" s="42" t="s">
        <v>82</v>
      </c>
      <c r="AS9" s="42" t="s">
        <v>100</v>
      </c>
      <c r="AT9" s="47" t="s">
        <v>83</v>
      </c>
      <c r="AU9" s="42" t="s">
        <v>84</v>
      </c>
      <c r="AV9" s="42"/>
      <c r="AW9" s="42" t="s">
        <v>86</v>
      </c>
      <c r="AX9" s="53"/>
      <c r="AY9" s="57" t="s">
        <v>85</v>
      </c>
      <c r="AZ9" s="65">
        <v>37253</v>
      </c>
      <c r="BA9" s="74" t="e">
        <f t="shared" si="2"/>
        <v>#REF!</v>
      </c>
      <c r="BB9" s="74" t="e">
        <f t="shared" si="3"/>
        <v>#REF!</v>
      </c>
      <c r="BC9" s="79" t="s">
        <v>114</v>
      </c>
      <c r="BD9" s="64"/>
    </row>
    <row r="10" spans="1:56" ht="61.2" x14ac:dyDescent="0.3">
      <c r="A10" s="41" t="s">
        <v>115</v>
      </c>
      <c r="B10" s="42">
        <f t="shared" si="0"/>
        <v>4</v>
      </c>
      <c r="C10" s="68" t="s">
        <v>116</v>
      </c>
      <c r="D10" s="41" t="s">
        <v>115</v>
      </c>
      <c r="E10" s="61">
        <v>1504000546</v>
      </c>
      <c r="F10" s="64"/>
      <c r="G10" s="49"/>
      <c r="H10" s="76">
        <v>27755</v>
      </c>
      <c r="I10" s="76"/>
      <c r="J10" s="66">
        <f t="shared" ca="1" si="1"/>
        <v>50</v>
      </c>
      <c r="K10" s="75" t="s">
        <v>117</v>
      </c>
      <c r="L10" s="41" t="s">
        <v>118</v>
      </c>
      <c r="M10" s="53" t="s">
        <v>67</v>
      </c>
      <c r="N10" s="66" t="s">
        <v>119</v>
      </c>
      <c r="O10" s="53" t="s">
        <v>120</v>
      </c>
      <c r="P10" s="49" t="s">
        <v>121</v>
      </c>
      <c r="Q10" s="49" t="s">
        <v>122</v>
      </c>
      <c r="R10" s="49" t="s">
        <v>123</v>
      </c>
      <c r="S10" s="49" t="s">
        <v>124</v>
      </c>
      <c r="T10" s="49" t="s">
        <v>97</v>
      </c>
      <c r="U10" s="49" t="s">
        <v>94</v>
      </c>
      <c r="V10" s="49" t="str">
        <f t="shared" si="4"/>
        <v>Phường Đông Kinh, Thành phố Lạng Sơn, Tỉnh Lạng Sơn</v>
      </c>
      <c r="W10" s="55" t="s">
        <v>125</v>
      </c>
      <c r="X10" s="41"/>
      <c r="Y10" s="42"/>
      <c r="Z10" s="41"/>
      <c r="AA10" s="68" t="str">
        <f>VLOOKUP(A10,'[1]DANH SÁCH'!$B$8:$AD$841,12,0)</f>
        <v>Phó giám đốc/phụ trách khoa</v>
      </c>
      <c r="AB10" s="49" t="str">
        <f>VLOOKUP(A10,'[1]DANH SÁCH'!$B$8:$H$841,6,0)</f>
        <v>TĐ001</v>
      </c>
      <c r="AC10" s="69" t="s">
        <v>77</v>
      </c>
      <c r="AD10" s="69" t="s">
        <v>78</v>
      </c>
      <c r="AE10" s="69" t="str">
        <f>VLOOKUP(A10,'[1]DANH SÁCH'!$B$8:$AD$841,13,0)</f>
        <v>Viên chức</v>
      </c>
      <c r="AF10" s="41" t="s">
        <v>79</v>
      </c>
      <c r="AG10" s="42" t="str">
        <f>VLOOKUP(A10,'[1]DANH SÁCH'!$B$8:$H$841,7,0)</f>
        <v>Bác sĩ chính (hạng II)</v>
      </c>
      <c r="AH10" s="45">
        <v>5.08</v>
      </c>
      <c r="AI10" s="42">
        <v>3</v>
      </c>
      <c r="AJ10" s="70">
        <v>0</v>
      </c>
      <c r="AK10" s="69">
        <v>45108</v>
      </c>
      <c r="AL10" s="71" t="s">
        <v>80</v>
      </c>
      <c r="AM10" s="53" t="str">
        <f>VLOOKUP(A10,'[1]DANH SÁCH'!$B$8:$F$841,5,0)</f>
        <v>BSCKII</v>
      </c>
      <c r="AN10" s="53" t="s">
        <v>126</v>
      </c>
      <c r="AO10" s="53" t="s">
        <v>112</v>
      </c>
      <c r="AP10" s="53">
        <v>2018</v>
      </c>
      <c r="AQ10" s="72" t="s">
        <v>113</v>
      </c>
      <c r="AR10" s="42" t="s">
        <v>82</v>
      </c>
      <c r="AS10" s="42" t="s">
        <v>100</v>
      </c>
      <c r="AT10" s="47" t="s">
        <v>101</v>
      </c>
      <c r="AU10" s="42" t="s">
        <v>84</v>
      </c>
      <c r="AV10" s="42"/>
      <c r="AW10" s="42" t="s">
        <v>86</v>
      </c>
      <c r="AX10" s="42"/>
      <c r="AY10" s="57" t="s">
        <v>127</v>
      </c>
      <c r="AZ10" s="65">
        <v>38869</v>
      </c>
      <c r="BA10" s="74" t="e">
        <f t="shared" si="2"/>
        <v>#REF!</v>
      </c>
      <c r="BB10" s="74" t="e">
        <f t="shared" si="3"/>
        <v>#REF!</v>
      </c>
      <c r="BC10" s="61" t="s">
        <v>128</v>
      </c>
      <c r="BD10" s="62"/>
    </row>
    <row r="11" spans="1:56" ht="51" x14ac:dyDescent="0.3">
      <c r="A11" s="41" t="s">
        <v>129</v>
      </c>
      <c r="B11" s="42">
        <f t="shared" si="0"/>
        <v>5</v>
      </c>
      <c r="C11" s="68" t="s">
        <v>130</v>
      </c>
      <c r="D11" s="41" t="s">
        <v>129</v>
      </c>
      <c r="E11" s="61">
        <v>1505003020</v>
      </c>
      <c r="F11" s="64"/>
      <c r="G11" s="49" t="s">
        <v>131</v>
      </c>
      <c r="H11" s="76">
        <v>28585</v>
      </c>
      <c r="I11" s="80"/>
      <c r="J11" s="66">
        <f t="shared" ca="1" si="1"/>
        <v>48</v>
      </c>
      <c r="K11" s="75" t="s">
        <v>132</v>
      </c>
      <c r="L11" s="41"/>
      <c r="M11" s="53" t="s">
        <v>67</v>
      </c>
      <c r="N11" s="66"/>
      <c r="O11" s="53" t="s">
        <v>133</v>
      </c>
      <c r="P11" s="49" t="s">
        <v>134</v>
      </c>
      <c r="Q11" s="49" t="s">
        <v>135</v>
      </c>
      <c r="R11" s="49"/>
      <c r="S11" s="49" t="s">
        <v>136</v>
      </c>
      <c r="T11" s="53" t="s">
        <v>97</v>
      </c>
      <c r="U11" s="53" t="s">
        <v>94</v>
      </c>
      <c r="V11" s="49" t="str">
        <f t="shared" si="4"/>
        <v>Phường Chi Lăng, Thành phố Lạng Sơn, Tỉnh Lạng Sơn</v>
      </c>
      <c r="W11" s="55" t="s">
        <v>137</v>
      </c>
      <c r="X11" s="41"/>
      <c r="Y11" s="41"/>
      <c r="Z11" s="41"/>
      <c r="AA11" s="68" t="str">
        <f>VLOOKUP(A11,'[1]DANH SÁCH'!$B$8:$AD$841,12,0)</f>
        <v>Phó trưởng khoa/giao phụ trách khoa</v>
      </c>
      <c r="AB11" s="49" t="str">
        <f>VLOOKUP(A11,'[1]DANH SÁCH'!$B$8:$H$841,6,0)</f>
        <v>TĐ001</v>
      </c>
      <c r="AC11" s="69" t="str">
        <f>VLOOKUP(A11,'[1]DANH SÁCH'!$B$8:$J$841,9,0)</f>
        <v>Khám bệnh</v>
      </c>
      <c r="AD11" s="69" t="str">
        <f>VLOOKUP(A11,'[1]DANH SÁCH'!$B$8:$AC$841,10,0)</f>
        <v>KP001</v>
      </c>
      <c r="AE11" s="69" t="str">
        <f>VLOOKUP(A11,'[1]DANH SÁCH'!$B$8:$AD$841,13,0)</f>
        <v>Viên chức</v>
      </c>
      <c r="AF11" s="41" t="s">
        <v>79</v>
      </c>
      <c r="AG11" s="42" t="str">
        <f>VLOOKUP(A11,'[1]DANH SÁCH'!$B$8:$H$841,7,0)</f>
        <v>Bác sĩ chính (hạng II)</v>
      </c>
      <c r="AH11" s="45">
        <v>4.74</v>
      </c>
      <c r="AI11" s="42">
        <v>2</v>
      </c>
      <c r="AJ11" s="70">
        <v>0</v>
      </c>
      <c r="AK11" s="69">
        <v>45809</v>
      </c>
      <c r="AL11" s="71" t="s">
        <v>80</v>
      </c>
      <c r="AM11" s="53" t="str">
        <f>VLOOKUP(A11,'[1]DANH SÁCH'!$B$8:$F$841,5,0)</f>
        <v>BSCKII</v>
      </c>
      <c r="AN11" s="53" t="s">
        <v>138</v>
      </c>
      <c r="AO11" s="53"/>
      <c r="AP11" s="53"/>
      <c r="AQ11" s="72"/>
      <c r="AR11" s="42" t="s">
        <v>82</v>
      </c>
      <c r="AS11" s="42">
        <f>VLOOKUP(A11,'[1]Chứng chỉ'!$B$8:$Q$1111,12,0)</f>
        <v>0</v>
      </c>
      <c r="AT11" s="47" t="s">
        <v>139</v>
      </c>
      <c r="AU11" s="42" t="str">
        <f>VLOOKUP(A11,'[1]Chứng chỉ'!$B$8:$Q$1111,14,0)</f>
        <v>Anh C</v>
      </c>
      <c r="AV11" s="42" t="str">
        <f>VLOOKUP(A11,'[1]Chứng chỉ'!$B$8:$Q$1111,15,0)</f>
        <v>Tày</v>
      </c>
      <c r="AW11" s="42" t="str">
        <f>VLOOKUP(A11,'[1]Chứng chỉ'!$B$8:$Q$1111,16,0)</f>
        <v>Cơ bản</v>
      </c>
      <c r="AX11" s="53"/>
      <c r="AY11" s="57" t="s">
        <v>87</v>
      </c>
      <c r="AZ11" s="65">
        <v>39898</v>
      </c>
      <c r="BA11" s="74" t="e">
        <f t="shared" si="2"/>
        <v>#REF!</v>
      </c>
      <c r="BB11" s="74" t="e">
        <f t="shared" si="3"/>
        <v>#REF!</v>
      </c>
      <c r="BC11" s="61" t="s">
        <v>128</v>
      </c>
      <c r="BD11" s="62"/>
    </row>
    <row r="12" spans="1:56" ht="51" x14ac:dyDescent="0.3">
      <c r="A12" s="41" t="s">
        <v>140</v>
      </c>
      <c r="B12" s="42">
        <f t="shared" si="0"/>
        <v>6</v>
      </c>
      <c r="C12" s="68" t="s">
        <v>141</v>
      </c>
      <c r="D12" s="41" t="s">
        <v>140</v>
      </c>
      <c r="E12" s="61">
        <v>1504000563</v>
      </c>
      <c r="F12" s="64"/>
      <c r="G12" s="49" t="s">
        <v>142</v>
      </c>
      <c r="H12" s="76"/>
      <c r="I12" s="76">
        <v>25601</v>
      </c>
      <c r="J12" s="66">
        <f t="shared" ref="J12:J16" ca="1" si="5">INT(DATEDIF(I12,$J$2,"d")/365)</f>
        <v>56</v>
      </c>
      <c r="K12" s="75" t="s">
        <v>143</v>
      </c>
      <c r="L12" s="41" t="s">
        <v>144</v>
      </c>
      <c r="M12" s="53" t="s">
        <v>67</v>
      </c>
      <c r="N12" s="66"/>
      <c r="O12" s="53"/>
      <c r="P12" s="49" t="s">
        <v>145</v>
      </c>
      <c r="Q12" s="49" t="s">
        <v>94</v>
      </c>
      <c r="R12" s="49"/>
      <c r="S12" s="49" t="s">
        <v>136</v>
      </c>
      <c r="T12" s="53" t="s">
        <v>97</v>
      </c>
      <c r="U12" s="53" t="s">
        <v>94</v>
      </c>
      <c r="V12" s="49" t="str">
        <f t="shared" si="4"/>
        <v>Phường Chi Lăng, Thành phố Lạng Sơn, Tỉnh Lạng Sơn</v>
      </c>
      <c r="W12" s="55" t="s">
        <v>146</v>
      </c>
      <c r="X12" s="41"/>
      <c r="Y12" s="41"/>
      <c r="Z12" s="41"/>
      <c r="AA12" s="68">
        <f>VLOOKUP(A12,'[1]DANH SÁCH'!$B$8:$AD$841,12,0)</f>
        <v>0</v>
      </c>
      <c r="AB12" s="49" t="str">
        <f>VLOOKUP(A12,'[1]DANH SÁCH'!$B$8:$H$841,6,0)</f>
        <v>TĐ011</v>
      </c>
      <c r="AC12" s="69" t="str">
        <f>VLOOKUP(A12,'[1]DANH SÁCH'!$B$8:$J$841,9,0)</f>
        <v>Khám bệnh</v>
      </c>
      <c r="AD12" s="69" t="str">
        <f>VLOOKUP(A12,'[1]DANH SÁCH'!$B$8:$AC$841,10,0)</f>
        <v>KP001</v>
      </c>
      <c r="AE12" s="69" t="str">
        <f>VLOOKUP(A12,'[1]DANH SÁCH'!$B$8:$AD$841,13,0)</f>
        <v>Viên chức</v>
      </c>
      <c r="AF12" s="41" t="s">
        <v>147</v>
      </c>
      <c r="AG12" s="42" t="str">
        <f>VLOOKUP(A12,'[1]DANH SÁCH'!$B$8:$H$841,7,0)</f>
        <v>Điều dưỡng (hạng III)</v>
      </c>
      <c r="AH12" s="45">
        <v>3.66</v>
      </c>
      <c r="AI12" s="42">
        <v>5</v>
      </c>
      <c r="AJ12" s="70">
        <v>0</v>
      </c>
      <c r="AK12" s="69">
        <v>45383</v>
      </c>
      <c r="AL12" s="71" t="s">
        <v>80</v>
      </c>
      <c r="AM12" s="53" t="str">
        <f>VLOOKUP(A12,'[1]DANH SÁCH'!$B$8:$F$841,5,0)</f>
        <v>Điều dưỡng ĐH</v>
      </c>
      <c r="AN12" s="53"/>
      <c r="AO12" s="53" t="s">
        <v>148</v>
      </c>
      <c r="AP12" s="53">
        <v>2004</v>
      </c>
      <c r="AQ12" s="72" t="s">
        <v>113</v>
      </c>
      <c r="AR12" s="42">
        <f>VLOOKUP(A12,'[1]Chứng chỉ'!$B$8:$Q$1111,11,0)</f>
        <v>0</v>
      </c>
      <c r="AS12" s="42">
        <f>VLOOKUP(A12,'[1]Chứng chỉ'!$B$8:$Q$1111,12,0)</f>
        <v>0</v>
      </c>
      <c r="AT12" s="47">
        <f>VLOOKUP(A12,'[1]Chứng chỉ'!$B$8:$Q$1111,13,0)</f>
        <v>0</v>
      </c>
      <c r="AU12" s="42">
        <f>VLOOKUP(A12,'[1]Chứng chỉ'!$B$8:$Q$1111,14,0)</f>
        <v>0</v>
      </c>
      <c r="AV12" s="42" t="str">
        <f>VLOOKUP(A12,'[1]Chứng chỉ'!$B$8:$Q$1111,15,0)</f>
        <v>Tày</v>
      </c>
      <c r="AW12" s="42" t="str">
        <f>VLOOKUP(A12,'[1]Chứng chỉ'!$B$8:$Q$1111,16,0)</f>
        <v>A</v>
      </c>
      <c r="AX12" s="53"/>
      <c r="AY12" s="57" t="s">
        <v>127</v>
      </c>
      <c r="AZ12" s="65"/>
      <c r="BA12" s="74" t="e">
        <f t="shared" si="2"/>
        <v>#REF!</v>
      </c>
      <c r="BB12" s="74" t="e">
        <f t="shared" si="3"/>
        <v>#REF!</v>
      </c>
      <c r="BC12" s="81"/>
      <c r="BD12" s="47"/>
    </row>
    <row r="13" spans="1:56" ht="40.799999999999997" x14ac:dyDescent="0.3">
      <c r="A13" s="41" t="s">
        <v>149</v>
      </c>
      <c r="B13" s="42">
        <f t="shared" si="0"/>
        <v>7</v>
      </c>
      <c r="C13" s="68" t="s">
        <v>150</v>
      </c>
      <c r="D13" s="41" t="s">
        <v>149</v>
      </c>
      <c r="E13" s="61">
        <v>2013000694</v>
      </c>
      <c r="F13" s="64"/>
      <c r="G13" s="49" t="s">
        <v>151</v>
      </c>
      <c r="H13" s="76"/>
      <c r="I13" s="76">
        <v>32871</v>
      </c>
      <c r="J13" s="66">
        <f t="shared" ca="1" si="5"/>
        <v>36</v>
      </c>
      <c r="K13" s="75" t="s">
        <v>152</v>
      </c>
      <c r="L13" s="41" t="s">
        <v>153</v>
      </c>
      <c r="M13" s="53" t="s">
        <v>67</v>
      </c>
      <c r="N13" s="66"/>
      <c r="O13" s="53" t="s">
        <v>154</v>
      </c>
      <c r="P13" s="49" t="s">
        <v>155</v>
      </c>
      <c r="Q13" s="49" t="s">
        <v>94</v>
      </c>
      <c r="R13" s="49"/>
      <c r="S13" s="49" t="s">
        <v>154</v>
      </c>
      <c r="T13" s="53" t="s">
        <v>155</v>
      </c>
      <c r="U13" s="53" t="s">
        <v>94</v>
      </c>
      <c r="V13" s="49" t="str">
        <f t="shared" si="4"/>
        <v>Xã Chu Túc, Huyện Văn Quan, Tỉnh Lạng Sơn</v>
      </c>
      <c r="W13" s="55" t="s">
        <v>156</v>
      </c>
      <c r="X13" s="41"/>
      <c r="Y13" s="41"/>
      <c r="Z13" s="41"/>
      <c r="AA13" s="68">
        <f>VLOOKUP(A13,'[1]DANH SÁCH'!$B$8:$AD$841,12,0)</f>
        <v>0</v>
      </c>
      <c r="AB13" s="49" t="str">
        <f>VLOOKUP(A13,'[1]DANH SÁCH'!$B$8:$H$841,6,0)</f>
        <v>TĐ012</v>
      </c>
      <c r="AC13" s="69" t="str">
        <f>VLOOKUP(A13,'[1]DANH SÁCH'!$B$8:$J$841,9,0)</f>
        <v>Khám bệnh</v>
      </c>
      <c r="AD13" s="69" t="str">
        <f>VLOOKUP(A13,'[1]DANH SÁCH'!$B$8:$AC$841,10,0)</f>
        <v>KP001</v>
      </c>
      <c r="AE13" s="69" t="str">
        <f>VLOOKUP(A13,'[1]DANH SÁCH'!$B$8:$AD$841,13,0)</f>
        <v>Viên chức</v>
      </c>
      <c r="AF13" s="41" t="s">
        <v>157</v>
      </c>
      <c r="AG13" s="42" t="str">
        <f>VLOOKUP(A13,'[1]DANH SÁCH'!$B$8:$H$841,7,0)</f>
        <v>Điều dưỡng (hạng IV)</v>
      </c>
      <c r="AH13" s="45">
        <v>3.34</v>
      </c>
      <c r="AI13" s="42">
        <v>5</v>
      </c>
      <c r="AJ13" s="70">
        <v>0</v>
      </c>
      <c r="AK13" s="69">
        <v>45453</v>
      </c>
      <c r="AL13" s="71" t="s">
        <v>158</v>
      </c>
      <c r="AM13" s="53" t="str">
        <f>VLOOKUP(A13,'[1]DANH SÁCH'!$B$8:$F$841,5,0)</f>
        <v>Điều dưỡng CĐ</v>
      </c>
      <c r="AN13" s="53"/>
      <c r="AO13" s="53" t="s">
        <v>159</v>
      </c>
      <c r="AP13" s="53">
        <v>2010</v>
      </c>
      <c r="AQ13" s="72" t="s">
        <v>113</v>
      </c>
      <c r="AR13" s="42">
        <f>VLOOKUP(A13,'[1]Chứng chỉ'!$B$8:$Q$1111,11,0)</f>
        <v>0</v>
      </c>
      <c r="AS13" s="42">
        <f>VLOOKUP(A13,'[1]Chứng chỉ'!$B$8:$Q$1111,12,0)</f>
        <v>0</v>
      </c>
      <c r="AT13" s="47">
        <f>VLOOKUP(A13,'[1]Chứng chỉ'!$B$8:$Q$1111,13,0)</f>
        <v>0</v>
      </c>
      <c r="AU13" s="42">
        <f>VLOOKUP(A13,'[1]Chứng chỉ'!$B$8:$Q$1111,14,0)</f>
        <v>0</v>
      </c>
      <c r="AV13" s="42">
        <f>VLOOKUP(A13,'[1]Chứng chỉ'!$B$8:$Q$1111,15,0)</f>
        <v>0</v>
      </c>
      <c r="AW13" s="42" t="str">
        <f>VLOOKUP(A13,'[1]Chứng chỉ'!$B$8:$Q$1111,16,0)</f>
        <v>B</v>
      </c>
      <c r="AX13" s="53"/>
      <c r="AY13" s="57" t="s">
        <v>127</v>
      </c>
      <c r="AZ13" s="65"/>
      <c r="BA13" s="74" t="e">
        <f t="shared" si="2"/>
        <v>#REF!</v>
      </c>
      <c r="BB13" s="74" t="e">
        <f t="shared" si="3"/>
        <v>#REF!</v>
      </c>
      <c r="BC13" s="61" t="s">
        <v>128</v>
      </c>
      <c r="BD13" s="62"/>
    </row>
    <row r="14" spans="1:56" ht="61.2" x14ac:dyDescent="0.3">
      <c r="A14" s="41" t="s">
        <v>160</v>
      </c>
      <c r="B14" s="42">
        <f t="shared" si="0"/>
        <v>8</v>
      </c>
      <c r="C14" s="68" t="s">
        <v>161</v>
      </c>
      <c r="D14" s="41" t="s">
        <v>160</v>
      </c>
      <c r="E14" s="61">
        <v>1507000249</v>
      </c>
      <c r="F14" s="64"/>
      <c r="G14" s="49" t="s">
        <v>162</v>
      </c>
      <c r="H14" s="76"/>
      <c r="I14" s="82">
        <v>31124</v>
      </c>
      <c r="J14" s="66">
        <f t="shared" ca="1" si="5"/>
        <v>41</v>
      </c>
      <c r="K14" s="75" t="s">
        <v>163</v>
      </c>
      <c r="L14" s="41" t="s">
        <v>164</v>
      </c>
      <c r="M14" s="53" t="s">
        <v>67</v>
      </c>
      <c r="N14" s="66" t="s">
        <v>165</v>
      </c>
      <c r="O14" s="53" t="s">
        <v>166</v>
      </c>
      <c r="P14" s="49" t="s">
        <v>155</v>
      </c>
      <c r="Q14" s="49" t="s">
        <v>94</v>
      </c>
      <c r="R14" s="49"/>
      <c r="S14" s="49" t="s">
        <v>166</v>
      </c>
      <c r="T14" s="53" t="s">
        <v>97</v>
      </c>
      <c r="U14" s="53" t="s">
        <v>94</v>
      </c>
      <c r="V14" s="49" t="str">
        <f t="shared" si="4"/>
        <v>Phường Tam Thanh, Thành phố Lạng Sơn, Tỉnh Lạng Sơn</v>
      </c>
      <c r="W14" s="55" t="s">
        <v>167</v>
      </c>
      <c r="X14" s="41"/>
      <c r="Y14" s="41"/>
      <c r="Z14" s="41"/>
      <c r="AA14" s="68" t="str">
        <f>VLOOKUP(A14,'[1]DANH SÁCH'!$B$8:$AD$841,12,0)</f>
        <v>Phụ trách điều dưỡng</v>
      </c>
      <c r="AB14" s="49" t="str">
        <f>VLOOKUP(A14,'[1]DANH SÁCH'!$B$8:$H$841,6,0)</f>
        <v>TĐ011</v>
      </c>
      <c r="AC14" s="69" t="str">
        <f>VLOOKUP(A14,'[1]DANH SÁCH'!$B$8:$J$841,9,0)</f>
        <v>KSNK</v>
      </c>
      <c r="AD14" s="69" t="str">
        <f>VLOOKUP(A14,'[1]DANH SÁCH'!$B$8:$AC$841,10,0)</f>
        <v>KP036</v>
      </c>
      <c r="AE14" s="69" t="str">
        <f>VLOOKUP(A14,'[1]DANH SÁCH'!$B$8:$AD$841,13,0)</f>
        <v>Viên chức</v>
      </c>
      <c r="AF14" s="41" t="s">
        <v>147</v>
      </c>
      <c r="AG14" s="42" t="str">
        <f>VLOOKUP(A14,'[1]DANH SÁCH'!$B$8:$H$841,7,0)</f>
        <v>Điều dưỡng (hạng III)</v>
      </c>
      <c r="AH14" s="45">
        <v>3.66</v>
      </c>
      <c r="AI14" s="42">
        <v>5</v>
      </c>
      <c r="AJ14" s="70">
        <v>0</v>
      </c>
      <c r="AK14" s="69">
        <v>45383</v>
      </c>
      <c r="AL14" s="71" t="s">
        <v>80</v>
      </c>
      <c r="AM14" s="53" t="str">
        <f>VLOOKUP(A14,'[1]DANH SÁCH'!$B$8:$F$841,5,0)</f>
        <v>Điều dưỡng ĐH</v>
      </c>
      <c r="AN14" s="53"/>
      <c r="AO14" s="53" t="s">
        <v>159</v>
      </c>
      <c r="AP14" s="53">
        <v>2015</v>
      </c>
      <c r="AQ14" s="72" t="s">
        <v>113</v>
      </c>
      <c r="AR14" s="42">
        <f>VLOOKUP(A14,'[1]Chứng chỉ'!$B$8:$Q$1111,11,0)</f>
        <v>0</v>
      </c>
      <c r="AS14" s="42">
        <f>VLOOKUP(A14,'[1]Chứng chỉ'!$B$8:$Q$1111,12,0)</f>
        <v>0</v>
      </c>
      <c r="AT14" s="47">
        <f>VLOOKUP(A14,'[1]Chứng chỉ'!$B$8:$Q$1111,13,0)</f>
        <v>0</v>
      </c>
      <c r="AU14" s="42" t="str">
        <f>VLOOKUP(A14,'[1]Chứng chỉ'!$B$8:$Q$1111,14,0)</f>
        <v>Anh B</v>
      </c>
      <c r="AV14" s="42" t="str">
        <f>VLOOKUP(A14,'[1]Chứng chỉ'!$B$8:$Q$1111,15,0)</f>
        <v>Tày</v>
      </c>
      <c r="AW14" s="42" t="str">
        <f>VLOOKUP(A14,'[1]Chứng chỉ'!$B$8:$Q$1111,16,0)</f>
        <v>C</v>
      </c>
      <c r="AX14" s="53"/>
      <c r="AY14" s="57" t="s">
        <v>85</v>
      </c>
      <c r="AZ14" s="65">
        <v>42134</v>
      </c>
      <c r="BA14" s="74" t="e">
        <f t="shared" si="2"/>
        <v>#REF!</v>
      </c>
      <c r="BB14" s="74" t="e">
        <f t="shared" si="3"/>
        <v>#REF!</v>
      </c>
      <c r="BC14" s="41"/>
      <c r="BD14" s="64"/>
    </row>
    <row r="15" spans="1:56" ht="51" x14ac:dyDescent="0.3">
      <c r="A15" s="41" t="s">
        <v>168</v>
      </c>
      <c r="B15" s="42">
        <f t="shared" si="0"/>
        <v>9</v>
      </c>
      <c r="C15" s="68" t="s">
        <v>169</v>
      </c>
      <c r="D15" s="41" t="s">
        <v>168</v>
      </c>
      <c r="E15" s="61">
        <v>1506002732</v>
      </c>
      <c r="F15" s="64"/>
      <c r="G15" s="49" t="s">
        <v>170</v>
      </c>
      <c r="H15" s="76"/>
      <c r="I15" s="76">
        <v>29882</v>
      </c>
      <c r="J15" s="66">
        <f t="shared" ca="1" si="5"/>
        <v>44</v>
      </c>
      <c r="K15" s="75" t="s">
        <v>171</v>
      </c>
      <c r="L15" s="41" t="s">
        <v>172</v>
      </c>
      <c r="M15" s="53" t="s">
        <v>67</v>
      </c>
      <c r="N15" s="66" t="s">
        <v>173</v>
      </c>
      <c r="O15" s="53" t="s">
        <v>174</v>
      </c>
      <c r="P15" s="49" t="s">
        <v>97</v>
      </c>
      <c r="Q15" s="49" t="s">
        <v>94</v>
      </c>
      <c r="R15" s="49"/>
      <c r="S15" s="49" t="s">
        <v>174</v>
      </c>
      <c r="T15" s="53" t="s">
        <v>97</v>
      </c>
      <c r="U15" s="53" t="s">
        <v>94</v>
      </c>
      <c r="V15" s="49" t="str">
        <f t="shared" si="4"/>
        <v>Xã Mai Pha, Thành phố Lạng Sơn, Tỉnh Lạng Sơn</v>
      </c>
      <c r="W15" s="55" t="s">
        <v>167</v>
      </c>
      <c r="X15" s="41"/>
      <c r="Y15" s="41"/>
      <c r="Z15" s="41"/>
      <c r="AA15" s="68" t="e">
        <f>VLOOKUP(A15,'[1]DANH SÁCH'!$B$8:$AD$841,12,0)</f>
        <v>#N/A</v>
      </c>
      <c r="AB15" s="49" t="e">
        <f>VLOOKUP(A15,'[1]DANH SÁCH'!$B$8:$H$841,6,0)</f>
        <v>#N/A</v>
      </c>
      <c r="AC15" s="69" t="e">
        <f>VLOOKUP(A15,'[1]DANH SÁCH'!$B$8:$J$841,9,0)</f>
        <v>#N/A</v>
      </c>
      <c r="AD15" s="69" t="e">
        <f>VLOOKUP(A15,'[1]DANH SÁCH'!$B$8:$AC$841,10,0)</f>
        <v>#N/A</v>
      </c>
      <c r="AE15" s="69" t="e">
        <f>VLOOKUP(A15,'[1]DANH SÁCH'!$B$8:$AD$841,13,0)</f>
        <v>#N/A</v>
      </c>
      <c r="AF15" s="41" t="s">
        <v>147</v>
      </c>
      <c r="AG15" s="42" t="e">
        <f>VLOOKUP(A15,'[1]DANH SÁCH'!$B$8:$H$841,7,0)</f>
        <v>#N/A</v>
      </c>
      <c r="AH15" s="45">
        <v>3.66</v>
      </c>
      <c r="AI15" s="42">
        <v>5</v>
      </c>
      <c r="AJ15" s="70">
        <v>0</v>
      </c>
      <c r="AK15" s="69">
        <v>45383</v>
      </c>
      <c r="AL15" s="71" t="s">
        <v>80</v>
      </c>
      <c r="AM15" s="53" t="e">
        <f>VLOOKUP(A15,'[1]DANH SÁCH'!$B$8:$F$841,5,0)</f>
        <v>#N/A</v>
      </c>
      <c r="AN15" s="53"/>
      <c r="AO15" s="53" t="s">
        <v>175</v>
      </c>
      <c r="AP15" s="53">
        <v>2004</v>
      </c>
      <c r="AQ15" s="72" t="s">
        <v>113</v>
      </c>
      <c r="AR15" s="42">
        <f>VLOOKUP(A15,'[1]Chứng chỉ'!$B$8:$Q$1111,11,0)</f>
        <v>0</v>
      </c>
      <c r="AS15" s="42">
        <f>VLOOKUP(A15,'[1]Chứng chỉ'!$B$8:$Q$1111,12,0)</f>
        <v>0</v>
      </c>
      <c r="AT15" s="47">
        <f>VLOOKUP(A15,'[1]Chứng chỉ'!$B$8:$Q$1111,13,0)</f>
        <v>0</v>
      </c>
      <c r="AU15" s="42" t="str">
        <f>VLOOKUP(A15,'[1]Chứng chỉ'!$B$8:$Q$1111,14,0)</f>
        <v>Anh A2</v>
      </c>
      <c r="AV15" s="42" t="str">
        <f>VLOOKUP(A15,'[1]Chứng chỉ'!$B$8:$Q$1111,15,0)</f>
        <v>Tày</v>
      </c>
      <c r="AW15" s="42" t="str">
        <f>VLOOKUP(A15,'[1]Chứng chỉ'!$B$8:$Q$1111,16,0)</f>
        <v>Cơ bản</v>
      </c>
      <c r="AX15" s="53"/>
      <c r="AY15" s="57" t="s">
        <v>85</v>
      </c>
      <c r="AZ15" s="65"/>
      <c r="BA15" s="74" t="e">
        <f t="shared" si="2"/>
        <v>#REF!</v>
      </c>
      <c r="BB15" s="74" t="e">
        <f t="shared" si="3"/>
        <v>#REF!</v>
      </c>
      <c r="BC15" s="41"/>
      <c r="BD15" s="64"/>
    </row>
    <row r="16" spans="1:56" ht="51" x14ac:dyDescent="0.3">
      <c r="A16" s="41" t="s">
        <v>176</v>
      </c>
      <c r="B16" s="42">
        <f t="shared" si="0"/>
        <v>10</v>
      </c>
      <c r="C16" s="68" t="s">
        <v>177</v>
      </c>
      <c r="D16" s="41" t="s">
        <v>176</v>
      </c>
      <c r="E16" s="61">
        <v>2009000274</v>
      </c>
      <c r="F16" s="64"/>
      <c r="G16" s="49" t="s">
        <v>178</v>
      </c>
      <c r="H16" s="76"/>
      <c r="I16" s="76">
        <v>31476</v>
      </c>
      <c r="J16" s="66">
        <f t="shared" ca="1" si="5"/>
        <v>40</v>
      </c>
      <c r="K16" s="83" t="s">
        <v>179</v>
      </c>
      <c r="L16" s="41" t="s">
        <v>180</v>
      </c>
      <c r="M16" s="53" t="s">
        <v>67</v>
      </c>
      <c r="N16" s="66"/>
      <c r="O16" s="53" t="s">
        <v>181</v>
      </c>
      <c r="P16" s="49" t="s">
        <v>182</v>
      </c>
      <c r="Q16" s="49" t="s">
        <v>94</v>
      </c>
      <c r="R16" s="49" t="s">
        <v>183</v>
      </c>
      <c r="S16" s="49" t="s">
        <v>184</v>
      </c>
      <c r="T16" s="53" t="s">
        <v>182</v>
      </c>
      <c r="U16" s="53" t="s">
        <v>94</v>
      </c>
      <c r="V16" s="49" t="str">
        <f t="shared" si="4"/>
        <v>Thị trấn Lộc Bình, Huyện Lộc Bình, Tỉnh Lạng Sơn</v>
      </c>
      <c r="W16" s="55" t="s">
        <v>185</v>
      </c>
      <c r="X16" s="41"/>
      <c r="Y16" s="41"/>
      <c r="Z16" s="41"/>
      <c r="AA16" s="68">
        <f>VLOOKUP(A16,'[1]DANH SÁCH'!$B$8:$AD$841,12,0)</f>
        <v>0</v>
      </c>
      <c r="AB16" s="49" t="str">
        <f>VLOOKUP(A16,'[1]DANH SÁCH'!$B$8:$H$841,6,0)</f>
        <v>TĐ012</v>
      </c>
      <c r="AC16" s="69" t="str">
        <f>VLOOKUP(A16,'[1]DANH SÁCH'!$B$8:$J$841,9,0)</f>
        <v>Khám bệnh</v>
      </c>
      <c r="AD16" s="69" t="str">
        <f>VLOOKUP(A16,'[1]DANH SÁCH'!$B$8:$AC$841,10,0)</f>
        <v>KP001</v>
      </c>
      <c r="AE16" s="69" t="str">
        <f>VLOOKUP(A16,'[1]DANH SÁCH'!$B$8:$AD$841,13,0)</f>
        <v>Viên chức</v>
      </c>
      <c r="AF16" s="41" t="s">
        <v>157</v>
      </c>
      <c r="AG16" s="42" t="str">
        <f>VLOOKUP(A16,'[1]DANH SÁCH'!$B$8:$H$841,7,0)</f>
        <v>Điều dưỡng (hạng IV)</v>
      </c>
      <c r="AH16" s="45">
        <v>3.65</v>
      </c>
      <c r="AI16" s="42">
        <v>6</v>
      </c>
      <c r="AJ16" s="70">
        <v>0</v>
      </c>
      <c r="AK16" s="69">
        <v>45839</v>
      </c>
      <c r="AL16" s="71" t="s">
        <v>158</v>
      </c>
      <c r="AM16" s="53" t="str">
        <f>VLOOKUP(A16,'[1]DANH SÁCH'!$B$8:$F$841,5,0)</f>
        <v>Điều dưỡng CĐ</v>
      </c>
      <c r="AN16" s="53"/>
      <c r="AO16" s="53" t="s">
        <v>159</v>
      </c>
      <c r="AP16" s="53"/>
      <c r="AQ16" s="72" t="s">
        <v>186</v>
      </c>
      <c r="AR16" s="42">
        <f>VLOOKUP(A16,'[1]Chứng chỉ'!$B$8:$Q$1111,11,0)</f>
        <v>0</v>
      </c>
      <c r="AS16" s="42">
        <f>VLOOKUP(A16,'[1]Chứng chỉ'!$B$8:$Q$1111,12,0)</f>
        <v>0</v>
      </c>
      <c r="AT16" s="47">
        <f>VLOOKUP(A16,'[1]Chứng chỉ'!$B$8:$Q$1111,13,0)</f>
        <v>0</v>
      </c>
      <c r="AU16" s="42" t="str">
        <f>VLOOKUP(A16,'[1]Chứng chỉ'!$B$8:$Q$1111,14,0)</f>
        <v>TOEFL</v>
      </c>
      <c r="AV16" s="42">
        <f>VLOOKUP(A16,'[1]Chứng chỉ'!$B$8:$Q$1111,15,0)</f>
        <v>0</v>
      </c>
      <c r="AW16" s="42" t="str">
        <f>VLOOKUP(A16,'[1]Chứng chỉ'!$B$8:$Q$1111,16,0)</f>
        <v>Cơ bản</v>
      </c>
      <c r="AX16" s="53"/>
      <c r="AY16" s="57" t="s">
        <v>127</v>
      </c>
      <c r="AZ16" s="65"/>
      <c r="BA16" s="74" t="e">
        <f t="shared" si="2"/>
        <v>#REF!</v>
      </c>
      <c r="BB16" s="74" t="e">
        <f t="shared" si="3"/>
        <v>#REF!</v>
      </c>
      <c r="BC16" s="41"/>
      <c r="BD16" s="64"/>
    </row>
    <row r="17" spans="1:56" ht="40.799999999999997" x14ac:dyDescent="0.3">
      <c r="A17" s="41" t="s">
        <v>187</v>
      </c>
      <c r="B17" s="42">
        <f t="shared" si="0"/>
        <v>11</v>
      </c>
      <c r="C17" s="68" t="s">
        <v>188</v>
      </c>
      <c r="D17" s="41" t="s">
        <v>187</v>
      </c>
      <c r="E17" s="61">
        <v>2009000931</v>
      </c>
      <c r="F17" s="64"/>
      <c r="G17" s="49" t="s">
        <v>189</v>
      </c>
      <c r="H17" s="76"/>
      <c r="I17" s="76">
        <v>31417</v>
      </c>
      <c r="J17" s="84" t="s">
        <v>190</v>
      </c>
      <c r="K17" s="75" t="s">
        <v>191</v>
      </c>
      <c r="L17" s="41" t="s">
        <v>192</v>
      </c>
      <c r="M17" s="53" t="s">
        <v>67</v>
      </c>
      <c r="N17" s="66" t="s">
        <v>193</v>
      </c>
      <c r="O17" s="53" t="s">
        <v>194</v>
      </c>
      <c r="P17" s="49" t="s">
        <v>195</v>
      </c>
      <c r="Q17" s="76" t="s">
        <v>94</v>
      </c>
      <c r="R17" s="49"/>
      <c r="S17" s="49" t="s">
        <v>194</v>
      </c>
      <c r="T17" s="85" t="s">
        <v>195</v>
      </c>
      <c r="U17" s="85" t="s">
        <v>94</v>
      </c>
      <c r="V17" s="49" t="str">
        <f t="shared" si="4"/>
        <v>Xã Chi Lăng, Huyện Tràng Định, Tỉnh Lạng Sơn</v>
      </c>
      <c r="W17" s="55" t="s">
        <v>98</v>
      </c>
      <c r="X17" s="41"/>
      <c r="Y17" s="41"/>
      <c r="Z17" s="41"/>
      <c r="AA17" s="68">
        <f>VLOOKUP(A17,'[1]DANH SÁCH'!$B$8:$AD$841,12,0)</f>
        <v>0</v>
      </c>
      <c r="AB17" s="49" t="str">
        <f>VLOOKUP(A17,'[1]DANH SÁCH'!$B$8:$H$841,6,0)</f>
        <v>TĐ036</v>
      </c>
      <c r="AC17" s="69" t="str">
        <f>VLOOKUP(A17,'[1]DANH SÁCH'!$B$8:$J$841,9,0)</f>
        <v>CTXH</v>
      </c>
      <c r="AD17" s="69" t="str">
        <f>VLOOKUP(A17,'[1]DANH SÁCH'!$B$8:$AC$841,10,0)</f>
        <v>KP043</v>
      </c>
      <c r="AE17" s="69" t="str">
        <f>VLOOKUP(A17,'[1]DANH SÁCH'!$B$8:$AD$841,13,0)</f>
        <v>Viên chức</v>
      </c>
      <c r="AF17" s="41" t="s">
        <v>157</v>
      </c>
      <c r="AG17" s="42" t="str">
        <f>VLOOKUP(A17,'[1]DANH SÁCH'!$B$8:$H$841,7,0)</f>
        <v>Y tế công cộng (hạng III)</v>
      </c>
      <c r="AH17" s="45">
        <v>3.33</v>
      </c>
      <c r="AI17" s="42">
        <v>4</v>
      </c>
      <c r="AJ17" s="70">
        <v>0</v>
      </c>
      <c r="AK17" s="69">
        <v>45352</v>
      </c>
      <c r="AL17" s="71" t="s">
        <v>101</v>
      </c>
      <c r="AM17" s="53" t="str">
        <f>VLOOKUP(A17,'[1]DANH SÁCH'!$B$8:$F$841,5,0)</f>
        <v>YTCC</v>
      </c>
      <c r="AN17" s="53"/>
      <c r="AO17" s="53" t="s">
        <v>159</v>
      </c>
      <c r="AP17" s="53">
        <v>2007</v>
      </c>
      <c r="AQ17" s="72" t="s">
        <v>113</v>
      </c>
      <c r="AR17" s="42">
        <f>VLOOKUP(A17,'[1]Chứng chỉ'!$B$8:$Q$1111,11,0)</f>
        <v>0</v>
      </c>
      <c r="AS17" s="42">
        <f>VLOOKUP(A17,'[1]Chứng chỉ'!$B$8:$Q$1111,12,0)</f>
        <v>0</v>
      </c>
      <c r="AT17" s="47">
        <f>VLOOKUP(A17,'[1]Chứng chỉ'!$B$8:$Q$1111,13,0)</f>
        <v>0</v>
      </c>
      <c r="AU17" s="42">
        <f>VLOOKUP(A17,'[1]Chứng chỉ'!$B$8:$Q$1111,14,0)</f>
        <v>0</v>
      </c>
      <c r="AV17" s="42" t="str">
        <f>VLOOKUP(A17,'[1]Chứng chỉ'!$B$8:$Q$1111,15,0)</f>
        <v>Tày</v>
      </c>
      <c r="AW17" s="42" t="str">
        <f>VLOOKUP(A17,'[1]Chứng chỉ'!$B$8:$Q$1111,16,0)</f>
        <v>B</v>
      </c>
      <c r="AX17" s="53"/>
      <c r="AY17" s="57" t="s">
        <v>127</v>
      </c>
      <c r="AZ17" s="65"/>
      <c r="BA17" s="74" t="e">
        <f t="shared" si="2"/>
        <v>#REF!</v>
      </c>
      <c r="BB17" s="74" t="e">
        <f t="shared" si="3"/>
        <v>#REF!</v>
      </c>
      <c r="BC17" s="41" t="s">
        <v>128</v>
      </c>
      <c r="BD17" s="64"/>
    </row>
    <row r="18" spans="1:56" ht="51" x14ac:dyDescent="0.3">
      <c r="A18" s="41" t="s">
        <v>196</v>
      </c>
      <c r="B18" s="42">
        <f t="shared" si="0"/>
        <v>12</v>
      </c>
      <c r="C18" s="68" t="s">
        <v>197</v>
      </c>
      <c r="D18" s="41" t="s">
        <v>196</v>
      </c>
      <c r="E18" s="61">
        <v>2010003182</v>
      </c>
      <c r="F18" s="64"/>
      <c r="G18" s="49" t="s">
        <v>198</v>
      </c>
      <c r="H18" s="76"/>
      <c r="I18" s="76">
        <v>32291</v>
      </c>
      <c r="J18" s="66">
        <f t="shared" ref="J18:J20" ca="1" si="6">INT(DATEDIF(I18,$J$2,"d")/365)</f>
        <v>38</v>
      </c>
      <c r="K18" s="75" t="s">
        <v>199</v>
      </c>
      <c r="L18" s="41" t="s">
        <v>200</v>
      </c>
      <c r="M18" s="53" t="s">
        <v>67</v>
      </c>
      <c r="N18" s="66" t="s">
        <v>201</v>
      </c>
      <c r="O18" s="53" t="s">
        <v>174</v>
      </c>
      <c r="P18" s="49" t="s">
        <v>97</v>
      </c>
      <c r="Q18" s="49" t="s">
        <v>94</v>
      </c>
      <c r="R18" s="49"/>
      <c r="S18" s="49" t="s">
        <v>174</v>
      </c>
      <c r="T18" s="53" t="s">
        <v>97</v>
      </c>
      <c r="U18" s="53" t="s">
        <v>94</v>
      </c>
      <c r="V18" s="49" t="str">
        <f t="shared" si="4"/>
        <v>Xã Mai Pha, Thành phố Lạng Sơn, Tỉnh Lạng Sơn</v>
      </c>
      <c r="W18" s="55" t="s">
        <v>156</v>
      </c>
      <c r="X18" s="41"/>
      <c r="Y18" s="41"/>
      <c r="Z18" s="41"/>
      <c r="AA18" s="68">
        <f>VLOOKUP(A18,'[1]DANH SÁCH'!$B$8:$AD$841,12,0)</f>
        <v>0</v>
      </c>
      <c r="AB18" s="49" t="str">
        <f>VLOOKUP(A18,'[1]DANH SÁCH'!$B$8:$H$841,6,0)</f>
        <v>TĐ012</v>
      </c>
      <c r="AC18" s="69" t="str">
        <f>VLOOKUP(A18,'[1]DANH SÁCH'!$B$8:$J$841,9,0)</f>
        <v>Khám bệnh</v>
      </c>
      <c r="AD18" s="69" t="str">
        <f>VLOOKUP(A18,'[1]DANH SÁCH'!$B$8:$AC$841,10,0)</f>
        <v>KP001</v>
      </c>
      <c r="AE18" s="69" t="str">
        <f>VLOOKUP(A18,'[1]DANH SÁCH'!$B$8:$AD$841,13,0)</f>
        <v>Viên chức</v>
      </c>
      <c r="AF18" s="41" t="s">
        <v>157</v>
      </c>
      <c r="AG18" s="42" t="str">
        <f>VLOOKUP(A18,'[1]DANH SÁCH'!$B$8:$H$841,7,0)</f>
        <v>Điều dưỡng (hạng IV)</v>
      </c>
      <c r="AH18" s="45">
        <v>3.03</v>
      </c>
      <c r="AI18" s="42">
        <v>4</v>
      </c>
      <c r="AJ18" s="70">
        <v>0</v>
      </c>
      <c r="AK18" s="69">
        <v>45270</v>
      </c>
      <c r="AL18" s="71" t="s">
        <v>158</v>
      </c>
      <c r="AM18" s="53" t="str">
        <f>VLOOKUP(A18,'[1]DANH SÁCH'!$B$8:$F$841,5,0)</f>
        <v>Điều dưỡng CĐ</v>
      </c>
      <c r="AN18" s="53"/>
      <c r="AO18" s="53" t="s">
        <v>159</v>
      </c>
      <c r="AP18" s="53">
        <v>2008</v>
      </c>
      <c r="AQ18" s="72" t="s">
        <v>113</v>
      </c>
      <c r="AR18" s="42">
        <f>VLOOKUP(A18,'[1]Chứng chỉ'!$B$8:$Q$1111,11,0)</f>
        <v>0</v>
      </c>
      <c r="AS18" s="42">
        <f>VLOOKUP(A18,'[1]Chứng chỉ'!$B$8:$Q$1111,12,0)</f>
        <v>0</v>
      </c>
      <c r="AT18" s="47">
        <f>VLOOKUP(A18,'[1]Chứng chỉ'!$B$8:$Q$1111,13,0)</f>
        <v>0</v>
      </c>
      <c r="AU18" s="42" t="str">
        <f>VLOOKUP(A18,'[1]Chứng chỉ'!$B$8:$Q$1111,14,0)</f>
        <v>X</v>
      </c>
      <c r="AV18" s="42">
        <f>VLOOKUP(A18,'[1]Chứng chỉ'!$B$8:$Q$1111,15,0)</f>
        <v>0</v>
      </c>
      <c r="AW18" s="42" t="str">
        <f>VLOOKUP(A18,'[1]Chứng chỉ'!$B$8:$Q$1111,16,0)</f>
        <v>X</v>
      </c>
      <c r="AX18" s="53"/>
      <c r="AY18" s="57" t="s">
        <v>87</v>
      </c>
      <c r="AZ18" s="65">
        <v>41128</v>
      </c>
      <c r="BA18" s="74" t="e">
        <f t="shared" si="2"/>
        <v>#REF!</v>
      </c>
      <c r="BB18" s="74" t="e">
        <f t="shared" si="3"/>
        <v>#REF!</v>
      </c>
      <c r="BC18" s="41" t="s">
        <v>61</v>
      </c>
      <c r="BD18" s="64"/>
    </row>
    <row r="19" spans="1:56" ht="61.2" x14ac:dyDescent="0.3">
      <c r="A19" s="41" t="s">
        <v>202</v>
      </c>
      <c r="B19" s="42">
        <f t="shared" si="0"/>
        <v>13</v>
      </c>
      <c r="C19" s="68" t="s">
        <v>203</v>
      </c>
      <c r="D19" s="41" t="s">
        <v>202</v>
      </c>
      <c r="E19" s="61">
        <v>2013002121</v>
      </c>
      <c r="F19" s="64"/>
      <c r="G19" s="49" t="s">
        <v>204</v>
      </c>
      <c r="H19" s="76"/>
      <c r="I19" s="76">
        <v>32921</v>
      </c>
      <c r="J19" s="66">
        <f t="shared" ca="1" si="6"/>
        <v>36</v>
      </c>
      <c r="K19" s="75" t="s">
        <v>205</v>
      </c>
      <c r="L19" s="41" t="s">
        <v>206</v>
      </c>
      <c r="M19" s="53" t="s">
        <v>67</v>
      </c>
      <c r="N19" s="66"/>
      <c r="O19" s="53" t="s">
        <v>166</v>
      </c>
      <c r="P19" s="49" t="s">
        <v>97</v>
      </c>
      <c r="Q19" s="49" t="s">
        <v>94</v>
      </c>
      <c r="R19" s="49"/>
      <c r="S19" s="49" t="s">
        <v>166</v>
      </c>
      <c r="T19" s="53" t="s">
        <v>97</v>
      </c>
      <c r="U19" s="53" t="s">
        <v>94</v>
      </c>
      <c r="V19" s="49" t="str">
        <f t="shared" si="4"/>
        <v>Phường Tam Thanh, Thành phố Lạng Sơn, Tỉnh Lạng Sơn</v>
      </c>
      <c r="W19" s="55" t="s">
        <v>207</v>
      </c>
      <c r="X19" s="41"/>
      <c r="Y19" s="41"/>
      <c r="Z19" s="41"/>
      <c r="AA19" s="68">
        <f>VLOOKUP(A19,'[1]DANH SÁCH'!$B$8:$AD$841,12,0)</f>
        <v>0</v>
      </c>
      <c r="AB19" s="49" t="str">
        <f>VLOOKUP(A19,'[1]DANH SÁCH'!$B$8:$H$841,6,0)</f>
        <v>TĐ012</v>
      </c>
      <c r="AC19" s="69" t="str">
        <f>VLOOKUP(A19,'[1]DANH SÁCH'!$B$8:$J$841,9,0)</f>
        <v>Khám bệnh</v>
      </c>
      <c r="AD19" s="69" t="str">
        <f>VLOOKUP(A19,'[1]DANH SÁCH'!$B$8:$AC$841,10,0)</f>
        <v>KP001</v>
      </c>
      <c r="AE19" s="69" t="str">
        <f>VLOOKUP(A19,'[1]DANH SÁCH'!$B$8:$AD$841,13,0)</f>
        <v>Viên chức</v>
      </c>
      <c r="AF19" s="41" t="s">
        <v>157</v>
      </c>
      <c r="AG19" s="42" t="str">
        <f>VLOOKUP(A19,'[1]DANH SÁCH'!$B$8:$H$841,7,0)</f>
        <v>Điều dưỡng (hạng IV)</v>
      </c>
      <c r="AH19" s="45">
        <v>3.03</v>
      </c>
      <c r="AI19" s="42">
        <v>4</v>
      </c>
      <c r="AJ19" s="70">
        <v>0</v>
      </c>
      <c r="AK19" s="69">
        <v>45453</v>
      </c>
      <c r="AL19" s="71" t="s">
        <v>158</v>
      </c>
      <c r="AM19" s="53" t="str">
        <f>VLOOKUP(A19,'[1]DANH SÁCH'!$B$8:$F$841,5,0)</f>
        <v>Điều dưỡng CĐ</v>
      </c>
      <c r="AN19" s="53"/>
      <c r="AO19" s="53" t="s">
        <v>159</v>
      </c>
      <c r="AP19" s="53">
        <v>2011</v>
      </c>
      <c r="AQ19" s="72" t="s">
        <v>113</v>
      </c>
      <c r="AR19" s="42">
        <f>VLOOKUP(A19,'[1]Chứng chỉ'!$B$8:$Q$1111,11,0)</f>
        <v>0</v>
      </c>
      <c r="AS19" s="42">
        <f>VLOOKUP(A19,'[1]Chứng chỉ'!$B$8:$Q$1111,12,0)</f>
        <v>0</v>
      </c>
      <c r="AT19" s="47">
        <f>VLOOKUP(A19,'[1]Chứng chỉ'!$B$8:$Q$1111,13,0)</f>
        <v>0</v>
      </c>
      <c r="AU19" s="42" t="str">
        <f>VLOOKUP(A19,'[1]Chứng chỉ'!$B$8:$Q$1111,14,0)</f>
        <v>Anh B</v>
      </c>
      <c r="AV19" s="42">
        <f>VLOOKUP(A19,'[1]Chứng chỉ'!$B$8:$Q$1111,15,0)</f>
        <v>0</v>
      </c>
      <c r="AW19" s="42" t="str">
        <f>VLOOKUP(A19,'[1]Chứng chỉ'!$B$8:$Q$1111,16,0)</f>
        <v>Cơ bản</v>
      </c>
      <c r="AX19" s="53"/>
      <c r="AY19" s="57" t="s">
        <v>85</v>
      </c>
      <c r="AZ19" s="65"/>
      <c r="BA19" s="74" t="e">
        <f t="shared" si="2"/>
        <v>#REF!</v>
      </c>
      <c r="BB19" s="74" t="e">
        <f t="shared" si="3"/>
        <v>#REF!</v>
      </c>
      <c r="BC19" s="61" t="s">
        <v>128</v>
      </c>
      <c r="BD19" s="62"/>
    </row>
    <row r="20" spans="1:56" ht="51" x14ac:dyDescent="0.3">
      <c r="A20" s="41" t="s">
        <v>208</v>
      </c>
      <c r="B20" s="42">
        <f t="shared" si="0"/>
        <v>14</v>
      </c>
      <c r="C20" s="68" t="s">
        <v>209</v>
      </c>
      <c r="D20" s="41" t="s">
        <v>208</v>
      </c>
      <c r="E20" s="61">
        <v>1598025093</v>
      </c>
      <c r="F20" s="64"/>
      <c r="G20" s="49" t="s">
        <v>210</v>
      </c>
      <c r="H20" s="76"/>
      <c r="I20" s="76">
        <v>25895</v>
      </c>
      <c r="J20" s="66">
        <f t="shared" ca="1" si="6"/>
        <v>55</v>
      </c>
      <c r="K20" s="75" t="s">
        <v>211</v>
      </c>
      <c r="L20" s="41" t="s">
        <v>212</v>
      </c>
      <c r="M20" s="53" t="s">
        <v>67</v>
      </c>
      <c r="N20" s="66" t="s">
        <v>213</v>
      </c>
      <c r="O20" s="53" t="s">
        <v>214</v>
      </c>
      <c r="P20" s="49" t="s">
        <v>97</v>
      </c>
      <c r="Q20" s="49" t="s">
        <v>94</v>
      </c>
      <c r="R20" s="49"/>
      <c r="S20" s="49" t="s">
        <v>214</v>
      </c>
      <c r="T20" s="53" t="s">
        <v>97</v>
      </c>
      <c r="U20" s="53" t="s">
        <v>94</v>
      </c>
      <c r="V20" s="49" t="str">
        <f t="shared" si="4"/>
        <v>Xã Hoàng Đồng, Thành phố Lạng Sơn, Tỉnh Lạng Sơn</v>
      </c>
      <c r="W20" s="55" t="s">
        <v>215</v>
      </c>
      <c r="X20" s="41"/>
      <c r="Y20" s="41"/>
      <c r="Z20" s="41"/>
      <c r="AA20" s="68">
        <f>VLOOKUP(A20,'[1]DANH SÁCH'!$B$8:$AD$841,12,0)</f>
        <v>0</v>
      </c>
      <c r="AB20" s="49" t="str">
        <f>VLOOKUP(A20,'[1]DANH SÁCH'!$B$8:$H$841,6,0)</f>
        <v>TĐ013</v>
      </c>
      <c r="AC20" s="69" t="str">
        <f>VLOOKUP(A20,'[1]DANH SÁCH'!$B$8:$J$841,9,0)</f>
        <v>Khám bệnh</v>
      </c>
      <c r="AD20" s="69" t="str">
        <f>VLOOKUP(A20,'[1]DANH SÁCH'!$B$8:$AC$841,10,0)</f>
        <v>KP001</v>
      </c>
      <c r="AE20" s="69" t="str">
        <f>VLOOKUP(A20,'[1]DANH SÁCH'!$B$8:$AD$841,13,0)</f>
        <v>Viên chức</v>
      </c>
      <c r="AF20" s="41" t="s">
        <v>157</v>
      </c>
      <c r="AG20" s="42" t="str">
        <f>VLOOKUP(A20,'[1]DANH SÁCH'!$B$8:$H$841,7,0)</f>
        <v>Điều dưỡng (hạng IV)</v>
      </c>
      <c r="AH20" s="45">
        <v>3.86</v>
      </c>
      <c r="AI20" s="42">
        <v>11</v>
      </c>
      <c r="AJ20" s="70">
        <v>0</v>
      </c>
      <c r="AK20" s="69">
        <v>45505</v>
      </c>
      <c r="AL20" s="71" t="s">
        <v>101</v>
      </c>
      <c r="AM20" s="53" t="str">
        <f>VLOOKUP(A20,'[1]DANH SÁCH'!$B$8:$F$841,5,0)</f>
        <v>Điều dưỡng TC</v>
      </c>
      <c r="AN20" s="53"/>
      <c r="AO20" s="53" t="s">
        <v>159</v>
      </c>
      <c r="AP20" s="53">
        <v>1996</v>
      </c>
      <c r="AQ20" s="72" t="s">
        <v>113</v>
      </c>
      <c r="AR20" s="42">
        <f>VLOOKUP(A20,'[1]Chứng chỉ'!$B$8:$Q$1111,11,0)</f>
        <v>0</v>
      </c>
      <c r="AS20" s="42">
        <f>VLOOKUP(A20,'[1]Chứng chỉ'!$B$8:$Q$1111,12,0)</f>
        <v>0</v>
      </c>
      <c r="AT20" s="47">
        <f>VLOOKUP(A20,'[1]Chứng chỉ'!$B$8:$Q$1111,13,0)</f>
        <v>0</v>
      </c>
      <c r="AU20" s="42">
        <f>VLOOKUP(A20,'[1]Chứng chỉ'!$B$8:$Q$1111,14,0)</f>
        <v>0</v>
      </c>
      <c r="AV20" s="42">
        <f>VLOOKUP(A20,'[1]Chứng chỉ'!$B$8:$Q$1111,15,0)</f>
        <v>0</v>
      </c>
      <c r="AW20" s="42" t="str">
        <f>VLOOKUP(A20,'[1]Chứng chỉ'!$B$8:$Q$1111,16,0)</f>
        <v>A</v>
      </c>
      <c r="AX20" s="53"/>
      <c r="AY20" s="57" t="s">
        <v>85</v>
      </c>
      <c r="AZ20" s="65"/>
      <c r="BA20" s="74" t="e">
        <f t="shared" si="2"/>
        <v>#REF!</v>
      </c>
      <c r="BB20" s="74" t="e">
        <f t="shared" si="3"/>
        <v>#REF!</v>
      </c>
      <c r="BC20" s="41"/>
      <c r="BD20" s="64"/>
    </row>
    <row r="21" spans="1:56" ht="40.799999999999997" x14ac:dyDescent="0.3">
      <c r="A21" s="41" t="s">
        <v>216</v>
      </c>
      <c r="B21" s="42">
        <f t="shared" si="0"/>
        <v>15</v>
      </c>
      <c r="C21" s="68" t="s">
        <v>217</v>
      </c>
      <c r="D21" s="41" t="s">
        <v>216</v>
      </c>
      <c r="E21" s="61">
        <v>2011000007</v>
      </c>
      <c r="F21" s="64"/>
      <c r="G21" s="49" t="s">
        <v>218</v>
      </c>
      <c r="H21" s="76">
        <v>30447</v>
      </c>
      <c r="I21" s="76"/>
      <c r="J21" s="66">
        <f ca="1">INT(DATEDIF(H21,$J$2,"d")/365)</f>
        <v>43</v>
      </c>
      <c r="K21" s="75" t="s">
        <v>219</v>
      </c>
      <c r="L21" s="41" t="s">
        <v>220</v>
      </c>
      <c r="M21" s="53" t="s">
        <v>67</v>
      </c>
      <c r="N21" s="66"/>
      <c r="O21" s="53" t="s">
        <v>221</v>
      </c>
      <c r="P21" s="49" t="s">
        <v>222</v>
      </c>
      <c r="Q21" s="49" t="s">
        <v>94</v>
      </c>
      <c r="R21" s="49"/>
      <c r="S21" s="49" t="s">
        <v>223</v>
      </c>
      <c r="T21" s="53" t="s">
        <v>222</v>
      </c>
      <c r="U21" s="53" t="s">
        <v>94</v>
      </c>
      <c r="V21" s="49" t="str">
        <f t="shared" si="4"/>
        <v>Làng Ngữa, Huyện Chi Lăng, Tỉnh Lạng Sơn</v>
      </c>
      <c r="W21" s="55" t="s">
        <v>224</v>
      </c>
      <c r="X21" s="41"/>
      <c r="Y21" s="41"/>
      <c r="Z21" s="41"/>
      <c r="AA21" s="68">
        <f>VLOOKUP(A21,'[1]DANH SÁCH'!$B$8:$AD$841,12,0)</f>
        <v>0</v>
      </c>
      <c r="AB21" s="49" t="str">
        <f>VLOOKUP(A21,'[1]DANH SÁCH'!$B$8:$H$841,6,0)</f>
        <v>TĐ012</v>
      </c>
      <c r="AC21" s="69" t="str">
        <f>VLOOKUP(A21,'[1]DANH SÁCH'!$B$8:$J$841,9,0)</f>
        <v>Ngoại Thận - Tiết niệu</v>
      </c>
      <c r="AD21" s="69" t="str">
        <f>VLOOKUP(A21,'[1]DANH SÁCH'!$B$8:$AC$841,10,0)</f>
        <v>KP012</v>
      </c>
      <c r="AE21" s="69" t="str">
        <f>VLOOKUP(A21,'[1]DANH SÁCH'!$B$8:$AD$841,13,0)</f>
        <v>Viên chức</v>
      </c>
      <c r="AF21" s="41" t="s">
        <v>157</v>
      </c>
      <c r="AG21" s="42" t="str">
        <f>VLOOKUP(A21,'[1]DANH SÁCH'!$B$8:$H$841,7,0)</f>
        <v>Điều dưỡng (hạng IV)</v>
      </c>
      <c r="AH21" s="45">
        <v>3.34</v>
      </c>
      <c r="AI21" s="42">
        <v>5</v>
      </c>
      <c r="AJ21" s="70">
        <v>0</v>
      </c>
      <c r="AK21" s="69">
        <v>44927</v>
      </c>
      <c r="AL21" s="71" t="s">
        <v>158</v>
      </c>
      <c r="AM21" s="53" t="str">
        <f>VLOOKUP(A21,'[1]DANH SÁCH'!$B$8:$F$841,5,0)</f>
        <v>Điều dưỡng CĐ</v>
      </c>
      <c r="AN21" s="53"/>
      <c r="AO21" s="53" t="s">
        <v>159</v>
      </c>
      <c r="AP21" s="53">
        <v>2007</v>
      </c>
      <c r="AQ21" s="72" t="s">
        <v>113</v>
      </c>
      <c r="AR21" s="42">
        <f>VLOOKUP(A21,'[1]Chứng chỉ'!$B$8:$Q$1111,11,0)</f>
        <v>0</v>
      </c>
      <c r="AS21" s="42">
        <f>VLOOKUP(A21,'[1]Chứng chỉ'!$B$8:$Q$1111,12,0)</f>
        <v>0</v>
      </c>
      <c r="AT21" s="47">
        <f>VLOOKUP(A21,'[1]Chứng chỉ'!$B$8:$Q$1111,13,0)</f>
        <v>0</v>
      </c>
      <c r="AU21" s="42" t="str">
        <f>VLOOKUP(A21,'[1]Chứng chỉ'!$B$8:$Q$1111,14,0)</f>
        <v>Anh B</v>
      </c>
      <c r="AV21" s="42">
        <f>VLOOKUP(A21,'[1]Chứng chỉ'!$B$8:$Q$1111,15,0)</f>
        <v>0</v>
      </c>
      <c r="AW21" s="42" t="str">
        <f>VLOOKUP(A21,'[1]Chứng chỉ'!$B$8:$Q$1111,16,0)</f>
        <v>B</v>
      </c>
      <c r="AX21" s="53"/>
      <c r="AY21" s="57" t="s">
        <v>85</v>
      </c>
      <c r="AZ21" s="65">
        <v>43222</v>
      </c>
      <c r="BA21" s="74" t="e">
        <f t="shared" si="2"/>
        <v>#REF!</v>
      </c>
      <c r="BB21" s="74" t="e">
        <f t="shared" si="3"/>
        <v>#REF!</v>
      </c>
      <c r="BC21" s="61" t="s">
        <v>128</v>
      </c>
      <c r="BD21" s="62"/>
    </row>
    <row r="22" spans="1:56" ht="40.799999999999997" x14ac:dyDescent="0.3">
      <c r="A22" s="41" t="s">
        <v>225</v>
      </c>
      <c r="B22" s="42">
        <f t="shared" si="0"/>
        <v>16</v>
      </c>
      <c r="C22" s="68" t="s">
        <v>226</v>
      </c>
      <c r="D22" s="41" t="s">
        <v>225</v>
      </c>
      <c r="E22" s="61">
        <v>2010000172</v>
      </c>
      <c r="F22" s="64"/>
      <c r="G22" s="49" t="s">
        <v>227</v>
      </c>
      <c r="H22" s="76"/>
      <c r="I22" s="76">
        <v>31628</v>
      </c>
      <c r="J22" s="66">
        <f t="shared" ref="J22:J25" ca="1" si="7">INT(DATEDIF(I22,$J$2,"d")/365)</f>
        <v>40</v>
      </c>
      <c r="K22" s="75" t="s">
        <v>228</v>
      </c>
      <c r="L22" s="41" t="s">
        <v>229</v>
      </c>
      <c r="M22" s="53" t="s">
        <v>67</v>
      </c>
      <c r="N22" s="66"/>
      <c r="O22" s="53" t="s">
        <v>230</v>
      </c>
      <c r="P22" s="49" t="s">
        <v>231</v>
      </c>
      <c r="Q22" s="49" t="s">
        <v>94</v>
      </c>
      <c r="R22" s="49" t="s">
        <v>232</v>
      </c>
      <c r="S22" s="49" t="s">
        <v>233</v>
      </c>
      <c r="T22" s="53" t="s">
        <v>234</v>
      </c>
      <c r="U22" s="53" t="s">
        <v>235</v>
      </c>
      <c r="V22" s="49" t="str">
        <f t="shared" si="4"/>
        <v>Tam Quang, Huyện Vũ Thư, Tỉnh Thái Bình</v>
      </c>
      <c r="W22" s="55" t="s">
        <v>236</v>
      </c>
      <c r="X22" s="41"/>
      <c r="Y22" s="41"/>
      <c r="Z22" s="41"/>
      <c r="AA22" s="68">
        <f>VLOOKUP(A22,'[1]DANH SÁCH'!$B$8:$AD$841,12,0)</f>
        <v>0</v>
      </c>
      <c r="AB22" s="49" t="str">
        <f>VLOOKUP(A22,'[1]DANH SÁCH'!$B$8:$H$841,6,0)</f>
        <v>TĐ012</v>
      </c>
      <c r="AC22" s="69" t="str">
        <f>VLOOKUP(A22,'[1]DANH SÁCH'!$B$8:$J$841,9,0)</f>
        <v>Khám bệnh</v>
      </c>
      <c r="AD22" s="69" t="str">
        <f>VLOOKUP(A22,'[1]DANH SÁCH'!$B$8:$AC$841,10,0)</f>
        <v>KP001</v>
      </c>
      <c r="AE22" s="69" t="str">
        <f>VLOOKUP(A22,'[1]DANH SÁCH'!$B$8:$AD$841,13,0)</f>
        <v>Viên chức</v>
      </c>
      <c r="AF22" s="41" t="s">
        <v>157</v>
      </c>
      <c r="AG22" s="42" t="str">
        <f>VLOOKUP(A22,'[1]DANH SÁCH'!$B$8:$H$841,7,0)</f>
        <v>Điều dưỡng (hạng IV)</v>
      </c>
      <c r="AH22" s="45">
        <v>3.34</v>
      </c>
      <c r="AI22" s="42">
        <v>5</v>
      </c>
      <c r="AJ22" s="70">
        <v>0</v>
      </c>
      <c r="AK22" s="69">
        <v>44927</v>
      </c>
      <c r="AL22" s="71" t="s">
        <v>158</v>
      </c>
      <c r="AM22" s="53" t="str">
        <f>VLOOKUP(A22,'[1]DANH SÁCH'!$B$8:$F$841,5,0)</f>
        <v>Điều dưỡng CĐ</v>
      </c>
      <c r="AN22" s="53"/>
      <c r="AO22" s="53" t="s">
        <v>159</v>
      </c>
      <c r="AP22" s="53">
        <v>2008</v>
      </c>
      <c r="AQ22" s="72" t="s">
        <v>113</v>
      </c>
      <c r="AR22" s="42">
        <f>VLOOKUP(A22,'[1]Chứng chỉ'!$B$8:$Q$1111,11,0)</f>
        <v>0</v>
      </c>
      <c r="AS22" s="42">
        <f>VLOOKUP(A22,'[1]Chứng chỉ'!$B$8:$Q$1111,12,0)</f>
        <v>0</v>
      </c>
      <c r="AT22" s="47">
        <f>VLOOKUP(A22,'[1]Chứng chỉ'!$B$8:$Q$1111,13,0)</f>
        <v>0</v>
      </c>
      <c r="AU22" s="42" t="str">
        <f>VLOOKUP(A22,'[1]Chứng chỉ'!$B$8:$Q$1111,14,0)</f>
        <v>Anh B</v>
      </c>
      <c r="AV22" s="42">
        <f>VLOOKUP(A22,'[1]Chứng chỉ'!$B$8:$Q$1111,15,0)</f>
        <v>0</v>
      </c>
      <c r="AW22" s="42" t="str">
        <f>VLOOKUP(A22,'[1]Chứng chỉ'!$B$8:$Q$1111,16,0)</f>
        <v>B</v>
      </c>
      <c r="AX22" s="53"/>
      <c r="AY22" s="57" t="s">
        <v>87</v>
      </c>
      <c r="AZ22" s="65"/>
      <c r="BA22" s="74" t="e">
        <f t="shared" si="2"/>
        <v>#REF!</v>
      </c>
      <c r="BB22" s="74" t="e">
        <f t="shared" si="3"/>
        <v>#REF!</v>
      </c>
      <c r="BC22" s="61" t="s">
        <v>128</v>
      </c>
      <c r="BD22" s="62"/>
    </row>
    <row r="23" spans="1:56" ht="61.2" x14ac:dyDescent="0.3">
      <c r="A23" s="41" t="s">
        <v>237</v>
      </c>
      <c r="B23" s="42">
        <f t="shared" si="0"/>
        <v>17</v>
      </c>
      <c r="C23" s="68" t="s">
        <v>238</v>
      </c>
      <c r="D23" s="41" t="s">
        <v>237</v>
      </c>
      <c r="E23" s="61">
        <v>2011004061</v>
      </c>
      <c r="F23" s="64"/>
      <c r="G23" s="49" t="s">
        <v>239</v>
      </c>
      <c r="H23" s="76"/>
      <c r="I23" s="76">
        <v>32936</v>
      </c>
      <c r="J23" s="66">
        <f t="shared" ca="1" si="7"/>
        <v>36</v>
      </c>
      <c r="K23" s="75" t="s">
        <v>240</v>
      </c>
      <c r="L23" s="41" t="s">
        <v>241</v>
      </c>
      <c r="M23" s="53" t="s">
        <v>67</v>
      </c>
      <c r="N23" s="66" t="s">
        <v>242</v>
      </c>
      <c r="O23" s="85" t="s">
        <v>243</v>
      </c>
      <c r="P23" s="49" t="s">
        <v>195</v>
      </c>
      <c r="Q23" s="76" t="s">
        <v>94</v>
      </c>
      <c r="R23" s="76"/>
      <c r="S23" s="76" t="s">
        <v>243</v>
      </c>
      <c r="T23" s="85" t="s">
        <v>195</v>
      </c>
      <c r="U23" s="85" t="s">
        <v>94</v>
      </c>
      <c r="V23" s="49" t="str">
        <f t="shared" si="4"/>
        <v>Thị trấn Thất Khê, Huyện Tràng Định, Tỉnh Lạng Sơn</v>
      </c>
      <c r="W23" s="55" t="s">
        <v>207</v>
      </c>
      <c r="X23" s="41"/>
      <c r="Y23" s="41"/>
      <c r="Z23" s="41"/>
      <c r="AA23" s="68">
        <f>VLOOKUP(A23,'[1]DANH SÁCH'!$B$8:$AD$841,12,0)</f>
        <v>0</v>
      </c>
      <c r="AB23" s="49" t="str">
        <f>VLOOKUP(A23,'[1]DANH SÁCH'!$B$8:$H$841,6,0)</f>
        <v>TĐ012</v>
      </c>
      <c r="AC23" s="69" t="str">
        <f>VLOOKUP(A23,'[1]DANH SÁCH'!$B$8:$J$841,9,0)</f>
        <v>Khám bệnh</v>
      </c>
      <c r="AD23" s="69" t="str">
        <f>VLOOKUP(A23,'[1]DANH SÁCH'!$B$8:$AC$841,10,0)</f>
        <v>KP001</v>
      </c>
      <c r="AE23" s="69" t="str">
        <f>VLOOKUP(A23,'[1]DANH SÁCH'!$B$8:$AD$841,13,0)</f>
        <v>Viên chức</v>
      </c>
      <c r="AF23" s="41" t="s">
        <v>157</v>
      </c>
      <c r="AG23" s="42" t="str">
        <f>VLOOKUP(A23,'[1]DANH SÁCH'!$B$8:$H$841,7,0)</f>
        <v>Điều dưỡng (hạng IV)</v>
      </c>
      <c r="AH23" s="45">
        <v>3.03</v>
      </c>
      <c r="AI23" s="42">
        <v>4</v>
      </c>
      <c r="AJ23" s="70">
        <v>0</v>
      </c>
      <c r="AK23" s="69">
        <v>45261</v>
      </c>
      <c r="AL23" s="71" t="s">
        <v>158</v>
      </c>
      <c r="AM23" s="53" t="str">
        <f>VLOOKUP(A23,'[1]DANH SÁCH'!$B$8:$F$841,5,0)</f>
        <v>Điều dưỡng CĐ</v>
      </c>
      <c r="AN23" s="53"/>
      <c r="AO23" s="53" t="s">
        <v>159</v>
      </c>
      <c r="AP23" s="53">
        <v>2010</v>
      </c>
      <c r="AQ23" s="72" t="s">
        <v>113</v>
      </c>
      <c r="AR23" s="42">
        <f>VLOOKUP(A23,'[1]Chứng chỉ'!$B$8:$Q$1111,11,0)</f>
        <v>0</v>
      </c>
      <c r="AS23" s="42">
        <f>VLOOKUP(A23,'[1]Chứng chỉ'!$B$8:$Q$1111,12,0)</f>
        <v>0</v>
      </c>
      <c r="AT23" s="47">
        <f>VLOOKUP(A23,'[1]Chứng chỉ'!$B$8:$Q$1111,13,0)</f>
        <v>0</v>
      </c>
      <c r="AU23" s="42" t="str">
        <f>VLOOKUP(A23,'[1]Chứng chỉ'!$B$8:$Q$1111,14,0)</f>
        <v>TOEIC</v>
      </c>
      <c r="AV23" s="42">
        <f>VLOOKUP(A23,'[1]Chứng chỉ'!$B$8:$Q$1111,15,0)</f>
        <v>0</v>
      </c>
      <c r="AW23" s="42" t="str">
        <f>VLOOKUP(A23,'[1]Chứng chỉ'!$B$8:$Q$1111,16,0)</f>
        <v>Cơ bản</v>
      </c>
      <c r="AX23" s="53"/>
      <c r="AY23" s="57" t="s">
        <v>127</v>
      </c>
      <c r="AZ23" s="65"/>
      <c r="BA23" s="74" t="e">
        <f t="shared" si="2"/>
        <v>#REF!</v>
      </c>
      <c r="BB23" s="74" t="e">
        <f t="shared" si="3"/>
        <v>#REF!</v>
      </c>
      <c r="BC23" s="61" t="s">
        <v>128</v>
      </c>
      <c r="BD23" s="62"/>
    </row>
    <row r="24" spans="1:56" ht="51" x14ac:dyDescent="0.3">
      <c r="A24" s="41" t="s">
        <v>244</v>
      </c>
      <c r="B24" s="42">
        <f t="shared" si="0"/>
        <v>18</v>
      </c>
      <c r="C24" s="68" t="s">
        <v>245</v>
      </c>
      <c r="D24" s="41" t="s">
        <v>244</v>
      </c>
      <c r="E24" s="61">
        <v>2014002798</v>
      </c>
      <c r="F24" s="64"/>
      <c r="G24" s="49" t="s">
        <v>246</v>
      </c>
      <c r="H24" s="47"/>
      <c r="I24" s="76">
        <v>34191</v>
      </c>
      <c r="J24" s="66">
        <f t="shared" ca="1" si="7"/>
        <v>33</v>
      </c>
      <c r="K24" s="75" t="s">
        <v>247</v>
      </c>
      <c r="L24" s="41" t="s">
        <v>248</v>
      </c>
      <c r="M24" s="53" t="s">
        <v>67</v>
      </c>
      <c r="N24" s="66"/>
      <c r="O24" s="53" t="s">
        <v>136</v>
      </c>
      <c r="P24" s="49" t="s">
        <v>97</v>
      </c>
      <c r="Q24" s="49" t="s">
        <v>94</v>
      </c>
      <c r="R24" s="49"/>
      <c r="S24" s="49" t="s">
        <v>136</v>
      </c>
      <c r="T24" s="49" t="s">
        <v>97</v>
      </c>
      <c r="U24" s="49" t="s">
        <v>94</v>
      </c>
      <c r="V24" s="49" t="str">
        <f t="shared" si="4"/>
        <v>Phường Chi Lăng, Thành phố Lạng Sơn, Tỉnh Lạng Sơn</v>
      </c>
      <c r="W24" s="86" t="s">
        <v>249</v>
      </c>
      <c r="X24" s="41"/>
      <c r="Y24" s="41"/>
      <c r="Z24" s="41"/>
      <c r="AA24" s="68">
        <f>VLOOKUP(A24,'[1]DANH SÁCH'!$B$8:$AD$841,12,0)</f>
        <v>0</v>
      </c>
      <c r="AB24" s="49" t="str">
        <f>VLOOKUP(A24,'[1]DANH SÁCH'!$B$8:$H$841,6,0)</f>
        <v>TĐ011</v>
      </c>
      <c r="AC24" s="69" t="str">
        <f>VLOOKUP(A24,'[1]DANH SÁCH'!$B$8:$J$841,9,0)</f>
        <v>Khám bệnh</v>
      </c>
      <c r="AD24" s="69" t="str">
        <f>VLOOKUP(A24,'[1]DANH SÁCH'!$B$8:$AC$841,10,0)</f>
        <v>KP001</v>
      </c>
      <c r="AE24" s="69" t="str">
        <f>VLOOKUP(A24,'[1]DANH SÁCH'!$B$8:$AD$841,13,0)</f>
        <v>Viên chức</v>
      </c>
      <c r="AF24" s="41" t="s">
        <v>147</v>
      </c>
      <c r="AG24" s="42" t="str">
        <f>VLOOKUP(A24,'[1]DANH SÁCH'!$B$8:$H$841,7,0)</f>
        <v>Điều dưỡng (hạng III)</v>
      </c>
      <c r="AH24" s="45">
        <v>3.33</v>
      </c>
      <c r="AI24" s="42">
        <v>4</v>
      </c>
      <c r="AJ24" s="70">
        <v>0</v>
      </c>
      <c r="AK24" s="69">
        <v>45839</v>
      </c>
      <c r="AL24" s="71" t="s">
        <v>80</v>
      </c>
      <c r="AM24" s="53" t="str">
        <f>VLOOKUP(A24,'[1]DANH SÁCH'!$B$8:$F$841,5,0)</f>
        <v>Điều dưỡng ĐH</v>
      </c>
      <c r="AN24" s="53"/>
      <c r="AO24" s="53" t="s">
        <v>159</v>
      </c>
      <c r="AP24" s="53"/>
      <c r="AQ24" s="72" t="s">
        <v>250</v>
      </c>
      <c r="AR24" s="42">
        <f>VLOOKUP(A24,'[1]Chứng chỉ'!$B$8:$Q$1111,11,0)</f>
        <v>0</v>
      </c>
      <c r="AS24" s="42">
        <f>VLOOKUP(A24,'[1]Chứng chỉ'!$B$8:$Q$1111,12,0)</f>
        <v>0</v>
      </c>
      <c r="AT24" s="47">
        <f>VLOOKUP(A24,'[1]Chứng chỉ'!$B$8:$Q$1111,13,0)</f>
        <v>0</v>
      </c>
      <c r="AU24" s="42" t="str">
        <f>VLOOKUP(A24,'[1]Chứng chỉ'!$B$8:$Q$1111,14,0)</f>
        <v>TOEIC</v>
      </c>
      <c r="AV24" s="42">
        <f>VLOOKUP(A24,'[1]Chứng chỉ'!$B$8:$Q$1111,15,0)</f>
        <v>0</v>
      </c>
      <c r="AW24" s="42" t="str">
        <f>VLOOKUP(A24,'[1]Chứng chỉ'!$B$8:$Q$1111,16,0)</f>
        <v>Cơ bản</v>
      </c>
      <c r="AX24" s="42"/>
      <c r="AY24" s="57" t="s">
        <v>85</v>
      </c>
      <c r="AZ24" s="65"/>
      <c r="BA24" s="74" t="e">
        <f t="shared" si="2"/>
        <v>#REF!</v>
      </c>
      <c r="BB24" s="74" t="e">
        <f t="shared" si="3"/>
        <v>#REF!</v>
      </c>
      <c r="BC24" s="61" t="s">
        <v>128</v>
      </c>
      <c r="BD24" s="62"/>
    </row>
    <row r="25" spans="1:56" ht="51" x14ac:dyDescent="0.3">
      <c r="A25" s="41" t="s">
        <v>251</v>
      </c>
      <c r="B25" s="42">
        <f t="shared" si="0"/>
        <v>19</v>
      </c>
      <c r="C25" s="68" t="s">
        <v>252</v>
      </c>
      <c r="D25" s="41" t="s">
        <v>251</v>
      </c>
      <c r="E25" s="61">
        <v>1504001666</v>
      </c>
      <c r="F25" s="64"/>
      <c r="G25" s="49" t="s">
        <v>253</v>
      </c>
      <c r="H25" s="76"/>
      <c r="I25" s="76">
        <v>28231</v>
      </c>
      <c r="J25" s="66">
        <f t="shared" ca="1" si="7"/>
        <v>49</v>
      </c>
      <c r="K25" s="75" t="s">
        <v>254</v>
      </c>
      <c r="L25" s="41" t="s">
        <v>255</v>
      </c>
      <c r="M25" s="53" t="s">
        <v>67</v>
      </c>
      <c r="N25" s="66"/>
      <c r="O25" s="53"/>
      <c r="P25" s="49" t="s">
        <v>155</v>
      </c>
      <c r="Q25" s="49" t="s">
        <v>94</v>
      </c>
      <c r="R25" s="49"/>
      <c r="S25" s="49" t="s">
        <v>73</v>
      </c>
      <c r="T25" s="49" t="s">
        <v>97</v>
      </c>
      <c r="U25" s="49" t="s">
        <v>94</v>
      </c>
      <c r="V25" s="49" t="str">
        <f t="shared" si="4"/>
        <v>Phường Vĩnh Trại, Thành phố Lạng Sơn, Tỉnh Lạng Sơn</v>
      </c>
      <c r="W25" s="55" t="s">
        <v>256</v>
      </c>
      <c r="X25" s="41"/>
      <c r="Y25" s="41"/>
      <c r="Z25" s="41"/>
      <c r="AA25" s="68">
        <f>VLOOKUP(A25,'[1]DANH SÁCH'!$B$8:$AD$841,12,0)</f>
        <v>0</v>
      </c>
      <c r="AB25" s="49" t="str">
        <f>VLOOKUP(A25,'[1]DANH SÁCH'!$B$8:$H$841,6,0)</f>
        <v>TĐ012</v>
      </c>
      <c r="AC25" s="69" t="str">
        <f>VLOOKUP(A25,'[1]DANH SÁCH'!$B$8:$J$841,9,0)</f>
        <v>Khám bệnh</v>
      </c>
      <c r="AD25" s="69" t="str">
        <f>VLOOKUP(A25,'[1]DANH SÁCH'!$B$8:$AC$841,10,0)</f>
        <v>KP001</v>
      </c>
      <c r="AE25" s="69" t="str">
        <f>VLOOKUP(A25,'[1]DANH SÁCH'!$B$8:$AD$841,13,0)</f>
        <v>Viên chức</v>
      </c>
      <c r="AF25" s="41" t="s">
        <v>257</v>
      </c>
      <c r="AG25" s="42" t="str">
        <f>VLOOKUP(A25,'[1]DANH SÁCH'!$B$8:$H$841,7,0)</f>
        <v>Điều dưỡng (hạng IV)</v>
      </c>
      <c r="AH25" s="45">
        <v>3.96</v>
      </c>
      <c r="AI25" s="42">
        <v>7</v>
      </c>
      <c r="AJ25" s="70">
        <v>0</v>
      </c>
      <c r="AK25" s="69">
        <v>45352</v>
      </c>
      <c r="AL25" s="71" t="s">
        <v>158</v>
      </c>
      <c r="AM25" s="53" t="str">
        <f>VLOOKUP(A25,'[1]DANH SÁCH'!$B$8:$F$841,5,0)</f>
        <v>Điều dưỡng CĐ</v>
      </c>
      <c r="AN25" s="53"/>
      <c r="AO25" s="53"/>
      <c r="AP25" s="53"/>
      <c r="AQ25" s="72" t="s">
        <v>113</v>
      </c>
      <c r="AR25" s="42">
        <f>VLOOKUP(A25,'[1]Chứng chỉ'!$B$8:$Q$1111,11,0)</f>
        <v>0</v>
      </c>
      <c r="AS25" s="42">
        <f>VLOOKUP(A25,'[1]Chứng chỉ'!$B$8:$Q$1111,12,0)</f>
        <v>0</v>
      </c>
      <c r="AT25" s="47">
        <f>VLOOKUP(A25,'[1]Chứng chỉ'!$B$8:$Q$1111,13,0)</f>
        <v>0</v>
      </c>
      <c r="AU25" s="42">
        <f>VLOOKUP(A25,'[1]Chứng chỉ'!$B$8:$Q$1111,14,0)</f>
        <v>0</v>
      </c>
      <c r="AV25" s="42">
        <f>VLOOKUP(A25,'[1]Chứng chỉ'!$B$8:$Q$1111,15,0)</f>
        <v>0</v>
      </c>
      <c r="AW25" s="42" t="str">
        <f>VLOOKUP(A25,'[1]Chứng chỉ'!$B$8:$Q$1111,16,0)</f>
        <v>A</v>
      </c>
      <c r="AX25" s="42"/>
      <c r="AY25" s="57" t="s">
        <v>85</v>
      </c>
      <c r="AZ25" s="65"/>
      <c r="BA25" s="74" t="e">
        <f t="shared" si="2"/>
        <v>#REF!</v>
      </c>
      <c r="BB25" s="74" t="e">
        <f t="shared" si="3"/>
        <v>#REF!</v>
      </c>
      <c r="BC25" s="61" t="s">
        <v>258</v>
      </c>
      <c r="BD25" s="62"/>
    </row>
    <row r="26" spans="1:56" ht="61.2" x14ac:dyDescent="0.3">
      <c r="A26" s="41" t="s">
        <v>259</v>
      </c>
      <c r="B26" s="42">
        <f t="shared" si="0"/>
        <v>20</v>
      </c>
      <c r="C26" s="68" t="s">
        <v>260</v>
      </c>
      <c r="D26" s="41" t="s">
        <v>259</v>
      </c>
      <c r="E26" s="61">
        <v>1505002493</v>
      </c>
      <c r="F26" s="64"/>
      <c r="G26" s="49" t="s">
        <v>261</v>
      </c>
      <c r="H26" s="76">
        <v>29206</v>
      </c>
      <c r="I26" s="76"/>
      <c r="J26" s="66">
        <f t="shared" ref="J26:J28" ca="1" si="8">INT(DATEDIF(H26,$J$2,"d")/365)</f>
        <v>46</v>
      </c>
      <c r="K26" s="75" t="s">
        <v>262</v>
      </c>
      <c r="L26" s="41" t="s">
        <v>263</v>
      </c>
      <c r="M26" s="53" t="s">
        <v>67</v>
      </c>
      <c r="N26" s="66"/>
      <c r="O26" s="53" t="s">
        <v>264</v>
      </c>
      <c r="P26" s="49" t="s">
        <v>265</v>
      </c>
      <c r="Q26" s="49" t="s">
        <v>235</v>
      </c>
      <c r="R26" s="49"/>
      <c r="S26" s="49" t="s">
        <v>166</v>
      </c>
      <c r="T26" s="53" t="s">
        <v>97</v>
      </c>
      <c r="U26" s="53" t="s">
        <v>94</v>
      </c>
      <c r="V26" s="49" t="str">
        <f t="shared" si="4"/>
        <v>Phường Tam Thanh, Thành phố Lạng Sơn, Tỉnh Lạng Sơn</v>
      </c>
      <c r="W26" s="55" t="s">
        <v>266</v>
      </c>
      <c r="X26" s="41"/>
      <c r="Y26" s="41"/>
      <c r="Z26" s="41"/>
      <c r="AA26" s="68" t="str">
        <f>VLOOKUP(A26,'[1]DANH SÁCH'!$B$8:$AD$841,12,0)</f>
        <v>Trưởng khoa</v>
      </c>
      <c r="AB26" s="49" t="str">
        <f>VLOOKUP(A26,'[1]DANH SÁCH'!$B$8:$H$841,6,0)</f>
        <v>TĐ001</v>
      </c>
      <c r="AC26" s="69" t="str">
        <f>VLOOKUP(A26,'[1]DANH SÁCH'!$B$8:$J$841,9,0)</f>
        <v>Cấp cứu</v>
      </c>
      <c r="AD26" s="69" t="str">
        <f>VLOOKUP(A26,'[1]DANH SÁCH'!$B$8:$AC$841,10,0)</f>
        <v>KP002</v>
      </c>
      <c r="AE26" s="69" t="str">
        <f>VLOOKUP(A26,'[1]DANH SÁCH'!$B$8:$AD$841,13,0)</f>
        <v>Viên chức</v>
      </c>
      <c r="AF26" s="41" t="s">
        <v>79</v>
      </c>
      <c r="AG26" s="42" t="str">
        <f>VLOOKUP(A26,'[1]DANH SÁCH'!$B$8:$H$841,7,0)</f>
        <v>Bác sĩ chính (hạng II)</v>
      </c>
      <c r="AH26" s="45">
        <v>4.74</v>
      </c>
      <c r="AI26" s="42">
        <v>2</v>
      </c>
      <c r="AJ26" s="70">
        <v>0</v>
      </c>
      <c r="AK26" s="69">
        <v>45627</v>
      </c>
      <c r="AL26" s="71" t="s">
        <v>80</v>
      </c>
      <c r="AM26" s="53" t="str">
        <f>VLOOKUP(A26,'[1]DANH SÁCH'!$B$8:$F$841,5,0)</f>
        <v>BSCKII</v>
      </c>
      <c r="AN26" s="53" t="s">
        <v>267</v>
      </c>
      <c r="AO26" s="53" t="s">
        <v>112</v>
      </c>
      <c r="AP26" s="53">
        <v>2018</v>
      </c>
      <c r="AQ26" s="72" t="s">
        <v>113</v>
      </c>
      <c r="AR26" s="42" t="s">
        <v>82</v>
      </c>
      <c r="AS26" s="42" t="s">
        <v>100</v>
      </c>
      <c r="AT26" s="47" t="s">
        <v>139</v>
      </c>
      <c r="AU26" s="42" t="str">
        <f>VLOOKUP(A26,'[1]Chứng chỉ'!$B$8:$Q$1111,14,0)</f>
        <v>B</v>
      </c>
      <c r="AV26" s="42" t="str">
        <f>VLOOKUP(A26,'[1]Chứng chỉ'!$B$8:$Q$1111,15,0)</f>
        <v>Tày</v>
      </c>
      <c r="AW26" s="42" t="str">
        <f>VLOOKUP(A26,'[1]Chứng chỉ'!$B$8:$Q$1111,16,0)</f>
        <v>Cơ bản</v>
      </c>
      <c r="AX26" s="53"/>
      <c r="AY26" s="57" t="s">
        <v>87</v>
      </c>
      <c r="AZ26" s="65">
        <v>41006</v>
      </c>
      <c r="BA26" s="74" t="e">
        <f t="shared" si="2"/>
        <v>#REF!</v>
      </c>
      <c r="BB26" s="74" t="e">
        <f t="shared" si="3"/>
        <v>#REF!</v>
      </c>
      <c r="BC26" s="61" t="s">
        <v>128</v>
      </c>
      <c r="BD26" s="62"/>
    </row>
    <row r="27" spans="1:56" ht="51" x14ac:dyDescent="0.3">
      <c r="A27" s="41" t="s">
        <v>268</v>
      </c>
      <c r="B27" s="42">
        <f t="shared" si="0"/>
        <v>21</v>
      </c>
      <c r="C27" s="68" t="s">
        <v>269</v>
      </c>
      <c r="D27" s="41" t="s">
        <v>268</v>
      </c>
      <c r="E27" s="61">
        <v>2011004224</v>
      </c>
      <c r="F27" s="64"/>
      <c r="G27" s="49" t="s">
        <v>270</v>
      </c>
      <c r="H27" s="76">
        <v>31681</v>
      </c>
      <c r="I27" s="76"/>
      <c r="J27" s="66">
        <f t="shared" ca="1" si="8"/>
        <v>39</v>
      </c>
      <c r="K27" s="75" t="s">
        <v>271</v>
      </c>
      <c r="L27" s="41" t="s">
        <v>272</v>
      </c>
      <c r="M27" s="53" t="s">
        <v>67</v>
      </c>
      <c r="N27" s="66" t="s">
        <v>273</v>
      </c>
      <c r="O27" s="53" t="s">
        <v>136</v>
      </c>
      <c r="P27" s="49" t="s">
        <v>97</v>
      </c>
      <c r="Q27" s="49" t="s">
        <v>94</v>
      </c>
      <c r="R27" s="76"/>
      <c r="S27" s="49" t="s">
        <v>136</v>
      </c>
      <c r="T27" s="53" t="s">
        <v>97</v>
      </c>
      <c r="U27" s="53" t="s">
        <v>94</v>
      </c>
      <c r="V27" s="49" t="str">
        <f t="shared" si="4"/>
        <v>Phường Chi Lăng, Thành phố Lạng Sơn, Tỉnh Lạng Sơn</v>
      </c>
      <c r="W27" s="55" t="s">
        <v>156</v>
      </c>
      <c r="X27" s="41"/>
      <c r="Y27" s="41"/>
      <c r="Z27" s="41"/>
      <c r="AA27" s="68" t="str">
        <f>VLOOKUP(A27,'[1]DANH SÁCH'!$B$8:$AD$841,12,0)</f>
        <v>Phó trưởng khoa</v>
      </c>
      <c r="AB27" s="49" t="str">
        <f>VLOOKUP(A27,'[1]DANH SÁCH'!$B$8:$H$841,6,0)</f>
        <v>TĐ001</v>
      </c>
      <c r="AC27" s="69" t="str">
        <f>VLOOKUP(A27,'[1]DANH SÁCH'!$B$8:$J$841,9,0)</f>
        <v>Ngoại Thận - Tiết niệu</v>
      </c>
      <c r="AD27" s="69" t="str">
        <f>VLOOKUP(A27,'[1]DANH SÁCH'!$B$8:$AC$841,10,0)</f>
        <v>KP012</v>
      </c>
      <c r="AE27" s="69" t="str">
        <f>VLOOKUP(A27,'[1]DANH SÁCH'!$B$8:$AD$841,13,0)</f>
        <v>Viên chức</v>
      </c>
      <c r="AF27" s="41" t="s">
        <v>274</v>
      </c>
      <c r="AG27" s="42" t="str">
        <f>VLOOKUP(A27,'[1]DANH SÁCH'!$B$8:$H$841,7,0)</f>
        <v>Bác sĩ chính (hạng II)</v>
      </c>
      <c r="AH27" s="45">
        <v>4.4000000000000004</v>
      </c>
      <c r="AI27" s="42">
        <v>1</v>
      </c>
      <c r="AJ27" s="70">
        <v>0</v>
      </c>
      <c r="AK27" s="69">
        <v>45809</v>
      </c>
      <c r="AL27" s="71" t="s">
        <v>80</v>
      </c>
      <c r="AM27" s="53" t="str">
        <f>VLOOKUP(A27,'[1]DANH SÁCH'!$B$8:$F$841,5,0)</f>
        <v>BSCKII</v>
      </c>
      <c r="AN27" s="53" t="s">
        <v>126</v>
      </c>
      <c r="AO27" s="53"/>
      <c r="AP27" s="53"/>
      <c r="AQ27" s="72" t="s">
        <v>113</v>
      </c>
      <c r="AR27" s="42">
        <f>VLOOKUP(A27,'[1]Chứng chỉ'!$B$8:$Q$1111,11,0)</f>
        <v>0</v>
      </c>
      <c r="AS27" s="42" t="str">
        <f>VLOOKUP(A27,'[1]Chứng chỉ'!$B$8:$Q$1111,12,0)</f>
        <v>x</v>
      </c>
      <c r="AT27" s="47">
        <f>VLOOKUP(A27,'[1]Chứng chỉ'!$B$8:$Q$1111,13,0)</f>
        <v>0</v>
      </c>
      <c r="AU27" s="42">
        <f>VLOOKUP(A27,'[1]Chứng chỉ'!$B$8:$Q$1111,14,0)</f>
        <v>0</v>
      </c>
      <c r="AV27" s="42" t="str">
        <f>VLOOKUP(A27,'[1]Chứng chỉ'!$B$8:$Q$1111,15,0)</f>
        <v>Tày</v>
      </c>
      <c r="AW27" s="42" t="str">
        <f>VLOOKUP(A27,'[1]Chứng chỉ'!$B$8:$Q$1111,16,0)</f>
        <v>Cơ bản</v>
      </c>
      <c r="AX27" s="53"/>
      <c r="AY27" s="57" t="s">
        <v>127</v>
      </c>
      <c r="AZ27" s="65">
        <v>44326</v>
      </c>
      <c r="BA27" s="74" t="e">
        <f t="shared" si="2"/>
        <v>#REF!</v>
      </c>
      <c r="BB27" s="74" t="e">
        <f t="shared" si="3"/>
        <v>#REF!</v>
      </c>
      <c r="BC27" s="61" t="s">
        <v>128</v>
      </c>
      <c r="BD27" s="62"/>
    </row>
    <row r="28" spans="1:56" ht="51" x14ac:dyDescent="0.3">
      <c r="A28" s="41" t="s">
        <v>275</v>
      </c>
      <c r="B28" s="42">
        <f t="shared" si="0"/>
        <v>22</v>
      </c>
      <c r="C28" s="44" t="s">
        <v>276</v>
      </c>
      <c r="D28" s="41" t="s">
        <v>275</v>
      </c>
      <c r="E28" s="61">
        <v>2016000974</v>
      </c>
      <c r="F28" s="64"/>
      <c r="G28" s="49" t="s">
        <v>277</v>
      </c>
      <c r="H28" s="41" t="s">
        <v>278</v>
      </c>
      <c r="I28" s="87"/>
      <c r="J28" s="66">
        <f t="shared" ca="1" si="8"/>
        <v>36</v>
      </c>
      <c r="K28" s="75" t="s">
        <v>279</v>
      </c>
      <c r="L28" s="41" t="s">
        <v>280</v>
      </c>
      <c r="M28" s="53" t="s">
        <v>67</v>
      </c>
      <c r="N28" s="66"/>
      <c r="O28" s="88"/>
      <c r="P28" s="87"/>
      <c r="Q28" s="87"/>
      <c r="R28" s="87"/>
      <c r="S28" s="76" t="s">
        <v>281</v>
      </c>
      <c r="T28" s="85" t="s">
        <v>282</v>
      </c>
      <c r="U28" s="85" t="s">
        <v>94</v>
      </c>
      <c r="V28" s="49" t="str">
        <f t="shared" si="4"/>
        <v>Xã Quyết Thắng, Huyện Hữu Lũng, Tỉnh Lạng Sơn</v>
      </c>
      <c r="W28" s="89" t="s">
        <v>283</v>
      </c>
      <c r="X28" s="43"/>
      <c r="Y28" s="43"/>
      <c r="Z28" s="43"/>
      <c r="AA28" s="68">
        <f>VLOOKUP(A28,'[1]DANH SÁCH'!$B$8:$AD$841,12,0)</f>
        <v>0</v>
      </c>
      <c r="AB28" s="49" t="str">
        <f>VLOOKUP(A28,'[1]DANH SÁCH'!$B$8:$H$841,6,0)</f>
        <v>TĐ003</v>
      </c>
      <c r="AC28" s="69" t="str">
        <f>VLOOKUP(A28,'[1]DANH SÁCH'!$B$8:$J$841,9,0)</f>
        <v>Nội Tiêu hóa</v>
      </c>
      <c r="AD28" s="69" t="str">
        <f>VLOOKUP(A28,'[1]DANH SÁCH'!$B$8:$AC$841,10,0)</f>
        <v>KP008</v>
      </c>
      <c r="AE28" s="69" t="str">
        <f>VLOOKUP(A28,'[1]DANH SÁCH'!$B$8:$AD$841,13,0)</f>
        <v>Viên chức</v>
      </c>
      <c r="AF28" s="41" t="s">
        <v>274</v>
      </c>
      <c r="AG28" s="42" t="str">
        <f>VLOOKUP(A28,'[1]DANH SÁCH'!$B$8:$H$841,7,0)</f>
        <v>Bác sĩ (hạng III)</v>
      </c>
      <c r="AH28" s="45">
        <v>3.33</v>
      </c>
      <c r="AI28" s="42">
        <v>4</v>
      </c>
      <c r="AJ28" s="70">
        <v>0</v>
      </c>
      <c r="AK28" s="69">
        <v>45768</v>
      </c>
      <c r="AL28" s="71" t="s">
        <v>80</v>
      </c>
      <c r="AM28" s="53" t="str">
        <f>VLOOKUP(A28,'[1]DANH SÁCH'!$B$8:$F$841,5,0)</f>
        <v>BSCKI</v>
      </c>
      <c r="AN28" s="53" t="s">
        <v>267</v>
      </c>
      <c r="AO28" s="53"/>
      <c r="AP28" s="53"/>
      <c r="AQ28" s="72"/>
      <c r="AR28" s="42">
        <f>VLOOKUP(A28,'[1]Chứng chỉ'!$B$8:$Q$1111,11,0)</f>
        <v>0</v>
      </c>
      <c r="AS28" s="42" t="str">
        <f>VLOOKUP(A28,'[1]Chứng chỉ'!$B$8:$Q$1111,12,0)</f>
        <v>x</v>
      </c>
      <c r="AT28" s="47" t="str">
        <f>VLOOKUP(A28,'[1]Chứng chỉ'!$B$8:$Q$1111,13,0)</f>
        <v>x</v>
      </c>
      <c r="AU28" s="42" t="str">
        <f>VLOOKUP(A28,'[1]Chứng chỉ'!$B$8:$Q$1111,14,0)</f>
        <v>B</v>
      </c>
      <c r="AV28" s="42">
        <f>VLOOKUP(A28,'[1]Chứng chỉ'!$B$8:$Q$1111,15,0)</f>
        <v>0</v>
      </c>
      <c r="AW28" s="42" t="str">
        <f>VLOOKUP(A28,'[1]Chứng chỉ'!$B$8:$Q$1111,16,0)</f>
        <v>B</v>
      </c>
      <c r="AX28" s="53"/>
      <c r="AY28" s="57" t="s">
        <v>284</v>
      </c>
      <c r="AZ28" s="65"/>
      <c r="BA28" s="74"/>
      <c r="BB28" s="74"/>
      <c r="BC28" s="61" t="s">
        <v>128</v>
      </c>
      <c r="BD28" s="62"/>
    </row>
    <row r="29" spans="1:56" ht="40.799999999999997" x14ac:dyDescent="0.3">
      <c r="A29" s="46" t="s">
        <v>285</v>
      </c>
      <c r="B29" s="42">
        <f t="shared" si="0"/>
        <v>23</v>
      </c>
      <c r="C29" s="63" t="s">
        <v>286</v>
      </c>
      <c r="D29" s="46" t="s">
        <v>285</v>
      </c>
      <c r="E29" s="61" t="s">
        <v>287</v>
      </c>
      <c r="F29" s="64"/>
      <c r="G29" s="49" t="s">
        <v>288</v>
      </c>
      <c r="H29" s="42"/>
      <c r="I29" s="90" t="s">
        <v>289</v>
      </c>
      <c r="J29" s="66">
        <f ca="1">INT(DATEDIF(I29,$J$2,"d")/365)</f>
        <v>34</v>
      </c>
      <c r="K29" s="91" t="s">
        <v>290</v>
      </c>
      <c r="L29" s="41" t="s">
        <v>291</v>
      </c>
      <c r="M29" s="53" t="s">
        <v>67</v>
      </c>
      <c r="N29" s="52" t="s">
        <v>292</v>
      </c>
      <c r="O29" s="56"/>
      <c r="P29" s="47"/>
      <c r="Q29" s="64"/>
      <c r="R29" s="47"/>
      <c r="S29" s="47"/>
      <c r="T29" s="56"/>
      <c r="U29" s="56"/>
      <c r="V29" s="56" t="s">
        <v>293</v>
      </c>
      <c r="W29" s="67" t="s">
        <v>294</v>
      </c>
      <c r="X29" s="46" t="s">
        <v>295</v>
      </c>
      <c r="Y29" s="46"/>
      <c r="Z29" s="46"/>
      <c r="AA29" s="68">
        <f>VLOOKUP(A29,'[1]DANH SÁCH'!$B$8:$AD$841,12,0)</f>
        <v>0</v>
      </c>
      <c r="AB29" s="49" t="str">
        <f>VLOOKUP(A29,'[1]DANH SÁCH'!$B$8:$H$841,6,0)</f>
        <v>TĐ003</v>
      </c>
      <c r="AC29" s="69" t="str">
        <f>VLOOKUP(A29,'[1]DANH SÁCH'!$B$8:$J$841,9,0)</f>
        <v>Cấp cứu</v>
      </c>
      <c r="AD29" s="69" t="str">
        <f>VLOOKUP(A29,'[1]DANH SÁCH'!$B$8:$AC$841,10,0)</f>
        <v>KP002</v>
      </c>
      <c r="AE29" s="69" t="str">
        <f>VLOOKUP(A29,'[1]DANH SÁCH'!$B$8:$AD$841,13,0)</f>
        <v>Viên chức</v>
      </c>
      <c r="AF29" s="41" t="s">
        <v>274</v>
      </c>
      <c r="AG29" s="92" t="s">
        <v>296</v>
      </c>
      <c r="AH29" s="45">
        <v>3.33</v>
      </c>
      <c r="AI29" s="42">
        <v>4</v>
      </c>
      <c r="AJ29" s="70">
        <v>0</v>
      </c>
      <c r="AK29" s="69">
        <v>46146</v>
      </c>
      <c r="AL29" s="71" t="s">
        <v>80</v>
      </c>
      <c r="AM29" s="53" t="str">
        <f>VLOOKUP(A29,'[1]DANH SÁCH'!$B$8:$F$841,5,0)</f>
        <v>BSCKI</v>
      </c>
      <c r="AN29" s="53" t="s">
        <v>267</v>
      </c>
      <c r="AO29" s="53" t="s">
        <v>297</v>
      </c>
      <c r="AP29" s="53">
        <v>2015</v>
      </c>
      <c r="AQ29" s="72" t="s">
        <v>113</v>
      </c>
      <c r="AR29" s="42">
        <f>VLOOKUP(A29,'[1]Chứng chỉ'!$B$8:$Q$1111,11,0)</f>
        <v>0</v>
      </c>
      <c r="AS29" s="42">
        <f>VLOOKUP(A29,'[1]Chứng chỉ'!$B$8:$Q$1111,12,0)</f>
        <v>0</v>
      </c>
      <c r="AT29" s="47" t="s">
        <v>139</v>
      </c>
      <c r="AU29" s="42" t="str">
        <f>VLOOKUP(A29,'[1]Chứng chỉ'!$B$8:$Q$1111,14,0)</f>
        <v>A2</v>
      </c>
      <c r="AV29" s="42">
        <f>VLOOKUP(A29,'[1]Chứng chỉ'!$B$8:$Q$1111,15,0)</f>
        <v>0</v>
      </c>
      <c r="AW29" s="42" t="str">
        <f>VLOOKUP(A29,'[1]Chứng chỉ'!$B$8:$Q$1111,16,0)</f>
        <v>Cơ bản</v>
      </c>
      <c r="AX29" s="56"/>
      <c r="AY29" s="73" t="s">
        <v>298</v>
      </c>
      <c r="AZ29" s="65"/>
      <c r="BA29" s="74" t="e">
        <f>VLOOKUP(A29,#REF!,4,0)</f>
        <v>#REF!</v>
      </c>
      <c r="BB29" s="74" t="e">
        <f>VLOOKUP(A29,#REF!,5,0)</f>
        <v>#REF!</v>
      </c>
      <c r="BC29" s="61" t="s">
        <v>128</v>
      </c>
      <c r="BD29" s="62"/>
    </row>
    <row r="30" spans="1:56" ht="40.799999999999997" x14ac:dyDescent="0.3">
      <c r="A30" s="46" t="s">
        <v>299</v>
      </c>
      <c r="B30" s="42">
        <f t="shared" si="0"/>
        <v>24</v>
      </c>
      <c r="C30" s="93" t="s">
        <v>300</v>
      </c>
      <c r="D30" s="46" t="s">
        <v>299</v>
      </c>
      <c r="E30" s="61" t="s">
        <v>301</v>
      </c>
      <c r="F30" s="10"/>
      <c r="G30" s="49" t="s">
        <v>302</v>
      </c>
      <c r="H30" s="46" t="s">
        <v>303</v>
      </c>
      <c r="I30" s="47"/>
      <c r="J30" s="66">
        <f t="shared" ref="J30:J31" ca="1" si="9">INT(DATEDIF(H30,$J$2,"d")/365)</f>
        <v>31</v>
      </c>
      <c r="K30" s="94" t="s">
        <v>304</v>
      </c>
      <c r="L30" s="41" t="s">
        <v>305</v>
      </c>
      <c r="M30" s="53" t="s">
        <v>67</v>
      </c>
      <c r="N30" s="95"/>
      <c r="O30" s="96"/>
      <c r="P30" s="6"/>
      <c r="Q30" s="6"/>
      <c r="R30" s="6"/>
      <c r="S30" s="6"/>
      <c r="T30" s="6"/>
      <c r="U30" s="6"/>
      <c r="V30" s="6"/>
      <c r="W30" s="67" t="s">
        <v>306</v>
      </c>
      <c r="X30" s="97"/>
      <c r="Y30" s="97"/>
      <c r="Z30" s="97"/>
      <c r="AA30" s="68">
        <f>VLOOKUP(A30,'[1]DANH SÁCH'!$B$8:$AD$841,12,0)</f>
        <v>0</v>
      </c>
      <c r="AB30" s="49" t="str">
        <f>VLOOKUP(A30,'[1]DANH SÁCH'!$B$8:$H$841,6,0)</f>
        <v>TĐ003</v>
      </c>
      <c r="AC30" s="69" t="str">
        <f>VLOOKUP(A30,'[1]DANH SÁCH'!$B$8:$J$841,9,0)</f>
        <v>Cấp cứu</v>
      </c>
      <c r="AD30" s="69" t="str">
        <f>VLOOKUP(A30,'[1]DANH SÁCH'!$B$8:$AC$841,10,0)</f>
        <v>KP002</v>
      </c>
      <c r="AE30" s="69" t="str">
        <f>VLOOKUP(A30,'[1]DANH SÁCH'!$B$8:$AD$841,13,0)</f>
        <v>Viên chức</v>
      </c>
      <c r="AF30" s="41" t="s">
        <v>274</v>
      </c>
      <c r="AG30" s="42" t="str">
        <f>VLOOKUP(A30,'[1]DANH SÁCH'!$B$8:$H$841,7,0)</f>
        <v>Bác sĩ (hạng III)</v>
      </c>
      <c r="AH30" s="45">
        <v>3</v>
      </c>
      <c r="AI30" s="42">
        <v>3</v>
      </c>
      <c r="AJ30" s="70">
        <v>0</v>
      </c>
      <c r="AK30" s="69">
        <v>45839</v>
      </c>
      <c r="AL30" s="71" t="s">
        <v>80</v>
      </c>
      <c r="AM30" s="53" t="str">
        <f>VLOOKUP(A30,'[1]DANH SÁCH'!$B$8:$F$841,5,0)</f>
        <v>BSCKI</v>
      </c>
      <c r="AN30" s="53" t="s">
        <v>307</v>
      </c>
      <c r="AO30" s="53"/>
      <c r="AP30" s="53"/>
      <c r="AQ30" s="72" t="s">
        <v>113</v>
      </c>
      <c r="AR30" s="42">
        <f>VLOOKUP(A30,'[1]Chứng chỉ'!$B$8:$Q$1111,11,0)</f>
        <v>0</v>
      </c>
      <c r="AS30" s="42">
        <f>VLOOKUP(A30,'[1]Chứng chỉ'!$B$8:$Q$1111,12,0)</f>
        <v>0</v>
      </c>
      <c r="AT30" s="47">
        <f>VLOOKUP(A30,'[1]Chứng chỉ'!$B$8:$Q$1111,13,0)</f>
        <v>0</v>
      </c>
      <c r="AU30" s="42" t="str">
        <f>VLOOKUP(A30,'[1]Chứng chỉ'!$B$8:$Q$1111,14,0)</f>
        <v>A2</v>
      </c>
      <c r="AV30" s="42">
        <f>VLOOKUP(A30,'[1]Chứng chỉ'!$B$8:$Q$1111,15,0)</f>
        <v>0</v>
      </c>
      <c r="AW30" s="42" t="str">
        <f>VLOOKUP(A30,'[1]Chứng chỉ'!$B$8:$Q$1111,16,0)</f>
        <v>IC3</v>
      </c>
      <c r="AX30" s="6"/>
      <c r="AY30" s="98" t="s">
        <v>127</v>
      </c>
      <c r="AZ30" s="65"/>
      <c r="BA30" s="74"/>
      <c r="BB30" s="74"/>
      <c r="BC30" s="61" t="s">
        <v>128</v>
      </c>
      <c r="BD30" s="62"/>
    </row>
    <row r="31" spans="1:56" ht="51" x14ac:dyDescent="0.3">
      <c r="A31" s="41" t="s">
        <v>308</v>
      </c>
      <c r="B31" s="42">
        <f t="shared" si="0"/>
        <v>25</v>
      </c>
      <c r="C31" s="68" t="s">
        <v>309</v>
      </c>
      <c r="D31" s="41" t="s">
        <v>308</v>
      </c>
      <c r="E31" s="61">
        <v>2013002122</v>
      </c>
      <c r="F31" s="64"/>
      <c r="G31" s="49" t="s">
        <v>310</v>
      </c>
      <c r="H31" s="76">
        <v>33427</v>
      </c>
      <c r="I31" s="76"/>
      <c r="J31" s="66">
        <f t="shared" ca="1" si="9"/>
        <v>35</v>
      </c>
      <c r="K31" s="75" t="s">
        <v>311</v>
      </c>
      <c r="L31" s="41" t="s">
        <v>312</v>
      </c>
      <c r="M31" s="53" t="s">
        <v>67</v>
      </c>
      <c r="N31" s="66" t="s">
        <v>313</v>
      </c>
      <c r="O31" s="85" t="s">
        <v>314</v>
      </c>
      <c r="P31" s="49" t="s">
        <v>195</v>
      </c>
      <c r="Q31" s="49" t="s">
        <v>94</v>
      </c>
      <c r="R31" s="76"/>
      <c r="S31" s="76" t="s">
        <v>314</v>
      </c>
      <c r="T31" s="53" t="s">
        <v>195</v>
      </c>
      <c r="U31" s="53" t="s">
        <v>94</v>
      </c>
      <c r="V31" s="49" t="str">
        <f t="shared" ref="V31:V33" si="10">S31&amp;", "&amp;T31&amp;", "&amp;U31</f>
        <v>Xã Trung Thành, Huyện Tràng Định, Tỉnh Lạng Sơn</v>
      </c>
      <c r="W31" s="55" t="s">
        <v>315</v>
      </c>
      <c r="X31" s="41"/>
      <c r="Y31" s="41"/>
      <c r="Z31" s="41"/>
      <c r="AA31" s="68" t="e">
        <f>VLOOKUP(A31,'[1]DANH SÁCH'!$B$8:$AD$841,12,0)</f>
        <v>#N/A</v>
      </c>
      <c r="AB31" s="49" t="e">
        <f>VLOOKUP(A31,'[1]DANH SÁCH'!$B$8:$H$841,6,0)</f>
        <v>#N/A</v>
      </c>
      <c r="AC31" s="69" t="e">
        <f>VLOOKUP(A31,'[1]DANH SÁCH'!$B$8:$J$841,9,0)</f>
        <v>#N/A</v>
      </c>
      <c r="AD31" s="69" t="e">
        <f>VLOOKUP(A31,'[1]DANH SÁCH'!$B$8:$AC$841,10,0)</f>
        <v>#N/A</v>
      </c>
      <c r="AE31" s="69" t="e">
        <f>VLOOKUP(A31,'[1]DANH SÁCH'!$B$8:$AD$841,13,0)</f>
        <v>#N/A</v>
      </c>
      <c r="AF31" s="41" t="s">
        <v>147</v>
      </c>
      <c r="AG31" s="42" t="e">
        <f>VLOOKUP(A31,'[1]DANH SÁCH'!$B$8:$H$841,7,0)</f>
        <v>#N/A</v>
      </c>
      <c r="AH31" s="45">
        <v>3.66</v>
      </c>
      <c r="AI31" s="42">
        <v>5</v>
      </c>
      <c r="AJ31" s="70">
        <v>0</v>
      </c>
      <c r="AK31" s="69">
        <v>45383</v>
      </c>
      <c r="AL31" s="71" t="s">
        <v>80</v>
      </c>
      <c r="AM31" s="53" t="e">
        <f>VLOOKUP(A31,'[1]DANH SÁCH'!$B$8:$F$841,5,0)</f>
        <v>#N/A</v>
      </c>
      <c r="AN31" s="53"/>
      <c r="AO31" s="53" t="s">
        <v>316</v>
      </c>
      <c r="AP31" s="53">
        <v>2012</v>
      </c>
      <c r="AQ31" s="72" t="s">
        <v>113</v>
      </c>
      <c r="AR31" s="42">
        <f>VLOOKUP(A31,'[1]Chứng chỉ'!$B$8:$Q$1111,11,0)</f>
        <v>0</v>
      </c>
      <c r="AS31" s="42">
        <f>VLOOKUP(A31,'[1]Chứng chỉ'!$B$8:$Q$1111,12,0)</f>
        <v>0</v>
      </c>
      <c r="AT31" s="47" t="s">
        <v>139</v>
      </c>
      <c r="AU31" s="42" t="str">
        <f>VLOOKUP(A31,'[1]Chứng chỉ'!$B$8:$Q$1111,14,0)</f>
        <v>A2</v>
      </c>
      <c r="AV31" s="42" t="str">
        <f>VLOOKUP(A31,'[1]Chứng chỉ'!$B$8:$Q$1111,15,0)</f>
        <v>Tày</v>
      </c>
      <c r="AW31" s="42" t="str">
        <f>VLOOKUP(A31,'[1]Chứng chỉ'!$B$8:$Q$1111,16,0)</f>
        <v>Cơ bản</v>
      </c>
      <c r="AX31" s="53"/>
      <c r="AY31" s="57" t="s">
        <v>85</v>
      </c>
      <c r="AZ31" s="65"/>
      <c r="BA31" s="74" t="e">
        <f t="shared" ref="BA31:BA39" si="11">VLOOKUP(A31,#REF!,4,0)</f>
        <v>#REF!</v>
      </c>
      <c r="BB31" s="74" t="e">
        <f t="shared" ref="BB31:BB39" si="12">VLOOKUP(A31,#REF!,5,0)</f>
        <v>#REF!</v>
      </c>
      <c r="BC31" s="61" t="s">
        <v>258</v>
      </c>
      <c r="BD31" s="62"/>
    </row>
    <row r="32" spans="1:56" ht="51" x14ac:dyDescent="0.3">
      <c r="A32" s="41" t="s">
        <v>317</v>
      </c>
      <c r="B32" s="42">
        <f t="shared" si="0"/>
        <v>26</v>
      </c>
      <c r="C32" s="68" t="s">
        <v>318</v>
      </c>
      <c r="D32" s="41" t="s">
        <v>317</v>
      </c>
      <c r="E32" s="61">
        <v>2010000123</v>
      </c>
      <c r="F32" s="64"/>
      <c r="G32" s="49" t="s">
        <v>319</v>
      </c>
      <c r="H32" s="76"/>
      <c r="I32" s="76">
        <v>31334</v>
      </c>
      <c r="J32" s="66">
        <f t="shared" ref="J32:J36" ca="1" si="13">INT(DATEDIF(I32,$J$2,"d")/365)</f>
        <v>40</v>
      </c>
      <c r="K32" s="75" t="s">
        <v>320</v>
      </c>
      <c r="L32" s="41" t="s">
        <v>321</v>
      </c>
      <c r="M32" s="53" t="s">
        <v>67</v>
      </c>
      <c r="N32" s="66"/>
      <c r="O32" s="53" t="s">
        <v>322</v>
      </c>
      <c r="P32" s="49" t="s">
        <v>108</v>
      </c>
      <c r="Q32" s="49" t="s">
        <v>94</v>
      </c>
      <c r="R32" s="49" t="s">
        <v>323</v>
      </c>
      <c r="S32" s="49" t="s">
        <v>136</v>
      </c>
      <c r="T32" s="53" t="s">
        <v>97</v>
      </c>
      <c r="U32" s="53" t="s">
        <v>94</v>
      </c>
      <c r="V32" s="49" t="str">
        <f t="shared" si="10"/>
        <v>Phường Chi Lăng, Thành phố Lạng Sơn, Tỉnh Lạng Sơn</v>
      </c>
      <c r="W32" s="55" t="s">
        <v>236</v>
      </c>
      <c r="X32" s="41"/>
      <c r="Y32" s="41"/>
      <c r="Z32" s="41"/>
      <c r="AA32" s="68">
        <f>VLOOKUP(A32,'[1]DANH SÁCH'!$B$8:$AD$841,12,0)</f>
        <v>0</v>
      </c>
      <c r="AB32" s="49" t="str">
        <f>VLOOKUP(A32,'[1]DANH SÁCH'!$B$8:$H$841,6,0)</f>
        <v>TĐ012</v>
      </c>
      <c r="AC32" s="69" t="str">
        <f>VLOOKUP(A32,'[1]DANH SÁCH'!$B$8:$J$841,9,0)</f>
        <v>Cấp cứu</v>
      </c>
      <c r="AD32" s="69" t="str">
        <f>VLOOKUP(A32,'[1]DANH SÁCH'!$B$8:$AC$841,10,0)</f>
        <v>KP002</v>
      </c>
      <c r="AE32" s="69" t="str">
        <f>VLOOKUP(A32,'[1]DANH SÁCH'!$B$8:$AD$841,13,0)</f>
        <v>Viên chức</v>
      </c>
      <c r="AF32" s="41" t="s">
        <v>157</v>
      </c>
      <c r="AG32" s="42" t="str">
        <f>VLOOKUP(A32,'[1]DANH SÁCH'!$B$8:$H$841,7,0)</f>
        <v>Điều dưỡng (hạng IV)</v>
      </c>
      <c r="AH32" s="45">
        <v>3.65</v>
      </c>
      <c r="AI32" s="42">
        <v>6</v>
      </c>
      <c r="AJ32" s="70">
        <v>0</v>
      </c>
      <c r="AK32" s="69">
        <v>45839</v>
      </c>
      <c r="AL32" s="71" t="s">
        <v>158</v>
      </c>
      <c r="AM32" s="53" t="str">
        <f>VLOOKUP(A32,'[1]DANH SÁCH'!$B$8:$F$841,5,0)</f>
        <v>Điều dưỡng CĐ</v>
      </c>
      <c r="AN32" s="53"/>
      <c r="AO32" s="53" t="s">
        <v>175</v>
      </c>
      <c r="AP32" s="53">
        <v>2006</v>
      </c>
      <c r="AQ32" s="72" t="s">
        <v>113</v>
      </c>
      <c r="AR32" s="42">
        <f>VLOOKUP(A32,'[1]Chứng chỉ'!$B$8:$Q$1111,11,0)</f>
        <v>0</v>
      </c>
      <c r="AS32" s="42">
        <f>VLOOKUP(A32,'[1]Chứng chỉ'!$B$8:$Q$1111,12,0)</f>
        <v>0</v>
      </c>
      <c r="AT32" s="47" t="s">
        <v>139</v>
      </c>
      <c r="AU32" s="42">
        <f>VLOOKUP(A32,'[1]Chứng chỉ'!$B$8:$Q$1111,14,0)</f>
        <v>0</v>
      </c>
      <c r="AV32" s="42" t="str">
        <f>VLOOKUP(A32,'[1]Chứng chỉ'!$B$8:$Q$1111,15,0)</f>
        <v>Tày</v>
      </c>
      <c r="AW32" s="42">
        <f>VLOOKUP(A32,'[1]Chứng chỉ'!$B$8:$Q$1111,16,0)</f>
        <v>0</v>
      </c>
      <c r="AX32" s="53"/>
      <c r="AY32" s="57" t="s">
        <v>127</v>
      </c>
      <c r="AZ32" s="65"/>
      <c r="BA32" s="74" t="e">
        <f t="shared" si="11"/>
        <v>#REF!</v>
      </c>
      <c r="BB32" s="74" t="e">
        <f t="shared" si="12"/>
        <v>#REF!</v>
      </c>
      <c r="BC32" s="61" t="s">
        <v>128</v>
      </c>
      <c r="BD32" s="62"/>
    </row>
    <row r="33" spans="1:56" ht="51" x14ac:dyDescent="0.3">
      <c r="A33" s="41" t="s">
        <v>324</v>
      </c>
      <c r="B33" s="42">
        <f t="shared" si="0"/>
        <v>27</v>
      </c>
      <c r="C33" s="68" t="s">
        <v>325</v>
      </c>
      <c r="D33" s="41" t="s">
        <v>324</v>
      </c>
      <c r="E33" s="61">
        <v>2013002131</v>
      </c>
      <c r="F33" s="64"/>
      <c r="G33" s="49" t="s">
        <v>326</v>
      </c>
      <c r="H33" s="76"/>
      <c r="I33" s="65">
        <v>33223</v>
      </c>
      <c r="J33" s="66">
        <f t="shared" ca="1" si="13"/>
        <v>35</v>
      </c>
      <c r="K33" s="75" t="s">
        <v>327</v>
      </c>
      <c r="L33" s="41" t="s">
        <v>328</v>
      </c>
      <c r="M33" s="53" t="s">
        <v>67</v>
      </c>
      <c r="N33" s="66"/>
      <c r="O33" s="53"/>
      <c r="P33" s="76" t="s">
        <v>145</v>
      </c>
      <c r="Q33" s="49" t="s">
        <v>94</v>
      </c>
      <c r="R33" s="76"/>
      <c r="S33" s="49" t="s">
        <v>329</v>
      </c>
      <c r="T33" s="76" t="s">
        <v>145</v>
      </c>
      <c r="U33" s="49" t="s">
        <v>94</v>
      </c>
      <c r="V33" s="49" t="str">
        <f t="shared" si="10"/>
        <v>Xã Hoàng Văn Thụ, Huyện Văn Lãng, Tỉnh Lạng Sơn</v>
      </c>
      <c r="W33" s="55" t="s">
        <v>315</v>
      </c>
      <c r="X33" s="41"/>
      <c r="Y33" s="41"/>
      <c r="Z33" s="41"/>
      <c r="AA33" s="68">
        <f>VLOOKUP(A33,'[1]DANH SÁCH'!$B$8:$AD$841,12,0)</f>
        <v>0</v>
      </c>
      <c r="AB33" s="49" t="str">
        <f>VLOOKUP(A33,'[1]DANH SÁCH'!$B$8:$H$841,6,0)</f>
        <v>TĐ011</v>
      </c>
      <c r="AC33" s="69" t="str">
        <f>VLOOKUP(A33,'[1]DANH SÁCH'!$B$8:$J$841,9,0)</f>
        <v>Cấp cứu</v>
      </c>
      <c r="AD33" s="69" t="str">
        <f>VLOOKUP(A33,'[1]DANH SÁCH'!$B$8:$AC$841,10,0)</f>
        <v>KP002</v>
      </c>
      <c r="AE33" s="69" t="str">
        <f>VLOOKUP(A33,'[1]DANH SÁCH'!$B$8:$AD$841,13,0)</f>
        <v>Viên chức</v>
      </c>
      <c r="AF33" s="41" t="s">
        <v>147</v>
      </c>
      <c r="AG33" s="42" t="str">
        <f>VLOOKUP(A33,'[1]DANH SÁCH'!$B$8:$H$841,7,0)</f>
        <v>Điều dưỡng (hạng III)</v>
      </c>
      <c r="AH33" s="45">
        <v>3.33</v>
      </c>
      <c r="AI33" s="42">
        <v>4</v>
      </c>
      <c r="AJ33" s="70">
        <v>0</v>
      </c>
      <c r="AK33" s="69">
        <v>45383</v>
      </c>
      <c r="AL33" s="71" t="s">
        <v>80</v>
      </c>
      <c r="AM33" s="53" t="str">
        <f>VLOOKUP(A33,'[1]DANH SÁCH'!$B$8:$F$841,5,0)</f>
        <v>Điều dưỡng ĐH</v>
      </c>
      <c r="AN33" s="53"/>
      <c r="AO33" s="53"/>
      <c r="AP33" s="53"/>
      <c r="AQ33" s="72"/>
      <c r="AR33" s="42">
        <f>VLOOKUP(A33,'[1]Chứng chỉ'!$B$8:$Q$1111,11,0)</f>
        <v>0</v>
      </c>
      <c r="AS33" s="42">
        <f>VLOOKUP(A33,'[1]Chứng chỉ'!$B$8:$Q$1111,12,0)</f>
        <v>0</v>
      </c>
      <c r="AT33" s="47" t="s">
        <v>139</v>
      </c>
      <c r="AU33" s="42" t="str">
        <f>VLOOKUP(A33,'[1]Chứng chỉ'!$B$8:$Q$1111,14,0)</f>
        <v>B</v>
      </c>
      <c r="AV33" s="42" t="str">
        <f>VLOOKUP(A33,'[1]Chứng chỉ'!$B$8:$Q$1111,15,0)</f>
        <v>Tày</v>
      </c>
      <c r="AW33" s="42" t="str">
        <f>VLOOKUP(A33,'[1]Chứng chỉ'!$B$8:$Q$1111,16,0)</f>
        <v>Cơ bản</v>
      </c>
      <c r="AX33" s="42"/>
      <c r="AY33" s="57" t="s">
        <v>85</v>
      </c>
      <c r="AZ33" s="65"/>
      <c r="BA33" s="74" t="e">
        <f t="shared" si="11"/>
        <v>#REF!</v>
      </c>
      <c r="BB33" s="74" t="e">
        <f t="shared" si="12"/>
        <v>#REF!</v>
      </c>
      <c r="BC33" s="41"/>
      <c r="BD33" s="42"/>
    </row>
    <row r="34" spans="1:56" ht="40.799999999999997" x14ac:dyDescent="0.3">
      <c r="A34" s="41" t="s">
        <v>330</v>
      </c>
      <c r="B34" s="42">
        <f t="shared" si="0"/>
        <v>28</v>
      </c>
      <c r="C34" s="68" t="s">
        <v>331</v>
      </c>
      <c r="D34" s="41" t="s">
        <v>330</v>
      </c>
      <c r="E34" s="61">
        <v>2011000008</v>
      </c>
      <c r="F34" s="64"/>
      <c r="G34" s="49" t="s">
        <v>332</v>
      </c>
      <c r="H34" s="76"/>
      <c r="I34" s="76">
        <v>31826</v>
      </c>
      <c r="J34" s="66">
        <f t="shared" ca="1" si="13"/>
        <v>39</v>
      </c>
      <c r="K34" s="75" t="s">
        <v>333</v>
      </c>
      <c r="L34" s="41" t="s">
        <v>334</v>
      </c>
      <c r="M34" s="53" t="s">
        <v>67</v>
      </c>
      <c r="N34" s="66"/>
      <c r="O34" s="53" t="s">
        <v>335</v>
      </c>
      <c r="P34" s="49" t="s">
        <v>231</v>
      </c>
      <c r="Q34" s="49" t="s">
        <v>94</v>
      </c>
      <c r="R34" s="49"/>
      <c r="S34" s="49" t="s">
        <v>335</v>
      </c>
      <c r="T34" s="53" t="s">
        <v>231</v>
      </c>
      <c r="U34" s="53" t="s">
        <v>94</v>
      </c>
      <c r="V34" s="92" t="s">
        <v>336</v>
      </c>
      <c r="W34" s="55" t="s">
        <v>224</v>
      </c>
      <c r="X34" s="41"/>
      <c r="Y34" s="41"/>
      <c r="Z34" s="41"/>
      <c r="AA34" s="68" t="e">
        <f>VLOOKUP(A34,'[1]DANH SÁCH'!$B$8:$AD$841,12,0)</f>
        <v>#N/A</v>
      </c>
      <c r="AB34" s="49" t="e">
        <f>VLOOKUP(A34,'[1]DANH SÁCH'!$B$8:$H$841,6,0)</f>
        <v>#N/A</v>
      </c>
      <c r="AC34" s="69" t="e">
        <f>VLOOKUP(A34,'[1]DANH SÁCH'!$B$8:$J$841,9,0)</f>
        <v>#N/A</v>
      </c>
      <c r="AD34" s="69" t="e">
        <f>VLOOKUP(A34,'[1]DANH SÁCH'!$B$8:$AC$841,10,0)</f>
        <v>#N/A</v>
      </c>
      <c r="AE34" s="69" t="e">
        <f>VLOOKUP(A34,'[1]DANH SÁCH'!$B$8:$AD$841,13,0)</f>
        <v>#N/A</v>
      </c>
      <c r="AF34" s="41" t="s">
        <v>157</v>
      </c>
      <c r="AG34" s="42" t="e">
        <f>VLOOKUP(A34,'[1]DANH SÁCH'!$B$8:$H$841,7,0)</f>
        <v>#N/A</v>
      </c>
      <c r="AH34" s="45">
        <v>3.34</v>
      </c>
      <c r="AI34" s="42">
        <v>5</v>
      </c>
      <c r="AJ34" s="70">
        <v>0</v>
      </c>
      <c r="AK34" s="69">
        <v>45261</v>
      </c>
      <c r="AL34" s="71" t="s">
        <v>158</v>
      </c>
      <c r="AM34" s="53" t="e">
        <f>VLOOKUP(A34,'[1]DANH SÁCH'!$B$8:$F$841,5,0)</f>
        <v>#N/A</v>
      </c>
      <c r="AN34" s="53"/>
      <c r="AO34" s="53" t="s">
        <v>159</v>
      </c>
      <c r="AP34" s="53">
        <v>2008</v>
      </c>
      <c r="AQ34" s="72" t="s">
        <v>113</v>
      </c>
      <c r="AR34" s="42">
        <f>VLOOKUP(A34,'[1]Chứng chỉ'!$B$8:$Q$1111,11,0)</f>
        <v>0</v>
      </c>
      <c r="AS34" s="42">
        <f>VLOOKUP(A34,'[1]Chứng chỉ'!$B$8:$Q$1111,12,0)</f>
        <v>0</v>
      </c>
      <c r="AT34" s="47">
        <f>VLOOKUP(A34,'[1]Chứng chỉ'!$B$8:$Q$1111,13,0)</f>
        <v>0</v>
      </c>
      <c r="AU34" s="42">
        <f>VLOOKUP(A34,'[1]Chứng chỉ'!$B$8:$Q$1111,14,0)</f>
        <v>0</v>
      </c>
      <c r="AV34" s="42">
        <f>VLOOKUP(A34,'[1]Chứng chỉ'!$B$8:$Q$1111,15,0)</f>
        <v>0</v>
      </c>
      <c r="AW34" s="42" t="str">
        <f>VLOOKUP(A34,'[1]Chứng chỉ'!$B$8:$Q$1111,16,0)</f>
        <v>B</v>
      </c>
      <c r="AX34" s="53"/>
      <c r="AY34" s="57" t="s">
        <v>85</v>
      </c>
      <c r="AZ34" s="65"/>
      <c r="BA34" s="74" t="e">
        <f t="shared" si="11"/>
        <v>#REF!</v>
      </c>
      <c r="BB34" s="74" t="e">
        <f t="shared" si="12"/>
        <v>#REF!</v>
      </c>
      <c r="BC34" s="61" t="s">
        <v>128</v>
      </c>
      <c r="BD34" s="62"/>
    </row>
    <row r="35" spans="1:56" ht="61.2" x14ac:dyDescent="0.3">
      <c r="A35" s="41" t="s">
        <v>337</v>
      </c>
      <c r="B35" s="42">
        <f t="shared" si="0"/>
        <v>29</v>
      </c>
      <c r="C35" s="68" t="s">
        <v>338</v>
      </c>
      <c r="D35" s="41" t="s">
        <v>337</v>
      </c>
      <c r="E35" s="61">
        <v>2009000938</v>
      </c>
      <c r="F35" s="64"/>
      <c r="G35" s="49" t="s">
        <v>339</v>
      </c>
      <c r="H35" s="76"/>
      <c r="I35" s="76">
        <v>31359</v>
      </c>
      <c r="J35" s="66">
        <f t="shared" ca="1" si="13"/>
        <v>40</v>
      </c>
      <c r="K35" s="75" t="s">
        <v>340</v>
      </c>
      <c r="L35" s="41" t="s">
        <v>341</v>
      </c>
      <c r="M35" s="53" t="s">
        <v>67</v>
      </c>
      <c r="N35" s="66"/>
      <c r="O35" s="53" t="s">
        <v>342</v>
      </c>
      <c r="P35" s="76" t="s">
        <v>343</v>
      </c>
      <c r="Q35" s="49" t="s">
        <v>94</v>
      </c>
      <c r="R35" s="49"/>
      <c r="S35" s="49" t="s">
        <v>166</v>
      </c>
      <c r="T35" s="53" t="s">
        <v>97</v>
      </c>
      <c r="U35" s="53" t="s">
        <v>94</v>
      </c>
      <c r="V35" s="49" t="str">
        <f t="shared" ref="V35:V39" si="14">S35&amp;", "&amp;T35&amp;", "&amp;U35</f>
        <v>Phường Tam Thanh, Thành phố Lạng Sơn, Tỉnh Lạng Sơn</v>
      </c>
      <c r="W35" s="55" t="s">
        <v>98</v>
      </c>
      <c r="X35" s="41"/>
      <c r="Y35" s="41"/>
      <c r="Z35" s="41"/>
      <c r="AA35" s="68" t="str">
        <f>VLOOKUP(A35,'[1]DANH SÁCH'!$B$8:$AD$841,12,0)</f>
        <v>Điều dưỡng trưởng</v>
      </c>
      <c r="AB35" s="49" t="str">
        <f>VLOOKUP(A35,'[1]DANH SÁCH'!$B$8:$H$841,6,0)</f>
        <v>TĐ011</v>
      </c>
      <c r="AC35" s="69" t="str">
        <f>VLOOKUP(A35,'[1]DANH SÁCH'!$B$8:$J$841,9,0)</f>
        <v>Cấp cứu</v>
      </c>
      <c r="AD35" s="69" t="str">
        <f>VLOOKUP(A35,'[1]DANH SÁCH'!$B$8:$AC$841,10,0)</f>
        <v>KP002</v>
      </c>
      <c r="AE35" s="69" t="str">
        <f>VLOOKUP(A35,'[1]DANH SÁCH'!$B$8:$AD$841,13,0)</f>
        <v>Viên chức</v>
      </c>
      <c r="AF35" s="41" t="s">
        <v>147</v>
      </c>
      <c r="AG35" s="42" t="str">
        <f>VLOOKUP(A35,'[1]DANH SÁCH'!$B$8:$H$841,7,0)</f>
        <v>Điều dưỡng (hạng III)</v>
      </c>
      <c r="AH35" s="45">
        <v>3.66</v>
      </c>
      <c r="AI35" s="42">
        <v>5</v>
      </c>
      <c r="AJ35" s="70">
        <v>0</v>
      </c>
      <c r="AK35" s="69">
        <v>45383</v>
      </c>
      <c r="AL35" s="71" t="s">
        <v>80</v>
      </c>
      <c r="AM35" s="53" t="str">
        <f>VLOOKUP(A35,'[1]DANH SÁCH'!$B$8:$F$841,5,0)</f>
        <v>Điều dưỡng ĐH</v>
      </c>
      <c r="AN35" s="53"/>
      <c r="AO35" s="53" t="s">
        <v>159</v>
      </c>
      <c r="AP35" s="53">
        <v>2007</v>
      </c>
      <c r="AQ35" s="72" t="s">
        <v>113</v>
      </c>
      <c r="AR35" s="42">
        <f>VLOOKUP(A35,'[1]Chứng chỉ'!$B$8:$Q$1111,11,0)</f>
        <v>0</v>
      </c>
      <c r="AS35" s="42">
        <f>VLOOKUP(A35,'[1]Chứng chỉ'!$B$8:$Q$1111,12,0)</f>
        <v>0</v>
      </c>
      <c r="AT35" s="47" t="str">
        <f>VLOOKUP(A35,'[1]Chứng chỉ'!$B$8:$Q$1111,13,0)</f>
        <v>Sơ cấp</v>
      </c>
      <c r="AU35" s="42" t="str">
        <f>VLOOKUP(A35,'[1]Chứng chỉ'!$B$8:$Q$1111,14,0)</f>
        <v>B</v>
      </c>
      <c r="AV35" s="42" t="str">
        <f>VLOOKUP(A35,'[1]Chứng chỉ'!$B$8:$Q$1111,15,0)</f>
        <v>Tày</v>
      </c>
      <c r="AW35" s="42" t="str">
        <f>VLOOKUP(A35,'[1]Chứng chỉ'!$B$8:$Q$1111,16,0)</f>
        <v>Cơ bản</v>
      </c>
      <c r="AX35" s="53"/>
      <c r="AY35" s="57" t="s">
        <v>85</v>
      </c>
      <c r="AZ35" s="65">
        <v>44204</v>
      </c>
      <c r="BA35" s="74" t="e">
        <f t="shared" si="11"/>
        <v>#REF!</v>
      </c>
      <c r="BB35" s="74" t="e">
        <f t="shared" si="12"/>
        <v>#REF!</v>
      </c>
      <c r="BC35" s="61" t="s">
        <v>128</v>
      </c>
      <c r="BD35" s="62"/>
    </row>
    <row r="36" spans="1:56" ht="51" x14ac:dyDescent="0.3">
      <c r="A36" s="41" t="s">
        <v>344</v>
      </c>
      <c r="B36" s="42">
        <f t="shared" si="0"/>
        <v>30</v>
      </c>
      <c r="C36" s="68" t="s">
        <v>345</v>
      </c>
      <c r="D36" s="41" t="s">
        <v>344</v>
      </c>
      <c r="E36" s="61">
        <v>2009002287</v>
      </c>
      <c r="F36" s="64"/>
      <c r="G36" s="49" t="s">
        <v>346</v>
      </c>
      <c r="H36" s="76"/>
      <c r="I36" s="76">
        <v>29474</v>
      </c>
      <c r="J36" s="66">
        <f t="shared" ca="1" si="13"/>
        <v>45</v>
      </c>
      <c r="K36" s="75" t="s">
        <v>347</v>
      </c>
      <c r="L36" s="41" t="s">
        <v>348</v>
      </c>
      <c r="M36" s="53" t="s">
        <v>67</v>
      </c>
      <c r="N36" s="66" t="s">
        <v>349</v>
      </c>
      <c r="O36" s="53" t="s">
        <v>350</v>
      </c>
      <c r="P36" s="49" t="s">
        <v>195</v>
      </c>
      <c r="Q36" s="49" t="s">
        <v>94</v>
      </c>
      <c r="R36" s="49"/>
      <c r="S36" s="49" t="s">
        <v>350</v>
      </c>
      <c r="T36" s="53" t="s">
        <v>195</v>
      </c>
      <c r="U36" s="53" t="s">
        <v>94</v>
      </c>
      <c r="V36" s="49" t="str">
        <f t="shared" si="14"/>
        <v>Xã Kháng Chiến, Huyện Tràng Định, Tỉnh Lạng Sơn</v>
      </c>
      <c r="W36" s="55" t="s">
        <v>98</v>
      </c>
      <c r="X36" s="41"/>
      <c r="Y36" s="41"/>
      <c r="Z36" s="41"/>
      <c r="AA36" s="68">
        <f>VLOOKUP(A36,'[1]DANH SÁCH'!$B$8:$AD$841,12,0)</f>
        <v>0</v>
      </c>
      <c r="AB36" s="49" t="str">
        <f>VLOOKUP(A36,'[1]DANH SÁCH'!$B$8:$H$841,6,0)</f>
        <v>TĐ012</v>
      </c>
      <c r="AC36" s="69" t="str">
        <f>VLOOKUP(A36,'[1]DANH SÁCH'!$B$8:$J$841,9,0)</f>
        <v>Cấp cứu</v>
      </c>
      <c r="AD36" s="69" t="str">
        <f>VLOOKUP(A36,'[1]DANH SÁCH'!$B$8:$AC$841,10,0)</f>
        <v>KP002</v>
      </c>
      <c r="AE36" s="69" t="str">
        <f>VLOOKUP(A36,'[1]DANH SÁCH'!$B$8:$AD$841,13,0)</f>
        <v>Viên chức</v>
      </c>
      <c r="AF36" s="41" t="s">
        <v>157</v>
      </c>
      <c r="AG36" s="42" t="str">
        <f>VLOOKUP(A36,'[1]DANH SÁCH'!$B$8:$H$841,7,0)</f>
        <v>Điều dưỡng (hạng IV)</v>
      </c>
      <c r="AH36" s="45">
        <v>3.65</v>
      </c>
      <c r="AI36" s="42">
        <v>6</v>
      </c>
      <c r="AJ36" s="70">
        <v>0</v>
      </c>
      <c r="AK36" s="69">
        <v>45839</v>
      </c>
      <c r="AL36" s="71" t="s">
        <v>158</v>
      </c>
      <c r="AM36" s="53" t="str">
        <f>VLOOKUP(A36,'[1]DANH SÁCH'!$B$8:$F$841,5,0)</f>
        <v>Điều dưỡng CĐ</v>
      </c>
      <c r="AN36" s="53"/>
      <c r="AO36" s="53" t="s">
        <v>175</v>
      </c>
      <c r="AP36" s="53">
        <v>2004</v>
      </c>
      <c r="AQ36" s="72" t="s">
        <v>113</v>
      </c>
      <c r="AR36" s="42">
        <f>VLOOKUP(A36,'[1]Chứng chỉ'!$B$8:$Q$1111,11,0)</f>
        <v>0</v>
      </c>
      <c r="AS36" s="42">
        <f>VLOOKUP(A36,'[1]Chứng chỉ'!$B$8:$Q$1111,12,0)</f>
        <v>0</v>
      </c>
      <c r="AT36" s="47">
        <f>VLOOKUP(A36,'[1]Chứng chỉ'!$B$8:$Q$1111,13,0)</f>
        <v>0</v>
      </c>
      <c r="AU36" s="42" t="str">
        <f>VLOOKUP(A36,'[1]Chứng chỉ'!$B$8:$Q$1111,14,0)</f>
        <v>B</v>
      </c>
      <c r="AV36" s="42">
        <f>VLOOKUP(A36,'[1]Chứng chỉ'!$B$8:$Q$1111,15,0)</f>
        <v>0</v>
      </c>
      <c r="AW36" s="42" t="str">
        <f>VLOOKUP(A36,'[1]Chứng chỉ'!$B$8:$Q$1111,16,0)</f>
        <v>Cơ bản</v>
      </c>
      <c r="AX36" s="53"/>
      <c r="AY36" s="57" t="s">
        <v>85</v>
      </c>
      <c r="AZ36" s="65"/>
      <c r="BA36" s="74" t="e">
        <f t="shared" si="11"/>
        <v>#REF!</v>
      </c>
      <c r="BB36" s="74" t="e">
        <f t="shared" si="12"/>
        <v>#REF!</v>
      </c>
      <c r="BC36" s="61" t="s">
        <v>351</v>
      </c>
      <c r="BD36" s="62"/>
    </row>
    <row r="37" spans="1:56" ht="40.799999999999997" x14ac:dyDescent="0.3">
      <c r="A37" s="41" t="s">
        <v>352</v>
      </c>
      <c r="B37" s="42">
        <f t="shared" si="0"/>
        <v>31</v>
      </c>
      <c r="C37" s="68" t="s">
        <v>353</v>
      </c>
      <c r="D37" s="41" t="s">
        <v>352</v>
      </c>
      <c r="E37" s="61">
        <v>2009000912</v>
      </c>
      <c r="F37" s="64"/>
      <c r="G37" s="49" t="s">
        <v>354</v>
      </c>
      <c r="H37" s="76">
        <v>31723</v>
      </c>
      <c r="I37" s="76"/>
      <c r="J37" s="66">
        <f ca="1">INT(DATEDIF(H37,$J$2,"d")/365)</f>
        <v>39</v>
      </c>
      <c r="K37" s="75" t="s">
        <v>355</v>
      </c>
      <c r="L37" s="41" t="s">
        <v>356</v>
      </c>
      <c r="M37" s="53" t="s">
        <v>67</v>
      </c>
      <c r="N37" s="66"/>
      <c r="O37" s="53" t="s">
        <v>357</v>
      </c>
      <c r="P37" s="49" t="s">
        <v>108</v>
      </c>
      <c r="Q37" s="49" t="s">
        <v>94</v>
      </c>
      <c r="R37" s="49"/>
      <c r="S37" s="49" t="s">
        <v>357</v>
      </c>
      <c r="T37" s="53" t="s">
        <v>108</v>
      </c>
      <c r="U37" s="53" t="s">
        <v>94</v>
      </c>
      <c r="V37" s="49" t="str">
        <f t="shared" si="14"/>
        <v>Xã Gia Cát, Huyện Cao Lộc, Tỉnh Lạng Sơn</v>
      </c>
      <c r="W37" s="55" t="s">
        <v>358</v>
      </c>
      <c r="X37" s="41"/>
      <c r="Y37" s="41"/>
      <c r="Z37" s="41"/>
      <c r="AA37" s="68">
        <f>VLOOKUP(A37,'[1]DANH SÁCH'!$B$8:$AD$841,12,0)</f>
        <v>0</v>
      </c>
      <c r="AB37" s="49" t="str">
        <f>VLOOKUP(A37,'[1]DANH SÁCH'!$B$8:$H$841,6,0)</f>
        <v>TĐ012</v>
      </c>
      <c r="AC37" s="69" t="str">
        <f>VLOOKUP(A37,'[1]DANH SÁCH'!$B$8:$J$841,9,0)</f>
        <v>Cấp cứu</v>
      </c>
      <c r="AD37" s="69" t="str">
        <f>VLOOKUP(A37,'[1]DANH SÁCH'!$B$8:$AC$841,10,0)</f>
        <v>KP002</v>
      </c>
      <c r="AE37" s="69" t="str">
        <f>VLOOKUP(A37,'[1]DANH SÁCH'!$B$8:$AD$841,13,0)</f>
        <v>Viên chức</v>
      </c>
      <c r="AF37" s="41" t="s">
        <v>157</v>
      </c>
      <c r="AG37" s="42" t="str">
        <f>VLOOKUP(A37,'[1]DANH SÁCH'!$B$8:$H$841,7,0)</f>
        <v>Điều dưỡng (hạng IV)</v>
      </c>
      <c r="AH37" s="45">
        <v>3.65</v>
      </c>
      <c r="AI37" s="42">
        <v>6</v>
      </c>
      <c r="AJ37" s="70">
        <v>0</v>
      </c>
      <c r="AK37" s="69">
        <v>45839</v>
      </c>
      <c r="AL37" s="71" t="s">
        <v>158</v>
      </c>
      <c r="AM37" s="53" t="str">
        <f>VLOOKUP(A37,'[1]DANH SÁCH'!$B$8:$F$841,5,0)</f>
        <v>Điều dưỡng CĐ</v>
      </c>
      <c r="AN37" s="53"/>
      <c r="AO37" s="53" t="s">
        <v>159</v>
      </c>
      <c r="AP37" s="53">
        <v>2007</v>
      </c>
      <c r="AQ37" s="72" t="s">
        <v>113</v>
      </c>
      <c r="AR37" s="42">
        <f>VLOOKUP(A37,'[1]Chứng chỉ'!$B$8:$Q$1111,11,0)</f>
        <v>0</v>
      </c>
      <c r="AS37" s="42">
        <f>VLOOKUP(A37,'[1]Chứng chỉ'!$B$8:$Q$1111,12,0)</f>
        <v>0</v>
      </c>
      <c r="AT37" s="47">
        <f>VLOOKUP(A37,'[1]Chứng chỉ'!$B$8:$Q$1111,13,0)</f>
        <v>0</v>
      </c>
      <c r="AU37" s="42" t="str">
        <f>VLOOKUP(A37,'[1]Chứng chỉ'!$B$8:$Q$1111,14,0)</f>
        <v>A</v>
      </c>
      <c r="AV37" s="42">
        <f>VLOOKUP(A37,'[1]Chứng chỉ'!$B$8:$Q$1111,15,0)</f>
        <v>0</v>
      </c>
      <c r="AW37" s="42" t="str">
        <f>VLOOKUP(A37,'[1]Chứng chỉ'!$B$8:$Q$1111,16,0)</f>
        <v>A</v>
      </c>
      <c r="AX37" s="53"/>
      <c r="AY37" s="57" t="s">
        <v>85</v>
      </c>
      <c r="AZ37" s="65"/>
      <c r="BA37" s="74" t="e">
        <f t="shared" si="11"/>
        <v>#REF!</v>
      </c>
      <c r="BB37" s="74" t="e">
        <f t="shared" si="12"/>
        <v>#REF!</v>
      </c>
      <c r="BC37" s="61" t="s">
        <v>359</v>
      </c>
      <c r="BD37" s="62"/>
    </row>
    <row r="38" spans="1:56" ht="40.799999999999997" x14ac:dyDescent="0.3">
      <c r="A38" s="41" t="s">
        <v>360</v>
      </c>
      <c r="B38" s="42">
        <f t="shared" si="0"/>
        <v>32</v>
      </c>
      <c r="C38" s="68" t="s">
        <v>361</v>
      </c>
      <c r="D38" s="41" t="s">
        <v>360</v>
      </c>
      <c r="E38" s="61">
        <v>1506002935</v>
      </c>
      <c r="F38" s="64"/>
      <c r="G38" s="49" t="s">
        <v>362</v>
      </c>
      <c r="H38" s="76"/>
      <c r="I38" s="76">
        <v>30227</v>
      </c>
      <c r="J38" s="66">
        <f ca="1">INT(DATEDIF(I38,$J$2,"d")/365)</f>
        <v>43</v>
      </c>
      <c r="K38" s="75" t="s">
        <v>363</v>
      </c>
      <c r="L38" s="83" t="s">
        <v>364</v>
      </c>
      <c r="M38" s="53" t="s">
        <v>67</v>
      </c>
      <c r="N38" s="66" t="s">
        <v>94</v>
      </c>
      <c r="O38" s="53" t="s">
        <v>357</v>
      </c>
      <c r="P38" s="49" t="s">
        <v>108</v>
      </c>
      <c r="Q38" s="49" t="s">
        <v>94</v>
      </c>
      <c r="R38" s="49"/>
      <c r="S38" s="49" t="s">
        <v>357</v>
      </c>
      <c r="T38" s="49" t="s">
        <v>108</v>
      </c>
      <c r="U38" s="49" t="s">
        <v>94</v>
      </c>
      <c r="V38" s="49" t="str">
        <f t="shared" si="14"/>
        <v>Xã Gia Cát, Huyện Cao Lộc, Tỉnh Lạng Sơn</v>
      </c>
      <c r="W38" s="55" t="s">
        <v>146</v>
      </c>
      <c r="X38" s="41"/>
      <c r="Y38" s="41"/>
      <c r="Z38" s="41"/>
      <c r="AA38" s="68">
        <f>VLOOKUP(A38,'[1]DANH SÁCH'!$B$8:$AD$841,12,0)</f>
        <v>0</v>
      </c>
      <c r="AB38" s="49" t="str">
        <f>VLOOKUP(A38,'[1]DANH SÁCH'!$B$8:$H$841,6,0)</f>
        <v>TĐ012</v>
      </c>
      <c r="AC38" s="69" t="str">
        <f>VLOOKUP(A38,'[1]DANH SÁCH'!$B$8:$J$841,9,0)</f>
        <v>Cấp cứu</v>
      </c>
      <c r="AD38" s="69" t="str">
        <f>VLOOKUP(A38,'[1]DANH SÁCH'!$B$8:$AC$841,10,0)</f>
        <v>KP002</v>
      </c>
      <c r="AE38" s="69" t="str">
        <f>VLOOKUP(A38,'[1]DANH SÁCH'!$B$8:$AD$841,13,0)</f>
        <v>Viên chức</v>
      </c>
      <c r="AF38" s="41" t="s">
        <v>157</v>
      </c>
      <c r="AG38" s="42" t="str">
        <f>VLOOKUP(A38,'[1]DANH SÁCH'!$B$8:$H$841,7,0)</f>
        <v>Điều dưỡng (hạng IV)</v>
      </c>
      <c r="AH38" s="45">
        <v>3.65</v>
      </c>
      <c r="AI38" s="42">
        <v>6</v>
      </c>
      <c r="AJ38" s="70">
        <v>0</v>
      </c>
      <c r="AK38" s="69">
        <v>45231</v>
      </c>
      <c r="AL38" s="71" t="s">
        <v>158</v>
      </c>
      <c r="AM38" s="53" t="str">
        <f>VLOOKUP(A38,'[1]DANH SÁCH'!$B$8:$F$841,5,0)</f>
        <v>Điều dưỡng CĐ</v>
      </c>
      <c r="AN38" s="53"/>
      <c r="AO38" s="53" t="s">
        <v>365</v>
      </c>
      <c r="AP38" s="53">
        <v>2005</v>
      </c>
      <c r="AQ38" s="99" t="s">
        <v>113</v>
      </c>
      <c r="AR38" s="42">
        <f>VLOOKUP(A38,'[1]Chứng chỉ'!$B$8:$Q$1111,11,0)</f>
        <v>0</v>
      </c>
      <c r="AS38" s="42">
        <f>VLOOKUP(A38,'[1]Chứng chỉ'!$B$8:$Q$1111,12,0)</f>
        <v>0</v>
      </c>
      <c r="AT38" s="47">
        <f>VLOOKUP(A38,'[1]Chứng chỉ'!$B$8:$Q$1111,13,0)</f>
        <v>0</v>
      </c>
      <c r="AU38" s="42" t="str">
        <f>VLOOKUP(A38,'[1]Chứng chỉ'!$B$8:$Q$1111,14,0)</f>
        <v>A</v>
      </c>
      <c r="AV38" s="42" t="str">
        <f>VLOOKUP(A38,'[1]Chứng chỉ'!$B$8:$Q$1111,15,0)</f>
        <v>Tày</v>
      </c>
      <c r="AW38" s="42" t="str">
        <f>VLOOKUP(A38,'[1]Chứng chỉ'!$B$8:$Q$1111,16,0)</f>
        <v>Cơ bản</v>
      </c>
      <c r="AX38" s="42"/>
      <c r="AY38" s="57" t="s">
        <v>85</v>
      </c>
      <c r="AZ38" s="65"/>
      <c r="BA38" s="74" t="e">
        <f t="shared" si="11"/>
        <v>#REF!</v>
      </c>
      <c r="BB38" s="74" t="e">
        <f t="shared" si="12"/>
        <v>#REF!</v>
      </c>
      <c r="BC38" s="61" t="s">
        <v>128</v>
      </c>
      <c r="BD38" s="62"/>
    </row>
    <row r="39" spans="1:56" ht="61.2" x14ac:dyDescent="0.3">
      <c r="A39" s="41" t="s">
        <v>366</v>
      </c>
      <c r="B39" s="42">
        <f t="shared" si="0"/>
        <v>33</v>
      </c>
      <c r="C39" s="68" t="s">
        <v>367</v>
      </c>
      <c r="D39" s="41" t="s">
        <v>366</v>
      </c>
      <c r="E39" s="61">
        <v>2015002113</v>
      </c>
      <c r="F39" s="64"/>
      <c r="G39" s="49" t="s">
        <v>368</v>
      </c>
      <c r="H39" s="100">
        <v>33232</v>
      </c>
      <c r="I39" s="76"/>
      <c r="J39" s="66">
        <f t="shared" ref="J39:J41" ca="1" si="15">INT(DATEDIF(H39,$J$2,"d")/365)</f>
        <v>35</v>
      </c>
      <c r="K39" s="75" t="s">
        <v>369</v>
      </c>
      <c r="L39" s="41" t="s">
        <v>370</v>
      </c>
      <c r="M39" s="53" t="s">
        <v>67</v>
      </c>
      <c r="N39" s="66" t="s">
        <v>371</v>
      </c>
      <c r="O39" s="53" t="s">
        <v>124</v>
      </c>
      <c r="P39" s="49" t="s">
        <v>97</v>
      </c>
      <c r="Q39" s="49" t="s">
        <v>94</v>
      </c>
      <c r="R39" s="49"/>
      <c r="S39" s="49" t="s">
        <v>124</v>
      </c>
      <c r="T39" s="53" t="s">
        <v>97</v>
      </c>
      <c r="U39" s="53" t="s">
        <v>94</v>
      </c>
      <c r="V39" s="49" t="str">
        <f t="shared" si="14"/>
        <v>Phường Đông Kinh, Thành phố Lạng Sơn, Tỉnh Lạng Sơn</v>
      </c>
      <c r="W39" s="86" t="s">
        <v>249</v>
      </c>
      <c r="X39" s="41"/>
      <c r="Y39" s="41"/>
      <c r="Z39" s="41"/>
      <c r="AA39" s="68" t="str">
        <f>VLOOKUP(A39,'[1]DANH SÁCH'!$B$8:$AD$841,12,0)</f>
        <v>Phó trưởng khoa/giao phụ trách khoa</v>
      </c>
      <c r="AB39" s="49" t="str">
        <f>VLOOKUP(A39,'[1]DANH SÁCH'!$B$8:$H$841,6,0)</f>
        <v>TĐ003</v>
      </c>
      <c r="AC39" s="69" t="str">
        <f>VLOOKUP(A39,'[1]DANH SÁCH'!$B$8:$J$841,9,0)</f>
        <v>Nội Tổng hợp</v>
      </c>
      <c r="AD39" s="69" t="str">
        <f>VLOOKUP(A39,'[1]DANH SÁCH'!$B$8:$AC$841,10,0)</f>
        <v>KP007</v>
      </c>
      <c r="AE39" s="69" t="str">
        <f>VLOOKUP(A39,'[1]DANH SÁCH'!$B$8:$AD$841,13,0)</f>
        <v>Viên chức</v>
      </c>
      <c r="AF39" s="41" t="s">
        <v>274</v>
      </c>
      <c r="AG39" s="42" t="str">
        <f>VLOOKUP(A39,'[1]DANH SÁCH'!$B$8:$H$841,7,0)</f>
        <v>Bác sĩ chính (hạng II)</v>
      </c>
      <c r="AH39" s="45">
        <v>4.4000000000000004</v>
      </c>
      <c r="AI39" s="42">
        <v>1</v>
      </c>
      <c r="AJ39" s="70">
        <v>0</v>
      </c>
      <c r="AK39" s="69">
        <v>45809</v>
      </c>
      <c r="AL39" s="71" t="s">
        <v>80</v>
      </c>
      <c r="AM39" s="53" t="str">
        <f>VLOOKUP(A39,'[1]DANH SÁCH'!$B$8:$F$841,5,0)</f>
        <v>BSCKI</v>
      </c>
      <c r="AN39" s="53" t="s">
        <v>372</v>
      </c>
      <c r="AO39" s="53" t="s">
        <v>297</v>
      </c>
      <c r="AP39" s="53">
        <v>2014</v>
      </c>
      <c r="AQ39" s="72" t="s">
        <v>113</v>
      </c>
      <c r="AR39" s="42">
        <f>VLOOKUP(A39,'[1]Chứng chỉ'!$B$8:$Q$1111,11,0)</f>
        <v>0</v>
      </c>
      <c r="AS39" s="42" t="str">
        <f>VLOOKUP(A39,'[1]Chứng chỉ'!$B$8:$Q$1111,12,0)</f>
        <v>x</v>
      </c>
      <c r="AT39" s="47" t="s">
        <v>139</v>
      </c>
      <c r="AU39" s="42" t="str">
        <f>VLOOKUP(A39,'[1]Chứng chỉ'!$B$8:$Q$1111,14,0)</f>
        <v>Bậc 3</v>
      </c>
      <c r="AV39" s="42" t="str">
        <f>VLOOKUP(A39,'[1]Chứng chỉ'!$B$8:$Q$1111,15,0)</f>
        <v>Tày</v>
      </c>
      <c r="AW39" s="42" t="str">
        <f>VLOOKUP(A39,'[1]Chứng chỉ'!$B$8:$Q$1111,16,0)</f>
        <v>Cơ bản</v>
      </c>
      <c r="AX39" s="53"/>
      <c r="AY39" s="57" t="s">
        <v>127</v>
      </c>
      <c r="AZ39" s="65">
        <v>41630</v>
      </c>
      <c r="BA39" s="74" t="e">
        <f t="shared" si="11"/>
        <v>#REF!</v>
      </c>
      <c r="BB39" s="74" t="e">
        <f t="shared" si="12"/>
        <v>#REF!</v>
      </c>
      <c r="BC39" s="61" t="s">
        <v>128</v>
      </c>
      <c r="BD39" s="62"/>
    </row>
    <row r="40" spans="1:56" ht="40.799999999999997" x14ac:dyDescent="0.3">
      <c r="A40" s="46" t="s">
        <v>373</v>
      </c>
      <c r="B40" s="42">
        <f t="shared" si="0"/>
        <v>34</v>
      </c>
      <c r="C40" s="93" t="s">
        <v>374</v>
      </c>
      <c r="D40" s="46" t="s">
        <v>373</v>
      </c>
      <c r="E40" s="61" t="s">
        <v>375</v>
      </c>
      <c r="F40" s="64"/>
      <c r="G40" s="49" t="s">
        <v>376</v>
      </c>
      <c r="H40" s="101">
        <v>33457</v>
      </c>
      <c r="I40" s="101"/>
      <c r="J40" s="66">
        <f t="shared" ca="1" si="15"/>
        <v>35</v>
      </c>
      <c r="K40" s="75" t="s">
        <v>377</v>
      </c>
      <c r="L40" s="102" t="s">
        <v>378</v>
      </c>
      <c r="M40" s="53" t="s">
        <v>67</v>
      </c>
      <c r="N40" s="52" t="s">
        <v>379</v>
      </c>
      <c r="O40" s="56" t="s">
        <v>380</v>
      </c>
      <c r="P40" s="47" t="s">
        <v>381</v>
      </c>
      <c r="Q40" s="47" t="s">
        <v>382</v>
      </c>
      <c r="R40" s="103" t="s">
        <v>383</v>
      </c>
      <c r="S40" s="47"/>
      <c r="T40" s="56"/>
      <c r="U40" s="56"/>
      <c r="V40" s="103" t="s">
        <v>383</v>
      </c>
      <c r="W40" s="104" t="s">
        <v>384</v>
      </c>
      <c r="X40" s="46" t="s">
        <v>385</v>
      </c>
      <c r="Y40" s="92">
        <v>565</v>
      </c>
      <c r="Z40" s="92" t="s">
        <v>386</v>
      </c>
      <c r="AA40" s="68" t="str">
        <f>VLOOKUP(A40,'[1]DANH SÁCH'!$B$8:$AD$841,12,0)</f>
        <v>Phó trưởng khoa/giao phụ trách khoa</v>
      </c>
      <c r="AB40" s="49" t="str">
        <f>VLOOKUP(A40,'[1]DANH SÁCH'!$B$8:$H$841,6,0)</f>
        <v>TĐ003</v>
      </c>
      <c r="AC40" s="69" t="str">
        <f>VLOOKUP(A40,'[1]DANH SÁCH'!$B$8:$J$841,9,0)</f>
        <v>HSTC-CĐ</v>
      </c>
      <c r="AD40" s="69" t="str">
        <f>VLOOKUP(A40,'[1]DANH SÁCH'!$B$8:$AC$841,10,0)</f>
        <v>KP003</v>
      </c>
      <c r="AE40" s="69" t="str">
        <f>VLOOKUP(A40,'[1]DANH SÁCH'!$B$8:$AD$841,13,0)</f>
        <v>Viên chức</v>
      </c>
      <c r="AF40" s="41" t="s">
        <v>274</v>
      </c>
      <c r="AG40" s="92" t="s">
        <v>296</v>
      </c>
      <c r="AH40" s="45">
        <v>3</v>
      </c>
      <c r="AI40" s="42">
        <v>3</v>
      </c>
      <c r="AJ40" s="70">
        <v>0</v>
      </c>
      <c r="AK40" s="69">
        <v>45474</v>
      </c>
      <c r="AL40" s="71" t="s">
        <v>80</v>
      </c>
      <c r="AM40" s="53" t="str">
        <f>VLOOKUP(A40,'[1]DANH SÁCH'!$B$8:$F$841,5,0)</f>
        <v>BSCKI</v>
      </c>
      <c r="AN40" s="53" t="s">
        <v>372</v>
      </c>
      <c r="AO40" s="53" t="s">
        <v>387</v>
      </c>
      <c r="AP40" s="53">
        <v>2017</v>
      </c>
      <c r="AQ40" s="72" t="s">
        <v>113</v>
      </c>
      <c r="AR40" s="42">
        <f>VLOOKUP(A40,'[1]Chứng chỉ'!$B$8:$Q$1111,11,0)</f>
        <v>0</v>
      </c>
      <c r="AS40" s="42">
        <f>VLOOKUP(A40,'[1]Chứng chỉ'!$B$8:$Q$1111,12,0)</f>
        <v>0</v>
      </c>
      <c r="AT40" s="47" t="s">
        <v>139</v>
      </c>
      <c r="AU40" s="42" t="str">
        <f>VLOOKUP(A40,'[1]Chứng chỉ'!$B$8:$Q$1111,14,0)</f>
        <v>Anh B</v>
      </c>
      <c r="AV40" s="42">
        <f>VLOOKUP(A40,'[1]Chứng chỉ'!$B$8:$Q$1111,15,0)</f>
        <v>0</v>
      </c>
      <c r="AW40" s="42" t="str">
        <f>VLOOKUP(A40,'[1]Chứng chỉ'!$B$8:$Q$1111,16,0)</f>
        <v>B</v>
      </c>
      <c r="AX40" s="56"/>
      <c r="AY40" s="73" t="s">
        <v>85</v>
      </c>
      <c r="AZ40" s="65"/>
      <c r="BA40" s="74"/>
      <c r="BB40" s="74"/>
      <c r="BC40" s="41"/>
      <c r="BD40" s="64"/>
    </row>
    <row r="41" spans="1:56" ht="40.799999999999997" x14ac:dyDescent="0.3">
      <c r="A41" s="61" t="s">
        <v>388</v>
      </c>
      <c r="B41" s="42">
        <f t="shared" si="0"/>
        <v>35</v>
      </c>
      <c r="C41" s="92" t="s">
        <v>389</v>
      </c>
      <c r="D41" s="61" t="s">
        <v>388</v>
      </c>
      <c r="E41" s="61" t="s">
        <v>390</v>
      </c>
      <c r="F41" s="64"/>
      <c r="G41" s="49" t="s">
        <v>391</v>
      </c>
      <c r="H41" s="65">
        <v>34909</v>
      </c>
      <c r="I41" s="47"/>
      <c r="J41" s="66">
        <f t="shared" ca="1" si="15"/>
        <v>31</v>
      </c>
      <c r="K41" s="46" t="s">
        <v>392</v>
      </c>
      <c r="L41" s="65">
        <v>41347</v>
      </c>
      <c r="M41" s="56"/>
      <c r="N41" s="52"/>
      <c r="O41" s="56"/>
      <c r="P41" s="47"/>
      <c r="Q41" s="47"/>
      <c r="R41" s="47" t="s">
        <v>393</v>
      </c>
      <c r="S41" s="47" t="s">
        <v>394</v>
      </c>
      <c r="T41" s="47" t="s">
        <v>74</v>
      </c>
      <c r="U41" s="47" t="s">
        <v>71</v>
      </c>
      <c r="V41" s="47"/>
      <c r="W41" s="67" t="s">
        <v>395</v>
      </c>
      <c r="X41" s="46" t="s">
        <v>396</v>
      </c>
      <c r="Y41" s="46"/>
      <c r="Z41" s="46"/>
      <c r="AA41" s="68">
        <f>VLOOKUP(A41,'[1]DANH SÁCH'!$B$8:$AD$841,12,0)</f>
        <v>0</v>
      </c>
      <c r="AB41" s="47"/>
      <c r="AC41" s="69" t="str">
        <f>VLOOKUP(A41,'[1]DANH SÁCH'!$B$8:$J$841,9,0)</f>
        <v>HSTC-CĐ</v>
      </c>
      <c r="AD41" s="69" t="str">
        <f>VLOOKUP(A41,'[1]DANH SÁCH'!$B$8:$AC$841,10,0)</f>
        <v>KP003</v>
      </c>
      <c r="AE41" s="69" t="str">
        <f>VLOOKUP(A41,'[1]DANH SÁCH'!$B$8:$AD$841,13,0)</f>
        <v>Viên chức</v>
      </c>
      <c r="AF41" s="64" t="s">
        <v>274</v>
      </c>
      <c r="AG41" s="47" t="s">
        <v>296</v>
      </c>
      <c r="AH41" s="45">
        <v>3</v>
      </c>
      <c r="AI41" s="42">
        <v>3</v>
      </c>
      <c r="AJ41" s="70">
        <v>0</v>
      </c>
      <c r="AK41" s="69">
        <v>46023</v>
      </c>
      <c r="AL41" s="47" t="s">
        <v>80</v>
      </c>
      <c r="AM41" s="53" t="str">
        <f>VLOOKUP(A41,'[1]DANH SÁCH'!$B$8:$F$841,5,0)</f>
        <v>Bác sĩ</v>
      </c>
      <c r="AN41" s="53" t="s">
        <v>372</v>
      </c>
      <c r="AO41" s="47"/>
      <c r="AP41" s="47"/>
      <c r="AQ41" s="47"/>
      <c r="AR41" s="42"/>
      <c r="AS41" s="42"/>
      <c r="AT41" s="47"/>
      <c r="AU41" s="42"/>
      <c r="AV41" s="42"/>
      <c r="AW41" s="42"/>
      <c r="AX41" s="47"/>
      <c r="AY41" s="47" t="s">
        <v>85</v>
      </c>
      <c r="AZ41" s="65">
        <v>42715</v>
      </c>
      <c r="BA41" s="47"/>
      <c r="BB41" s="47"/>
      <c r="BC41" s="81"/>
      <c r="BD41" s="47"/>
    </row>
    <row r="42" spans="1:56" ht="40.799999999999997" x14ac:dyDescent="0.3">
      <c r="A42" s="41" t="s">
        <v>397</v>
      </c>
      <c r="B42" s="42">
        <f t="shared" si="0"/>
        <v>36</v>
      </c>
      <c r="C42" s="68" t="s">
        <v>141</v>
      </c>
      <c r="D42" s="41" t="s">
        <v>397</v>
      </c>
      <c r="E42" s="61">
        <v>2010000137</v>
      </c>
      <c r="F42" s="64"/>
      <c r="G42" s="49" t="s">
        <v>398</v>
      </c>
      <c r="H42" s="76"/>
      <c r="I42" s="76">
        <v>32183</v>
      </c>
      <c r="J42" s="66">
        <f t="shared" ref="J42:J43" ca="1" si="16">INT(DATEDIF(I42,$J$2,"d")/365)</f>
        <v>38</v>
      </c>
      <c r="K42" s="75" t="s">
        <v>399</v>
      </c>
      <c r="L42" s="41" t="s">
        <v>400</v>
      </c>
      <c r="M42" s="53" t="s">
        <v>67</v>
      </c>
      <c r="N42" s="66"/>
      <c r="O42" s="53" t="s">
        <v>154</v>
      </c>
      <c r="P42" s="49" t="s">
        <v>155</v>
      </c>
      <c r="Q42" s="49" t="s">
        <v>94</v>
      </c>
      <c r="R42" s="49"/>
      <c r="S42" s="49" t="s">
        <v>154</v>
      </c>
      <c r="T42" s="53" t="s">
        <v>155</v>
      </c>
      <c r="U42" s="53" t="s">
        <v>94</v>
      </c>
      <c r="V42" s="49" t="str">
        <f t="shared" ref="V42:V44" si="17">S42&amp;", "&amp;T42&amp;", "&amp;U42</f>
        <v>Xã Chu Túc, Huyện Văn Quan, Tỉnh Lạng Sơn</v>
      </c>
      <c r="W42" s="55" t="s">
        <v>236</v>
      </c>
      <c r="X42" s="41"/>
      <c r="Y42" s="41"/>
      <c r="Z42" s="41"/>
      <c r="AA42" s="68">
        <f>VLOOKUP(A42,'[1]DANH SÁCH'!$B$8:$AD$841,12,0)</f>
        <v>0</v>
      </c>
      <c r="AB42" s="49" t="str">
        <f>VLOOKUP(A42,'[1]DANH SÁCH'!$B$8:$H$841,6,0)</f>
        <v>TĐ012</v>
      </c>
      <c r="AC42" s="69" t="str">
        <f>VLOOKUP(A42,'[1]DANH SÁCH'!$B$8:$J$841,9,0)</f>
        <v>Nội Tổng hợp</v>
      </c>
      <c r="AD42" s="69" t="str">
        <f>VLOOKUP(A42,'[1]DANH SÁCH'!$B$8:$AC$841,10,0)</f>
        <v>KP007</v>
      </c>
      <c r="AE42" s="69" t="str">
        <f>VLOOKUP(A42,'[1]DANH SÁCH'!$B$8:$AD$841,13,0)</f>
        <v>Viên chức</v>
      </c>
      <c r="AF42" s="41" t="s">
        <v>157</v>
      </c>
      <c r="AG42" s="42" t="str">
        <f>VLOOKUP(A42,'[1]DANH SÁCH'!$B$8:$H$841,7,0)</f>
        <v>Điều dưỡng (hạng IV)</v>
      </c>
      <c r="AH42" s="45">
        <v>3.34</v>
      </c>
      <c r="AI42" s="42">
        <v>5</v>
      </c>
      <c r="AJ42" s="70">
        <v>0</v>
      </c>
      <c r="AK42" s="69">
        <v>44927</v>
      </c>
      <c r="AL42" s="71" t="s">
        <v>158</v>
      </c>
      <c r="AM42" s="53" t="str">
        <f>VLOOKUP(A42,'[1]DANH SÁCH'!$B$8:$F$841,5,0)</f>
        <v>Điều dưỡng CĐ</v>
      </c>
      <c r="AN42" s="53"/>
      <c r="AO42" s="53" t="s">
        <v>159</v>
      </c>
      <c r="AP42" s="53">
        <v>2008</v>
      </c>
      <c r="AQ42" s="72" t="s">
        <v>113</v>
      </c>
      <c r="AR42" s="42">
        <f>VLOOKUP(A42,'[1]Chứng chỉ'!$B$8:$Q$1111,11,0)</f>
        <v>0</v>
      </c>
      <c r="AS42" s="42">
        <f>VLOOKUP(A42,'[1]Chứng chỉ'!$B$8:$Q$1111,12,0)</f>
        <v>0</v>
      </c>
      <c r="AT42" s="47">
        <f>VLOOKUP(A42,'[1]Chứng chỉ'!$B$8:$Q$1111,13,0)</f>
        <v>0</v>
      </c>
      <c r="AU42" s="42">
        <f>VLOOKUP(A42,'[1]Chứng chỉ'!$B$8:$Q$1111,14,0)</f>
        <v>0</v>
      </c>
      <c r="AV42" s="42" t="str">
        <f>VLOOKUP(A42,'[1]Chứng chỉ'!$B$8:$Q$1111,15,0)</f>
        <v>Tày</v>
      </c>
      <c r="AW42" s="42" t="str">
        <f>VLOOKUP(A42,'[1]Chứng chỉ'!$B$8:$Q$1111,16,0)</f>
        <v>Cơ bản</v>
      </c>
      <c r="AX42" s="53"/>
      <c r="AY42" s="57" t="s">
        <v>127</v>
      </c>
      <c r="AZ42" s="65"/>
      <c r="BA42" s="74" t="e">
        <f t="shared" ref="BA42:BA44" si="18">VLOOKUP(A42,#REF!,4,0)</f>
        <v>#REF!</v>
      </c>
      <c r="BB42" s="74" t="e">
        <f t="shared" ref="BB42:BB44" si="19">VLOOKUP(A42,#REF!,5,0)</f>
        <v>#REF!</v>
      </c>
      <c r="BC42" s="61" t="s">
        <v>128</v>
      </c>
      <c r="BD42" s="62"/>
    </row>
    <row r="43" spans="1:56" ht="61.2" x14ac:dyDescent="0.3">
      <c r="A43" s="41" t="s">
        <v>401</v>
      </c>
      <c r="B43" s="42">
        <f t="shared" si="0"/>
        <v>37</v>
      </c>
      <c r="C43" s="68" t="s">
        <v>402</v>
      </c>
      <c r="D43" s="41" t="s">
        <v>401</v>
      </c>
      <c r="E43" s="61">
        <v>1506002944</v>
      </c>
      <c r="F43" s="64"/>
      <c r="G43" s="49" t="s">
        <v>403</v>
      </c>
      <c r="H43" s="76"/>
      <c r="I43" s="76">
        <v>30024</v>
      </c>
      <c r="J43" s="66">
        <f t="shared" ca="1" si="16"/>
        <v>44</v>
      </c>
      <c r="K43" s="75" t="s">
        <v>404</v>
      </c>
      <c r="L43" s="41" t="s">
        <v>405</v>
      </c>
      <c r="M43" s="53" t="s">
        <v>406</v>
      </c>
      <c r="N43" s="66" t="s">
        <v>407</v>
      </c>
      <c r="O43" s="53" t="s">
        <v>408</v>
      </c>
      <c r="P43" s="49" t="s">
        <v>409</v>
      </c>
      <c r="Q43" s="49" t="s">
        <v>410</v>
      </c>
      <c r="R43" s="49"/>
      <c r="S43" s="49" t="s">
        <v>166</v>
      </c>
      <c r="T43" s="53" t="s">
        <v>97</v>
      </c>
      <c r="U43" s="53" t="s">
        <v>94</v>
      </c>
      <c r="V43" s="49" t="str">
        <f t="shared" si="17"/>
        <v>Phường Tam Thanh, Thành phố Lạng Sơn, Tỉnh Lạng Sơn</v>
      </c>
      <c r="W43" s="55" t="s">
        <v>411</v>
      </c>
      <c r="X43" s="41"/>
      <c r="Y43" s="41"/>
      <c r="Z43" s="41"/>
      <c r="AA43" s="68" t="str">
        <f>VLOOKUP(A43,'[1]DANH SÁCH'!$B$8:$AD$841,12,0)</f>
        <v>Điều dưỡng trưởng</v>
      </c>
      <c r="AB43" s="49" t="str">
        <f>VLOOKUP(A43,'[1]DANH SÁCH'!$B$8:$H$841,6,0)</f>
        <v>TĐ011</v>
      </c>
      <c r="AC43" s="69" t="str">
        <f>VLOOKUP(A43,'[1]DANH SÁCH'!$B$8:$J$841,9,0)</f>
        <v>HSTC-CĐ</v>
      </c>
      <c r="AD43" s="69" t="str">
        <f>VLOOKUP(A43,'[1]DANH SÁCH'!$B$8:$AC$841,10,0)</f>
        <v>KP003</v>
      </c>
      <c r="AE43" s="69" t="str">
        <f>VLOOKUP(A43,'[1]DANH SÁCH'!$B$8:$AD$841,13,0)</f>
        <v>Viên chức</v>
      </c>
      <c r="AF43" s="41" t="s">
        <v>147</v>
      </c>
      <c r="AG43" s="42" t="str">
        <f>VLOOKUP(A43,'[1]DANH SÁCH'!$B$8:$H$841,7,0)</f>
        <v>Điều dưỡng (hạng III)</v>
      </c>
      <c r="AH43" s="45">
        <v>4.32</v>
      </c>
      <c r="AI43" s="42">
        <v>7</v>
      </c>
      <c r="AJ43" s="70">
        <v>0</v>
      </c>
      <c r="AK43" s="69">
        <v>45597</v>
      </c>
      <c r="AL43" s="71" t="s">
        <v>80</v>
      </c>
      <c r="AM43" s="53" t="str">
        <f>VLOOKUP(A43,'[1]DANH SÁCH'!$B$8:$F$841,5,0)</f>
        <v>Điều dưỡng ĐH</v>
      </c>
      <c r="AN43" s="53"/>
      <c r="AO43" s="53" t="s">
        <v>412</v>
      </c>
      <c r="AP43" s="53">
        <v>2003</v>
      </c>
      <c r="AQ43" s="72" t="s">
        <v>113</v>
      </c>
      <c r="AR43" s="42">
        <f>VLOOKUP(A43,'[1]Chứng chỉ'!$B$8:$Q$1111,11,0)</f>
        <v>0</v>
      </c>
      <c r="AS43" s="42">
        <f>VLOOKUP(A43,'[1]Chứng chỉ'!$B$8:$Q$1111,12,0)</f>
        <v>0</v>
      </c>
      <c r="AT43" s="47" t="s">
        <v>139</v>
      </c>
      <c r="AU43" s="42" t="str">
        <f>VLOOKUP(A43,'[1]Chứng chỉ'!$B$8:$Q$1111,14,0)</f>
        <v>Anh A2</v>
      </c>
      <c r="AV43" s="42" t="str">
        <f>VLOOKUP(A43,'[1]Chứng chỉ'!$B$8:$Q$1111,15,0)</f>
        <v>Tày</v>
      </c>
      <c r="AW43" s="42" t="str">
        <f>VLOOKUP(A43,'[1]Chứng chỉ'!$B$8:$Q$1111,16,0)</f>
        <v>Cơ bản</v>
      </c>
      <c r="AX43" s="53"/>
      <c r="AY43" s="57" t="s">
        <v>87</v>
      </c>
      <c r="AZ43" s="65">
        <v>42657</v>
      </c>
      <c r="BA43" s="74" t="e">
        <f t="shared" si="18"/>
        <v>#REF!</v>
      </c>
      <c r="BB43" s="74" t="e">
        <f t="shared" si="19"/>
        <v>#REF!</v>
      </c>
      <c r="BC43" s="61" t="s">
        <v>413</v>
      </c>
      <c r="BD43" s="62"/>
    </row>
    <row r="44" spans="1:56" ht="61.2" x14ac:dyDescent="0.3">
      <c r="A44" s="41" t="s">
        <v>414</v>
      </c>
      <c r="B44" s="42">
        <f t="shared" si="0"/>
        <v>38</v>
      </c>
      <c r="C44" s="68" t="s">
        <v>415</v>
      </c>
      <c r="D44" s="41" t="s">
        <v>414</v>
      </c>
      <c r="E44" s="61">
        <v>2009000934</v>
      </c>
      <c r="F44" s="64"/>
      <c r="G44" s="49" t="s">
        <v>416</v>
      </c>
      <c r="H44" s="76">
        <v>31084</v>
      </c>
      <c r="I44" s="76"/>
      <c r="J44" s="66">
        <f ca="1">INT(DATEDIF(H44,$J$2,"d")/365)</f>
        <v>41</v>
      </c>
      <c r="K44" s="75" t="s">
        <v>417</v>
      </c>
      <c r="L44" s="41" t="s">
        <v>418</v>
      </c>
      <c r="M44" s="53" t="s">
        <v>67</v>
      </c>
      <c r="N44" s="66" t="s">
        <v>419</v>
      </c>
      <c r="O44" s="53" t="s">
        <v>420</v>
      </c>
      <c r="P44" s="49" t="s">
        <v>108</v>
      </c>
      <c r="Q44" s="49" t="s">
        <v>94</v>
      </c>
      <c r="R44" s="49"/>
      <c r="S44" s="49" t="s">
        <v>166</v>
      </c>
      <c r="T44" s="53" t="s">
        <v>97</v>
      </c>
      <c r="U44" s="53" t="s">
        <v>94</v>
      </c>
      <c r="V44" s="49" t="str">
        <f t="shared" si="17"/>
        <v>Phường Tam Thanh, Thành phố Lạng Sơn, Tỉnh Lạng Sơn</v>
      </c>
      <c r="W44" s="55" t="s">
        <v>98</v>
      </c>
      <c r="X44" s="41"/>
      <c r="Y44" s="41"/>
      <c r="Z44" s="41"/>
      <c r="AA44" s="68">
        <f>VLOOKUP(A44,'[1]DANH SÁCH'!$B$8:$AD$841,12,0)</f>
        <v>0</v>
      </c>
      <c r="AB44" s="49" t="str">
        <f>VLOOKUP(A44,'[1]DANH SÁCH'!$B$8:$H$841,6,0)</f>
        <v>TĐ012</v>
      </c>
      <c r="AC44" s="69" t="str">
        <f>VLOOKUP(A44,'[1]DANH SÁCH'!$B$8:$J$841,9,0)</f>
        <v>HSTC-CĐ</v>
      </c>
      <c r="AD44" s="69" t="str">
        <f>VLOOKUP(A44,'[1]DANH SÁCH'!$B$8:$AC$841,10,0)</f>
        <v>KP003</v>
      </c>
      <c r="AE44" s="69" t="str">
        <f>VLOOKUP(A44,'[1]DANH SÁCH'!$B$8:$AD$841,13,0)</f>
        <v>Viên chức</v>
      </c>
      <c r="AF44" s="41" t="s">
        <v>157</v>
      </c>
      <c r="AG44" s="42" t="str">
        <f>VLOOKUP(A44,'[1]DANH SÁCH'!$B$8:$H$841,7,0)</f>
        <v>Điều dưỡng (hạng IV)</v>
      </c>
      <c r="AH44" s="45">
        <v>3.34</v>
      </c>
      <c r="AI44" s="42">
        <v>5</v>
      </c>
      <c r="AJ44" s="70">
        <v>0</v>
      </c>
      <c r="AK44" s="69">
        <v>44896</v>
      </c>
      <c r="AL44" s="71" t="s">
        <v>158</v>
      </c>
      <c r="AM44" s="53" t="str">
        <f>VLOOKUP(A44,'[1]DANH SÁCH'!$B$8:$F$841,5,0)</f>
        <v>Điều dưỡng CĐ</v>
      </c>
      <c r="AN44" s="53"/>
      <c r="AO44" s="53" t="s">
        <v>159</v>
      </c>
      <c r="AP44" s="53">
        <v>2015</v>
      </c>
      <c r="AQ44" s="72" t="s">
        <v>113</v>
      </c>
      <c r="AR44" s="42">
        <f>VLOOKUP(A44,'[1]Chứng chỉ'!$B$8:$Q$1111,11,0)</f>
        <v>0</v>
      </c>
      <c r="AS44" s="42">
        <f>VLOOKUP(A44,'[1]Chứng chỉ'!$B$8:$Q$1111,12,0)</f>
        <v>0</v>
      </c>
      <c r="AT44" s="47">
        <f>VLOOKUP(A44,'[1]Chứng chỉ'!$B$8:$Q$1111,13,0)</f>
        <v>0</v>
      </c>
      <c r="AU44" s="42">
        <f>VLOOKUP(A44,'[1]Chứng chỉ'!$B$8:$Q$1111,14,0)</f>
        <v>0</v>
      </c>
      <c r="AV44" s="42" t="str">
        <f>VLOOKUP(A44,'[1]Chứng chỉ'!$B$8:$Q$1111,15,0)</f>
        <v>Tày</v>
      </c>
      <c r="AW44" s="42" t="str">
        <f>VLOOKUP(A44,'[1]Chứng chỉ'!$B$8:$Q$1111,16,0)</f>
        <v>Cơ bản</v>
      </c>
      <c r="AX44" s="53"/>
      <c r="AY44" s="57" t="s">
        <v>85</v>
      </c>
      <c r="AZ44" s="65"/>
      <c r="BA44" s="74" t="e">
        <f t="shared" si="18"/>
        <v>#REF!</v>
      </c>
      <c r="BB44" s="74" t="e">
        <f t="shared" si="19"/>
        <v>#REF!</v>
      </c>
      <c r="BC44" s="61" t="s">
        <v>359</v>
      </c>
      <c r="BD44" s="62"/>
    </row>
    <row r="45" spans="1:56" ht="40.799999999999997" x14ac:dyDescent="0.3">
      <c r="A45" s="46" t="s">
        <v>421</v>
      </c>
      <c r="B45" s="42">
        <f t="shared" si="0"/>
        <v>39</v>
      </c>
      <c r="C45" s="93" t="s">
        <v>422</v>
      </c>
      <c r="D45" s="46" t="s">
        <v>421</v>
      </c>
      <c r="E45" s="61" t="s">
        <v>423</v>
      </c>
      <c r="F45" s="64"/>
      <c r="G45" s="49" t="s">
        <v>424</v>
      </c>
      <c r="H45" s="46"/>
      <c r="I45" s="101">
        <v>34121</v>
      </c>
      <c r="J45" s="66">
        <f t="shared" ref="J45:J47" ca="1" si="20">INT(DATEDIF(I45,$J$2,"d")/365)</f>
        <v>33</v>
      </c>
      <c r="K45" s="75" t="s">
        <v>425</v>
      </c>
      <c r="L45" s="102" t="s">
        <v>426</v>
      </c>
      <c r="M45" s="53" t="s">
        <v>67</v>
      </c>
      <c r="N45" s="105" t="s">
        <v>427</v>
      </c>
      <c r="O45" s="56" t="s">
        <v>428</v>
      </c>
      <c r="P45" s="47" t="s">
        <v>70</v>
      </c>
      <c r="Q45" s="47" t="s">
        <v>71</v>
      </c>
      <c r="R45" s="92" t="s">
        <v>429</v>
      </c>
      <c r="S45" s="47"/>
      <c r="T45" s="56"/>
      <c r="U45" s="56"/>
      <c r="V45" s="92" t="s">
        <v>429</v>
      </c>
      <c r="W45" s="104" t="s">
        <v>384</v>
      </c>
      <c r="X45" s="46"/>
      <c r="Y45" s="92">
        <v>562</v>
      </c>
      <c r="Z45" s="92" t="s">
        <v>386</v>
      </c>
      <c r="AA45" s="68">
        <f>VLOOKUP(A45,'[1]DANH SÁCH'!$B$8:$AD$841,12,0)</f>
        <v>0</v>
      </c>
      <c r="AB45" s="49" t="str">
        <f>VLOOKUP(A45,'[1]DANH SÁCH'!$B$8:$H$841,6,0)</f>
        <v>TĐ012</v>
      </c>
      <c r="AC45" s="69" t="str">
        <f>VLOOKUP(A45,'[1]DANH SÁCH'!$B$8:$J$841,9,0)</f>
        <v>HSTC-CĐ</v>
      </c>
      <c r="AD45" s="69" t="str">
        <f>VLOOKUP(A45,'[1]DANH SÁCH'!$B$8:$AC$841,10,0)</f>
        <v>KP003</v>
      </c>
      <c r="AE45" s="69" t="str">
        <f>VLOOKUP(A45,'[1]DANH SÁCH'!$B$8:$AD$841,13,0)</f>
        <v>Viên chức</v>
      </c>
      <c r="AF45" s="106" t="s">
        <v>157</v>
      </c>
      <c r="AG45" s="92" t="s">
        <v>430</v>
      </c>
      <c r="AH45" s="45">
        <v>2.72</v>
      </c>
      <c r="AI45" s="42">
        <v>3</v>
      </c>
      <c r="AJ45" s="70">
        <v>0</v>
      </c>
      <c r="AK45" s="69">
        <v>44927</v>
      </c>
      <c r="AL45" s="71" t="s">
        <v>158</v>
      </c>
      <c r="AM45" s="53" t="str">
        <f>VLOOKUP(A45,'[1]DANH SÁCH'!$B$8:$F$841,5,0)</f>
        <v>Điều dưỡng CĐ</v>
      </c>
      <c r="AN45" s="53"/>
      <c r="AO45" s="53" t="s">
        <v>431</v>
      </c>
      <c r="AP45" s="53">
        <v>2015</v>
      </c>
      <c r="AQ45" s="72" t="s">
        <v>113</v>
      </c>
      <c r="AR45" s="42">
        <f>VLOOKUP(A45,'[1]Chứng chỉ'!$B$8:$Q$1111,11,0)</f>
        <v>0</v>
      </c>
      <c r="AS45" s="42">
        <f>VLOOKUP(A45,'[1]Chứng chỉ'!$B$8:$Q$1111,12,0)</f>
        <v>0</v>
      </c>
      <c r="AT45" s="47" t="s">
        <v>139</v>
      </c>
      <c r="AU45" s="42" t="str">
        <f>VLOOKUP(A45,'[1]Chứng chỉ'!$B$8:$Q$1111,14,0)</f>
        <v>Anh B</v>
      </c>
      <c r="AV45" s="42">
        <f>VLOOKUP(A45,'[1]Chứng chỉ'!$B$8:$Q$1111,15,0)</f>
        <v>0</v>
      </c>
      <c r="AW45" s="42" t="str">
        <f>VLOOKUP(A45,'[1]Chứng chỉ'!$B$8:$Q$1111,16,0)</f>
        <v>B</v>
      </c>
      <c r="AX45" s="56"/>
      <c r="AY45" s="73" t="s">
        <v>85</v>
      </c>
      <c r="AZ45" s="65"/>
      <c r="BA45" s="74"/>
      <c r="BB45" s="74"/>
      <c r="BC45" s="61" t="s">
        <v>432</v>
      </c>
      <c r="BD45" s="62"/>
    </row>
    <row r="46" spans="1:56" ht="61.2" x14ac:dyDescent="0.3">
      <c r="A46" s="41" t="s">
        <v>433</v>
      </c>
      <c r="B46" s="42">
        <f t="shared" si="0"/>
        <v>40</v>
      </c>
      <c r="C46" s="68" t="s">
        <v>434</v>
      </c>
      <c r="D46" s="41" t="s">
        <v>433</v>
      </c>
      <c r="E46" s="61">
        <v>1506002941</v>
      </c>
      <c r="F46" s="64"/>
      <c r="G46" s="49" t="s">
        <v>435</v>
      </c>
      <c r="H46" s="76"/>
      <c r="I46" s="76">
        <v>30241</v>
      </c>
      <c r="J46" s="66">
        <f t="shared" ca="1" si="20"/>
        <v>43</v>
      </c>
      <c r="K46" s="75" t="s">
        <v>436</v>
      </c>
      <c r="L46" s="41" t="s">
        <v>437</v>
      </c>
      <c r="M46" s="53" t="s">
        <v>67</v>
      </c>
      <c r="N46" s="66" t="s">
        <v>438</v>
      </c>
      <c r="O46" s="53" t="s">
        <v>439</v>
      </c>
      <c r="P46" s="49" t="s">
        <v>195</v>
      </c>
      <c r="Q46" s="49" t="s">
        <v>94</v>
      </c>
      <c r="R46" s="49"/>
      <c r="S46" s="49" t="s">
        <v>166</v>
      </c>
      <c r="T46" s="53" t="s">
        <v>97</v>
      </c>
      <c r="U46" s="53" t="s">
        <v>94</v>
      </c>
      <c r="V46" s="49" t="str">
        <f t="shared" ref="V46:V58" si="21">S46&amp;", "&amp;T46&amp;", "&amp;U46</f>
        <v>Phường Tam Thanh, Thành phố Lạng Sơn, Tỉnh Lạng Sơn</v>
      </c>
      <c r="W46" s="55" t="s">
        <v>146</v>
      </c>
      <c r="X46" s="41"/>
      <c r="Y46" s="41"/>
      <c r="Z46" s="41"/>
      <c r="AA46" s="68">
        <f>VLOOKUP(A46,'[1]DANH SÁCH'!$B$8:$AD$841,12,0)</f>
        <v>0</v>
      </c>
      <c r="AB46" s="49" t="str">
        <f>VLOOKUP(A46,'[1]DANH SÁCH'!$B$8:$H$841,6,0)</f>
        <v>TĐ012</v>
      </c>
      <c r="AC46" s="69" t="str">
        <f>VLOOKUP(A46,'[1]DANH SÁCH'!$B$8:$J$841,9,0)</f>
        <v>HSTC-CĐ</v>
      </c>
      <c r="AD46" s="69" t="str">
        <f>VLOOKUP(A46,'[1]DANH SÁCH'!$B$8:$AC$841,10,0)</f>
        <v>KP003</v>
      </c>
      <c r="AE46" s="69" t="str">
        <f>VLOOKUP(A46,'[1]DANH SÁCH'!$B$8:$AD$841,13,0)</f>
        <v>Viên chức</v>
      </c>
      <c r="AF46" s="41" t="s">
        <v>157</v>
      </c>
      <c r="AG46" s="42" t="str">
        <f>VLOOKUP(A46,'[1]DANH SÁCH'!$B$8:$H$841,7,0)</f>
        <v>Điều dưỡng (hạng IV)</v>
      </c>
      <c r="AH46" s="45">
        <v>3.65</v>
      </c>
      <c r="AI46" s="42">
        <v>6</v>
      </c>
      <c r="AJ46" s="70">
        <v>0</v>
      </c>
      <c r="AK46" s="69">
        <v>45413</v>
      </c>
      <c r="AL46" s="71" t="s">
        <v>158</v>
      </c>
      <c r="AM46" s="53" t="str">
        <f>VLOOKUP(A46,'[1]DANH SÁCH'!$B$8:$F$841,5,0)</f>
        <v>Điều dưỡng CĐ</v>
      </c>
      <c r="AN46" s="53"/>
      <c r="AO46" s="53" t="s">
        <v>175</v>
      </c>
      <c r="AP46" s="53">
        <v>2005</v>
      </c>
      <c r="AQ46" s="72" t="s">
        <v>113</v>
      </c>
      <c r="AR46" s="42">
        <f>VLOOKUP(A46,'[1]Chứng chỉ'!$B$8:$Q$1111,11,0)</f>
        <v>0</v>
      </c>
      <c r="AS46" s="42">
        <f>VLOOKUP(A46,'[1]Chứng chỉ'!$B$8:$Q$1111,12,0)</f>
        <v>0</v>
      </c>
      <c r="AT46" s="47">
        <f>VLOOKUP(A46,'[1]Chứng chỉ'!$B$8:$Q$1111,13,0)</f>
        <v>0</v>
      </c>
      <c r="AU46" s="42">
        <f>VLOOKUP(A46,'[1]Chứng chỉ'!$B$8:$Q$1111,14,0)</f>
        <v>0</v>
      </c>
      <c r="AV46" s="42">
        <f>VLOOKUP(A46,'[1]Chứng chỉ'!$B$8:$Q$1111,15,0)</f>
        <v>0</v>
      </c>
      <c r="AW46" s="42" t="str">
        <f>VLOOKUP(A46,'[1]Chứng chỉ'!$B$8:$Q$1111,16,0)</f>
        <v>Cơ bản</v>
      </c>
      <c r="AX46" s="53"/>
      <c r="AY46" s="57" t="s">
        <v>85</v>
      </c>
      <c r="AZ46" s="65"/>
      <c r="BA46" s="74" t="e">
        <f t="shared" ref="BA46:BA58" si="22">VLOOKUP(A46,#REF!,4,0)</f>
        <v>#REF!</v>
      </c>
      <c r="BB46" s="74" t="e">
        <f t="shared" ref="BB46:BB58" si="23">VLOOKUP(A46,#REF!,5,0)</f>
        <v>#REF!</v>
      </c>
      <c r="BC46" s="61" t="s">
        <v>128</v>
      </c>
      <c r="BD46" s="62"/>
    </row>
    <row r="47" spans="1:56" ht="61.2" x14ac:dyDescent="0.3">
      <c r="A47" s="41" t="s">
        <v>440</v>
      </c>
      <c r="B47" s="42">
        <f t="shared" si="0"/>
        <v>41</v>
      </c>
      <c r="C47" s="68" t="s">
        <v>441</v>
      </c>
      <c r="D47" s="41" t="s">
        <v>440</v>
      </c>
      <c r="E47" s="61" t="s">
        <v>442</v>
      </c>
      <c r="F47" s="64"/>
      <c r="G47" s="49" t="s">
        <v>443</v>
      </c>
      <c r="H47" s="76"/>
      <c r="I47" s="76">
        <v>26947</v>
      </c>
      <c r="J47" s="66">
        <f t="shared" ca="1" si="20"/>
        <v>52</v>
      </c>
      <c r="K47" s="75" t="s">
        <v>444</v>
      </c>
      <c r="L47" s="41" t="s">
        <v>445</v>
      </c>
      <c r="M47" s="53" t="s">
        <v>67</v>
      </c>
      <c r="N47" s="66" t="s">
        <v>446</v>
      </c>
      <c r="O47" s="53" t="s">
        <v>447</v>
      </c>
      <c r="P47" s="76" t="s">
        <v>343</v>
      </c>
      <c r="Q47" s="49" t="s">
        <v>94</v>
      </c>
      <c r="R47" s="49"/>
      <c r="S47" s="49" t="s">
        <v>166</v>
      </c>
      <c r="T47" s="53" t="s">
        <v>97</v>
      </c>
      <c r="U47" s="53" t="s">
        <v>94</v>
      </c>
      <c r="V47" s="49" t="str">
        <f t="shared" si="21"/>
        <v>Phường Tam Thanh, Thành phố Lạng Sơn, Tỉnh Lạng Sơn</v>
      </c>
      <c r="W47" s="55" t="s">
        <v>448</v>
      </c>
      <c r="X47" s="41"/>
      <c r="Y47" s="41"/>
      <c r="Z47" s="41"/>
      <c r="AA47" s="68">
        <f>VLOOKUP(A47,'[1]DANH SÁCH'!$B$8:$AD$841,12,0)</f>
        <v>0</v>
      </c>
      <c r="AB47" s="49" t="str">
        <f>VLOOKUP(A47,'[1]DANH SÁCH'!$B$8:$H$841,6,0)</f>
        <v>TĐ012</v>
      </c>
      <c r="AC47" s="69" t="str">
        <f>VLOOKUP(A47,'[1]DANH SÁCH'!$B$8:$J$841,9,0)</f>
        <v>HSTC-CĐ</v>
      </c>
      <c r="AD47" s="69" t="str">
        <f>VLOOKUP(A47,'[1]DANH SÁCH'!$B$8:$AC$841,10,0)</f>
        <v>KP003</v>
      </c>
      <c r="AE47" s="69" t="str">
        <f>VLOOKUP(A47,'[1]DANH SÁCH'!$B$8:$AD$841,13,0)</f>
        <v>Viên chức</v>
      </c>
      <c r="AF47" s="41" t="s">
        <v>157</v>
      </c>
      <c r="AG47" s="42" t="str">
        <f>VLOOKUP(A47,'[1]DANH SÁCH'!$B$8:$H$841,7,0)</f>
        <v>Điều dưỡng (hạng IV)</v>
      </c>
      <c r="AH47" s="45">
        <v>3.96</v>
      </c>
      <c r="AI47" s="42">
        <v>7</v>
      </c>
      <c r="AJ47" s="70">
        <v>0</v>
      </c>
      <c r="AK47" s="69">
        <v>45352</v>
      </c>
      <c r="AL47" s="71" t="s">
        <v>158</v>
      </c>
      <c r="AM47" s="53" t="str">
        <f>VLOOKUP(A47,'[1]DANH SÁCH'!$B$8:$F$841,5,0)</f>
        <v>Điều dưỡng CĐ</v>
      </c>
      <c r="AN47" s="53"/>
      <c r="AO47" s="53" t="s">
        <v>175</v>
      </c>
      <c r="AP47" s="53">
        <v>1995</v>
      </c>
      <c r="AQ47" s="72" t="s">
        <v>113</v>
      </c>
      <c r="AR47" s="42">
        <f>VLOOKUP(A47,'[1]Chứng chỉ'!$B$8:$Q$1111,11,0)</f>
        <v>0</v>
      </c>
      <c r="AS47" s="42">
        <f>VLOOKUP(A47,'[1]Chứng chỉ'!$B$8:$Q$1111,12,0)</f>
        <v>0</v>
      </c>
      <c r="AT47" s="47">
        <f>VLOOKUP(A47,'[1]Chứng chỉ'!$B$8:$Q$1111,13,0)</f>
        <v>0</v>
      </c>
      <c r="AU47" s="42">
        <f>VLOOKUP(A47,'[1]Chứng chỉ'!$B$8:$Q$1111,14,0)</f>
        <v>0</v>
      </c>
      <c r="AV47" s="42" t="str">
        <f>VLOOKUP(A47,'[1]Chứng chỉ'!$B$8:$Q$1111,15,0)</f>
        <v>Tày</v>
      </c>
      <c r="AW47" s="42" t="str">
        <f>VLOOKUP(A47,'[1]Chứng chỉ'!$B$8:$Q$1111,16,0)</f>
        <v>Cơ bản</v>
      </c>
      <c r="AX47" s="53"/>
      <c r="AY47" s="57" t="s">
        <v>127</v>
      </c>
      <c r="AZ47" s="65"/>
      <c r="BA47" s="74" t="e">
        <f t="shared" si="22"/>
        <v>#REF!</v>
      </c>
      <c r="BB47" s="74" t="e">
        <f t="shared" si="23"/>
        <v>#REF!</v>
      </c>
      <c r="BC47" s="61" t="s">
        <v>449</v>
      </c>
      <c r="BD47" s="62"/>
    </row>
    <row r="48" spans="1:56" ht="51" x14ac:dyDescent="0.3">
      <c r="A48" s="41" t="s">
        <v>450</v>
      </c>
      <c r="B48" s="42">
        <f t="shared" si="0"/>
        <v>42</v>
      </c>
      <c r="C48" s="68" t="s">
        <v>451</v>
      </c>
      <c r="D48" s="41" t="s">
        <v>450</v>
      </c>
      <c r="E48" s="61">
        <v>2010000136</v>
      </c>
      <c r="F48" s="64"/>
      <c r="G48" s="49" t="s">
        <v>452</v>
      </c>
      <c r="H48" s="76">
        <v>31391</v>
      </c>
      <c r="I48" s="76"/>
      <c r="J48" s="66">
        <f ca="1">INT(DATEDIF(H48,$J$2,"d")/365)</f>
        <v>40</v>
      </c>
      <c r="K48" s="75" t="s">
        <v>453</v>
      </c>
      <c r="L48" s="41" t="s">
        <v>454</v>
      </c>
      <c r="M48" s="53" t="s">
        <v>67</v>
      </c>
      <c r="N48" s="66"/>
      <c r="O48" s="53" t="s">
        <v>322</v>
      </c>
      <c r="P48" s="49" t="s">
        <v>282</v>
      </c>
      <c r="Q48" s="49" t="s">
        <v>94</v>
      </c>
      <c r="R48" s="49"/>
      <c r="S48" s="49" t="s">
        <v>322</v>
      </c>
      <c r="T48" s="53" t="s">
        <v>282</v>
      </c>
      <c r="U48" s="53" t="s">
        <v>94</v>
      </c>
      <c r="V48" s="49" t="str">
        <f t="shared" si="21"/>
        <v>Xã Tân Thành, Huyện Hữu Lũng, Tỉnh Lạng Sơn</v>
      </c>
      <c r="W48" s="55" t="s">
        <v>236</v>
      </c>
      <c r="X48" s="41"/>
      <c r="Y48" s="41"/>
      <c r="Z48" s="41"/>
      <c r="AA48" s="68"/>
      <c r="AB48" s="49" t="str">
        <f>VLOOKUP(A48,'[1]DANH SÁCH'!$B$8:$H$841,6,0)</f>
        <v>TĐ011</v>
      </c>
      <c r="AC48" s="69" t="str">
        <f>VLOOKUP(A48,'[1]DANH SÁCH'!$B$8:$J$841,9,0)</f>
        <v>UB-YHHN</v>
      </c>
      <c r="AD48" s="69" t="str">
        <f>VLOOKUP(A48,'[1]DANH SÁCH'!$B$8:$AC$841,10,0)</f>
        <v>KP011</v>
      </c>
      <c r="AE48" s="69" t="str">
        <f>VLOOKUP(A48,'[1]DANH SÁCH'!$B$8:$AD$841,13,0)</f>
        <v>Viên chức</v>
      </c>
      <c r="AF48" s="41" t="s">
        <v>147</v>
      </c>
      <c r="AG48" s="42" t="str">
        <f>VLOOKUP(A48,'[1]DANH SÁCH'!$B$8:$H$841,7,0)</f>
        <v>Điều dưỡng (hạng III)</v>
      </c>
      <c r="AH48" s="45">
        <v>3.66</v>
      </c>
      <c r="AI48" s="42">
        <v>5</v>
      </c>
      <c r="AJ48" s="70">
        <v>0</v>
      </c>
      <c r="AK48" s="69">
        <v>45383</v>
      </c>
      <c r="AL48" s="71" t="s">
        <v>80</v>
      </c>
      <c r="AM48" s="53" t="str">
        <f>VLOOKUP(A48,'[1]DANH SÁCH'!$B$8:$F$841,5,0)</f>
        <v>Điều dưỡng ĐH</v>
      </c>
      <c r="AN48" s="53"/>
      <c r="AO48" s="53"/>
      <c r="AP48" s="53"/>
      <c r="AQ48" s="72" t="s">
        <v>113</v>
      </c>
      <c r="AR48" s="42">
        <f>VLOOKUP(A48,'[1]Chứng chỉ'!$B$8:$Q$1111,11,0)</f>
        <v>0</v>
      </c>
      <c r="AS48" s="42">
        <f>VLOOKUP(A48,'[1]Chứng chỉ'!$B$8:$Q$1111,12,0)</f>
        <v>0</v>
      </c>
      <c r="AT48" s="47" t="str">
        <f>VLOOKUP(A48,'[1]Chứng chỉ'!$B$8:$Q$1111,13,0)</f>
        <v>Sơ cấp</v>
      </c>
      <c r="AU48" s="42" t="str">
        <f>VLOOKUP(A48,'[1]Chứng chỉ'!$B$8:$Q$1111,14,0)</f>
        <v xml:space="preserve">Anh A2 </v>
      </c>
      <c r="AV48" s="42">
        <f>VLOOKUP(A48,'[1]Chứng chỉ'!$B$8:$Q$1111,15,0)</f>
        <v>0</v>
      </c>
      <c r="AW48" s="42" t="str">
        <f>VLOOKUP(A48,'[1]Chứng chỉ'!$B$8:$Q$1111,16,0)</f>
        <v>Cơ bản</v>
      </c>
      <c r="AX48" s="53"/>
      <c r="AY48" s="57" t="s">
        <v>127</v>
      </c>
      <c r="AZ48" s="65">
        <v>43222</v>
      </c>
      <c r="BA48" s="74" t="e">
        <f t="shared" si="22"/>
        <v>#REF!</v>
      </c>
      <c r="BB48" s="74" t="e">
        <f t="shared" si="23"/>
        <v>#REF!</v>
      </c>
      <c r="BC48" s="61" t="s">
        <v>128</v>
      </c>
      <c r="BD48" s="62"/>
    </row>
    <row r="49" spans="1:56" ht="51" x14ac:dyDescent="0.3">
      <c r="A49" s="41" t="s">
        <v>455</v>
      </c>
      <c r="B49" s="42">
        <f t="shared" si="0"/>
        <v>43</v>
      </c>
      <c r="C49" s="68" t="s">
        <v>456</v>
      </c>
      <c r="D49" s="41" t="s">
        <v>455</v>
      </c>
      <c r="E49" s="61">
        <v>2011000161</v>
      </c>
      <c r="F49" s="64"/>
      <c r="G49" s="49" t="s">
        <v>457</v>
      </c>
      <c r="H49" s="76"/>
      <c r="I49" s="76">
        <v>32410</v>
      </c>
      <c r="J49" s="66">
        <f t="shared" ref="J49:J55" ca="1" si="24">INT(DATEDIF(I49,$J$2,"d")/365)</f>
        <v>37</v>
      </c>
      <c r="K49" s="75" t="s">
        <v>458</v>
      </c>
      <c r="L49" s="41" t="s">
        <v>459</v>
      </c>
      <c r="M49" s="53" t="s">
        <v>67</v>
      </c>
      <c r="N49" s="66"/>
      <c r="O49" s="53" t="s">
        <v>460</v>
      </c>
      <c r="P49" s="49" t="s">
        <v>108</v>
      </c>
      <c r="Q49" s="49" t="s">
        <v>94</v>
      </c>
      <c r="R49" s="49"/>
      <c r="S49" s="49" t="s">
        <v>460</v>
      </c>
      <c r="T49" s="53" t="s">
        <v>108</v>
      </c>
      <c r="U49" s="53" t="s">
        <v>94</v>
      </c>
      <c r="V49" s="49" t="str">
        <f t="shared" si="21"/>
        <v>Thị trấn Cao Lộc, Huyện Cao Lộc, Tỉnh Lạng Sơn</v>
      </c>
      <c r="W49" s="55" t="s">
        <v>461</v>
      </c>
      <c r="X49" s="41"/>
      <c r="Y49" s="41"/>
      <c r="Z49" s="41"/>
      <c r="AA49" s="68">
        <f>VLOOKUP(A49,'[1]DANH SÁCH'!$B$8:$AD$841,12,0)</f>
        <v>0</v>
      </c>
      <c r="AB49" s="49" t="str">
        <f>VLOOKUP(A49,'[1]DANH SÁCH'!$B$8:$H$841,6,0)</f>
        <v>TĐ012</v>
      </c>
      <c r="AC49" s="69" t="str">
        <f>VLOOKUP(A49,'[1]DANH SÁCH'!$B$8:$J$841,9,0)</f>
        <v>HSTC-CĐ</v>
      </c>
      <c r="AD49" s="69" t="str">
        <f>VLOOKUP(A49,'[1]DANH SÁCH'!$B$8:$AC$841,10,0)</f>
        <v>KP003</v>
      </c>
      <c r="AE49" s="69" t="str">
        <f>VLOOKUP(A49,'[1]DANH SÁCH'!$B$8:$AD$841,13,0)</f>
        <v>Viên chức</v>
      </c>
      <c r="AF49" s="41" t="s">
        <v>157</v>
      </c>
      <c r="AG49" s="42" t="str">
        <f>VLOOKUP(A49,'[1]DANH SÁCH'!$B$8:$H$841,7,0)</f>
        <v>Điều dưỡng (hạng IV)</v>
      </c>
      <c r="AH49" s="45">
        <v>3.34</v>
      </c>
      <c r="AI49" s="42">
        <v>5</v>
      </c>
      <c r="AJ49" s="70">
        <v>0</v>
      </c>
      <c r="AK49" s="69">
        <v>45597</v>
      </c>
      <c r="AL49" s="71" t="s">
        <v>158</v>
      </c>
      <c r="AM49" s="53" t="str">
        <f>VLOOKUP(A49,'[1]DANH SÁCH'!$B$8:$F$841,5,0)</f>
        <v>Điều dưỡng CĐ</v>
      </c>
      <c r="AN49" s="53"/>
      <c r="AO49" s="53"/>
      <c r="AP49" s="53"/>
      <c r="AQ49" s="72" t="s">
        <v>113</v>
      </c>
      <c r="AR49" s="42">
        <f>VLOOKUP(A49,'[1]Chứng chỉ'!$B$8:$Q$1111,11,0)</f>
        <v>0</v>
      </c>
      <c r="AS49" s="42">
        <f>VLOOKUP(A49,'[1]Chứng chỉ'!$B$8:$Q$1111,12,0)</f>
        <v>0</v>
      </c>
      <c r="AT49" s="47">
        <f>VLOOKUP(A49,'[1]Chứng chỉ'!$B$8:$Q$1111,13,0)</f>
        <v>0</v>
      </c>
      <c r="AU49" s="42">
        <f>VLOOKUP(A49,'[1]Chứng chỉ'!$B$8:$Q$1111,14,0)</f>
        <v>0</v>
      </c>
      <c r="AV49" s="42" t="str">
        <f>VLOOKUP(A49,'[1]Chứng chỉ'!$B$8:$Q$1111,15,0)</f>
        <v>Tày</v>
      </c>
      <c r="AW49" s="42" t="str">
        <f>VLOOKUP(A49,'[1]Chứng chỉ'!$B$8:$Q$1111,16,0)</f>
        <v>Cơ bản</v>
      </c>
      <c r="AX49" s="53"/>
      <c r="AY49" s="57" t="s">
        <v>127</v>
      </c>
      <c r="AZ49" s="65"/>
      <c r="BA49" s="74" t="e">
        <f t="shared" si="22"/>
        <v>#REF!</v>
      </c>
      <c r="BB49" s="74" t="e">
        <f t="shared" si="23"/>
        <v>#REF!</v>
      </c>
      <c r="BC49" s="61" t="s">
        <v>359</v>
      </c>
      <c r="BD49" s="62"/>
    </row>
    <row r="50" spans="1:56" ht="40.799999999999997" x14ac:dyDescent="0.3">
      <c r="A50" s="41" t="s">
        <v>462</v>
      </c>
      <c r="B50" s="42">
        <f t="shared" si="0"/>
        <v>44</v>
      </c>
      <c r="C50" s="68" t="s">
        <v>463</v>
      </c>
      <c r="D50" s="41" t="s">
        <v>462</v>
      </c>
      <c r="E50" s="61">
        <v>2010000182</v>
      </c>
      <c r="F50" s="64"/>
      <c r="G50" s="49" t="s">
        <v>464</v>
      </c>
      <c r="H50" s="76"/>
      <c r="I50" s="76">
        <v>31752</v>
      </c>
      <c r="J50" s="66">
        <f t="shared" ca="1" si="24"/>
        <v>39</v>
      </c>
      <c r="K50" s="75" t="s">
        <v>465</v>
      </c>
      <c r="L50" s="41" t="s">
        <v>466</v>
      </c>
      <c r="M50" s="53" t="s">
        <v>67</v>
      </c>
      <c r="N50" s="66"/>
      <c r="O50" s="53" t="s">
        <v>467</v>
      </c>
      <c r="P50" s="76" t="s">
        <v>145</v>
      </c>
      <c r="Q50" s="49" t="s">
        <v>94</v>
      </c>
      <c r="R50" s="49" t="s">
        <v>468</v>
      </c>
      <c r="S50" s="49" t="s">
        <v>467</v>
      </c>
      <c r="T50" s="85" t="s">
        <v>145</v>
      </c>
      <c r="U50" s="53" t="s">
        <v>94</v>
      </c>
      <c r="V50" s="49" t="str">
        <f t="shared" si="21"/>
        <v>Xã Tân Mỹ, Huyện Văn Lãng, Tỉnh Lạng Sơn</v>
      </c>
      <c r="W50" s="55" t="s">
        <v>236</v>
      </c>
      <c r="X50" s="41"/>
      <c r="Y50" s="41"/>
      <c r="Z50" s="41"/>
      <c r="AA50" s="68">
        <f>VLOOKUP(A50,'[1]DANH SÁCH'!$B$8:$AD$841,12,0)</f>
        <v>0</v>
      </c>
      <c r="AB50" s="49" t="str">
        <f>VLOOKUP(A50,'[1]DANH SÁCH'!$B$8:$H$841,6,0)</f>
        <v>TĐ012</v>
      </c>
      <c r="AC50" s="69" t="str">
        <f>VLOOKUP(A50,'[1]DANH SÁCH'!$B$8:$J$841,9,0)</f>
        <v>HSTC-CĐ</v>
      </c>
      <c r="AD50" s="69" t="str">
        <f>VLOOKUP(A50,'[1]DANH SÁCH'!$B$8:$AC$841,10,0)</f>
        <v>KP003</v>
      </c>
      <c r="AE50" s="69" t="str">
        <f>VLOOKUP(A50,'[1]DANH SÁCH'!$B$8:$AD$841,13,0)</f>
        <v>Viên chức</v>
      </c>
      <c r="AF50" s="41" t="s">
        <v>157</v>
      </c>
      <c r="AG50" s="42" t="str">
        <f>VLOOKUP(A50,'[1]DANH SÁCH'!$B$8:$H$841,7,0)</f>
        <v>Điều dưỡng (hạng IV)</v>
      </c>
      <c r="AH50" s="45">
        <v>3.34</v>
      </c>
      <c r="AI50" s="42">
        <v>5</v>
      </c>
      <c r="AJ50" s="70">
        <v>0</v>
      </c>
      <c r="AK50" s="69">
        <v>44927</v>
      </c>
      <c r="AL50" s="71" t="s">
        <v>158</v>
      </c>
      <c r="AM50" s="53" t="str">
        <f>VLOOKUP(A50,'[1]DANH SÁCH'!$B$8:$F$841,5,0)</f>
        <v>Điều dưỡng CĐ</v>
      </c>
      <c r="AN50" s="53"/>
      <c r="AO50" s="53" t="s">
        <v>159</v>
      </c>
      <c r="AP50" s="53">
        <v>2007</v>
      </c>
      <c r="AQ50" s="72" t="s">
        <v>113</v>
      </c>
      <c r="AR50" s="42">
        <f>VLOOKUP(A50,'[1]Chứng chỉ'!$B$8:$Q$1111,11,0)</f>
        <v>0</v>
      </c>
      <c r="AS50" s="42">
        <f>VLOOKUP(A50,'[1]Chứng chỉ'!$B$8:$Q$1111,12,0)</f>
        <v>0</v>
      </c>
      <c r="AT50" s="47">
        <f>VLOOKUP(A50,'[1]Chứng chỉ'!$B$8:$Q$1111,13,0)</f>
        <v>0</v>
      </c>
      <c r="AU50" s="42">
        <f>VLOOKUP(A50,'[1]Chứng chỉ'!$B$8:$Q$1111,14,0)</f>
        <v>0</v>
      </c>
      <c r="AV50" s="42" t="str">
        <f>VLOOKUP(A50,'[1]Chứng chỉ'!$B$8:$Q$1111,15,0)</f>
        <v>Tày</v>
      </c>
      <c r="AW50" s="42" t="str">
        <f>VLOOKUP(A50,'[1]Chứng chỉ'!$B$8:$Q$1111,16,0)</f>
        <v>Cơ bản</v>
      </c>
      <c r="AX50" s="53"/>
      <c r="AY50" s="57" t="s">
        <v>127</v>
      </c>
      <c r="AZ50" s="65"/>
      <c r="BA50" s="74" t="e">
        <f t="shared" si="22"/>
        <v>#REF!</v>
      </c>
      <c r="BB50" s="74" t="e">
        <f t="shared" si="23"/>
        <v>#REF!</v>
      </c>
      <c r="BC50" s="61" t="s">
        <v>359</v>
      </c>
      <c r="BD50" s="62"/>
    </row>
    <row r="51" spans="1:56" ht="61.2" x14ac:dyDescent="0.3">
      <c r="A51" s="41" t="s">
        <v>469</v>
      </c>
      <c r="B51" s="42">
        <f t="shared" si="0"/>
        <v>45</v>
      </c>
      <c r="C51" s="68" t="s">
        <v>470</v>
      </c>
      <c r="D51" s="41" t="s">
        <v>469</v>
      </c>
      <c r="E51" s="61">
        <v>1596007565</v>
      </c>
      <c r="F51" s="64"/>
      <c r="G51" s="49" t="s">
        <v>471</v>
      </c>
      <c r="H51" s="76"/>
      <c r="I51" s="76">
        <v>25342</v>
      </c>
      <c r="J51" s="66">
        <f t="shared" ca="1" si="24"/>
        <v>57</v>
      </c>
      <c r="K51" s="75" t="s">
        <v>472</v>
      </c>
      <c r="L51" s="41" t="s">
        <v>473</v>
      </c>
      <c r="M51" s="53" t="s">
        <v>67</v>
      </c>
      <c r="N51" s="66"/>
      <c r="O51" s="53" t="s">
        <v>124</v>
      </c>
      <c r="P51" s="76" t="s">
        <v>97</v>
      </c>
      <c r="Q51" s="76" t="s">
        <v>94</v>
      </c>
      <c r="R51" s="49"/>
      <c r="S51" s="49" t="s">
        <v>124</v>
      </c>
      <c r="T51" s="85" t="s">
        <v>97</v>
      </c>
      <c r="U51" s="85" t="s">
        <v>94</v>
      </c>
      <c r="V51" s="49" t="str">
        <f t="shared" si="21"/>
        <v>Phường Đông Kinh, Thành phố Lạng Sơn, Tỉnh Lạng Sơn</v>
      </c>
      <c r="W51" s="55" t="s">
        <v>474</v>
      </c>
      <c r="X51" s="41"/>
      <c r="Y51" s="41"/>
      <c r="Z51" s="41"/>
      <c r="AA51" s="68" t="e">
        <f>VLOOKUP(A51,'[1]DANH SÁCH'!$B$8:$AD$841,12,0)</f>
        <v>#N/A</v>
      </c>
      <c r="AB51" s="49" t="e">
        <f>VLOOKUP(A51,'[1]DANH SÁCH'!$B$8:$H$841,6,0)</f>
        <v>#N/A</v>
      </c>
      <c r="AC51" s="69" t="e">
        <f>VLOOKUP(A51,'[1]DANH SÁCH'!$B$8:$J$841,9,0)</f>
        <v>#N/A</v>
      </c>
      <c r="AD51" s="69" t="e">
        <f>VLOOKUP(A51,'[1]DANH SÁCH'!$B$8:$AC$841,10,0)</f>
        <v>#N/A</v>
      </c>
      <c r="AE51" s="69" t="e">
        <f>VLOOKUP(A51,'[1]DANH SÁCH'!$B$8:$AD$841,13,0)</f>
        <v>#N/A</v>
      </c>
      <c r="AF51" s="41" t="s">
        <v>79</v>
      </c>
      <c r="AG51" s="42" t="e">
        <f>VLOOKUP(A51,'[1]DANH SÁCH'!$B$8:$H$841,7,0)</f>
        <v>#N/A</v>
      </c>
      <c r="AH51" s="45">
        <v>5.42</v>
      </c>
      <c r="AI51" s="42">
        <v>4</v>
      </c>
      <c r="AJ51" s="70">
        <v>0</v>
      </c>
      <c r="AK51" s="69">
        <v>45231</v>
      </c>
      <c r="AL51" s="71" t="s">
        <v>80</v>
      </c>
      <c r="AM51" s="53" t="e">
        <f>VLOOKUP(A51,'[1]DANH SÁCH'!$B$8:$F$841,5,0)</f>
        <v>#N/A</v>
      </c>
      <c r="AN51" s="53" t="s">
        <v>138</v>
      </c>
      <c r="AO51" s="53" t="s">
        <v>112</v>
      </c>
      <c r="AP51" s="53">
        <v>2004</v>
      </c>
      <c r="AQ51" s="72" t="s">
        <v>113</v>
      </c>
      <c r="AR51" s="42" t="s">
        <v>82</v>
      </c>
      <c r="AS51" s="42" t="s">
        <v>100</v>
      </c>
      <c r="AT51" s="47" t="s">
        <v>101</v>
      </c>
      <c r="AU51" s="42" t="str">
        <f>VLOOKUP(A51,'[1]Chứng chỉ'!$B$8:$Q$1111,14,0)</f>
        <v>B</v>
      </c>
      <c r="AV51" s="42" t="str">
        <f>VLOOKUP(A51,'[1]Chứng chỉ'!$B$8:$Q$1111,15,0)</f>
        <v>x</v>
      </c>
      <c r="AW51" s="42" t="str">
        <f>VLOOKUP(A51,'[1]Chứng chỉ'!$B$8:$Q$1111,16,0)</f>
        <v>B</v>
      </c>
      <c r="AX51" s="53"/>
      <c r="AY51" s="57" t="s">
        <v>127</v>
      </c>
      <c r="AZ51" s="65">
        <v>36893</v>
      </c>
      <c r="BA51" s="74" t="e">
        <f t="shared" si="22"/>
        <v>#REF!</v>
      </c>
      <c r="BB51" s="74" t="e">
        <f t="shared" si="23"/>
        <v>#REF!</v>
      </c>
      <c r="BC51" s="61" t="s">
        <v>128</v>
      </c>
      <c r="BD51" s="62"/>
    </row>
    <row r="52" spans="1:56" ht="61.2" x14ac:dyDescent="0.3">
      <c r="A52" s="41" t="s">
        <v>475</v>
      </c>
      <c r="B52" s="42">
        <f t="shared" si="0"/>
        <v>46</v>
      </c>
      <c r="C52" s="68" t="s">
        <v>476</v>
      </c>
      <c r="D52" s="41" t="s">
        <v>475</v>
      </c>
      <c r="E52" s="61">
        <v>1596007564</v>
      </c>
      <c r="F52" s="64"/>
      <c r="G52" s="49" t="s">
        <v>477</v>
      </c>
      <c r="H52" s="76"/>
      <c r="I52" s="76">
        <v>25913</v>
      </c>
      <c r="J52" s="66">
        <f t="shared" ca="1" si="24"/>
        <v>55</v>
      </c>
      <c r="K52" s="75" t="s">
        <v>478</v>
      </c>
      <c r="L52" s="41" t="s">
        <v>479</v>
      </c>
      <c r="M52" s="53" t="s">
        <v>67</v>
      </c>
      <c r="N52" s="66" t="s">
        <v>480</v>
      </c>
      <c r="O52" s="53" t="s">
        <v>481</v>
      </c>
      <c r="P52" s="49" t="s">
        <v>195</v>
      </c>
      <c r="Q52" s="49" t="s">
        <v>94</v>
      </c>
      <c r="R52" s="49"/>
      <c r="S52" s="49" t="s">
        <v>166</v>
      </c>
      <c r="T52" s="53" t="s">
        <v>97</v>
      </c>
      <c r="U52" s="53" t="s">
        <v>94</v>
      </c>
      <c r="V52" s="49" t="str">
        <f t="shared" si="21"/>
        <v>Phường Tam Thanh, Thành phố Lạng Sơn, Tỉnh Lạng Sơn</v>
      </c>
      <c r="W52" s="55" t="s">
        <v>482</v>
      </c>
      <c r="X52" s="41"/>
      <c r="Y52" s="41"/>
      <c r="Z52" s="41"/>
      <c r="AA52" s="68" t="str">
        <f>VLOOKUP(A52,'[1]DANH SÁCH'!$B$8:$AD$841,12,0)</f>
        <v>Phó trưởng khoa</v>
      </c>
      <c r="AB52" s="49" t="str">
        <f>VLOOKUP(A52,'[1]DANH SÁCH'!$B$8:$H$841,6,0)</f>
        <v>TĐ003</v>
      </c>
      <c r="AC52" s="69" t="str">
        <f>VLOOKUP(A52,'[1]DANH SÁCH'!$B$8:$J$841,9,0)</f>
        <v>Lão - CXK</v>
      </c>
      <c r="AD52" s="69" t="str">
        <f>VLOOKUP(A52,'[1]DANH SÁCH'!$B$8:$AC$841,10,0)</f>
        <v>KP004</v>
      </c>
      <c r="AE52" s="69" t="str">
        <f>VLOOKUP(A52,'[1]DANH SÁCH'!$B$8:$AD$841,13,0)</f>
        <v>Viên chức</v>
      </c>
      <c r="AF52" s="41" t="s">
        <v>274</v>
      </c>
      <c r="AG52" s="42" t="str">
        <f>VLOOKUP(A52,'[1]DANH SÁCH'!$B$8:$H$841,7,0)</f>
        <v>Bác sĩ (hạng III)</v>
      </c>
      <c r="AH52" s="45">
        <v>4.9800000000000004</v>
      </c>
      <c r="AI52" s="42">
        <v>9</v>
      </c>
      <c r="AJ52" s="70">
        <v>7.0000000000000007E-2</v>
      </c>
      <c r="AK52" s="69">
        <v>45962</v>
      </c>
      <c r="AL52" s="71" t="s">
        <v>80</v>
      </c>
      <c r="AM52" s="53" t="str">
        <f>VLOOKUP(A52,'[1]DANH SÁCH'!$B$8:$F$841,5,0)</f>
        <v>BSCKI</v>
      </c>
      <c r="AN52" s="53" t="s">
        <v>138</v>
      </c>
      <c r="AO52" s="53"/>
      <c r="AP52" s="53"/>
      <c r="AQ52" s="72"/>
      <c r="AR52" s="42">
        <f>VLOOKUP(A52,'[1]Chứng chỉ'!$B$8:$Q$1111,11,0)</f>
        <v>0</v>
      </c>
      <c r="AS52" s="42">
        <f>VLOOKUP(A52,'[1]Chứng chỉ'!$B$8:$Q$1111,12,0)</f>
        <v>0</v>
      </c>
      <c r="AT52" s="47">
        <f>VLOOKUP(A52,'[1]Chứng chỉ'!$B$8:$Q$1111,13,0)</f>
        <v>0</v>
      </c>
      <c r="AU52" s="42" t="str">
        <f>VLOOKUP(A52,'[1]Chứng chỉ'!$B$8:$Q$1111,14,0)</f>
        <v>C</v>
      </c>
      <c r="AV52" s="42">
        <f>VLOOKUP(A52,'[1]Chứng chỉ'!$B$8:$Q$1111,15,0)</f>
        <v>0</v>
      </c>
      <c r="AW52" s="42" t="str">
        <f>VLOOKUP(A52,'[1]Chứng chỉ'!$B$8:$Q$1111,16,0)</f>
        <v>C</v>
      </c>
      <c r="AX52" s="53"/>
      <c r="AY52" s="57" t="s">
        <v>85</v>
      </c>
      <c r="AZ52" s="65">
        <v>39261</v>
      </c>
      <c r="BA52" s="74" t="e">
        <f t="shared" si="22"/>
        <v>#REF!</v>
      </c>
      <c r="BB52" s="74" t="e">
        <f t="shared" si="23"/>
        <v>#REF!</v>
      </c>
      <c r="BC52" s="61" t="s">
        <v>128</v>
      </c>
      <c r="BD52" s="62"/>
    </row>
    <row r="53" spans="1:56" ht="40.799999999999997" x14ac:dyDescent="0.3">
      <c r="A53" s="41" t="s">
        <v>483</v>
      </c>
      <c r="B53" s="42">
        <f t="shared" si="0"/>
        <v>47</v>
      </c>
      <c r="C53" s="44" t="s">
        <v>484</v>
      </c>
      <c r="D53" s="41" t="s">
        <v>483</v>
      </c>
      <c r="E53" s="61">
        <v>2016000977</v>
      </c>
      <c r="F53" s="64"/>
      <c r="G53" s="49" t="s">
        <v>485</v>
      </c>
      <c r="H53" s="87"/>
      <c r="I53" s="41" t="s">
        <v>486</v>
      </c>
      <c r="J53" s="66">
        <f t="shared" ca="1" si="24"/>
        <v>36</v>
      </c>
      <c r="K53" s="75" t="s">
        <v>487</v>
      </c>
      <c r="L53" s="41" t="s">
        <v>488</v>
      </c>
      <c r="M53" s="53" t="s">
        <v>67</v>
      </c>
      <c r="N53" s="66" t="s">
        <v>489</v>
      </c>
      <c r="O53" s="88"/>
      <c r="P53" s="87"/>
      <c r="Q53" s="87"/>
      <c r="R53" s="87"/>
      <c r="S53" s="76" t="s">
        <v>490</v>
      </c>
      <c r="T53" s="85" t="s">
        <v>108</v>
      </c>
      <c r="U53" s="85" t="s">
        <v>94</v>
      </c>
      <c r="V53" s="49" t="str">
        <f t="shared" si="21"/>
        <v>Xã Hòa Cư, Huyện Cao Lộc, Tỉnh Lạng Sơn</v>
      </c>
      <c r="W53" s="89" t="s">
        <v>491</v>
      </c>
      <c r="X53" s="43"/>
      <c r="Y53" s="43"/>
      <c r="Z53" s="43"/>
      <c r="AA53" s="68" t="str">
        <f>VLOOKUP(A53,'[1]DANH SÁCH'!$B$8:$AD$841,12,0)</f>
        <v>Phụ trách khoa Dinh dưỡng</v>
      </c>
      <c r="AB53" s="49" t="str">
        <f>VLOOKUP(A53,'[1]DANH SÁCH'!$B$8:$H$841,6,0)</f>
        <v>TĐ003</v>
      </c>
      <c r="AC53" s="69" t="str">
        <f>VLOOKUP(A53,'[1]DANH SÁCH'!$B$8:$J$841,9,0)</f>
        <v>Lão - CXK</v>
      </c>
      <c r="AD53" s="69" t="str">
        <f>VLOOKUP(A53,'[1]DANH SÁCH'!$B$8:$AC$841,10,0)</f>
        <v>KP004</v>
      </c>
      <c r="AE53" s="69" t="str">
        <f>VLOOKUP(A53,'[1]DANH SÁCH'!$B$8:$AD$841,13,0)</f>
        <v>Viên chức</v>
      </c>
      <c r="AF53" s="41" t="s">
        <v>274</v>
      </c>
      <c r="AG53" s="42" t="str">
        <f>VLOOKUP(A53,'[1]DANH SÁCH'!$B$8:$H$841,7,0)</f>
        <v>Bác sĩ (hạng III)</v>
      </c>
      <c r="AH53" s="45">
        <v>3.33</v>
      </c>
      <c r="AI53" s="42">
        <v>4</v>
      </c>
      <c r="AJ53" s="70">
        <v>0</v>
      </c>
      <c r="AK53" s="69">
        <v>45768</v>
      </c>
      <c r="AL53" s="71" t="s">
        <v>80</v>
      </c>
      <c r="AM53" s="53" t="str">
        <f>VLOOKUP(A53,'[1]DANH SÁCH'!$B$8:$F$841,5,0)</f>
        <v>BSCKI</v>
      </c>
      <c r="AN53" s="53" t="s">
        <v>138</v>
      </c>
      <c r="AO53" s="53" t="s">
        <v>297</v>
      </c>
      <c r="AP53" s="53">
        <v>2015</v>
      </c>
      <c r="AQ53" s="72" t="s">
        <v>113</v>
      </c>
      <c r="AR53" s="42">
        <f>VLOOKUP(A53,'[1]Chứng chỉ'!$B$8:$Q$1111,11,0)</f>
        <v>0</v>
      </c>
      <c r="AS53" s="42">
        <f>VLOOKUP(A53,'[1]Chứng chỉ'!$B$8:$Q$1111,12,0)</f>
        <v>0</v>
      </c>
      <c r="AT53" s="47" t="s">
        <v>139</v>
      </c>
      <c r="AU53" s="42" t="str">
        <f>VLOOKUP(A53,'[1]Chứng chỉ'!$B$8:$Q$1111,14,0)</f>
        <v>C</v>
      </c>
      <c r="AV53" s="42">
        <f>VLOOKUP(A53,'[1]Chứng chỉ'!$B$8:$Q$1111,15,0)</f>
        <v>0</v>
      </c>
      <c r="AW53" s="42" t="str">
        <f>VLOOKUP(A53,'[1]Chứng chỉ'!$B$8:$Q$1111,16,0)</f>
        <v>B</v>
      </c>
      <c r="AX53" s="53"/>
      <c r="AY53" s="57" t="s">
        <v>127</v>
      </c>
      <c r="AZ53" s="65">
        <v>44848</v>
      </c>
      <c r="BA53" s="74" t="e">
        <f t="shared" si="22"/>
        <v>#REF!</v>
      </c>
      <c r="BB53" s="74" t="e">
        <f t="shared" si="23"/>
        <v>#REF!</v>
      </c>
      <c r="BC53" s="61" t="s">
        <v>128</v>
      </c>
      <c r="BD53" s="62"/>
    </row>
    <row r="54" spans="1:56" ht="51" x14ac:dyDescent="0.3">
      <c r="A54" s="41" t="s">
        <v>492</v>
      </c>
      <c r="B54" s="42">
        <f t="shared" si="0"/>
        <v>48</v>
      </c>
      <c r="C54" s="68" t="s">
        <v>493</v>
      </c>
      <c r="D54" s="41" t="s">
        <v>492</v>
      </c>
      <c r="E54" s="61">
        <v>1506001859</v>
      </c>
      <c r="F54" s="64"/>
      <c r="G54" s="49" t="s">
        <v>494</v>
      </c>
      <c r="H54" s="76"/>
      <c r="I54" s="76">
        <v>30234</v>
      </c>
      <c r="J54" s="66">
        <f t="shared" ca="1" si="24"/>
        <v>43</v>
      </c>
      <c r="K54" s="75" t="s">
        <v>495</v>
      </c>
      <c r="L54" s="41" t="s">
        <v>496</v>
      </c>
      <c r="M54" s="53" t="s">
        <v>67</v>
      </c>
      <c r="N54" s="66" t="s">
        <v>497</v>
      </c>
      <c r="O54" s="53" t="s">
        <v>498</v>
      </c>
      <c r="P54" s="76" t="s">
        <v>222</v>
      </c>
      <c r="Q54" s="76" t="s">
        <v>94</v>
      </c>
      <c r="R54" s="49" t="s">
        <v>499</v>
      </c>
      <c r="S54" s="49" t="s">
        <v>136</v>
      </c>
      <c r="T54" s="85" t="s">
        <v>97</v>
      </c>
      <c r="U54" s="85" t="s">
        <v>94</v>
      </c>
      <c r="V54" s="49" t="str">
        <f t="shared" si="21"/>
        <v>Phường Chi Lăng, Thành phố Lạng Sơn, Tỉnh Lạng Sơn</v>
      </c>
      <c r="W54" s="55" t="s">
        <v>500</v>
      </c>
      <c r="X54" s="41"/>
      <c r="Y54" s="41"/>
      <c r="Z54" s="41"/>
      <c r="AA54" s="68" t="str">
        <f>VLOOKUP(A54,'[1]DANH SÁCH'!$B$8:$AD$841,12,0)</f>
        <v>Điều dưỡng trưởng</v>
      </c>
      <c r="AB54" s="49" t="str">
        <f>VLOOKUP(A54,'[1]DANH SÁCH'!$B$8:$H$841,6,0)</f>
        <v>TĐ011</v>
      </c>
      <c r="AC54" s="69" t="str">
        <f>VLOOKUP(A54,'[1]DANH SÁCH'!$B$8:$J$841,9,0)</f>
        <v>Lão - CXK</v>
      </c>
      <c r="AD54" s="69" t="str">
        <f>VLOOKUP(A54,'[1]DANH SÁCH'!$B$8:$AC$841,10,0)</f>
        <v>KP004</v>
      </c>
      <c r="AE54" s="69" t="str">
        <f>VLOOKUP(A54,'[1]DANH SÁCH'!$B$8:$AD$841,13,0)</f>
        <v>Viên chức</v>
      </c>
      <c r="AF54" s="41" t="s">
        <v>147</v>
      </c>
      <c r="AG54" s="42" t="str">
        <f>VLOOKUP(A54,'[1]DANH SÁCH'!$B$8:$H$841,7,0)</f>
        <v>Điều dưỡng (hạng III)</v>
      </c>
      <c r="AH54" s="45">
        <v>3.99</v>
      </c>
      <c r="AI54" s="42">
        <v>6</v>
      </c>
      <c r="AJ54" s="70">
        <v>0</v>
      </c>
      <c r="AK54" s="69">
        <v>45778</v>
      </c>
      <c r="AL54" s="71" t="s">
        <v>80</v>
      </c>
      <c r="AM54" s="53" t="str">
        <f>VLOOKUP(A54,'[1]DANH SÁCH'!$B$8:$F$841,5,0)</f>
        <v>Điều dưỡng ĐH</v>
      </c>
      <c r="AN54" s="53"/>
      <c r="AO54" s="53" t="s">
        <v>297</v>
      </c>
      <c r="AP54" s="53">
        <v>2012</v>
      </c>
      <c r="AQ54" s="72" t="s">
        <v>113</v>
      </c>
      <c r="AR54" s="42">
        <f>VLOOKUP(A54,'[1]Chứng chỉ'!$B$8:$Q$1111,11,0)</f>
        <v>0</v>
      </c>
      <c r="AS54" s="42">
        <f>VLOOKUP(A54,'[1]Chứng chỉ'!$B$8:$Q$1111,12,0)</f>
        <v>0</v>
      </c>
      <c r="AT54" s="47" t="s">
        <v>139</v>
      </c>
      <c r="AU54" s="42">
        <f>VLOOKUP(A54,'[1]Chứng chỉ'!$B$8:$Q$1111,14,0)</f>
        <v>0</v>
      </c>
      <c r="AV54" s="42" t="str">
        <f>VLOOKUP(A54,'[1]Chứng chỉ'!$B$8:$Q$1111,15,0)</f>
        <v>x</v>
      </c>
      <c r="AW54" s="42" t="str">
        <f>VLOOKUP(A54,'[1]Chứng chỉ'!$B$8:$Q$1111,16,0)</f>
        <v>B</v>
      </c>
      <c r="AX54" s="53"/>
      <c r="AY54" s="57" t="s">
        <v>127</v>
      </c>
      <c r="AZ54" s="65">
        <v>43066</v>
      </c>
      <c r="BA54" s="74" t="e">
        <f t="shared" si="22"/>
        <v>#REF!</v>
      </c>
      <c r="BB54" s="74" t="e">
        <f t="shared" si="23"/>
        <v>#REF!</v>
      </c>
      <c r="BC54" s="61" t="s">
        <v>128</v>
      </c>
      <c r="BD54" s="62"/>
    </row>
    <row r="55" spans="1:56" ht="61.2" x14ac:dyDescent="0.3">
      <c r="A55" s="41" t="s">
        <v>501</v>
      </c>
      <c r="B55" s="42">
        <f t="shared" si="0"/>
        <v>49</v>
      </c>
      <c r="C55" s="68" t="s">
        <v>502</v>
      </c>
      <c r="D55" s="41" t="s">
        <v>501</v>
      </c>
      <c r="E55" s="61">
        <v>1500002055</v>
      </c>
      <c r="F55" s="64"/>
      <c r="G55" s="49" t="s">
        <v>503</v>
      </c>
      <c r="H55" s="76"/>
      <c r="I55" s="76">
        <v>27337</v>
      </c>
      <c r="J55" s="66">
        <f t="shared" ca="1" si="24"/>
        <v>51</v>
      </c>
      <c r="K55" s="75" t="s">
        <v>504</v>
      </c>
      <c r="L55" s="41" t="s">
        <v>505</v>
      </c>
      <c r="M55" s="53" t="s">
        <v>67</v>
      </c>
      <c r="N55" s="66" t="s">
        <v>506</v>
      </c>
      <c r="O55" s="53"/>
      <c r="P55" s="49" t="s">
        <v>182</v>
      </c>
      <c r="Q55" s="49" t="s">
        <v>94</v>
      </c>
      <c r="R55" s="49"/>
      <c r="S55" s="49" t="s">
        <v>124</v>
      </c>
      <c r="T55" s="53" t="s">
        <v>97</v>
      </c>
      <c r="U55" s="53" t="s">
        <v>94</v>
      </c>
      <c r="V55" s="49" t="str">
        <f t="shared" si="21"/>
        <v>Phường Đông Kinh, Thành phố Lạng Sơn, Tỉnh Lạng Sơn</v>
      </c>
      <c r="W55" s="55" t="s">
        <v>507</v>
      </c>
      <c r="X55" s="41"/>
      <c r="Y55" s="41"/>
      <c r="Z55" s="41"/>
      <c r="AA55" s="68">
        <f>VLOOKUP(A55,'[1]DANH SÁCH'!$B$8:$AD$841,12,0)</f>
        <v>0</v>
      </c>
      <c r="AB55" s="49" t="str">
        <f>VLOOKUP(A55,'[1]DANH SÁCH'!$B$8:$H$841,6,0)</f>
        <v>TĐ011</v>
      </c>
      <c r="AC55" s="69" t="str">
        <f>VLOOKUP(A55,'[1]DANH SÁCH'!$B$8:$J$841,9,0)</f>
        <v>Khám bệnh</v>
      </c>
      <c r="AD55" s="69" t="str">
        <f>VLOOKUP(A55,'[1]DANH SÁCH'!$B$8:$AC$841,10,0)</f>
        <v>KP001</v>
      </c>
      <c r="AE55" s="69" t="str">
        <f>VLOOKUP(A55,'[1]DANH SÁCH'!$B$8:$AD$841,13,0)</f>
        <v>Viên chức</v>
      </c>
      <c r="AF55" s="41" t="s">
        <v>147</v>
      </c>
      <c r="AG55" s="42" t="str">
        <f>VLOOKUP(A55,'[1]DANH SÁCH'!$B$8:$H$841,7,0)</f>
        <v>Điều dưỡng (hạng III)</v>
      </c>
      <c r="AH55" s="45">
        <v>4.6500000000000004</v>
      </c>
      <c r="AI55" s="42">
        <v>8</v>
      </c>
      <c r="AJ55" s="70">
        <v>0</v>
      </c>
      <c r="AK55" s="69">
        <v>45809</v>
      </c>
      <c r="AL55" s="71" t="s">
        <v>80</v>
      </c>
      <c r="AM55" s="53" t="str">
        <f>VLOOKUP(A55,'[1]DANH SÁCH'!$B$8:$F$841,5,0)</f>
        <v>Điều dưỡng ĐH</v>
      </c>
      <c r="AN55" s="53"/>
      <c r="AO55" s="53"/>
      <c r="AP55" s="53"/>
      <c r="AQ55" s="72" t="s">
        <v>113</v>
      </c>
      <c r="AR55" s="42">
        <f>VLOOKUP(A55,'[1]Chứng chỉ'!$B$8:$Q$1111,11,0)</f>
        <v>0</v>
      </c>
      <c r="AS55" s="42">
        <f>VLOOKUP(A55,'[1]Chứng chỉ'!$B$8:$Q$1111,12,0)</f>
        <v>0</v>
      </c>
      <c r="AT55" s="47" t="s">
        <v>139</v>
      </c>
      <c r="AU55" s="42" t="str">
        <f>VLOOKUP(A55,'[1]Chứng chỉ'!$B$8:$Q$1111,14,0)</f>
        <v>B</v>
      </c>
      <c r="AV55" s="42" t="str">
        <f>VLOOKUP(A55,'[1]Chứng chỉ'!$B$8:$Q$1111,15,0)</f>
        <v>x</v>
      </c>
      <c r="AW55" s="42" t="str">
        <f>VLOOKUP(A55,'[1]Chứng chỉ'!$B$8:$Q$1111,16,0)</f>
        <v>B</v>
      </c>
      <c r="AX55" s="53"/>
      <c r="AY55" s="57" t="s">
        <v>85</v>
      </c>
      <c r="AZ55" s="65">
        <v>41396</v>
      </c>
      <c r="BA55" s="74" t="e">
        <f t="shared" si="22"/>
        <v>#REF!</v>
      </c>
      <c r="BB55" s="74" t="e">
        <f t="shared" si="23"/>
        <v>#REF!</v>
      </c>
      <c r="BC55" s="61" t="s">
        <v>359</v>
      </c>
      <c r="BD55" s="62"/>
    </row>
    <row r="56" spans="1:56" ht="61.2" x14ac:dyDescent="0.3">
      <c r="A56" s="41" t="s">
        <v>508</v>
      </c>
      <c r="B56" s="42">
        <f t="shared" si="0"/>
        <v>50</v>
      </c>
      <c r="C56" s="68" t="s">
        <v>509</v>
      </c>
      <c r="D56" s="41" t="s">
        <v>508</v>
      </c>
      <c r="E56" s="61">
        <v>2009000939</v>
      </c>
      <c r="F56" s="64"/>
      <c r="G56" s="49" t="s">
        <v>510</v>
      </c>
      <c r="H56" s="76">
        <v>31108</v>
      </c>
      <c r="I56" s="76"/>
      <c r="J56" s="66">
        <f ca="1">INT(DATEDIF(H56,$J$2,"d")/365)</f>
        <v>41</v>
      </c>
      <c r="K56" s="75" t="s">
        <v>511</v>
      </c>
      <c r="L56" s="41" t="s">
        <v>512</v>
      </c>
      <c r="M56" s="53" t="s">
        <v>67</v>
      </c>
      <c r="N56" s="66" t="s">
        <v>480</v>
      </c>
      <c r="O56" s="53" t="s">
        <v>166</v>
      </c>
      <c r="P56" s="49" t="s">
        <v>97</v>
      </c>
      <c r="Q56" s="49" t="s">
        <v>94</v>
      </c>
      <c r="R56" s="49"/>
      <c r="S56" s="49" t="s">
        <v>166</v>
      </c>
      <c r="T56" s="53" t="s">
        <v>97</v>
      </c>
      <c r="U56" s="53" t="s">
        <v>94</v>
      </c>
      <c r="V56" s="49" t="str">
        <f t="shared" si="21"/>
        <v>Phường Tam Thanh, Thành phố Lạng Sơn, Tỉnh Lạng Sơn</v>
      </c>
      <c r="W56" s="55" t="s">
        <v>167</v>
      </c>
      <c r="X56" s="41"/>
      <c r="Y56" s="41"/>
      <c r="Z56" s="41"/>
      <c r="AA56" s="68">
        <f>VLOOKUP(A56,'[1]DANH SÁCH'!$B$8:$AD$841,12,0)</f>
        <v>0</v>
      </c>
      <c r="AB56" s="49" t="str">
        <f>VLOOKUP(A56,'[1]DANH SÁCH'!$B$8:$H$841,6,0)</f>
        <v>TĐ011</v>
      </c>
      <c r="AC56" s="69" t="str">
        <f>VLOOKUP(A56,'[1]DANH SÁCH'!$B$8:$J$841,9,0)</f>
        <v>Nội Thận-TN-LM</v>
      </c>
      <c r="AD56" s="69" t="str">
        <f>VLOOKUP(A56,'[1]DANH SÁCH'!$B$8:$AC$841,10,0)</f>
        <v>KP009</v>
      </c>
      <c r="AE56" s="69" t="str">
        <f>VLOOKUP(A56,'[1]DANH SÁCH'!$B$8:$AD$841,13,0)</f>
        <v>Viên chức</v>
      </c>
      <c r="AF56" s="41" t="s">
        <v>157</v>
      </c>
      <c r="AG56" s="42" t="str">
        <f>VLOOKUP(A56,'[1]DANH SÁCH'!$B$8:$H$841,7,0)</f>
        <v>Điều dưỡng (hạng III)</v>
      </c>
      <c r="AH56" s="45">
        <v>3.66</v>
      </c>
      <c r="AI56" s="42">
        <v>5</v>
      </c>
      <c r="AJ56" s="70">
        <v>0</v>
      </c>
      <c r="AK56" s="69">
        <v>45778</v>
      </c>
      <c r="AL56" s="71" t="s">
        <v>80</v>
      </c>
      <c r="AM56" s="53" t="str">
        <f>VLOOKUP(A56,'[1]DANH SÁCH'!$B$8:$F$841,5,0)</f>
        <v>Điều dưỡng ĐH</v>
      </c>
      <c r="AN56" s="53"/>
      <c r="AO56" s="53" t="s">
        <v>159</v>
      </c>
      <c r="AP56" s="53">
        <v>2007</v>
      </c>
      <c r="AQ56" s="72" t="s">
        <v>113</v>
      </c>
      <c r="AR56" s="42">
        <f>VLOOKUP(A56,'[1]Chứng chỉ'!$B$8:$Q$1111,11,0)</f>
        <v>0</v>
      </c>
      <c r="AS56" s="42">
        <f>VLOOKUP(A56,'[1]Chứng chỉ'!$B$8:$Q$1111,12,0)</f>
        <v>0</v>
      </c>
      <c r="AT56" s="47">
        <f>VLOOKUP(A56,'[1]Chứng chỉ'!$B$8:$Q$1111,13,0)</f>
        <v>0</v>
      </c>
      <c r="AU56" s="42" t="str">
        <f>VLOOKUP(A56,'[1]Chứng chỉ'!$B$8:$Q$1111,14,0)</f>
        <v>x</v>
      </c>
      <c r="AV56" s="42">
        <f>VLOOKUP(A56,'[1]Chứng chỉ'!$B$8:$Q$1111,15,0)</f>
        <v>0</v>
      </c>
      <c r="AW56" s="42" t="str">
        <f>VLOOKUP(A56,'[1]Chứng chỉ'!$B$8:$Q$1111,16,0)</f>
        <v>x</v>
      </c>
      <c r="AX56" s="53"/>
      <c r="AY56" s="57" t="s">
        <v>85</v>
      </c>
      <c r="AZ56" s="65"/>
      <c r="BA56" s="74" t="e">
        <f t="shared" si="22"/>
        <v>#REF!</v>
      </c>
      <c r="BB56" s="74" t="e">
        <f t="shared" si="23"/>
        <v>#REF!</v>
      </c>
      <c r="BC56" s="61" t="s">
        <v>513</v>
      </c>
      <c r="BD56" s="62"/>
    </row>
    <row r="57" spans="1:56" ht="51" x14ac:dyDescent="0.3">
      <c r="A57" s="41" t="s">
        <v>514</v>
      </c>
      <c r="B57" s="42">
        <f t="shared" si="0"/>
        <v>51</v>
      </c>
      <c r="C57" s="68" t="s">
        <v>515</v>
      </c>
      <c r="D57" s="41" t="s">
        <v>514</v>
      </c>
      <c r="E57" s="61">
        <v>2010000143</v>
      </c>
      <c r="F57" s="64"/>
      <c r="G57" s="49" t="s">
        <v>516</v>
      </c>
      <c r="H57" s="76"/>
      <c r="I57" s="76">
        <v>31684</v>
      </c>
      <c r="J57" s="66">
        <f t="shared" ref="J57:J59" ca="1" si="25">INT(DATEDIF(I57,$J$2,"d")/365)</f>
        <v>39</v>
      </c>
      <c r="K57" s="75" t="s">
        <v>517</v>
      </c>
      <c r="L57" s="41" t="s">
        <v>518</v>
      </c>
      <c r="M57" s="53" t="s">
        <v>67</v>
      </c>
      <c r="N57" s="66"/>
      <c r="O57" s="53" t="s">
        <v>519</v>
      </c>
      <c r="P57" s="49" t="s">
        <v>108</v>
      </c>
      <c r="Q57" s="49" t="s">
        <v>94</v>
      </c>
      <c r="R57" s="49"/>
      <c r="S57" s="49" t="s">
        <v>460</v>
      </c>
      <c r="T57" s="53" t="s">
        <v>108</v>
      </c>
      <c r="U57" s="53" t="s">
        <v>94</v>
      </c>
      <c r="V57" s="49" t="str">
        <f t="shared" si="21"/>
        <v>Thị trấn Cao Lộc, Huyện Cao Lộc, Tỉnh Lạng Sơn</v>
      </c>
      <c r="W57" s="55" t="s">
        <v>236</v>
      </c>
      <c r="X57" s="41"/>
      <c r="Y57" s="41"/>
      <c r="Z57" s="41"/>
      <c r="AA57" s="68">
        <f>VLOOKUP(A57,'[1]DANH SÁCH'!$B$8:$AD$841,12,0)</f>
        <v>0</v>
      </c>
      <c r="AB57" s="49" t="str">
        <f>VLOOKUP(A57,'[1]DANH SÁCH'!$B$8:$H$841,6,0)</f>
        <v>TĐ011</v>
      </c>
      <c r="AC57" s="69" t="str">
        <f>VLOOKUP(A57,'[1]DANH SÁCH'!$B$8:$J$841,9,0)</f>
        <v>Lão - CXK</v>
      </c>
      <c r="AD57" s="69" t="str">
        <f>VLOOKUP(A57,'[1]DANH SÁCH'!$B$8:$AC$841,10,0)</f>
        <v>KP004</v>
      </c>
      <c r="AE57" s="69" t="str">
        <f>VLOOKUP(A57,'[1]DANH SÁCH'!$B$8:$AD$841,13,0)</f>
        <v>Viên chức</v>
      </c>
      <c r="AF57" s="41" t="s">
        <v>147</v>
      </c>
      <c r="AG57" s="42" t="str">
        <f>VLOOKUP(A57,'[1]DANH SÁCH'!$B$8:$H$841,7,0)</f>
        <v>Điều dưỡng (hạng III)</v>
      </c>
      <c r="AH57" s="45">
        <v>3.66</v>
      </c>
      <c r="AI57" s="42">
        <v>5</v>
      </c>
      <c r="AJ57" s="70">
        <v>0</v>
      </c>
      <c r="AK57" s="69">
        <v>45383</v>
      </c>
      <c r="AL57" s="71" t="s">
        <v>80</v>
      </c>
      <c r="AM57" s="53" t="str">
        <f>VLOOKUP(A57,'[1]DANH SÁCH'!$B$8:$F$841,5,0)</f>
        <v>Điều dưỡng ĐH</v>
      </c>
      <c r="AN57" s="53"/>
      <c r="AO57" s="53" t="s">
        <v>159</v>
      </c>
      <c r="AP57" s="53">
        <v>2007</v>
      </c>
      <c r="AQ57" s="72" t="s">
        <v>113</v>
      </c>
      <c r="AR57" s="42">
        <f>VLOOKUP(A57,'[1]Chứng chỉ'!$B$8:$Q$1111,11,0)</f>
        <v>0</v>
      </c>
      <c r="AS57" s="42">
        <f>VLOOKUP(A57,'[1]Chứng chỉ'!$B$8:$Q$1111,12,0)</f>
        <v>0</v>
      </c>
      <c r="AT57" s="47">
        <f>VLOOKUP(A57,'[1]Chứng chỉ'!$B$8:$Q$1111,13,0)</f>
        <v>0</v>
      </c>
      <c r="AU57" s="42">
        <f>VLOOKUP(A57,'[1]Chứng chỉ'!$B$8:$Q$1111,14,0)</f>
        <v>0</v>
      </c>
      <c r="AV57" s="42">
        <f>VLOOKUP(A57,'[1]Chứng chỉ'!$B$8:$Q$1111,15,0)</f>
        <v>0</v>
      </c>
      <c r="AW57" s="42">
        <f>VLOOKUP(A57,'[1]Chứng chỉ'!$B$8:$Q$1111,16,0)</f>
        <v>0</v>
      </c>
      <c r="AX57" s="53"/>
      <c r="AY57" s="57" t="s">
        <v>85</v>
      </c>
      <c r="AZ57" s="65"/>
      <c r="BA57" s="74" t="e">
        <f t="shared" si="22"/>
        <v>#REF!</v>
      </c>
      <c r="BB57" s="74" t="e">
        <f t="shared" si="23"/>
        <v>#REF!</v>
      </c>
      <c r="BC57" s="61" t="s">
        <v>114</v>
      </c>
      <c r="BD57" s="64"/>
    </row>
    <row r="58" spans="1:56" ht="51" x14ac:dyDescent="0.3">
      <c r="A58" s="41" t="s">
        <v>520</v>
      </c>
      <c r="B58" s="42">
        <f t="shared" si="0"/>
        <v>52</v>
      </c>
      <c r="C58" s="68" t="s">
        <v>521</v>
      </c>
      <c r="D58" s="41" t="s">
        <v>520</v>
      </c>
      <c r="E58" s="61" t="s">
        <v>522</v>
      </c>
      <c r="F58" s="64"/>
      <c r="G58" s="49" t="s">
        <v>523</v>
      </c>
      <c r="H58" s="76"/>
      <c r="I58" s="76">
        <v>26923</v>
      </c>
      <c r="J58" s="66">
        <f t="shared" ca="1" si="25"/>
        <v>52</v>
      </c>
      <c r="K58" s="75" t="s">
        <v>524</v>
      </c>
      <c r="L58" s="41" t="s">
        <v>525</v>
      </c>
      <c r="M58" s="53" t="s">
        <v>67</v>
      </c>
      <c r="N58" s="66"/>
      <c r="O58" s="53"/>
      <c r="P58" s="49" t="s">
        <v>93</v>
      </c>
      <c r="Q58" s="49" t="s">
        <v>94</v>
      </c>
      <c r="R58" s="49"/>
      <c r="S58" s="49" t="s">
        <v>73</v>
      </c>
      <c r="T58" s="53" t="s">
        <v>97</v>
      </c>
      <c r="U58" s="53" t="s">
        <v>94</v>
      </c>
      <c r="V58" s="49" t="str">
        <f t="shared" si="21"/>
        <v>Phường Vĩnh Trại, Thành phố Lạng Sơn, Tỉnh Lạng Sơn</v>
      </c>
      <c r="W58" s="55" t="s">
        <v>526</v>
      </c>
      <c r="X58" s="41"/>
      <c r="Y58" s="41"/>
      <c r="Z58" s="41"/>
      <c r="AA58" s="68">
        <f>VLOOKUP(A58,'[1]DANH SÁCH'!$B$8:$AD$841,12,0)</f>
        <v>0</v>
      </c>
      <c r="AB58" s="49" t="str">
        <f>VLOOKUP(A58,'[1]DANH SÁCH'!$B$8:$H$841,6,0)</f>
        <v>TĐ019</v>
      </c>
      <c r="AC58" s="69" t="str">
        <f>VLOOKUP(A58,'[1]DANH SÁCH'!$B$8:$J$841,9,0)</f>
        <v>Lão - CXK</v>
      </c>
      <c r="AD58" s="69" t="str">
        <f>VLOOKUP(A58,'[1]DANH SÁCH'!$B$8:$AC$841,10,0)</f>
        <v>KP004</v>
      </c>
      <c r="AE58" s="69" t="str">
        <f>VLOOKUP(A58,'[1]DANH SÁCH'!$B$8:$AD$841,13,0)</f>
        <v>Viên chức</v>
      </c>
      <c r="AF58" s="41" t="s">
        <v>527</v>
      </c>
      <c r="AG58" s="42" t="str">
        <f>VLOOKUP(A58,'[1]DANH SÁCH'!$B$8:$H$841,7,0)</f>
        <v>Hộ sinh (hạng IV)</v>
      </c>
      <c r="AH58" s="45">
        <v>4.0599999999999996</v>
      </c>
      <c r="AI58" s="42">
        <v>12</v>
      </c>
      <c r="AJ58" s="70">
        <v>0.12</v>
      </c>
      <c r="AK58" s="69">
        <v>45962</v>
      </c>
      <c r="AL58" s="71" t="s">
        <v>101</v>
      </c>
      <c r="AM58" s="53" t="str">
        <f>VLOOKUP(A58,'[1]DANH SÁCH'!$B$8:$F$841,5,0)</f>
        <v>Hộ sinh TC</v>
      </c>
      <c r="AN58" s="53"/>
      <c r="AO58" s="53"/>
      <c r="AP58" s="53"/>
      <c r="AQ58" s="72"/>
      <c r="AR58" s="42">
        <f>VLOOKUP(A58,'[1]Chứng chỉ'!$B$8:$Q$1111,11,0)</f>
        <v>0</v>
      </c>
      <c r="AS58" s="42">
        <f>VLOOKUP(A58,'[1]Chứng chỉ'!$B$8:$Q$1111,12,0)</f>
        <v>0</v>
      </c>
      <c r="AT58" s="47" t="s">
        <v>139</v>
      </c>
      <c r="AU58" s="42">
        <f>VLOOKUP(A58,'[1]Chứng chỉ'!$B$8:$Q$1111,14,0)</f>
        <v>0</v>
      </c>
      <c r="AV58" s="42">
        <f>VLOOKUP(A58,'[1]Chứng chỉ'!$B$8:$Q$1111,15,0)</f>
        <v>0</v>
      </c>
      <c r="AW58" s="42">
        <f>VLOOKUP(A58,'[1]Chứng chỉ'!$B$8:$Q$1111,16,0)</f>
        <v>0</v>
      </c>
      <c r="AX58" s="53"/>
      <c r="AY58" s="57" t="s">
        <v>85</v>
      </c>
      <c r="AZ58" s="65">
        <v>40725</v>
      </c>
      <c r="BA58" s="74" t="e">
        <f t="shared" si="22"/>
        <v>#REF!</v>
      </c>
      <c r="BB58" s="74" t="e">
        <f t="shared" si="23"/>
        <v>#REF!</v>
      </c>
      <c r="BC58" s="41"/>
      <c r="BD58" s="64"/>
    </row>
    <row r="59" spans="1:56" ht="40.799999999999997" x14ac:dyDescent="0.3">
      <c r="A59" s="46" t="s">
        <v>528</v>
      </c>
      <c r="B59" s="42">
        <f t="shared" si="0"/>
        <v>53</v>
      </c>
      <c r="C59" s="63" t="s">
        <v>529</v>
      </c>
      <c r="D59" s="46" t="s">
        <v>528</v>
      </c>
      <c r="E59" s="61" t="s">
        <v>530</v>
      </c>
      <c r="F59" s="64"/>
      <c r="G59" s="49" t="s">
        <v>531</v>
      </c>
      <c r="H59" s="47"/>
      <c r="I59" s="65">
        <v>27600</v>
      </c>
      <c r="J59" s="66">
        <f t="shared" ca="1" si="25"/>
        <v>51</v>
      </c>
      <c r="K59" s="107">
        <v>20175004619</v>
      </c>
      <c r="L59" s="65">
        <v>44325</v>
      </c>
      <c r="M59" s="56" t="s">
        <v>532</v>
      </c>
      <c r="N59" s="52"/>
      <c r="O59" s="56"/>
      <c r="P59" s="47"/>
      <c r="Q59" s="47"/>
      <c r="R59" s="47"/>
      <c r="S59" s="47"/>
      <c r="T59" s="47"/>
      <c r="U59" s="47"/>
      <c r="V59" s="56" t="s">
        <v>533</v>
      </c>
      <c r="W59" s="108" t="s">
        <v>534</v>
      </c>
      <c r="X59" s="46"/>
      <c r="Y59" s="46"/>
      <c r="Z59" s="46"/>
      <c r="AA59" s="68" t="str">
        <f>VLOOKUP(A59,'[1]DANH SÁCH'!$B$8:$AD$841,12,0)</f>
        <v>Phó trưởng khoa</v>
      </c>
      <c r="AB59" s="49" t="str">
        <f>VLOOKUP(A59,'[1]DANH SÁCH'!$B$8:$H$841,6,0)</f>
        <v>TĐ003</v>
      </c>
      <c r="AC59" s="69" t="str">
        <f>VLOOKUP(A59,'[1]DANH SÁCH'!$B$8:$J$841,9,0)</f>
        <v>Tâm thần - Thần kinh</v>
      </c>
      <c r="AD59" s="69" t="str">
        <f>VLOOKUP(A59,'[1]DANH SÁCH'!$B$8:$AC$841,10,0)</f>
        <v>KP006</v>
      </c>
      <c r="AE59" s="69" t="str">
        <f>VLOOKUP(A59,'[1]DANH SÁCH'!$B$8:$AD$841,13,0)</f>
        <v>Viên chức</v>
      </c>
      <c r="AF59" s="46" t="s">
        <v>274</v>
      </c>
      <c r="AG59" s="47" t="s">
        <v>535</v>
      </c>
      <c r="AH59" s="45">
        <v>5.08</v>
      </c>
      <c r="AI59" s="42">
        <v>3</v>
      </c>
      <c r="AJ59" s="70">
        <v>0</v>
      </c>
      <c r="AK59" s="69">
        <v>45413</v>
      </c>
      <c r="AL59" s="71" t="s">
        <v>80</v>
      </c>
      <c r="AM59" s="53" t="str">
        <f>VLOOKUP(A59,'[1]DANH SÁCH'!$B$8:$F$841,5,0)</f>
        <v>BSCKI</v>
      </c>
      <c r="AN59" s="47" t="s">
        <v>536</v>
      </c>
      <c r="AO59" s="47"/>
      <c r="AP59" s="47"/>
      <c r="AQ59" s="47"/>
      <c r="AR59" s="42" t="s">
        <v>82</v>
      </c>
      <c r="AS59" s="42">
        <f>VLOOKUP(A59,'[1]Chứng chỉ'!$B$8:$Q$1111,12,0)</f>
        <v>0</v>
      </c>
      <c r="AT59" s="47" t="s">
        <v>139</v>
      </c>
      <c r="AU59" s="42" t="str">
        <f>VLOOKUP(A59,'[1]Chứng chỉ'!$B$8:$Q$1111,14,0)</f>
        <v>Anh B</v>
      </c>
      <c r="AV59" s="42">
        <f>VLOOKUP(A59,'[1]Chứng chỉ'!$B$8:$Q$1111,15,0)</f>
        <v>0</v>
      </c>
      <c r="AW59" s="42" t="str">
        <f>VLOOKUP(A59,'[1]Chứng chỉ'!$B$8:$Q$1111,16,0)</f>
        <v>Tin B</v>
      </c>
      <c r="AX59" s="47"/>
      <c r="AY59" s="47" t="s">
        <v>87</v>
      </c>
      <c r="AZ59" s="65">
        <v>41159</v>
      </c>
      <c r="BA59" s="47"/>
      <c r="BB59" s="47"/>
      <c r="BC59" s="61"/>
      <c r="BD59" s="64"/>
    </row>
    <row r="60" spans="1:56" ht="51" x14ac:dyDescent="0.3">
      <c r="A60" s="41" t="s">
        <v>537</v>
      </c>
      <c r="B60" s="42">
        <f t="shared" si="0"/>
        <v>54</v>
      </c>
      <c r="C60" s="68" t="s">
        <v>538</v>
      </c>
      <c r="D60" s="41" t="s">
        <v>537</v>
      </c>
      <c r="E60" s="61">
        <v>1507000396</v>
      </c>
      <c r="F60" s="64"/>
      <c r="G60" s="49" t="s">
        <v>539</v>
      </c>
      <c r="H60" s="76">
        <v>30094</v>
      </c>
      <c r="I60" s="76"/>
      <c r="J60" s="66">
        <f t="shared" ref="J60:J61" ca="1" si="26">INT(DATEDIF(H60,$J$2,"d")/365)</f>
        <v>44</v>
      </c>
      <c r="K60" s="75" t="s">
        <v>540</v>
      </c>
      <c r="L60" s="41" t="s">
        <v>541</v>
      </c>
      <c r="M60" s="53" t="s">
        <v>67</v>
      </c>
      <c r="N60" s="66" t="s">
        <v>542</v>
      </c>
      <c r="O60" s="53"/>
      <c r="P60" s="49" t="s">
        <v>543</v>
      </c>
      <c r="Q60" s="49" t="s">
        <v>544</v>
      </c>
      <c r="R60" s="49"/>
      <c r="S60" s="49"/>
      <c r="T60" s="53" t="s">
        <v>97</v>
      </c>
      <c r="U60" s="53" t="s">
        <v>94</v>
      </c>
      <c r="V60" s="49" t="str">
        <f t="shared" ref="V60:V67" si="27">S60&amp;", "&amp;T60&amp;", "&amp;U60</f>
        <v>, Thành phố Lạng Sơn, Tỉnh Lạng Sơn</v>
      </c>
      <c r="W60" s="55" t="s">
        <v>411</v>
      </c>
      <c r="X60" s="41"/>
      <c r="Y60" s="41"/>
      <c r="Z60" s="41"/>
      <c r="AA60" s="68">
        <f>VLOOKUP(A60,'[1]DANH SÁCH'!$B$8:$AD$841,12,0)</f>
        <v>0</v>
      </c>
      <c r="AB60" s="49" t="str">
        <f>VLOOKUP(A60,'[1]DANH SÁCH'!$B$8:$H$841,6,0)</f>
        <v>TĐ003</v>
      </c>
      <c r="AC60" s="69" t="str">
        <f>VLOOKUP(A60,'[1]DANH SÁCH'!$B$8:$J$841,9,0)</f>
        <v>Tâm thần - Thần kinh</v>
      </c>
      <c r="AD60" s="69" t="str">
        <f>VLOOKUP(A60,'[1]DANH SÁCH'!$B$8:$AC$841,10,0)</f>
        <v>KP006</v>
      </c>
      <c r="AE60" s="69" t="str">
        <f>VLOOKUP(A60,'[1]DANH SÁCH'!$B$8:$AD$841,13,0)</f>
        <v>Viên chức</v>
      </c>
      <c r="AF60" s="41" t="s">
        <v>157</v>
      </c>
      <c r="AG60" s="42" t="str">
        <f>VLOOKUP(A60,'[1]DANH SÁCH'!$B$8:$H$841,7,0)</f>
        <v>Bác sĩ (hạng III)</v>
      </c>
      <c r="AH60" s="45">
        <v>3.99</v>
      </c>
      <c r="AI60" s="42">
        <v>6</v>
      </c>
      <c r="AJ60" s="70">
        <v>0</v>
      </c>
      <c r="AK60" s="69">
        <v>45778</v>
      </c>
      <c r="AL60" s="71" t="s">
        <v>80</v>
      </c>
      <c r="AM60" s="53" t="str">
        <f>VLOOKUP(A60,'[1]DANH SÁCH'!$B$8:$F$841,5,0)</f>
        <v>BSCKI</v>
      </c>
      <c r="AN60" s="53" t="s">
        <v>372</v>
      </c>
      <c r="AO60" s="53" t="s">
        <v>387</v>
      </c>
      <c r="AP60" s="53">
        <v>2017</v>
      </c>
      <c r="AQ60" s="72" t="s">
        <v>113</v>
      </c>
      <c r="AR60" s="42">
        <f>VLOOKUP(A60,'[1]Chứng chỉ'!$B$8:$Q$1111,11,0)</f>
        <v>0</v>
      </c>
      <c r="AS60" s="42" t="str">
        <f>VLOOKUP(A60,'[1]Chứng chỉ'!$B$8:$Q$1111,12,0)</f>
        <v>x</v>
      </c>
      <c r="AT60" s="47">
        <f>VLOOKUP(A60,'[1]Chứng chỉ'!$B$8:$Q$1111,13,0)</f>
        <v>0</v>
      </c>
      <c r="AU60" s="42" t="str">
        <f>VLOOKUP(A60,'[1]Chứng chỉ'!$B$8:$Q$1111,14,0)</f>
        <v>Anh B</v>
      </c>
      <c r="AV60" s="42" t="str">
        <f>VLOOKUP(A60,'[1]Chứng chỉ'!$B$8:$Q$1111,15,0)</f>
        <v>Tày</v>
      </c>
      <c r="AW60" s="42">
        <f>VLOOKUP(A60,'[1]Chứng chỉ'!$B$8:$Q$1111,16,0)</f>
        <v>0</v>
      </c>
      <c r="AX60" s="53"/>
      <c r="AY60" s="57" t="s">
        <v>87</v>
      </c>
      <c r="AZ60" s="65"/>
      <c r="BA60" s="74" t="e">
        <f>VLOOKUP(A60,#REF!,4,0)</f>
        <v>#REF!</v>
      </c>
      <c r="BB60" s="74" t="e">
        <f>VLOOKUP(A60,#REF!,5,0)</f>
        <v>#REF!</v>
      </c>
      <c r="BC60" s="61" t="s">
        <v>128</v>
      </c>
      <c r="BD60" s="62"/>
    </row>
    <row r="61" spans="1:56" ht="183.6" x14ac:dyDescent="0.3">
      <c r="A61" s="41" t="s">
        <v>545</v>
      </c>
      <c r="B61" s="42">
        <f t="shared" si="0"/>
        <v>55</v>
      </c>
      <c r="C61" s="68" t="s">
        <v>546</v>
      </c>
      <c r="D61" s="41" t="s">
        <v>545</v>
      </c>
      <c r="E61" s="61">
        <v>2014002796</v>
      </c>
      <c r="F61" s="64"/>
      <c r="G61" s="49" t="s">
        <v>547</v>
      </c>
      <c r="H61" s="76">
        <v>33531</v>
      </c>
      <c r="I61" s="76"/>
      <c r="J61" s="66">
        <f t="shared" ca="1" si="26"/>
        <v>34</v>
      </c>
      <c r="K61" s="75" t="s">
        <v>548</v>
      </c>
      <c r="L61" s="41" t="s">
        <v>549</v>
      </c>
      <c r="M61" s="53" t="s">
        <v>67</v>
      </c>
      <c r="N61" s="66" t="s">
        <v>550</v>
      </c>
      <c r="O61" s="53" t="s">
        <v>551</v>
      </c>
      <c r="P61" s="49" t="s">
        <v>222</v>
      </c>
      <c r="Q61" s="49" t="s">
        <v>94</v>
      </c>
      <c r="R61" s="49"/>
      <c r="S61" s="49" t="s">
        <v>551</v>
      </c>
      <c r="T61" s="53" t="s">
        <v>222</v>
      </c>
      <c r="U61" s="53" t="s">
        <v>94</v>
      </c>
      <c r="V61" s="49" t="str">
        <f t="shared" si="27"/>
        <v>Xã Hòa Bình, Huyện Chi Lăng, Tỉnh Lạng Sơn</v>
      </c>
      <c r="W61" s="86" t="s">
        <v>249</v>
      </c>
      <c r="X61" s="41"/>
      <c r="Y61" s="41"/>
      <c r="Z61" s="41"/>
      <c r="AA61" s="68">
        <f>VLOOKUP(A61,'[1]DANH SÁCH'!$B$8:$AD$841,12,0)</f>
        <v>0</v>
      </c>
      <c r="AB61" s="49" t="str">
        <f>VLOOKUP(A61,'[1]DANH SÁCH'!$B$8:$H$841,6,0)</f>
        <v>TĐ012</v>
      </c>
      <c r="AC61" s="69" t="str">
        <f>VLOOKUP(A61,'[1]DANH SÁCH'!$B$8:$J$841,9,0)</f>
        <v>Tâm thần - Thần kinh</v>
      </c>
      <c r="AD61" s="69" t="str">
        <f>VLOOKUP(A61,'[1]DANH SÁCH'!$B$8:$AC$841,10,0)</f>
        <v>KP006</v>
      </c>
      <c r="AE61" s="69" t="str">
        <f>VLOOKUP(A61,'[1]DANH SÁCH'!$B$8:$AD$841,13,0)</f>
        <v>Viên chức</v>
      </c>
      <c r="AF61" s="41" t="s">
        <v>157</v>
      </c>
      <c r="AG61" s="42" t="str">
        <f>VLOOKUP(A61,'[1]DANH SÁCH'!$B$8:$H$841,7,0)</f>
        <v>Điều dưỡng (hạng IV)</v>
      </c>
      <c r="AH61" s="45">
        <v>3.03</v>
      </c>
      <c r="AI61" s="42">
        <v>4</v>
      </c>
      <c r="AJ61" s="70">
        <v>0</v>
      </c>
      <c r="AK61" s="69">
        <v>45413</v>
      </c>
      <c r="AL61" s="71" t="s">
        <v>158</v>
      </c>
      <c r="AM61" s="53" t="str">
        <f>VLOOKUP(A61,'[1]DANH SÁCH'!$B$8:$F$841,5,0)</f>
        <v>Điều dưỡng CĐ</v>
      </c>
      <c r="AN61" s="53"/>
      <c r="AO61" s="53" t="s">
        <v>316</v>
      </c>
      <c r="AP61" s="53">
        <v>2012</v>
      </c>
      <c r="AQ61" s="72" t="s">
        <v>552</v>
      </c>
      <c r="AR61" s="42">
        <f>VLOOKUP(A61,'[1]Chứng chỉ'!$B$8:$Q$1111,11,0)</f>
        <v>0</v>
      </c>
      <c r="AS61" s="42">
        <f>VLOOKUP(A61,'[1]Chứng chỉ'!$B$8:$Q$1111,12,0)</f>
        <v>0</v>
      </c>
      <c r="AT61" s="47" t="s">
        <v>139</v>
      </c>
      <c r="AU61" s="42" t="str">
        <f>VLOOKUP(A61,'[1]Chứng chỉ'!$B$8:$Q$1111,14,0)</f>
        <v>Anh B</v>
      </c>
      <c r="AV61" s="42">
        <f>VLOOKUP(A61,'[1]Chứng chỉ'!$B$8:$Q$1111,15,0)</f>
        <v>0</v>
      </c>
      <c r="AW61" s="42" t="str">
        <f>VLOOKUP(A61,'[1]Chứng chỉ'!$B$8:$Q$1111,16,0)</f>
        <v>Tin B</v>
      </c>
      <c r="AX61" s="53"/>
      <c r="AY61" s="57" t="s">
        <v>127</v>
      </c>
      <c r="AZ61" s="65"/>
      <c r="BA61" s="74" t="s">
        <v>553</v>
      </c>
      <c r="BB61" s="74" t="s">
        <v>554</v>
      </c>
      <c r="BC61" s="41" t="s">
        <v>555</v>
      </c>
      <c r="BD61" s="64"/>
    </row>
    <row r="62" spans="1:56" ht="51" x14ac:dyDescent="0.3">
      <c r="A62" s="41" t="s">
        <v>556</v>
      </c>
      <c r="B62" s="42">
        <f t="shared" si="0"/>
        <v>56</v>
      </c>
      <c r="C62" s="68" t="s">
        <v>557</v>
      </c>
      <c r="D62" s="41" t="s">
        <v>556</v>
      </c>
      <c r="E62" s="61">
        <v>2009000945</v>
      </c>
      <c r="F62" s="64"/>
      <c r="G62" s="49" t="s">
        <v>558</v>
      </c>
      <c r="H62" s="76"/>
      <c r="I62" s="76">
        <v>30547</v>
      </c>
      <c r="J62" s="66">
        <f t="shared" ref="J62:J71" ca="1" si="28">INT(DATEDIF(I62,$J$2,"d")/365)</f>
        <v>42</v>
      </c>
      <c r="K62" s="75" t="s">
        <v>559</v>
      </c>
      <c r="L62" s="41" t="s">
        <v>549</v>
      </c>
      <c r="M62" s="53" t="s">
        <v>67</v>
      </c>
      <c r="N62" s="66" t="s">
        <v>560</v>
      </c>
      <c r="O62" s="53"/>
      <c r="P62" s="49" t="s">
        <v>222</v>
      </c>
      <c r="Q62" s="49" t="s">
        <v>94</v>
      </c>
      <c r="R62" s="49"/>
      <c r="S62" s="49" t="s">
        <v>73</v>
      </c>
      <c r="T62" s="53" t="s">
        <v>97</v>
      </c>
      <c r="U62" s="53" t="s">
        <v>94</v>
      </c>
      <c r="V62" s="49" t="str">
        <f t="shared" si="27"/>
        <v>Phường Vĩnh Trại, Thành phố Lạng Sơn, Tỉnh Lạng Sơn</v>
      </c>
      <c r="W62" s="55" t="s">
        <v>167</v>
      </c>
      <c r="X62" s="41"/>
      <c r="Y62" s="41"/>
      <c r="Z62" s="41"/>
      <c r="AA62" s="68">
        <f>VLOOKUP(A62,'[1]DANH SÁCH'!$B$8:$AD$841,12,0)</f>
        <v>0</v>
      </c>
      <c r="AB62" s="49" t="str">
        <f>VLOOKUP(A62,'[1]DANH SÁCH'!$B$8:$H$841,6,0)</f>
        <v>TĐ012</v>
      </c>
      <c r="AC62" s="69" t="str">
        <f>VLOOKUP(A62,'[1]DANH SÁCH'!$B$8:$J$841,9,0)</f>
        <v>Tâm thần - Thần kinh</v>
      </c>
      <c r="AD62" s="69" t="str">
        <f>VLOOKUP(A62,'[1]DANH SÁCH'!$B$8:$AC$841,10,0)</f>
        <v>KP006</v>
      </c>
      <c r="AE62" s="69" t="str">
        <f>VLOOKUP(A62,'[1]DANH SÁCH'!$B$8:$AD$841,13,0)</f>
        <v>Viên chức</v>
      </c>
      <c r="AF62" s="41" t="s">
        <v>157</v>
      </c>
      <c r="AG62" s="42" t="str">
        <f>VLOOKUP(A62,'[1]DANH SÁCH'!$B$8:$H$841,7,0)</f>
        <v>Điều dưỡng (hạng IV)</v>
      </c>
      <c r="AH62" s="45">
        <v>3.65</v>
      </c>
      <c r="AI62" s="42">
        <v>6</v>
      </c>
      <c r="AJ62" s="70">
        <v>0</v>
      </c>
      <c r="AK62" s="69">
        <v>45992</v>
      </c>
      <c r="AL62" s="71" t="s">
        <v>158</v>
      </c>
      <c r="AM62" s="53" t="str">
        <f>VLOOKUP(A62,'[1]DANH SÁCH'!$B$8:$F$841,5,0)</f>
        <v>Điều dưỡng CĐ</v>
      </c>
      <c r="AN62" s="53"/>
      <c r="AO62" s="53" t="s">
        <v>316</v>
      </c>
      <c r="AP62" s="53">
        <v>2006</v>
      </c>
      <c r="AQ62" s="72" t="s">
        <v>113</v>
      </c>
      <c r="AR62" s="42">
        <f>VLOOKUP(A62,'[1]Chứng chỉ'!$B$8:$Q$1111,11,0)</f>
        <v>0</v>
      </c>
      <c r="AS62" s="42">
        <f>VLOOKUP(A62,'[1]Chứng chỉ'!$B$8:$Q$1111,12,0)</f>
        <v>0</v>
      </c>
      <c r="AT62" s="47" t="s">
        <v>139</v>
      </c>
      <c r="AU62" s="42" t="str">
        <f>VLOOKUP(A62,'[1]Chứng chỉ'!$B$8:$Q$1111,14,0)</f>
        <v>Anh B</v>
      </c>
      <c r="AV62" s="42" t="str">
        <f>VLOOKUP(A62,'[1]Chứng chỉ'!$B$8:$Q$1111,15,0)</f>
        <v>Tày</v>
      </c>
      <c r="AW62" s="42" t="str">
        <f>VLOOKUP(A62,'[1]Chứng chỉ'!$B$8:$Q$1111,16,0)</f>
        <v>Cơ bản</v>
      </c>
      <c r="AX62" s="53"/>
      <c r="AY62" s="57" t="s">
        <v>85</v>
      </c>
      <c r="AZ62" s="65"/>
      <c r="BA62" s="74" t="e">
        <f t="shared" ref="BA62:BA67" si="29">VLOOKUP(A62,#REF!,4,0)</f>
        <v>#REF!</v>
      </c>
      <c r="BB62" s="74" t="e">
        <f t="shared" ref="BB62:BB67" si="30">VLOOKUP(A62,#REF!,5,0)</f>
        <v>#REF!</v>
      </c>
      <c r="BC62" s="61" t="s">
        <v>128</v>
      </c>
      <c r="BD62" s="62"/>
    </row>
    <row r="63" spans="1:56" ht="61.2" x14ac:dyDescent="0.3">
      <c r="A63" s="41" t="s">
        <v>561</v>
      </c>
      <c r="B63" s="42">
        <f t="shared" si="0"/>
        <v>57</v>
      </c>
      <c r="C63" s="68" t="s">
        <v>562</v>
      </c>
      <c r="D63" s="41" t="s">
        <v>561</v>
      </c>
      <c r="E63" s="61">
        <v>1505002510</v>
      </c>
      <c r="F63" s="64"/>
      <c r="G63" s="49" t="s">
        <v>563</v>
      </c>
      <c r="H63" s="76"/>
      <c r="I63" s="76">
        <v>27230</v>
      </c>
      <c r="J63" s="66">
        <f t="shared" ca="1" si="28"/>
        <v>52</v>
      </c>
      <c r="K63" s="75" t="s">
        <v>564</v>
      </c>
      <c r="L63" s="41" t="s">
        <v>565</v>
      </c>
      <c r="M63" s="53" t="s">
        <v>67</v>
      </c>
      <c r="N63" s="66" t="s">
        <v>566</v>
      </c>
      <c r="O63" s="85"/>
      <c r="P63" s="76" t="s">
        <v>567</v>
      </c>
      <c r="Q63" s="76" t="s">
        <v>544</v>
      </c>
      <c r="R63" s="49"/>
      <c r="S63" s="76" t="s">
        <v>96</v>
      </c>
      <c r="T63" s="85" t="s">
        <v>97</v>
      </c>
      <c r="U63" s="85" t="s">
        <v>94</v>
      </c>
      <c r="V63" s="49" t="str">
        <f t="shared" si="27"/>
        <v>Phường Hoàng Văn Thụ, Thành phố Lạng Sơn, Tỉnh Lạng Sơn</v>
      </c>
      <c r="W63" s="55" t="s">
        <v>266</v>
      </c>
      <c r="X63" s="41"/>
      <c r="Y63" s="41"/>
      <c r="Z63" s="41"/>
      <c r="AA63" s="68">
        <f>VLOOKUP(A63,'[1]DANH SÁCH'!$B$8:$AD$841,12,0)</f>
        <v>0</v>
      </c>
      <c r="AB63" s="49" t="str">
        <f>VLOOKUP(A63,'[1]DANH SÁCH'!$B$8:$H$841,6,0)</f>
        <v>TĐ012</v>
      </c>
      <c r="AC63" s="69" t="str">
        <f>VLOOKUP(A63,'[1]DANH SÁCH'!$B$8:$J$841,9,0)</f>
        <v>Tâm thần - Thần kinh</v>
      </c>
      <c r="AD63" s="69" t="str">
        <f>VLOOKUP(A63,'[1]DANH SÁCH'!$B$8:$AC$841,10,0)</f>
        <v>KP006</v>
      </c>
      <c r="AE63" s="69" t="str">
        <f>VLOOKUP(A63,'[1]DANH SÁCH'!$B$8:$AD$841,13,0)</f>
        <v>Viên chức</v>
      </c>
      <c r="AF63" s="41" t="s">
        <v>157</v>
      </c>
      <c r="AG63" s="42" t="str">
        <f>VLOOKUP(A63,'[1]DANH SÁCH'!$B$8:$H$841,7,0)</f>
        <v>Điều dưỡng (hạng IV)</v>
      </c>
      <c r="AH63" s="45">
        <v>4.2699999999999996</v>
      </c>
      <c r="AI63" s="42">
        <v>8</v>
      </c>
      <c r="AJ63" s="70">
        <v>0</v>
      </c>
      <c r="AK63" s="69">
        <v>45839</v>
      </c>
      <c r="AL63" s="71" t="s">
        <v>158</v>
      </c>
      <c r="AM63" s="53" t="str">
        <f>VLOOKUP(A63,'[1]DANH SÁCH'!$B$8:$F$841,5,0)</f>
        <v>Điều dưỡng CĐ</v>
      </c>
      <c r="AN63" s="53"/>
      <c r="AO63" s="53" t="s">
        <v>175</v>
      </c>
      <c r="AP63" s="53">
        <v>1998</v>
      </c>
      <c r="AQ63" s="72" t="s">
        <v>113</v>
      </c>
      <c r="AR63" s="42">
        <f>VLOOKUP(A63,'[1]Chứng chỉ'!$B$8:$Q$1111,11,0)</f>
        <v>0</v>
      </c>
      <c r="AS63" s="42">
        <f>VLOOKUP(A63,'[1]Chứng chỉ'!$B$8:$Q$1111,12,0)</f>
        <v>0</v>
      </c>
      <c r="AT63" s="47" t="s">
        <v>139</v>
      </c>
      <c r="AU63" s="42" t="str">
        <f>VLOOKUP(A63,'[1]Chứng chỉ'!$B$8:$Q$1111,14,0)</f>
        <v>Anh B</v>
      </c>
      <c r="AV63" s="42" t="str">
        <f>VLOOKUP(A63,'[1]Chứng chỉ'!$B$8:$Q$1111,15,0)</f>
        <v>Tày</v>
      </c>
      <c r="AW63" s="42" t="str">
        <f>VLOOKUP(A63,'[1]Chứng chỉ'!$B$8:$Q$1111,16,0)</f>
        <v>Tin C</v>
      </c>
      <c r="AX63" s="53"/>
      <c r="AY63" s="57" t="s">
        <v>87</v>
      </c>
      <c r="AZ63" s="65"/>
      <c r="BA63" s="74" t="e">
        <f t="shared" si="29"/>
        <v>#REF!</v>
      </c>
      <c r="BB63" s="74" t="e">
        <f t="shared" si="30"/>
        <v>#REF!</v>
      </c>
      <c r="BC63" s="61" t="s">
        <v>61</v>
      </c>
      <c r="BD63" s="62"/>
    </row>
    <row r="64" spans="1:56" ht="40.799999999999997" x14ac:dyDescent="0.3">
      <c r="A64" s="41" t="s">
        <v>568</v>
      </c>
      <c r="B64" s="42">
        <f t="shared" si="0"/>
        <v>58</v>
      </c>
      <c r="C64" s="68" t="s">
        <v>569</v>
      </c>
      <c r="D64" s="41" t="s">
        <v>568</v>
      </c>
      <c r="E64" s="61">
        <v>2011000020</v>
      </c>
      <c r="F64" s="64"/>
      <c r="G64" s="49" t="s">
        <v>570</v>
      </c>
      <c r="H64" s="76"/>
      <c r="I64" s="76">
        <v>32764</v>
      </c>
      <c r="J64" s="66">
        <f t="shared" ca="1" si="28"/>
        <v>36</v>
      </c>
      <c r="K64" s="75" t="s">
        <v>571</v>
      </c>
      <c r="L64" s="41" t="s">
        <v>572</v>
      </c>
      <c r="M64" s="53" t="s">
        <v>67</v>
      </c>
      <c r="N64" s="66"/>
      <c r="O64" s="53" t="s">
        <v>573</v>
      </c>
      <c r="P64" s="49" t="s">
        <v>155</v>
      </c>
      <c r="Q64" s="49" t="s">
        <v>94</v>
      </c>
      <c r="R64" s="49"/>
      <c r="S64" s="49" t="s">
        <v>573</v>
      </c>
      <c r="T64" s="53" t="s">
        <v>155</v>
      </c>
      <c r="U64" s="53" t="s">
        <v>94</v>
      </c>
      <c r="V64" s="49" t="str">
        <f t="shared" si="27"/>
        <v>Xã Văn An, Huyện Văn Quan, Tỉnh Lạng Sơn</v>
      </c>
      <c r="W64" s="55" t="s">
        <v>224</v>
      </c>
      <c r="X64" s="41"/>
      <c r="Y64" s="41"/>
      <c r="Z64" s="41"/>
      <c r="AA64" s="68">
        <f>VLOOKUP(A64,'[1]DANH SÁCH'!$B$8:$AD$841,12,0)</f>
        <v>0</v>
      </c>
      <c r="AB64" s="49" t="str">
        <f>VLOOKUP(A64,'[1]DANH SÁCH'!$B$8:$H$841,6,0)</f>
        <v>TĐ012</v>
      </c>
      <c r="AC64" s="69" t="str">
        <f>VLOOKUP(A64,'[1]DANH SÁCH'!$B$8:$J$841,9,0)</f>
        <v>Tâm thần - Thần kinh</v>
      </c>
      <c r="AD64" s="69" t="str">
        <f>VLOOKUP(A64,'[1]DANH SÁCH'!$B$8:$AC$841,10,0)</f>
        <v>KP006</v>
      </c>
      <c r="AE64" s="69" t="str">
        <f>VLOOKUP(A64,'[1]DANH SÁCH'!$B$8:$AD$841,13,0)</f>
        <v>Viên chức</v>
      </c>
      <c r="AF64" s="41" t="s">
        <v>157</v>
      </c>
      <c r="AG64" s="42" t="str">
        <f>VLOOKUP(A64,'[1]DANH SÁCH'!$B$8:$H$841,7,0)</f>
        <v>Điều dưỡng (hạng IV)</v>
      </c>
      <c r="AH64" s="45">
        <v>3.65</v>
      </c>
      <c r="AI64" s="42">
        <v>6</v>
      </c>
      <c r="AJ64" s="70">
        <v>0</v>
      </c>
      <c r="AK64" s="69">
        <v>45839</v>
      </c>
      <c r="AL64" s="71" t="s">
        <v>158</v>
      </c>
      <c r="AM64" s="53" t="str">
        <f>VLOOKUP(A64,'[1]DANH SÁCH'!$B$8:$F$841,5,0)</f>
        <v>Điều dưỡng CĐ</v>
      </c>
      <c r="AN64" s="53"/>
      <c r="AO64" s="53" t="s">
        <v>316</v>
      </c>
      <c r="AP64" s="53">
        <v>2009</v>
      </c>
      <c r="AQ64" s="72" t="s">
        <v>113</v>
      </c>
      <c r="AR64" s="42">
        <f>VLOOKUP(A64,'[1]Chứng chỉ'!$B$8:$Q$1111,11,0)</f>
        <v>0</v>
      </c>
      <c r="AS64" s="42">
        <f>VLOOKUP(A64,'[1]Chứng chỉ'!$B$8:$Q$1111,12,0)</f>
        <v>0</v>
      </c>
      <c r="AT64" s="47">
        <f>VLOOKUP(A64,'[1]Chứng chỉ'!$B$8:$Q$1111,13,0)</f>
        <v>0</v>
      </c>
      <c r="AU64" s="42" t="str">
        <f>VLOOKUP(A64,'[1]Chứng chỉ'!$B$8:$Q$1111,14,0)</f>
        <v>Anh B</v>
      </c>
      <c r="AV64" s="42">
        <f>VLOOKUP(A64,'[1]Chứng chỉ'!$B$8:$Q$1111,15,0)</f>
        <v>0</v>
      </c>
      <c r="AW64" s="42" t="str">
        <f>VLOOKUP(A64,'[1]Chứng chỉ'!$B$8:$Q$1111,16,0)</f>
        <v>Tin B</v>
      </c>
      <c r="AX64" s="53"/>
      <c r="AY64" s="57" t="s">
        <v>85</v>
      </c>
      <c r="AZ64" s="65"/>
      <c r="BA64" s="74" t="e">
        <f t="shared" si="29"/>
        <v>#REF!</v>
      </c>
      <c r="BB64" s="74" t="e">
        <f t="shared" si="30"/>
        <v>#REF!</v>
      </c>
      <c r="BC64" s="41"/>
      <c r="BD64" s="64"/>
    </row>
    <row r="65" spans="1:56" ht="61.2" x14ac:dyDescent="0.3">
      <c r="A65" s="41" t="s">
        <v>574</v>
      </c>
      <c r="B65" s="42">
        <f t="shared" si="0"/>
        <v>59</v>
      </c>
      <c r="C65" s="68" t="s">
        <v>575</v>
      </c>
      <c r="D65" s="41" t="s">
        <v>574</v>
      </c>
      <c r="E65" s="61">
        <v>1506002923</v>
      </c>
      <c r="F65" s="64"/>
      <c r="G65" s="49" t="s">
        <v>576</v>
      </c>
      <c r="H65" s="76"/>
      <c r="I65" s="76">
        <v>28015</v>
      </c>
      <c r="J65" s="66">
        <f t="shared" ca="1" si="28"/>
        <v>49</v>
      </c>
      <c r="K65" s="75" t="s">
        <v>577</v>
      </c>
      <c r="L65" s="41" t="s">
        <v>578</v>
      </c>
      <c r="M65" s="53" t="s">
        <v>67</v>
      </c>
      <c r="N65" s="66"/>
      <c r="O65" s="53" t="s">
        <v>166</v>
      </c>
      <c r="P65" s="49" t="s">
        <v>155</v>
      </c>
      <c r="Q65" s="49" t="s">
        <v>94</v>
      </c>
      <c r="R65" s="49"/>
      <c r="S65" s="49" t="s">
        <v>166</v>
      </c>
      <c r="T65" s="49" t="s">
        <v>97</v>
      </c>
      <c r="U65" s="49" t="s">
        <v>94</v>
      </c>
      <c r="V65" s="49" t="str">
        <f t="shared" si="27"/>
        <v>Phường Tam Thanh, Thành phố Lạng Sơn, Tỉnh Lạng Sơn</v>
      </c>
      <c r="W65" s="55" t="s">
        <v>579</v>
      </c>
      <c r="X65" s="41"/>
      <c r="Y65" s="41"/>
      <c r="Z65" s="41"/>
      <c r="AA65" s="68" t="e">
        <f>VLOOKUP(A65,'[1]DANH SÁCH'!$B$8:$AD$841,12,0)</f>
        <v>#N/A</v>
      </c>
      <c r="AB65" s="49" t="e">
        <f>VLOOKUP(A65,'[1]DANH SÁCH'!$B$8:$H$841,6,0)</f>
        <v>#N/A</v>
      </c>
      <c r="AC65" s="69" t="e">
        <f>VLOOKUP(A65,'[1]DANH SÁCH'!$B$8:$J$841,9,0)</f>
        <v>#N/A</v>
      </c>
      <c r="AD65" s="69" t="e">
        <f>VLOOKUP(A65,'[1]DANH SÁCH'!$B$8:$AC$841,10,0)</f>
        <v>#N/A</v>
      </c>
      <c r="AE65" s="69" t="e">
        <f>VLOOKUP(A65,'[1]DANH SÁCH'!$B$8:$AD$841,13,0)</f>
        <v>#N/A</v>
      </c>
      <c r="AF65" s="41" t="s">
        <v>157</v>
      </c>
      <c r="AG65" s="42" t="e">
        <f>VLOOKUP(A65,'[1]DANH SÁCH'!$B$8:$H$841,7,0)</f>
        <v>#N/A</v>
      </c>
      <c r="AH65" s="45">
        <v>3.65</v>
      </c>
      <c r="AI65" s="42">
        <v>6</v>
      </c>
      <c r="AJ65" s="70">
        <v>0</v>
      </c>
      <c r="AK65" s="69">
        <v>45474</v>
      </c>
      <c r="AL65" s="71" t="s">
        <v>158</v>
      </c>
      <c r="AM65" s="53" t="e">
        <f>VLOOKUP(A65,'[1]DANH SÁCH'!$B$8:$F$841,5,0)</f>
        <v>#N/A</v>
      </c>
      <c r="AN65" s="53"/>
      <c r="AO65" s="53"/>
      <c r="AP65" s="53"/>
      <c r="AQ65" s="72" t="s">
        <v>113</v>
      </c>
      <c r="AR65" s="42">
        <f>VLOOKUP(A65,'[1]Chứng chỉ'!$B$8:$Q$1111,11,0)</f>
        <v>0</v>
      </c>
      <c r="AS65" s="42">
        <f>VLOOKUP(A65,'[1]Chứng chỉ'!$B$8:$Q$1111,12,0)</f>
        <v>0</v>
      </c>
      <c r="AT65" s="47">
        <f>VLOOKUP(A65,'[1]Chứng chỉ'!$B$8:$Q$1111,13,0)</f>
        <v>0</v>
      </c>
      <c r="AU65" s="42" t="str">
        <f>VLOOKUP(A65,'[1]Chứng chỉ'!$B$8:$Q$1111,14,0)</f>
        <v>Anh B</v>
      </c>
      <c r="AV65" s="42" t="str">
        <f>VLOOKUP(A65,'[1]Chứng chỉ'!$B$8:$Q$1111,15,0)</f>
        <v>Tày</v>
      </c>
      <c r="AW65" s="42" t="str">
        <f>VLOOKUP(A65,'[1]Chứng chỉ'!$B$8:$Q$1111,16,0)</f>
        <v>Cơ bản</v>
      </c>
      <c r="AX65" s="42"/>
      <c r="AY65" s="57" t="s">
        <v>127</v>
      </c>
      <c r="AZ65" s="65"/>
      <c r="BA65" s="74" t="e">
        <f t="shared" si="29"/>
        <v>#REF!</v>
      </c>
      <c r="BB65" s="74" t="e">
        <f t="shared" si="30"/>
        <v>#REF!</v>
      </c>
      <c r="BC65" s="61" t="s">
        <v>128</v>
      </c>
      <c r="BD65" s="62"/>
    </row>
    <row r="66" spans="1:56" ht="61.2" x14ac:dyDescent="0.3">
      <c r="A66" s="41" t="s">
        <v>580</v>
      </c>
      <c r="B66" s="42">
        <f t="shared" si="0"/>
        <v>60</v>
      </c>
      <c r="C66" s="68" t="s">
        <v>581</v>
      </c>
      <c r="D66" s="41" t="s">
        <v>580</v>
      </c>
      <c r="E66" s="61">
        <v>1596004117</v>
      </c>
      <c r="F66" s="64"/>
      <c r="G66" s="49" t="s">
        <v>582</v>
      </c>
      <c r="H66" s="76"/>
      <c r="I66" s="76">
        <v>25561</v>
      </c>
      <c r="J66" s="66">
        <f t="shared" ca="1" si="28"/>
        <v>56</v>
      </c>
      <c r="K66" s="75" t="s">
        <v>583</v>
      </c>
      <c r="L66" s="41" t="s">
        <v>584</v>
      </c>
      <c r="M66" s="53" t="s">
        <v>67</v>
      </c>
      <c r="N66" s="66"/>
      <c r="O66" s="53" t="s">
        <v>585</v>
      </c>
      <c r="P66" s="49" t="s">
        <v>93</v>
      </c>
      <c r="Q66" s="49" t="s">
        <v>94</v>
      </c>
      <c r="R66" s="49"/>
      <c r="S66" s="49" t="s">
        <v>166</v>
      </c>
      <c r="T66" s="53" t="s">
        <v>97</v>
      </c>
      <c r="U66" s="53" t="s">
        <v>94</v>
      </c>
      <c r="V66" s="49" t="str">
        <f t="shared" si="27"/>
        <v>Phường Tam Thanh, Thành phố Lạng Sơn, Tỉnh Lạng Sơn</v>
      </c>
      <c r="W66" s="55" t="s">
        <v>586</v>
      </c>
      <c r="X66" s="41"/>
      <c r="Y66" s="41"/>
      <c r="Z66" s="41"/>
      <c r="AA66" s="68">
        <f>VLOOKUP(A66,'[1]DANH SÁCH'!$B$8:$AD$841,12,0)</f>
        <v>0</v>
      </c>
      <c r="AB66" s="49" t="str">
        <f>VLOOKUP(A66,'[1]DANH SÁCH'!$B$8:$H$841,6,0)</f>
        <v>TĐ011</v>
      </c>
      <c r="AC66" s="69" t="str">
        <f>VLOOKUP(A66,'[1]DANH SÁCH'!$B$8:$J$841,9,0)</f>
        <v>Nội Tổng hợp</v>
      </c>
      <c r="AD66" s="69" t="str">
        <f>VLOOKUP(A66,'[1]DANH SÁCH'!$B$8:$AC$841,10,0)</f>
        <v>KP007</v>
      </c>
      <c r="AE66" s="69" t="str">
        <f>VLOOKUP(A66,'[1]DANH SÁCH'!$B$8:$AD$841,13,0)</f>
        <v>Viên chức</v>
      </c>
      <c r="AF66" s="41" t="s">
        <v>147</v>
      </c>
      <c r="AG66" s="42" t="str">
        <f>VLOOKUP(A66,'[1]DANH SÁCH'!$B$8:$H$841,7,0)</f>
        <v>Điều dưỡng (hạng III)</v>
      </c>
      <c r="AH66" s="45">
        <v>4.9800000000000004</v>
      </c>
      <c r="AI66" s="42">
        <v>9</v>
      </c>
      <c r="AJ66" s="70">
        <v>0.05</v>
      </c>
      <c r="AK66" s="69">
        <v>45962</v>
      </c>
      <c r="AL66" s="71" t="s">
        <v>80</v>
      </c>
      <c r="AM66" s="53" t="str">
        <f>VLOOKUP(A66,'[1]DANH SÁCH'!$B$8:$F$841,5,0)</f>
        <v>Điều dưỡng ĐH</v>
      </c>
      <c r="AN66" s="53"/>
      <c r="AO66" s="53" t="s">
        <v>297</v>
      </c>
      <c r="AP66" s="53">
        <v>2010</v>
      </c>
      <c r="AQ66" s="72" t="s">
        <v>113</v>
      </c>
      <c r="AR66" s="42">
        <f>VLOOKUP(A66,'[1]Chứng chỉ'!$B$8:$Q$1111,11,0)</f>
        <v>0</v>
      </c>
      <c r="AS66" s="42">
        <f>VLOOKUP(A66,'[1]Chứng chỉ'!$B$8:$Q$1111,12,0)</f>
        <v>0</v>
      </c>
      <c r="AT66" s="47">
        <f>VLOOKUP(A66,'[1]Chứng chỉ'!$B$8:$Q$1111,13,0)</f>
        <v>0</v>
      </c>
      <c r="AU66" s="42" t="str">
        <f>VLOOKUP(A66,'[1]Chứng chỉ'!$B$8:$Q$1111,14,0)</f>
        <v>Anh B</v>
      </c>
      <c r="AV66" s="42">
        <f>VLOOKUP(A66,'[1]Chứng chỉ'!$B$8:$Q$1111,15,0)</f>
        <v>0</v>
      </c>
      <c r="AW66" s="42" t="str">
        <f>VLOOKUP(A66,'[1]Chứng chỉ'!$B$8:$Q$1111,16,0)</f>
        <v>Tin B</v>
      </c>
      <c r="AX66" s="53"/>
      <c r="AY66" s="57" t="s">
        <v>87</v>
      </c>
      <c r="AZ66" s="65"/>
      <c r="BA66" s="74" t="e">
        <f t="shared" si="29"/>
        <v>#REF!</v>
      </c>
      <c r="BB66" s="74" t="e">
        <f t="shared" si="30"/>
        <v>#REF!</v>
      </c>
      <c r="BC66" s="61" t="s">
        <v>128</v>
      </c>
      <c r="BD66" s="62"/>
    </row>
    <row r="67" spans="1:56" ht="61.2" x14ac:dyDescent="0.3">
      <c r="A67" s="41" t="s">
        <v>587</v>
      </c>
      <c r="B67" s="42">
        <f t="shared" si="0"/>
        <v>61</v>
      </c>
      <c r="C67" s="68" t="s">
        <v>588</v>
      </c>
      <c r="D67" s="41" t="s">
        <v>587</v>
      </c>
      <c r="E67" s="61">
        <v>1507000584</v>
      </c>
      <c r="F67" s="64"/>
      <c r="G67" s="49" t="s">
        <v>589</v>
      </c>
      <c r="H67" s="76"/>
      <c r="I67" s="76">
        <v>31610</v>
      </c>
      <c r="J67" s="66">
        <f t="shared" ca="1" si="28"/>
        <v>40</v>
      </c>
      <c r="K67" s="75" t="s">
        <v>590</v>
      </c>
      <c r="L67" s="41" t="s">
        <v>591</v>
      </c>
      <c r="M67" s="53" t="s">
        <v>67</v>
      </c>
      <c r="N67" s="66"/>
      <c r="O67" s="53" t="s">
        <v>592</v>
      </c>
      <c r="P67" s="49" t="s">
        <v>593</v>
      </c>
      <c r="Q67" s="49" t="s">
        <v>594</v>
      </c>
      <c r="R67" s="49"/>
      <c r="S67" s="49" t="s">
        <v>166</v>
      </c>
      <c r="T67" s="53" t="s">
        <v>97</v>
      </c>
      <c r="U67" s="53" t="s">
        <v>94</v>
      </c>
      <c r="V67" s="49" t="str">
        <f t="shared" si="27"/>
        <v>Phường Tam Thanh, Thành phố Lạng Sơn, Tỉnh Lạng Sơn</v>
      </c>
      <c r="W67" s="55" t="s">
        <v>595</v>
      </c>
      <c r="X67" s="41"/>
      <c r="Y67" s="41"/>
      <c r="Z67" s="41"/>
      <c r="AA67" s="68" t="str">
        <f>VLOOKUP(A67,'[1]DANH SÁCH'!$B$8:$AD$841,12,0)</f>
        <v>Điều dưỡng trưởng</v>
      </c>
      <c r="AB67" s="49" t="str">
        <f>VLOOKUP(A67,'[1]DANH SÁCH'!$B$8:$H$841,6,0)</f>
        <v>TĐ011</v>
      </c>
      <c r="AC67" s="69" t="str">
        <f>VLOOKUP(A67,'[1]DANH SÁCH'!$B$8:$J$841,9,0)</f>
        <v>Nội Tiêu hóa</v>
      </c>
      <c r="AD67" s="69" t="str">
        <f>VLOOKUP(A67,'[1]DANH SÁCH'!$B$8:$AC$841,10,0)</f>
        <v>KP008</v>
      </c>
      <c r="AE67" s="69" t="str">
        <f>VLOOKUP(A67,'[1]DANH SÁCH'!$B$8:$AD$841,13,0)</f>
        <v>Viên chức</v>
      </c>
      <c r="AF67" s="41" t="s">
        <v>147</v>
      </c>
      <c r="AG67" s="42" t="str">
        <f>VLOOKUP(A67,'[1]DANH SÁCH'!$B$8:$H$841,7,0)</f>
        <v>Điều dưỡng (hạng III)</v>
      </c>
      <c r="AH67" s="45">
        <v>3.66</v>
      </c>
      <c r="AI67" s="42">
        <v>5</v>
      </c>
      <c r="AJ67" s="70">
        <v>0</v>
      </c>
      <c r="AK67" s="69">
        <v>45658</v>
      </c>
      <c r="AL67" s="71" t="s">
        <v>80</v>
      </c>
      <c r="AM67" s="53" t="str">
        <f>VLOOKUP(A67,'[1]DANH SÁCH'!$B$8:$F$841,5,0)</f>
        <v>Điều dưỡng ĐH</v>
      </c>
      <c r="AN67" s="53"/>
      <c r="AO67" s="53" t="s">
        <v>596</v>
      </c>
      <c r="AP67" s="53">
        <v>2016</v>
      </c>
      <c r="AQ67" s="72" t="s">
        <v>113</v>
      </c>
      <c r="AR67" s="42">
        <f>VLOOKUP(A67,'[1]Chứng chỉ'!$B$8:$Q$1111,11,0)</f>
        <v>0</v>
      </c>
      <c r="AS67" s="42">
        <f>VLOOKUP(A67,'[1]Chứng chỉ'!$B$8:$Q$1111,12,0)</f>
        <v>0</v>
      </c>
      <c r="AT67" s="47" t="s">
        <v>139</v>
      </c>
      <c r="AU67" s="42" t="str">
        <f>VLOOKUP(A67,'[1]Chứng chỉ'!$B$8:$Q$1111,14,0)</f>
        <v>Anh B</v>
      </c>
      <c r="AV67" s="42" t="str">
        <f>VLOOKUP(A67,'[1]Chứng chỉ'!$B$8:$Q$1111,15,0)</f>
        <v>Tày</v>
      </c>
      <c r="AW67" s="42" t="str">
        <f>VLOOKUP(A67,'[1]Chứng chỉ'!$B$8:$Q$1111,16,0)</f>
        <v>Tin B</v>
      </c>
      <c r="AX67" s="53"/>
      <c r="AY67" s="57" t="s">
        <v>87</v>
      </c>
      <c r="AZ67" s="65">
        <v>41461</v>
      </c>
      <c r="BA67" s="74" t="e">
        <f t="shared" si="29"/>
        <v>#REF!</v>
      </c>
      <c r="BB67" s="74" t="e">
        <f t="shared" si="30"/>
        <v>#REF!</v>
      </c>
      <c r="BC67" s="41" t="s">
        <v>597</v>
      </c>
      <c r="BD67" s="64"/>
    </row>
    <row r="68" spans="1:56" ht="40.799999999999997" x14ac:dyDescent="0.3">
      <c r="A68" s="46" t="s">
        <v>598</v>
      </c>
      <c r="B68" s="42">
        <f t="shared" si="0"/>
        <v>62</v>
      </c>
      <c r="C68" s="63" t="s">
        <v>599</v>
      </c>
      <c r="D68" s="46" t="s">
        <v>598</v>
      </c>
      <c r="E68" s="61" t="s">
        <v>600</v>
      </c>
      <c r="F68" s="64"/>
      <c r="G68" s="49" t="s">
        <v>601</v>
      </c>
      <c r="H68" s="47"/>
      <c r="I68" s="65">
        <v>34122</v>
      </c>
      <c r="J68" s="66">
        <f t="shared" ca="1" si="28"/>
        <v>33</v>
      </c>
      <c r="K68" s="46" t="s">
        <v>602</v>
      </c>
      <c r="L68" s="65">
        <v>40372</v>
      </c>
      <c r="M68" s="56"/>
      <c r="N68" s="52"/>
      <c r="O68" s="56"/>
      <c r="P68" s="47"/>
      <c r="Q68" s="47"/>
      <c r="R68" s="47" t="s">
        <v>603</v>
      </c>
      <c r="S68" s="47" t="s">
        <v>604</v>
      </c>
      <c r="T68" s="47" t="s">
        <v>605</v>
      </c>
      <c r="U68" s="47" t="s">
        <v>71</v>
      </c>
      <c r="V68" s="47" t="s">
        <v>606</v>
      </c>
      <c r="W68" s="67" t="s">
        <v>607</v>
      </c>
      <c r="X68" s="46"/>
      <c r="Y68" s="46"/>
      <c r="Z68" s="46"/>
      <c r="AA68" s="68">
        <f>VLOOKUP(A68,'[1]DANH SÁCH'!$B$8:$AD$841,12,0)</f>
        <v>0</v>
      </c>
      <c r="AB68" s="49" t="str">
        <f>VLOOKUP(A68,'[1]DANH SÁCH'!$B$8:$H$841,6,0)</f>
        <v>TĐ011</v>
      </c>
      <c r="AC68" s="69" t="str">
        <f>VLOOKUP(A68,'[1]DANH SÁCH'!$B$8:$J$841,9,0)</f>
        <v>Điều dưỡng</v>
      </c>
      <c r="AD68" s="69" t="str">
        <f>VLOOKUP(A68,'[1]DANH SÁCH'!$B$8:$AC$841,10,0)</f>
        <v>KP037</v>
      </c>
      <c r="AE68" s="69" t="str">
        <f>VLOOKUP(A68,'[1]DANH SÁCH'!$B$8:$AD$841,13,0)</f>
        <v>Viên chức</v>
      </c>
      <c r="AF68" s="41" t="s">
        <v>274</v>
      </c>
      <c r="AG68" s="42" t="str">
        <f>VLOOKUP(A68,'[1]DANH SÁCH'!$B$8:$H$841,7,0)</f>
        <v>Điều dưỡng (hạng IV)</v>
      </c>
      <c r="AH68" s="45">
        <v>3.03</v>
      </c>
      <c r="AI68" s="42">
        <v>4</v>
      </c>
      <c r="AJ68" s="70">
        <v>0</v>
      </c>
      <c r="AK68" s="69">
        <v>45839</v>
      </c>
      <c r="AL68" s="71" t="s">
        <v>158</v>
      </c>
      <c r="AM68" s="53" t="str">
        <f>VLOOKUP(A68,'[1]DANH SÁCH'!$B$8:$F$841,5,0)</f>
        <v>Điều dưỡng ĐH</v>
      </c>
      <c r="AN68" s="47"/>
      <c r="AO68" s="47"/>
      <c r="AP68" s="47"/>
      <c r="AQ68" s="47"/>
      <c r="AR68" s="42">
        <f>VLOOKUP(A68,'[1]Chứng chỉ'!$B$8:$Q$1111,11,0)</f>
        <v>0</v>
      </c>
      <c r="AS68" s="42">
        <f>VLOOKUP(A68,'[1]Chứng chỉ'!$B$8:$Q$1111,12,0)</f>
        <v>0</v>
      </c>
      <c r="AT68" s="47">
        <f>VLOOKUP(A68,'[1]Chứng chỉ'!$B$8:$Q$1111,13,0)</f>
        <v>0</v>
      </c>
      <c r="AU68" s="42" t="str">
        <f>VLOOKUP(A68,'[1]Chứng chỉ'!$B$8:$Q$1111,14,0)</f>
        <v>Anh B</v>
      </c>
      <c r="AV68" s="42">
        <f>VLOOKUP(A68,'[1]Chứng chỉ'!$B$8:$Q$1111,15,0)</f>
        <v>0</v>
      </c>
      <c r="AW68" s="42" t="str">
        <f>VLOOKUP(A68,'[1]Chứng chỉ'!$B$8:$Q$1111,16,0)</f>
        <v>Cơ bản</v>
      </c>
      <c r="AX68" s="47"/>
      <c r="AY68" s="47" t="s">
        <v>127</v>
      </c>
      <c r="AZ68" s="65"/>
      <c r="BA68" s="47"/>
      <c r="BB68" s="47"/>
      <c r="BC68" s="61" t="s">
        <v>128</v>
      </c>
      <c r="BD68" s="62"/>
    </row>
    <row r="69" spans="1:56" ht="61.2" x14ac:dyDescent="0.3">
      <c r="A69" s="41" t="s">
        <v>608</v>
      </c>
      <c r="B69" s="42">
        <f t="shared" si="0"/>
        <v>63</v>
      </c>
      <c r="C69" s="68" t="s">
        <v>609</v>
      </c>
      <c r="D69" s="41" t="s">
        <v>608</v>
      </c>
      <c r="E69" s="61">
        <v>2013002133</v>
      </c>
      <c r="F69" s="64"/>
      <c r="G69" s="49" t="s">
        <v>610</v>
      </c>
      <c r="H69" s="76"/>
      <c r="I69" s="76">
        <v>33552</v>
      </c>
      <c r="J69" s="66">
        <f t="shared" ca="1" si="28"/>
        <v>34</v>
      </c>
      <c r="K69" s="75" t="s">
        <v>611</v>
      </c>
      <c r="L69" s="41" t="s">
        <v>612</v>
      </c>
      <c r="M69" s="53" t="s">
        <v>67</v>
      </c>
      <c r="N69" s="66" t="s">
        <v>613</v>
      </c>
      <c r="O69" s="53" t="s">
        <v>154</v>
      </c>
      <c r="P69" s="49" t="s">
        <v>155</v>
      </c>
      <c r="Q69" s="49" t="s">
        <v>94</v>
      </c>
      <c r="R69" s="76"/>
      <c r="S69" s="49" t="s">
        <v>124</v>
      </c>
      <c r="T69" s="53" t="s">
        <v>97</v>
      </c>
      <c r="U69" s="53" t="s">
        <v>94</v>
      </c>
      <c r="V69" s="49" t="str">
        <f t="shared" ref="V69:V73" si="31">S69&amp;", "&amp;T69&amp;", "&amp;U69</f>
        <v>Phường Đông Kinh, Thành phố Lạng Sơn, Tỉnh Lạng Sơn</v>
      </c>
      <c r="W69" s="55" t="s">
        <v>156</v>
      </c>
      <c r="X69" s="41"/>
      <c r="Y69" s="41"/>
      <c r="Z69" s="41"/>
      <c r="AA69" s="68">
        <f>VLOOKUP(A69,'[1]DANH SÁCH'!$B$8:$AD$841,12,0)</f>
        <v>0</v>
      </c>
      <c r="AB69" s="49" t="str">
        <f>VLOOKUP(A69,'[1]DANH SÁCH'!$B$8:$H$841,6,0)</f>
        <v>TĐ011</v>
      </c>
      <c r="AC69" s="69" t="str">
        <f>VLOOKUP(A69,'[1]DANH SÁCH'!$B$8:$J$841,9,0)</f>
        <v>Nội Tổng hợp</v>
      </c>
      <c r="AD69" s="69" t="str">
        <f>VLOOKUP(A69,'[1]DANH SÁCH'!$B$8:$AC$841,10,0)</f>
        <v>KP007</v>
      </c>
      <c r="AE69" s="69" t="str">
        <f>VLOOKUP(A69,'[1]DANH SÁCH'!$B$8:$AD$841,13,0)</f>
        <v>Viên chức</v>
      </c>
      <c r="AF69" s="41" t="s">
        <v>157</v>
      </c>
      <c r="AG69" s="42" t="str">
        <f>VLOOKUP(A69,'[1]DANH SÁCH'!$B$8:$H$841,7,0)</f>
        <v>Điều dưỡng (hạng III)</v>
      </c>
      <c r="AH69" s="45">
        <v>3.66</v>
      </c>
      <c r="AI69" s="42">
        <v>5</v>
      </c>
      <c r="AJ69" s="70">
        <v>0</v>
      </c>
      <c r="AK69" s="69">
        <v>45778</v>
      </c>
      <c r="AL69" s="71" t="s">
        <v>158</v>
      </c>
      <c r="AM69" s="53" t="str">
        <f>VLOOKUP(A69,'[1]DANH SÁCH'!$B$8:$F$841,5,0)</f>
        <v>Điều dưỡng ĐH</v>
      </c>
      <c r="AN69" s="53"/>
      <c r="AO69" s="53" t="s">
        <v>316</v>
      </c>
      <c r="AP69" s="53">
        <v>2012</v>
      </c>
      <c r="AQ69" s="72" t="s">
        <v>113</v>
      </c>
      <c r="AR69" s="42">
        <f>VLOOKUP(A69,'[1]Chứng chỉ'!$B$8:$Q$1111,11,0)</f>
        <v>0</v>
      </c>
      <c r="AS69" s="42">
        <f>VLOOKUP(A69,'[1]Chứng chỉ'!$B$8:$Q$1111,12,0)</f>
        <v>0</v>
      </c>
      <c r="AT69" s="47" t="s">
        <v>139</v>
      </c>
      <c r="AU69" s="42" t="str">
        <f>VLOOKUP(A69,'[1]Chứng chỉ'!$B$8:$Q$1111,14,0)</f>
        <v>Anh B</v>
      </c>
      <c r="AV69" s="42">
        <f>VLOOKUP(A69,'[1]Chứng chỉ'!$B$8:$Q$1111,15,0)</f>
        <v>0</v>
      </c>
      <c r="AW69" s="42" t="str">
        <f>VLOOKUP(A69,'[1]Chứng chỉ'!$B$8:$Q$1111,16,0)</f>
        <v>Cơ bản</v>
      </c>
      <c r="AX69" s="53"/>
      <c r="AY69" s="57" t="s">
        <v>127</v>
      </c>
      <c r="AZ69" s="65"/>
      <c r="BA69" s="74" t="e">
        <f t="shared" ref="BA69:BA73" si="32">VLOOKUP(A69,#REF!,4,0)</f>
        <v>#REF!</v>
      </c>
      <c r="BB69" s="74" t="e">
        <f t="shared" ref="BB69:BB73" si="33">VLOOKUP(A69,#REF!,5,0)</f>
        <v>#REF!</v>
      </c>
      <c r="BC69" s="61"/>
      <c r="BD69" s="64"/>
    </row>
    <row r="70" spans="1:56" ht="61.2" x14ac:dyDescent="0.3">
      <c r="A70" s="41" t="s">
        <v>614</v>
      </c>
      <c r="B70" s="42">
        <f t="shared" si="0"/>
        <v>64</v>
      </c>
      <c r="C70" s="68" t="s">
        <v>615</v>
      </c>
      <c r="D70" s="41" t="s">
        <v>614</v>
      </c>
      <c r="E70" s="61">
        <v>2009001775</v>
      </c>
      <c r="F70" s="64"/>
      <c r="G70" s="49" t="s">
        <v>616</v>
      </c>
      <c r="H70" s="76"/>
      <c r="I70" s="76">
        <v>31630</v>
      </c>
      <c r="J70" s="66">
        <f t="shared" ca="1" si="28"/>
        <v>40</v>
      </c>
      <c r="K70" s="75" t="s">
        <v>617</v>
      </c>
      <c r="L70" s="41" t="s">
        <v>618</v>
      </c>
      <c r="M70" s="53" t="s">
        <v>67</v>
      </c>
      <c r="N70" s="66" t="s">
        <v>371</v>
      </c>
      <c r="O70" s="53" t="s">
        <v>619</v>
      </c>
      <c r="P70" s="49" t="s">
        <v>108</v>
      </c>
      <c r="Q70" s="76" t="s">
        <v>94</v>
      </c>
      <c r="R70" s="85"/>
      <c r="S70" s="49" t="s">
        <v>124</v>
      </c>
      <c r="T70" s="85" t="s">
        <v>97</v>
      </c>
      <c r="U70" s="85" t="s">
        <v>94</v>
      </c>
      <c r="V70" s="49" t="str">
        <f t="shared" si="31"/>
        <v>Phường Đông Kinh, Thành phố Lạng Sơn, Tỉnh Lạng Sơn</v>
      </c>
      <c r="W70" s="55" t="s">
        <v>185</v>
      </c>
      <c r="X70" s="41"/>
      <c r="Y70" s="41"/>
      <c r="Z70" s="41"/>
      <c r="AA70" s="68">
        <f>VLOOKUP(A70,'[1]DANH SÁCH'!$B$8:$AD$841,12,0)</f>
        <v>0</v>
      </c>
      <c r="AB70" s="49" t="str">
        <f>VLOOKUP(A70,'[1]DANH SÁCH'!$B$8:$H$841,6,0)</f>
        <v>TĐ012</v>
      </c>
      <c r="AC70" s="69" t="str">
        <f>VLOOKUP(A70,'[1]DANH SÁCH'!$B$8:$J$841,9,0)</f>
        <v>Nội Tổng hợp</v>
      </c>
      <c r="AD70" s="69" t="str">
        <f>VLOOKUP(A70,'[1]DANH SÁCH'!$B$8:$AC$841,10,0)</f>
        <v>KP007</v>
      </c>
      <c r="AE70" s="69" t="str">
        <f>VLOOKUP(A70,'[1]DANH SÁCH'!$B$8:$AD$841,13,0)</f>
        <v>Viên chức</v>
      </c>
      <c r="AF70" s="41" t="s">
        <v>157</v>
      </c>
      <c r="AG70" s="42" t="str">
        <f>VLOOKUP(A70,'[1]DANH SÁCH'!$B$8:$H$841,7,0)</f>
        <v>Điều dưỡng (hạng IV)</v>
      </c>
      <c r="AH70" s="45">
        <v>3.34</v>
      </c>
      <c r="AI70" s="42">
        <v>5</v>
      </c>
      <c r="AJ70" s="70">
        <v>0</v>
      </c>
      <c r="AK70" s="69">
        <v>44927</v>
      </c>
      <c r="AL70" s="71" t="s">
        <v>158</v>
      </c>
      <c r="AM70" s="53" t="str">
        <f>VLOOKUP(A70,'[1]DANH SÁCH'!$B$8:$F$841,5,0)</f>
        <v>Điều dưỡng CĐ</v>
      </c>
      <c r="AN70" s="53"/>
      <c r="AO70" s="53" t="s">
        <v>316</v>
      </c>
      <c r="AP70" s="53">
        <v>2007</v>
      </c>
      <c r="AQ70" s="72" t="s">
        <v>113</v>
      </c>
      <c r="AR70" s="42">
        <f>VLOOKUP(A70,'[1]Chứng chỉ'!$B$8:$Q$1111,11,0)</f>
        <v>0</v>
      </c>
      <c r="AS70" s="42">
        <f>VLOOKUP(A70,'[1]Chứng chỉ'!$B$8:$Q$1111,12,0)</f>
        <v>0</v>
      </c>
      <c r="AT70" s="47">
        <f>VLOOKUP(A70,'[1]Chứng chỉ'!$B$8:$Q$1111,13,0)</f>
        <v>0</v>
      </c>
      <c r="AU70" s="42" t="str">
        <f>VLOOKUP(A70,'[1]Chứng chỉ'!$B$8:$Q$1111,14,0)</f>
        <v>Anh B</v>
      </c>
      <c r="AV70" s="42">
        <f>VLOOKUP(A70,'[1]Chứng chỉ'!$B$8:$Q$1111,15,0)</f>
        <v>0</v>
      </c>
      <c r="AW70" s="42" t="str">
        <f>VLOOKUP(A70,'[1]Chứng chỉ'!$B$8:$Q$1111,16,0)</f>
        <v>Cơ bản</v>
      </c>
      <c r="AX70" s="53"/>
      <c r="AY70" s="57" t="s">
        <v>127</v>
      </c>
      <c r="AZ70" s="65">
        <v>40843</v>
      </c>
      <c r="BA70" s="74" t="e">
        <f t="shared" si="32"/>
        <v>#REF!</v>
      </c>
      <c r="BB70" s="74" t="e">
        <f t="shared" si="33"/>
        <v>#REF!</v>
      </c>
      <c r="BC70" s="81"/>
      <c r="BD70" s="47"/>
    </row>
    <row r="71" spans="1:56" ht="51" x14ac:dyDescent="0.3">
      <c r="A71" s="41" t="s">
        <v>620</v>
      </c>
      <c r="B71" s="42">
        <f t="shared" si="0"/>
        <v>65</v>
      </c>
      <c r="C71" s="68" t="s">
        <v>621</v>
      </c>
      <c r="D71" s="41" t="s">
        <v>620</v>
      </c>
      <c r="E71" s="61">
        <v>2208005830</v>
      </c>
      <c r="F71" s="64"/>
      <c r="G71" s="49" t="s">
        <v>622</v>
      </c>
      <c r="H71" s="76"/>
      <c r="I71" s="76">
        <v>31464</v>
      </c>
      <c r="J71" s="66">
        <f t="shared" ca="1" si="28"/>
        <v>40</v>
      </c>
      <c r="K71" s="75" t="s">
        <v>623</v>
      </c>
      <c r="L71" s="41" t="s">
        <v>624</v>
      </c>
      <c r="M71" s="53" t="s">
        <v>67</v>
      </c>
      <c r="N71" s="66" t="s">
        <v>625</v>
      </c>
      <c r="O71" s="53" t="s">
        <v>626</v>
      </c>
      <c r="P71" s="49" t="s">
        <v>222</v>
      </c>
      <c r="Q71" s="49" t="s">
        <v>94</v>
      </c>
      <c r="R71" s="49"/>
      <c r="S71" s="49" t="s">
        <v>626</v>
      </c>
      <c r="T71" s="53" t="s">
        <v>222</v>
      </c>
      <c r="U71" s="53" t="s">
        <v>94</v>
      </c>
      <c r="V71" s="49" t="str">
        <f t="shared" si="31"/>
        <v>Xã Quan Sơn, Huyện Chi Lăng, Tỉnh Lạng Sơn</v>
      </c>
      <c r="W71" s="55" t="s">
        <v>627</v>
      </c>
      <c r="X71" s="41"/>
      <c r="Y71" s="41"/>
      <c r="Z71" s="41"/>
      <c r="AA71" s="68" t="e">
        <f>VLOOKUP(A71,'[1]DANH SÁCH'!$B$8:$AD$841,12,0)</f>
        <v>#N/A</v>
      </c>
      <c r="AB71" s="49" t="e">
        <f>VLOOKUP(A71,'[1]DANH SÁCH'!$B$8:$H$841,6,0)</f>
        <v>#N/A</v>
      </c>
      <c r="AC71" s="69" t="e">
        <f>VLOOKUP(A71,'[1]DANH SÁCH'!$B$8:$J$841,9,0)</f>
        <v>#N/A</v>
      </c>
      <c r="AD71" s="69" t="e">
        <f>VLOOKUP(A71,'[1]DANH SÁCH'!$B$8:$AC$841,10,0)</f>
        <v>#N/A</v>
      </c>
      <c r="AE71" s="69" t="e">
        <f>VLOOKUP(A71,'[1]DANH SÁCH'!$B$8:$AD$841,13,0)</f>
        <v>#N/A</v>
      </c>
      <c r="AF71" s="41" t="s">
        <v>147</v>
      </c>
      <c r="AG71" s="42" t="e">
        <f>VLOOKUP(A71,'[1]DANH SÁCH'!$B$8:$H$841,7,0)</f>
        <v>#N/A</v>
      </c>
      <c r="AH71" s="45">
        <v>3.66</v>
      </c>
      <c r="AI71" s="42">
        <v>5</v>
      </c>
      <c r="AJ71" s="70">
        <v>0</v>
      </c>
      <c r="AK71" s="69">
        <v>45474</v>
      </c>
      <c r="AL71" s="71" t="s">
        <v>80</v>
      </c>
      <c r="AM71" s="53" t="e">
        <f>VLOOKUP(A71,'[1]DANH SÁCH'!$B$8:$F$841,5,0)</f>
        <v>#N/A</v>
      </c>
      <c r="AN71" s="53"/>
      <c r="AO71" s="53" t="s">
        <v>596</v>
      </c>
      <c r="AP71" s="53">
        <v>2017</v>
      </c>
      <c r="AQ71" s="72" t="s">
        <v>113</v>
      </c>
      <c r="AR71" s="42">
        <f>VLOOKUP(A71,'[1]Chứng chỉ'!$B$8:$Q$1111,11,0)</f>
        <v>0</v>
      </c>
      <c r="AS71" s="42">
        <f>VLOOKUP(A71,'[1]Chứng chỉ'!$B$8:$Q$1111,12,0)</f>
        <v>0</v>
      </c>
      <c r="AT71" s="47" t="s">
        <v>139</v>
      </c>
      <c r="AU71" s="42" t="str">
        <f>VLOOKUP(A71,'[1]Chứng chỉ'!$B$8:$Q$1111,14,0)</f>
        <v>Anh A2</v>
      </c>
      <c r="AV71" s="42" t="str">
        <f>VLOOKUP(A71,'[1]Chứng chỉ'!$B$8:$Q$1111,15,0)</f>
        <v>Tày</v>
      </c>
      <c r="AW71" s="42" t="str">
        <f>VLOOKUP(A71,'[1]Chứng chỉ'!$B$8:$Q$1111,16,0)</f>
        <v>Tin B</v>
      </c>
      <c r="AX71" s="53"/>
      <c r="AY71" s="57" t="s">
        <v>85</v>
      </c>
      <c r="AZ71" s="65"/>
      <c r="BA71" s="74" t="e">
        <f t="shared" si="32"/>
        <v>#REF!</v>
      </c>
      <c r="BB71" s="74" t="e">
        <f t="shared" si="33"/>
        <v>#REF!</v>
      </c>
      <c r="BC71" s="61" t="s">
        <v>128</v>
      </c>
      <c r="BD71" s="62"/>
    </row>
    <row r="72" spans="1:56" ht="61.2" x14ac:dyDescent="0.3">
      <c r="A72" s="41" t="s">
        <v>628</v>
      </c>
      <c r="B72" s="42">
        <f t="shared" si="0"/>
        <v>66</v>
      </c>
      <c r="C72" s="68" t="s">
        <v>629</v>
      </c>
      <c r="D72" s="41" t="s">
        <v>628</v>
      </c>
      <c r="E72" s="61">
        <v>1596004113</v>
      </c>
      <c r="F72" s="64"/>
      <c r="G72" s="49" t="s">
        <v>630</v>
      </c>
      <c r="H72" s="76">
        <v>24924</v>
      </c>
      <c r="I72" s="76"/>
      <c r="J72" s="66">
        <f t="shared" ref="J72:J73" ca="1" si="34">INT(DATEDIF(H72,$J$2,"d")/365)</f>
        <v>58</v>
      </c>
      <c r="K72" s="109" t="s">
        <v>631</v>
      </c>
      <c r="L72" s="41" t="s">
        <v>632</v>
      </c>
      <c r="M72" s="53" t="s">
        <v>67</v>
      </c>
      <c r="N72" s="66"/>
      <c r="O72" s="53"/>
      <c r="P72" s="49" t="s">
        <v>145</v>
      </c>
      <c r="Q72" s="49" t="s">
        <v>94</v>
      </c>
      <c r="R72" s="49"/>
      <c r="S72" s="49" t="s">
        <v>166</v>
      </c>
      <c r="T72" s="53" t="s">
        <v>97</v>
      </c>
      <c r="U72" s="53" t="s">
        <v>94</v>
      </c>
      <c r="V72" s="49" t="str">
        <f t="shared" si="31"/>
        <v>Phường Tam Thanh, Thành phố Lạng Sơn, Tỉnh Lạng Sơn</v>
      </c>
      <c r="W72" s="55" t="s">
        <v>633</v>
      </c>
      <c r="X72" s="41"/>
      <c r="Y72" s="41"/>
      <c r="Z72" s="41"/>
      <c r="AA72" s="68" t="str">
        <f>VLOOKUP(A72,'[1]DANH SÁCH'!$B$8:$AD$841,12,0)</f>
        <v>Trưởng khoa</v>
      </c>
      <c r="AB72" s="49" t="str">
        <f>VLOOKUP(A72,'[1]DANH SÁCH'!$B$8:$H$841,6,0)</f>
        <v>TĐ001</v>
      </c>
      <c r="AC72" s="69" t="str">
        <f>VLOOKUP(A72,'[1]DANH SÁCH'!$B$8:$J$841,9,0)</f>
        <v>Nội Tiêu hóa</v>
      </c>
      <c r="AD72" s="69" t="str">
        <f>VLOOKUP(A72,'[1]DANH SÁCH'!$B$8:$AC$841,10,0)</f>
        <v>KP008</v>
      </c>
      <c r="AE72" s="69" t="str">
        <f>VLOOKUP(A72,'[1]DANH SÁCH'!$B$8:$AD$841,13,0)</f>
        <v>Viên chức</v>
      </c>
      <c r="AF72" s="41" t="s">
        <v>79</v>
      </c>
      <c r="AG72" s="42" t="str">
        <f>VLOOKUP(A72,'[1]DANH SÁCH'!$B$8:$H$841,7,0)</f>
        <v>Bác sĩ chính (hạng II)</v>
      </c>
      <c r="AH72" s="45">
        <v>6.1</v>
      </c>
      <c r="AI72" s="42">
        <v>6</v>
      </c>
      <c r="AJ72" s="70">
        <v>0</v>
      </c>
      <c r="AK72" s="69">
        <v>44927</v>
      </c>
      <c r="AL72" s="71" t="s">
        <v>80</v>
      </c>
      <c r="AM72" s="53" t="str">
        <f>VLOOKUP(A72,'[1]DANH SÁCH'!$B$8:$F$841,5,0)</f>
        <v>BSCKII</v>
      </c>
      <c r="AN72" s="53" t="s">
        <v>138</v>
      </c>
      <c r="AO72" s="53" t="s">
        <v>112</v>
      </c>
      <c r="AP72" s="53">
        <v>2014</v>
      </c>
      <c r="AQ72" s="72"/>
      <c r="AR72" s="42" t="s">
        <v>82</v>
      </c>
      <c r="AS72" s="42" t="s">
        <v>100</v>
      </c>
      <c r="AT72" s="47" t="s">
        <v>101</v>
      </c>
      <c r="AU72" s="42" t="str">
        <f>VLOOKUP(A72,'[1]Chứng chỉ'!$B$8:$Q$1111,14,0)</f>
        <v>Anh B</v>
      </c>
      <c r="AV72" s="42">
        <f>VLOOKUP(A72,'[1]Chứng chỉ'!$B$8:$Q$1111,15,0)</f>
        <v>0</v>
      </c>
      <c r="AW72" s="42" t="str">
        <f>VLOOKUP(A72,'[1]Chứng chỉ'!$B$8:$Q$1111,16,0)</f>
        <v>B</v>
      </c>
      <c r="AX72" s="49"/>
      <c r="AY72" s="57" t="s">
        <v>127</v>
      </c>
      <c r="AZ72" s="65">
        <v>38834</v>
      </c>
      <c r="BA72" s="74" t="e">
        <f t="shared" si="32"/>
        <v>#REF!</v>
      </c>
      <c r="BB72" s="74" t="e">
        <f t="shared" si="33"/>
        <v>#REF!</v>
      </c>
      <c r="BC72" s="61" t="s">
        <v>128</v>
      </c>
      <c r="BD72" s="62"/>
    </row>
    <row r="73" spans="1:56" ht="51" x14ac:dyDescent="0.3">
      <c r="A73" s="41" t="s">
        <v>634</v>
      </c>
      <c r="B73" s="42">
        <f t="shared" si="0"/>
        <v>67</v>
      </c>
      <c r="C73" s="68" t="s">
        <v>635</v>
      </c>
      <c r="D73" s="41" t="s">
        <v>634</v>
      </c>
      <c r="E73" s="61">
        <v>1596012579</v>
      </c>
      <c r="F73" s="64"/>
      <c r="G73" s="49" t="s">
        <v>636</v>
      </c>
      <c r="H73" s="100">
        <v>24936</v>
      </c>
      <c r="I73" s="47"/>
      <c r="J73" s="66">
        <f t="shared" ca="1" si="34"/>
        <v>58</v>
      </c>
      <c r="K73" s="75" t="s">
        <v>637</v>
      </c>
      <c r="L73" s="41" t="s">
        <v>638</v>
      </c>
      <c r="M73" s="53" t="s">
        <v>67</v>
      </c>
      <c r="N73" s="66"/>
      <c r="O73" s="53" t="s">
        <v>639</v>
      </c>
      <c r="P73" s="49" t="s">
        <v>343</v>
      </c>
      <c r="Q73" s="49" t="s">
        <v>94</v>
      </c>
      <c r="R73" s="49"/>
      <c r="S73" s="49" t="s">
        <v>73</v>
      </c>
      <c r="T73" s="53" t="s">
        <v>97</v>
      </c>
      <c r="U73" s="53" t="s">
        <v>94</v>
      </c>
      <c r="V73" s="49" t="str">
        <f t="shared" si="31"/>
        <v>Phường Vĩnh Trại, Thành phố Lạng Sơn, Tỉnh Lạng Sơn</v>
      </c>
      <c r="W73" s="86" t="s">
        <v>640</v>
      </c>
      <c r="X73" s="41"/>
      <c r="Y73" s="41"/>
      <c r="Z73" s="41"/>
      <c r="AA73" s="68">
        <f>VLOOKUP(A73,'[1]DANH SÁCH'!$B$8:$AD$841,12,0)</f>
        <v>0</v>
      </c>
      <c r="AB73" s="49" t="str">
        <f>VLOOKUP(A73,'[1]DANH SÁCH'!$B$8:$H$841,6,0)</f>
        <v>TĐ004</v>
      </c>
      <c r="AC73" s="69" t="str">
        <f>VLOOKUP(A73,'[1]DANH SÁCH'!$B$8:$J$841,9,0)</f>
        <v>Nội Tổng hợp</v>
      </c>
      <c r="AD73" s="69" t="str">
        <f>VLOOKUP(A73,'[1]DANH SÁCH'!$B$8:$AC$841,10,0)</f>
        <v>KP007</v>
      </c>
      <c r="AE73" s="69" t="str">
        <f>VLOOKUP(A73,'[1]DANH SÁCH'!$B$8:$AD$841,13,0)</f>
        <v>Viên chức</v>
      </c>
      <c r="AF73" s="41" t="s">
        <v>79</v>
      </c>
      <c r="AG73" s="42" t="str">
        <f>VLOOKUP(A73,'[1]DANH SÁCH'!$B$8:$H$841,7,0)</f>
        <v>Bác sĩ chính (hạng II)</v>
      </c>
      <c r="AH73" s="45">
        <v>5.08</v>
      </c>
      <c r="AI73" s="42">
        <v>3</v>
      </c>
      <c r="AJ73" s="70">
        <v>0</v>
      </c>
      <c r="AK73" s="69">
        <v>44986</v>
      </c>
      <c r="AL73" s="71" t="s">
        <v>80</v>
      </c>
      <c r="AM73" s="53" t="str">
        <f>VLOOKUP(A73,'[1]DANH SÁCH'!$B$8:$F$841,5,0)</f>
        <v>Thạc sỹ</v>
      </c>
      <c r="AN73" s="53" t="s">
        <v>138</v>
      </c>
      <c r="AO73" s="53" t="s">
        <v>641</v>
      </c>
      <c r="AP73" s="53">
        <v>2011</v>
      </c>
      <c r="AQ73" s="72" t="s">
        <v>113</v>
      </c>
      <c r="AR73" s="42">
        <f>VLOOKUP(A73,'[1]Chứng chỉ'!$B$8:$Q$1111,11,0)</f>
        <v>0</v>
      </c>
      <c r="AS73" s="42">
        <f>VLOOKUP(A73,'[1]Chứng chỉ'!$B$8:$Q$1111,12,0)</f>
        <v>0</v>
      </c>
      <c r="AT73" s="47">
        <f>VLOOKUP(A73,'[1]Chứng chỉ'!$B$8:$Q$1111,13,0)</f>
        <v>0</v>
      </c>
      <c r="AU73" s="42" t="str">
        <f>VLOOKUP(A73,'[1]Chứng chỉ'!$B$8:$Q$1111,14,0)</f>
        <v>Anh C</v>
      </c>
      <c r="AV73" s="42" t="str">
        <f>VLOOKUP(A73,'[1]Chứng chỉ'!$B$8:$Q$1111,15,0)</f>
        <v>Tày</v>
      </c>
      <c r="AW73" s="42" t="str">
        <f>VLOOKUP(A73,'[1]Chứng chỉ'!$B$8:$Q$1111,16,0)</f>
        <v>B</v>
      </c>
      <c r="AX73" s="53"/>
      <c r="AY73" s="57" t="s">
        <v>85</v>
      </c>
      <c r="AZ73" s="65"/>
      <c r="BA73" s="74" t="e">
        <f t="shared" si="32"/>
        <v>#REF!</v>
      </c>
      <c r="BB73" s="74" t="e">
        <f t="shared" si="33"/>
        <v>#REF!</v>
      </c>
      <c r="BC73" s="61" t="s">
        <v>128</v>
      </c>
      <c r="BD73" s="62"/>
    </row>
    <row r="74" spans="1:56" ht="40.799999999999997" x14ac:dyDescent="0.3">
      <c r="A74" s="47" t="s">
        <v>642</v>
      </c>
      <c r="B74" s="42">
        <f t="shared" si="0"/>
        <v>68</v>
      </c>
      <c r="C74" s="110" t="s">
        <v>643</v>
      </c>
      <c r="D74" s="47" t="s">
        <v>642</v>
      </c>
      <c r="E74" s="61" t="s">
        <v>644</v>
      </c>
      <c r="F74" s="64"/>
      <c r="G74" s="49" t="s">
        <v>645</v>
      </c>
      <c r="H74" s="65"/>
      <c r="I74" s="65">
        <v>34177</v>
      </c>
      <c r="J74" s="66">
        <f t="shared" ref="J74:J78" ca="1" si="35">INT(DATEDIF(I74,$J$2,"d")/365)</f>
        <v>33</v>
      </c>
      <c r="K74" s="46" t="s">
        <v>646</v>
      </c>
      <c r="L74" s="46" t="s">
        <v>647</v>
      </c>
      <c r="M74" s="53" t="s">
        <v>67</v>
      </c>
      <c r="N74" s="52" t="s">
        <v>648</v>
      </c>
      <c r="O74" s="56" t="s">
        <v>649</v>
      </c>
      <c r="P74" s="47" t="s">
        <v>221</v>
      </c>
      <c r="Q74" s="47" t="s">
        <v>71</v>
      </c>
      <c r="R74" s="64" t="s">
        <v>650</v>
      </c>
      <c r="S74" s="47" t="s">
        <v>649</v>
      </c>
      <c r="T74" s="56" t="s">
        <v>221</v>
      </c>
      <c r="U74" s="56" t="s">
        <v>71</v>
      </c>
      <c r="V74" s="47" t="s">
        <v>651</v>
      </c>
      <c r="W74" s="67" t="s">
        <v>652</v>
      </c>
      <c r="X74" s="67" t="s">
        <v>652</v>
      </c>
      <c r="Y74" s="46"/>
      <c r="Z74" s="46"/>
      <c r="AA74" s="68">
        <f>VLOOKUP(A74,'[1]DANH SÁCH'!$B$8:$AD$841,12,0)</f>
        <v>0</v>
      </c>
      <c r="AB74" s="49" t="str">
        <f>VLOOKUP(A74,'[1]DANH SÁCH'!$B$8:$H$841,6,0)</f>
        <v>TĐ003</v>
      </c>
      <c r="AC74" s="69" t="str">
        <f>VLOOKUP(A74,'[1]DANH SÁCH'!$B$8:$J$841,9,0)</f>
        <v>Nội Tiêu hóa</v>
      </c>
      <c r="AD74" s="69" t="str">
        <f>VLOOKUP(A74,'[1]DANH SÁCH'!$B$8:$AC$841,10,0)</f>
        <v>KP008</v>
      </c>
      <c r="AE74" s="69" t="str">
        <f>VLOOKUP(A74,'[1]DANH SÁCH'!$B$8:$AD$841,13,0)</f>
        <v>Viên chức</v>
      </c>
      <c r="AF74" s="41" t="s">
        <v>274</v>
      </c>
      <c r="AG74" s="42" t="str">
        <f>VLOOKUP(A74,'[1]DANH SÁCH'!$B$8:$H$841,7,0)</f>
        <v>Bác sĩ (hạng III)</v>
      </c>
      <c r="AH74" s="45">
        <v>3</v>
      </c>
      <c r="AI74" s="42">
        <v>3</v>
      </c>
      <c r="AJ74" s="70">
        <v>0</v>
      </c>
      <c r="AK74" s="69">
        <v>45689</v>
      </c>
      <c r="AL74" s="71" t="s">
        <v>80</v>
      </c>
      <c r="AM74" s="53" t="str">
        <f>VLOOKUP(A74,'[1]DANH SÁCH'!$B$8:$F$841,5,0)</f>
        <v>BSCKI</v>
      </c>
      <c r="AN74" s="53" t="s">
        <v>372</v>
      </c>
      <c r="AO74" s="53"/>
      <c r="AP74" s="53"/>
      <c r="AQ74" s="72"/>
      <c r="AR74" s="42">
        <f>VLOOKUP(A74,'[1]Chứng chỉ'!$B$8:$Q$1111,11,0)</f>
        <v>0</v>
      </c>
      <c r="AS74" s="42">
        <f>VLOOKUP(A74,'[1]Chứng chỉ'!$B$8:$Q$1111,12,0)</f>
        <v>0</v>
      </c>
      <c r="AT74" s="47">
        <f>VLOOKUP(A74,'[1]Chứng chỉ'!$B$8:$Q$1111,13,0)</f>
        <v>0</v>
      </c>
      <c r="AU74" s="42" t="str">
        <f>VLOOKUP(A74,'[1]Chứng chỉ'!$B$8:$Q$1111,14,0)</f>
        <v>Anh A2</v>
      </c>
      <c r="AV74" s="42">
        <f>VLOOKUP(A74,'[1]Chứng chỉ'!$B$8:$Q$1111,15,0)</f>
        <v>0</v>
      </c>
      <c r="AW74" s="42" t="str">
        <f>VLOOKUP(A74,'[1]Chứng chỉ'!$B$8:$Q$1111,16,0)</f>
        <v>IC3</v>
      </c>
      <c r="AX74" s="56"/>
      <c r="AY74" s="73" t="s">
        <v>85</v>
      </c>
      <c r="AZ74" s="65">
        <v>42868</v>
      </c>
      <c r="BA74" s="74"/>
      <c r="BB74" s="74"/>
      <c r="BC74" s="61" t="s">
        <v>128</v>
      </c>
      <c r="BD74" s="62"/>
    </row>
    <row r="75" spans="1:56" ht="40.799999999999997" x14ac:dyDescent="0.3">
      <c r="A75" s="46" t="s">
        <v>653</v>
      </c>
      <c r="B75" s="42">
        <f t="shared" si="0"/>
        <v>69</v>
      </c>
      <c r="C75" s="93" t="s">
        <v>654</v>
      </c>
      <c r="D75" s="46" t="s">
        <v>653</v>
      </c>
      <c r="E75" s="61" t="s">
        <v>655</v>
      </c>
      <c r="F75" s="64"/>
      <c r="G75" s="49" t="s">
        <v>656</v>
      </c>
      <c r="H75" s="46"/>
      <c r="I75" s="101">
        <v>33817</v>
      </c>
      <c r="J75" s="66">
        <f t="shared" ca="1" si="35"/>
        <v>34</v>
      </c>
      <c r="K75" s="75" t="s">
        <v>657</v>
      </c>
      <c r="L75" s="102" t="s">
        <v>658</v>
      </c>
      <c r="M75" s="53" t="s">
        <v>67</v>
      </c>
      <c r="N75" s="52" t="s">
        <v>659</v>
      </c>
      <c r="O75" s="56" t="s">
        <v>660</v>
      </c>
      <c r="P75" s="47" t="s">
        <v>661</v>
      </c>
      <c r="Q75" s="47" t="s">
        <v>71</v>
      </c>
      <c r="R75" s="103" t="s">
        <v>659</v>
      </c>
      <c r="S75" s="47"/>
      <c r="T75" s="56"/>
      <c r="U75" s="56"/>
      <c r="V75" s="103" t="s">
        <v>659</v>
      </c>
      <c r="W75" s="104" t="s">
        <v>384</v>
      </c>
      <c r="X75" s="46" t="s">
        <v>385</v>
      </c>
      <c r="Y75" s="92">
        <v>572</v>
      </c>
      <c r="Z75" s="92" t="s">
        <v>386</v>
      </c>
      <c r="AA75" s="68">
        <f>VLOOKUP(A75,'[1]DANH SÁCH'!$B$8:$AD$841,12,0)</f>
        <v>0</v>
      </c>
      <c r="AB75" s="49" t="str">
        <f>VLOOKUP(A75,'[1]DANH SÁCH'!$B$8:$H$841,6,0)</f>
        <v>TĐ003</v>
      </c>
      <c r="AC75" s="69" t="str">
        <f>VLOOKUP(A75,'[1]DANH SÁCH'!$B$8:$J$841,9,0)</f>
        <v>Nội Tổng hợp</v>
      </c>
      <c r="AD75" s="69" t="str">
        <f>VLOOKUP(A75,'[1]DANH SÁCH'!$B$8:$AC$841,10,0)</f>
        <v>KP007</v>
      </c>
      <c r="AE75" s="69" t="str">
        <f>VLOOKUP(A75,'[1]DANH SÁCH'!$B$8:$AD$841,13,0)</f>
        <v>Viên chức</v>
      </c>
      <c r="AF75" s="41" t="s">
        <v>274</v>
      </c>
      <c r="AG75" s="92" t="s">
        <v>296</v>
      </c>
      <c r="AH75" s="45">
        <v>3</v>
      </c>
      <c r="AI75" s="42">
        <v>3</v>
      </c>
      <c r="AJ75" s="70">
        <v>0</v>
      </c>
      <c r="AK75" s="69">
        <v>45474</v>
      </c>
      <c r="AL75" s="71" t="s">
        <v>80</v>
      </c>
      <c r="AM75" s="53" t="str">
        <f>VLOOKUP(A75,'[1]DANH SÁCH'!$B$8:$F$841,5,0)</f>
        <v>BSCKI</v>
      </c>
      <c r="AN75" s="53" t="s">
        <v>138</v>
      </c>
      <c r="AO75" s="53" t="s">
        <v>662</v>
      </c>
      <c r="AP75" s="53">
        <v>2017</v>
      </c>
      <c r="AQ75" s="72" t="s">
        <v>113</v>
      </c>
      <c r="AR75" s="42">
        <f>VLOOKUP(A75,'[1]Chứng chỉ'!$B$8:$Q$1111,11,0)</f>
        <v>0</v>
      </c>
      <c r="AS75" s="42">
        <f>VLOOKUP(A75,'[1]Chứng chỉ'!$B$8:$Q$1111,12,0)</f>
        <v>0</v>
      </c>
      <c r="AT75" s="47" t="s">
        <v>139</v>
      </c>
      <c r="AU75" s="42" t="str">
        <f>VLOOKUP(A75,'[1]Chứng chỉ'!$B$8:$Q$1111,14,0)</f>
        <v>Anh A2</v>
      </c>
      <c r="AV75" s="42" t="str">
        <f>VLOOKUP(A75,'[1]Chứng chỉ'!$B$8:$Q$1111,15,0)</f>
        <v>Tày</v>
      </c>
      <c r="AW75" s="42" t="str">
        <f>VLOOKUP(A75,'[1]Chứng chỉ'!$B$8:$Q$1111,16,0)</f>
        <v>IC3</v>
      </c>
      <c r="AX75" s="56"/>
      <c r="AY75" s="73" t="s">
        <v>127</v>
      </c>
      <c r="AZ75" s="65"/>
      <c r="BA75" s="74" t="e">
        <f t="shared" ref="BA75:BA87" si="36">VLOOKUP(A75,#REF!,4,0)</f>
        <v>#REF!</v>
      </c>
      <c r="BB75" s="74" t="e">
        <f t="shared" ref="BB75:BB87" si="37">VLOOKUP(A75,#REF!,5,0)</f>
        <v>#REF!</v>
      </c>
      <c r="BC75" s="61" t="s">
        <v>128</v>
      </c>
      <c r="BD75" s="62"/>
    </row>
    <row r="76" spans="1:56" ht="61.2" x14ac:dyDescent="0.3">
      <c r="A76" s="41" t="s">
        <v>663</v>
      </c>
      <c r="B76" s="42">
        <f t="shared" si="0"/>
        <v>70</v>
      </c>
      <c r="C76" s="68" t="s">
        <v>664</v>
      </c>
      <c r="D76" s="41" t="s">
        <v>663</v>
      </c>
      <c r="E76" s="61">
        <v>1505002498</v>
      </c>
      <c r="F76" s="64"/>
      <c r="G76" s="49" t="s">
        <v>665</v>
      </c>
      <c r="H76" s="76"/>
      <c r="I76" s="76">
        <v>29132</v>
      </c>
      <c r="J76" s="66">
        <f t="shared" ca="1" si="35"/>
        <v>46</v>
      </c>
      <c r="K76" s="75" t="s">
        <v>666</v>
      </c>
      <c r="L76" s="41" t="s">
        <v>667</v>
      </c>
      <c r="M76" s="53" t="s">
        <v>67</v>
      </c>
      <c r="N76" s="66"/>
      <c r="O76" s="53"/>
      <c r="P76" s="49" t="s">
        <v>668</v>
      </c>
      <c r="Q76" s="49" t="s">
        <v>669</v>
      </c>
      <c r="R76" s="49"/>
      <c r="S76" s="49" t="s">
        <v>166</v>
      </c>
      <c r="T76" s="53" t="s">
        <v>97</v>
      </c>
      <c r="U76" s="53" t="s">
        <v>94</v>
      </c>
      <c r="V76" s="49" t="str">
        <f t="shared" ref="V76:V101" si="38">S76&amp;", "&amp;T76&amp;", "&amp;U76</f>
        <v>Phường Tam Thanh, Thành phố Lạng Sơn, Tỉnh Lạng Sơn</v>
      </c>
      <c r="W76" s="55" t="s">
        <v>266</v>
      </c>
      <c r="X76" s="41"/>
      <c r="Y76" s="41"/>
      <c r="Z76" s="41"/>
      <c r="AA76" s="68" t="str">
        <f>VLOOKUP(A76,'[1]DANH SÁCH'!$B$8:$AD$841,12,0)</f>
        <v>Điều dưỡng trưởng</v>
      </c>
      <c r="AB76" s="49" t="str">
        <f>VLOOKUP(A76,'[1]DANH SÁCH'!$B$8:$H$841,6,0)</f>
        <v>TĐ011</v>
      </c>
      <c r="AC76" s="69" t="str">
        <f>VLOOKUP(A76,'[1]DANH SÁCH'!$B$8:$J$841,9,0)</f>
        <v>Nội Tổng hợp</v>
      </c>
      <c r="AD76" s="69" t="str">
        <f>VLOOKUP(A76,'[1]DANH SÁCH'!$B$8:$AC$841,10,0)</f>
        <v>KP007</v>
      </c>
      <c r="AE76" s="69" t="str">
        <f>VLOOKUP(A76,'[1]DANH SÁCH'!$B$8:$AD$841,13,0)</f>
        <v>Viên chức</v>
      </c>
      <c r="AF76" s="41" t="s">
        <v>147</v>
      </c>
      <c r="AG76" s="42" t="str">
        <f>VLOOKUP(A76,'[1]DANH SÁCH'!$B$8:$H$841,7,0)</f>
        <v>Điều dưỡng (hạng III)</v>
      </c>
      <c r="AH76" s="45">
        <v>3.99</v>
      </c>
      <c r="AI76" s="42">
        <v>6</v>
      </c>
      <c r="AJ76" s="70">
        <v>0</v>
      </c>
      <c r="AK76" s="69">
        <v>45170</v>
      </c>
      <c r="AL76" s="71" t="s">
        <v>80</v>
      </c>
      <c r="AM76" s="53" t="str">
        <f>VLOOKUP(A76,'[1]DANH SÁCH'!$B$8:$F$841,5,0)</f>
        <v>Điều dưỡng ĐH</v>
      </c>
      <c r="AN76" s="53"/>
      <c r="AO76" s="53" t="s">
        <v>297</v>
      </c>
      <c r="AP76" s="53">
        <v>2010</v>
      </c>
      <c r="AQ76" s="72" t="s">
        <v>113</v>
      </c>
      <c r="AR76" s="42" t="s">
        <v>82</v>
      </c>
      <c r="AS76" s="42" t="s">
        <v>670</v>
      </c>
      <c r="AT76" s="47" t="s">
        <v>139</v>
      </c>
      <c r="AU76" s="42" t="str">
        <f>VLOOKUP(A76,'[1]Chứng chỉ'!$B$8:$Q$1111,14,0)</f>
        <v>Anh B</v>
      </c>
      <c r="AV76" s="42" t="str">
        <f>VLOOKUP(A76,'[1]Chứng chỉ'!$B$8:$Q$1111,15,0)</f>
        <v>Tày</v>
      </c>
      <c r="AW76" s="42" t="str">
        <f>VLOOKUP(A76,'[1]Chứng chỉ'!$B$8:$Q$1111,16,0)</f>
        <v>B</v>
      </c>
      <c r="AX76" s="53"/>
      <c r="AY76" s="57" t="s">
        <v>87</v>
      </c>
      <c r="AZ76" s="65">
        <v>37685</v>
      </c>
      <c r="BA76" s="74" t="e">
        <f t="shared" si="36"/>
        <v>#REF!</v>
      </c>
      <c r="BB76" s="74" t="e">
        <f t="shared" si="37"/>
        <v>#REF!</v>
      </c>
      <c r="BC76" s="61" t="s">
        <v>128</v>
      </c>
      <c r="BD76" s="62"/>
    </row>
    <row r="77" spans="1:56" ht="51" x14ac:dyDescent="0.3">
      <c r="A77" s="41" t="s">
        <v>671</v>
      </c>
      <c r="B77" s="42">
        <f t="shared" si="0"/>
        <v>71</v>
      </c>
      <c r="C77" s="68" t="s">
        <v>672</v>
      </c>
      <c r="D77" s="41" t="s">
        <v>671</v>
      </c>
      <c r="E77" s="61">
        <v>2009000924</v>
      </c>
      <c r="F77" s="64"/>
      <c r="G77" s="49" t="s">
        <v>673</v>
      </c>
      <c r="H77" s="76"/>
      <c r="I77" s="76">
        <v>31713</v>
      </c>
      <c r="J77" s="66">
        <f t="shared" ca="1" si="35"/>
        <v>39</v>
      </c>
      <c r="K77" s="75" t="s">
        <v>674</v>
      </c>
      <c r="L77" s="41" t="s">
        <v>675</v>
      </c>
      <c r="M77" s="53" t="s">
        <v>67</v>
      </c>
      <c r="N77" s="66" t="s">
        <v>676</v>
      </c>
      <c r="O77" s="53" t="s">
        <v>677</v>
      </c>
      <c r="P77" s="76" t="s">
        <v>222</v>
      </c>
      <c r="Q77" s="49" t="s">
        <v>94</v>
      </c>
      <c r="R77" s="49"/>
      <c r="S77" s="49" t="s">
        <v>677</v>
      </c>
      <c r="T77" s="85" t="s">
        <v>222</v>
      </c>
      <c r="U77" s="53" t="s">
        <v>94</v>
      </c>
      <c r="V77" s="49" t="str">
        <f t="shared" si="38"/>
        <v>Xã Thượng Cường, Huyện Chi Lăng, Tỉnh Lạng Sơn</v>
      </c>
      <c r="W77" s="55" t="s">
        <v>678</v>
      </c>
      <c r="X77" s="41"/>
      <c r="Y77" s="41"/>
      <c r="Z77" s="41"/>
      <c r="AA77" s="68">
        <f>VLOOKUP(A77,'[1]DANH SÁCH'!$B$8:$AD$841,12,0)</f>
        <v>0</v>
      </c>
      <c r="AB77" s="49" t="str">
        <f>VLOOKUP(A77,'[1]DANH SÁCH'!$B$8:$H$841,6,0)</f>
        <v>TĐ012</v>
      </c>
      <c r="AC77" s="69" t="str">
        <f>VLOOKUP(A77,'[1]DANH SÁCH'!$B$8:$J$841,9,0)</f>
        <v>Nội Tiêu hóa</v>
      </c>
      <c r="AD77" s="69" t="str">
        <f>VLOOKUP(A77,'[1]DANH SÁCH'!$B$8:$AC$841,10,0)</f>
        <v>KP008</v>
      </c>
      <c r="AE77" s="69" t="str">
        <f>VLOOKUP(A77,'[1]DANH SÁCH'!$B$8:$AD$841,13,0)</f>
        <v>Viên chức</v>
      </c>
      <c r="AF77" s="41" t="s">
        <v>157</v>
      </c>
      <c r="AG77" s="42" t="str">
        <f>VLOOKUP(A77,'[1]DANH SÁCH'!$B$8:$H$841,7,0)</f>
        <v>Điều dưỡng (hạng IV)</v>
      </c>
      <c r="AH77" s="45">
        <v>3.34</v>
      </c>
      <c r="AI77" s="42">
        <v>5</v>
      </c>
      <c r="AJ77" s="70">
        <v>0</v>
      </c>
      <c r="AK77" s="69">
        <v>44927</v>
      </c>
      <c r="AL77" s="71" t="s">
        <v>158</v>
      </c>
      <c r="AM77" s="53" t="str">
        <f>VLOOKUP(A77,'[1]DANH SÁCH'!$B$8:$F$841,5,0)</f>
        <v>Điều dưỡng CĐ</v>
      </c>
      <c r="AN77" s="53"/>
      <c r="AO77" s="53" t="s">
        <v>316</v>
      </c>
      <c r="AP77" s="53">
        <v>2007</v>
      </c>
      <c r="AQ77" s="72" t="s">
        <v>113</v>
      </c>
      <c r="AR77" s="42">
        <f>VLOOKUP(A77,'[1]Chứng chỉ'!$B$8:$Q$1111,11,0)</f>
        <v>0</v>
      </c>
      <c r="AS77" s="42">
        <f>VLOOKUP(A77,'[1]Chứng chỉ'!$B$8:$Q$1111,12,0)</f>
        <v>0</v>
      </c>
      <c r="AT77" s="47" t="s">
        <v>139</v>
      </c>
      <c r="AU77" s="42">
        <f>VLOOKUP(A77,'[1]Chứng chỉ'!$B$8:$Q$1111,14,0)</f>
        <v>0</v>
      </c>
      <c r="AV77" s="42" t="str">
        <f>VLOOKUP(A77,'[1]Chứng chỉ'!$B$8:$Q$1111,15,0)</f>
        <v>Tày</v>
      </c>
      <c r="AW77" s="42" t="str">
        <f>VLOOKUP(A77,'[1]Chứng chỉ'!$B$8:$Q$1111,16,0)</f>
        <v>B</v>
      </c>
      <c r="AX77" s="53"/>
      <c r="AY77" s="57" t="s">
        <v>127</v>
      </c>
      <c r="AZ77" s="65"/>
      <c r="BA77" s="74" t="e">
        <f t="shared" si="36"/>
        <v>#REF!</v>
      </c>
      <c r="BB77" s="74" t="e">
        <f t="shared" si="37"/>
        <v>#REF!</v>
      </c>
      <c r="BC77" s="61" t="s">
        <v>679</v>
      </c>
      <c r="BD77" s="62"/>
    </row>
    <row r="78" spans="1:56" ht="51" x14ac:dyDescent="0.3">
      <c r="A78" s="41" t="s">
        <v>680</v>
      </c>
      <c r="B78" s="42">
        <f t="shared" si="0"/>
        <v>72</v>
      </c>
      <c r="C78" s="68" t="s">
        <v>681</v>
      </c>
      <c r="D78" s="41" t="s">
        <v>680</v>
      </c>
      <c r="E78" s="61">
        <v>2010000145</v>
      </c>
      <c r="F78" s="64"/>
      <c r="G78" s="49" t="s">
        <v>682</v>
      </c>
      <c r="H78" s="76"/>
      <c r="I78" s="76">
        <v>31486</v>
      </c>
      <c r="J78" s="66">
        <f t="shared" ca="1" si="35"/>
        <v>40</v>
      </c>
      <c r="K78" s="75" t="s">
        <v>683</v>
      </c>
      <c r="L78" s="41" t="s">
        <v>684</v>
      </c>
      <c r="M78" s="53" t="s">
        <v>67</v>
      </c>
      <c r="N78" s="66"/>
      <c r="O78" s="53" t="s">
        <v>685</v>
      </c>
      <c r="P78" s="49" t="s">
        <v>182</v>
      </c>
      <c r="Q78" s="49" t="s">
        <v>94</v>
      </c>
      <c r="R78" s="49"/>
      <c r="S78" s="49" t="s">
        <v>214</v>
      </c>
      <c r="T78" s="53" t="s">
        <v>97</v>
      </c>
      <c r="U78" s="53" t="s">
        <v>94</v>
      </c>
      <c r="V78" s="49" t="str">
        <f t="shared" si="38"/>
        <v>Xã Hoàng Đồng, Thành phố Lạng Sơn, Tỉnh Lạng Sơn</v>
      </c>
      <c r="W78" s="55" t="s">
        <v>236</v>
      </c>
      <c r="X78" s="41"/>
      <c r="Y78" s="41"/>
      <c r="Z78" s="41"/>
      <c r="AA78" s="68">
        <f>VLOOKUP(A78,'[1]DANH SÁCH'!$B$8:$AD$841,12,0)</f>
        <v>0</v>
      </c>
      <c r="AB78" s="49" t="str">
        <f>VLOOKUP(A78,'[1]DANH SÁCH'!$B$8:$H$841,6,0)</f>
        <v>TĐ011</v>
      </c>
      <c r="AC78" s="69" t="str">
        <f>VLOOKUP(A78,'[1]DANH SÁCH'!$B$8:$J$841,9,0)</f>
        <v>Nội Tiêu hóa</v>
      </c>
      <c r="AD78" s="69" t="str">
        <f>VLOOKUP(A78,'[1]DANH SÁCH'!$B$8:$AC$841,10,0)</f>
        <v>KP008</v>
      </c>
      <c r="AE78" s="69" t="str">
        <f>VLOOKUP(A78,'[1]DANH SÁCH'!$B$8:$AD$841,13,0)</f>
        <v>Viên chức</v>
      </c>
      <c r="AF78" s="41" t="s">
        <v>147</v>
      </c>
      <c r="AG78" s="42" t="str">
        <f>VLOOKUP(A78,'[1]DANH SÁCH'!$B$8:$H$841,7,0)</f>
        <v>Điều dưỡng (hạng III)</v>
      </c>
      <c r="AH78" s="45">
        <v>3.66</v>
      </c>
      <c r="AI78" s="42">
        <v>5</v>
      </c>
      <c r="AJ78" s="70">
        <v>0</v>
      </c>
      <c r="AK78" s="69">
        <v>45383</v>
      </c>
      <c r="AL78" s="71" t="s">
        <v>80</v>
      </c>
      <c r="AM78" s="53" t="str">
        <f>VLOOKUP(A78,'[1]DANH SÁCH'!$B$8:$F$841,5,0)</f>
        <v>Điều dưỡng ĐH</v>
      </c>
      <c r="AN78" s="53"/>
      <c r="AO78" s="53" t="s">
        <v>316</v>
      </c>
      <c r="AP78" s="53">
        <v>2008</v>
      </c>
      <c r="AQ78" s="72" t="s">
        <v>113</v>
      </c>
      <c r="AR78" s="42">
        <f>VLOOKUP(A78,'[1]Chứng chỉ'!$B$8:$Q$1111,11,0)</f>
        <v>0</v>
      </c>
      <c r="AS78" s="42">
        <f>VLOOKUP(A78,'[1]Chứng chỉ'!$B$8:$Q$1111,12,0)</f>
        <v>0</v>
      </c>
      <c r="AT78" s="47" t="s">
        <v>139</v>
      </c>
      <c r="AU78" s="42" t="str">
        <f>VLOOKUP(A78,'[1]Chứng chỉ'!$B$8:$Q$1111,14,0)</f>
        <v>TOEIC</v>
      </c>
      <c r="AV78" s="42" t="str">
        <f>VLOOKUP(A78,'[1]Chứng chỉ'!$B$8:$Q$1111,15,0)</f>
        <v>Tày</v>
      </c>
      <c r="AW78" s="42" t="str">
        <f>VLOOKUP(A78,'[1]Chứng chỉ'!$B$8:$Q$1111,16,0)</f>
        <v>Cơ bản</v>
      </c>
      <c r="AX78" s="53"/>
      <c r="AY78" s="57" t="s">
        <v>127</v>
      </c>
      <c r="AZ78" s="65"/>
      <c r="BA78" s="74" t="e">
        <f t="shared" si="36"/>
        <v>#REF!</v>
      </c>
      <c r="BB78" s="74" t="e">
        <f t="shared" si="37"/>
        <v>#REF!</v>
      </c>
      <c r="BC78" s="81"/>
      <c r="BD78" s="47"/>
    </row>
    <row r="79" spans="1:56" ht="61.2" x14ac:dyDescent="0.3">
      <c r="A79" s="41" t="s">
        <v>686</v>
      </c>
      <c r="B79" s="42">
        <f t="shared" si="0"/>
        <v>73</v>
      </c>
      <c r="C79" s="68" t="s">
        <v>687</v>
      </c>
      <c r="D79" s="41" t="s">
        <v>686</v>
      </c>
      <c r="E79" s="61">
        <v>2008002392</v>
      </c>
      <c r="F79" s="64"/>
      <c r="G79" s="49" t="s">
        <v>688</v>
      </c>
      <c r="H79" s="76">
        <v>31532</v>
      </c>
      <c r="I79" s="76"/>
      <c r="J79" s="66">
        <f ca="1">INT(DATEDIF(H79,$J$2,"d")/365)</f>
        <v>40</v>
      </c>
      <c r="K79" s="75" t="s">
        <v>689</v>
      </c>
      <c r="L79" s="41" t="s">
        <v>690</v>
      </c>
      <c r="M79" s="53" t="s">
        <v>67</v>
      </c>
      <c r="N79" s="66" t="s">
        <v>691</v>
      </c>
      <c r="O79" s="53"/>
      <c r="P79" s="49" t="s">
        <v>195</v>
      </c>
      <c r="Q79" s="49" t="s">
        <v>94</v>
      </c>
      <c r="R79" s="49"/>
      <c r="S79" s="49" t="s">
        <v>166</v>
      </c>
      <c r="T79" s="53" t="s">
        <v>97</v>
      </c>
      <c r="U79" s="53" t="s">
        <v>94</v>
      </c>
      <c r="V79" s="49" t="str">
        <f t="shared" si="38"/>
        <v>Phường Tam Thanh, Thành phố Lạng Sơn, Tỉnh Lạng Sơn</v>
      </c>
      <c r="W79" s="55" t="s">
        <v>98</v>
      </c>
      <c r="X79" s="41"/>
      <c r="Y79" s="41"/>
      <c r="Z79" s="41"/>
      <c r="AA79" s="68">
        <f>VLOOKUP(A79,'[1]DANH SÁCH'!$B$8:$AD$841,12,0)</f>
        <v>0</v>
      </c>
      <c r="AB79" s="49" t="str">
        <f>VLOOKUP(A79,'[1]DANH SÁCH'!$B$8:$H$841,6,0)</f>
        <v>TĐ012</v>
      </c>
      <c r="AC79" s="69" t="str">
        <f>VLOOKUP(A79,'[1]DANH SÁCH'!$B$8:$J$841,9,0)</f>
        <v>Truyền nhiễm</v>
      </c>
      <c r="AD79" s="69" t="str">
        <f>VLOOKUP(A79,'[1]DANH SÁCH'!$B$8:$AC$841,10,0)</f>
        <v>KP018</v>
      </c>
      <c r="AE79" s="69" t="str">
        <f>VLOOKUP(A79,'[1]DANH SÁCH'!$B$8:$AD$841,13,0)</f>
        <v>Viên chức</v>
      </c>
      <c r="AF79" s="41" t="s">
        <v>157</v>
      </c>
      <c r="AG79" s="42" t="str">
        <f>VLOOKUP(A79,'[1]DANH SÁCH'!$B$8:$H$841,7,0)</f>
        <v>Điều dưỡng (hạng IV)</v>
      </c>
      <c r="AH79" s="45">
        <v>3.65</v>
      </c>
      <c r="AI79" s="42">
        <v>6</v>
      </c>
      <c r="AJ79" s="70">
        <v>0</v>
      </c>
      <c r="AK79" s="69">
        <v>45809</v>
      </c>
      <c r="AL79" s="71" t="s">
        <v>158</v>
      </c>
      <c r="AM79" s="53" t="str">
        <f>VLOOKUP(A79,'[1]DANH SÁCH'!$B$8:$F$841,5,0)</f>
        <v>Điều dưỡng CĐ</v>
      </c>
      <c r="AN79" s="53"/>
      <c r="AO79" s="53" t="s">
        <v>692</v>
      </c>
      <c r="AP79" s="53">
        <v>2007</v>
      </c>
      <c r="AQ79" s="72"/>
      <c r="AR79" s="42">
        <f>VLOOKUP(A79,'[1]Chứng chỉ'!$B$8:$Q$1111,11,0)</f>
        <v>0</v>
      </c>
      <c r="AS79" s="42">
        <f>VLOOKUP(A79,'[1]Chứng chỉ'!$B$8:$Q$1111,12,0)</f>
        <v>0</v>
      </c>
      <c r="AT79" s="47">
        <f>VLOOKUP(A79,'[1]Chứng chỉ'!$B$8:$Q$1111,13,0)</f>
        <v>0</v>
      </c>
      <c r="AU79" s="42">
        <f>VLOOKUP(A79,'[1]Chứng chỉ'!$B$8:$Q$1111,14,0)</f>
        <v>0</v>
      </c>
      <c r="AV79" s="42" t="str">
        <f>VLOOKUP(A79,'[1]Chứng chỉ'!$B$8:$Q$1111,15,0)</f>
        <v>Tày</v>
      </c>
      <c r="AW79" s="42" t="str">
        <f>VLOOKUP(A79,'[1]Chứng chỉ'!$B$8:$Q$1111,16,0)</f>
        <v>Cơ bản</v>
      </c>
      <c r="AX79" s="53"/>
      <c r="AY79" s="57" t="s">
        <v>127</v>
      </c>
      <c r="AZ79" s="65"/>
      <c r="BA79" s="74" t="e">
        <f t="shared" si="36"/>
        <v>#REF!</v>
      </c>
      <c r="BB79" s="74" t="e">
        <f t="shared" si="37"/>
        <v>#REF!</v>
      </c>
      <c r="BC79" s="61" t="s">
        <v>359</v>
      </c>
      <c r="BD79" s="62"/>
    </row>
    <row r="80" spans="1:56" ht="51" x14ac:dyDescent="0.3">
      <c r="A80" s="41" t="s">
        <v>693</v>
      </c>
      <c r="B80" s="42">
        <f t="shared" si="0"/>
        <v>74</v>
      </c>
      <c r="C80" s="68" t="s">
        <v>694</v>
      </c>
      <c r="D80" s="41" t="s">
        <v>693</v>
      </c>
      <c r="E80" s="61">
        <v>1506002933</v>
      </c>
      <c r="F80" s="64"/>
      <c r="G80" s="49" t="s">
        <v>695</v>
      </c>
      <c r="H80" s="76"/>
      <c r="I80" s="76">
        <v>30884</v>
      </c>
      <c r="J80" s="66">
        <f t="shared" ref="J80:J84" ca="1" si="39">INT(DATEDIF(I80,$J$2,"d")/365)</f>
        <v>42</v>
      </c>
      <c r="K80" s="75" t="s">
        <v>696</v>
      </c>
      <c r="L80" s="41" t="s">
        <v>697</v>
      </c>
      <c r="M80" s="53" t="s">
        <v>67</v>
      </c>
      <c r="N80" s="66" t="s">
        <v>698</v>
      </c>
      <c r="O80" s="53" t="s">
        <v>699</v>
      </c>
      <c r="P80" s="49" t="s">
        <v>231</v>
      </c>
      <c r="Q80" s="49" t="s">
        <v>94</v>
      </c>
      <c r="R80" s="49"/>
      <c r="S80" s="49" t="s">
        <v>230</v>
      </c>
      <c r="T80" s="53" t="s">
        <v>231</v>
      </c>
      <c r="U80" s="53" t="s">
        <v>94</v>
      </c>
      <c r="V80" s="49" t="str">
        <f t="shared" si="38"/>
        <v>Thị trấn Đình Lập, Huyện Đình Lập, Tỉnh Lạng Sơn</v>
      </c>
      <c r="W80" s="55" t="s">
        <v>146</v>
      </c>
      <c r="X80" s="41"/>
      <c r="Y80" s="41"/>
      <c r="Z80" s="41"/>
      <c r="AA80" s="68">
        <f>VLOOKUP(A80,'[1]DANH SÁCH'!$B$8:$AD$841,12,0)</f>
        <v>0</v>
      </c>
      <c r="AB80" s="49" t="str">
        <f>VLOOKUP(A80,'[1]DANH SÁCH'!$B$8:$H$841,6,0)</f>
        <v>TĐ011</v>
      </c>
      <c r="AC80" s="69" t="str">
        <f>VLOOKUP(A80,'[1]DANH SÁCH'!$B$8:$J$841,9,0)</f>
        <v>Nội Tiêu hóa</v>
      </c>
      <c r="AD80" s="69" t="str">
        <f>VLOOKUP(A80,'[1]DANH SÁCH'!$B$8:$AC$841,10,0)</f>
        <v>KP008</v>
      </c>
      <c r="AE80" s="69" t="str">
        <f>VLOOKUP(A80,'[1]DANH SÁCH'!$B$8:$AD$841,13,0)</f>
        <v>Viên chức</v>
      </c>
      <c r="AF80" s="41" t="s">
        <v>147</v>
      </c>
      <c r="AG80" s="42" t="str">
        <f>VLOOKUP(A80,'[1]DANH SÁCH'!$B$8:$H$841,7,0)</f>
        <v>Điều dưỡng (hạng III)</v>
      </c>
      <c r="AH80" s="45">
        <v>3.99</v>
      </c>
      <c r="AI80" s="42">
        <v>6</v>
      </c>
      <c r="AJ80" s="70">
        <v>0</v>
      </c>
      <c r="AK80" s="69">
        <v>45778</v>
      </c>
      <c r="AL80" s="71" t="s">
        <v>80</v>
      </c>
      <c r="AM80" s="53" t="str">
        <f>VLOOKUP(A80,'[1]DANH SÁCH'!$B$8:$F$841,5,0)</f>
        <v>Điều dưỡng ĐH</v>
      </c>
      <c r="AN80" s="53"/>
      <c r="AO80" s="53" t="s">
        <v>175</v>
      </c>
      <c r="AP80" s="53">
        <v>2005</v>
      </c>
      <c r="AQ80" s="72" t="s">
        <v>113</v>
      </c>
      <c r="AR80" s="42">
        <f>VLOOKUP(A80,'[1]Chứng chỉ'!$B$8:$Q$1111,11,0)</f>
        <v>0</v>
      </c>
      <c r="AS80" s="42">
        <f>VLOOKUP(A80,'[1]Chứng chỉ'!$B$8:$Q$1111,12,0)</f>
        <v>0</v>
      </c>
      <c r="AT80" s="47">
        <f>VLOOKUP(A80,'[1]Chứng chỉ'!$B$8:$Q$1111,13,0)</f>
        <v>0</v>
      </c>
      <c r="AU80" s="42" t="str">
        <f>VLOOKUP(A80,'[1]Chứng chỉ'!$B$8:$Q$1111,14,0)</f>
        <v>TOEIC</v>
      </c>
      <c r="AV80" s="42" t="str">
        <f>VLOOKUP(A80,'[1]Chứng chỉ'!$B$8:$Q$1111,15,0)</f>
        <v>Tày</v>
      </c>
      <c r="AW80" s="42" t="str">
        <f>VLOOKUP(A80,'[1]Chứng chỉ'!$B$8:$Q$1111,16,0)</f>
        <v>Cơ bản</v>
      </c>
      <c r="AX80" s="53"/>
      <c r="AY80" s="57" t="s">
        <v>85</v>
      </c>
      <c r="AZ80" s="65"/>
      <c r="BA80" s="74" t="e">
        <f t="shared" si="36"/>
        <v>#REF!</v>
      </c>
      <c r="BB80" s="74" t="e">
        <f t="shared" si="37"/>
        <v>#REF!</v>
      </c>
      <c r="BC80" s="61" t="s">
        <v>128</v>
      </c>
      <c r="BD80" s="62"/>
    </row>
    <row r="81" spans="1:56" ht="61.2" x14ac:dyDescent="0.3">
      <c r="A81" s="41" t="s">
        <v>700</v>
      </c>
      <c r="B81" s="42">
        <f t="shared" si="0"/>
        <v>75</v>
      </c>
      <c r="C81" s="68" t="s">
        <v>701</v>
      </c>
      <c r="D81" s="41" t="s">
        <v>700</v>
      </c>
      <c r="E81" s="61">
        <v>2009000942</v>
      </c>
      <c r="F81" s="64"/>
      <c r="G81" s="49" t="s">
        <v>702</v>
      </c>
      <c r="H81" s="76"/>
      <c r="I81" s="76">
        <v>31033</v>
      </c>
      <c r="J81" s="66">
        <f t="shared" ca="1" si="39"/>
        <v>41</v>
      </c>
      <c r="K81" s="75" t="s">
        <v>703</v>
      </c>
      <c r="L81" s="41" t="s">
        <v>704</v>
      </c>
      <c r="M81" s="53" t="s">
        <v>67</v>
      </c>
      <c r="N81" s="66" t="s">
        <v>705</v>
      </c>
      <c r="O81" s="53" t="s">
        <v>706</v>
      </c>
      <c r="P81" s="49" t="s">
        <v>155</v>
      </c>
      <c r="Q81" s="49" t="s">
        <v>94</v>
      </c>
      <c r="R81" s="49"/>
      <c r="S81" s="49" t="s">
        <v>124</v>
      </c>
      <c r="T81" s="53" t="s">
        <v>97</v>
      </c>
      <c r="U81" s="53" t="s">
        <v>94</v>
      </c>
      <c r="V81" s="49" t="str">
        <f t="shared" si="38"/>
        <v>Phường Đông Kinh, Thành phố Lạng Sơn, Tỉnh Lạng Sơn</v>
      </c>
      <c r="W81" s="55" t="s">
        <v>98</v>
      </c>
      <c r="X81" s="41"/>
      <c r="Y81" s="41"/>
      <c r="Z81" s="41"/>
      <c r="AA81" s="68">
        <f>VLOOKUP(A81,'[1]DANH SÁCH'!$B$8:$AD$841,12,0)</f>
        <v>0</v>
      </c>
      <c r="AB81" s="49" t="str">
        <f>VLOOKUP(A81,'[1]DANH SÁCH'!$B$8:$H$841,6,0)</f>
        <v>TĐ012</v>
      </c>
      <c r="AC81" s="69" t="str">
        <f>VLOOKUP(A81,'[1]DANH SÁCH'!$B$8:$J$841,9,0)</f>
        <v>Nội Tổng hợp</v>
      </c>
      <c r="AD81" s="69" t="str">
        <f>VLOOKUP(A81,'[1]DANH SÁCH'!$B$8:$AC$841,10,0)</f>
        <v>KP007</v>
      </c>
      <c r="AE81" s="69" t="str">
        <f>VLOOKUP(A81,'[1]DANH SÁCH'!$B$8:$AD$841,13,0)</f>
        <v>Viên chức</v>
      </c>
      <c r="AF81" s="41" t="s">
        <v>157</v>
      </c>
      <c r="AG81" s="42" t="str">
        <f>VLOOKUP(A81,'[1]DANH SÁCH'!$B$8:$H$841,7,0)</f>
        <v>Điều dưỡng (hạng IV)</v>
      </c>
      <c r="AH81" s="45">
        <v>3.65</v>
      </c>
      <c r="AI81" s="42">
        <v>6</v>
      </c>
      <c r="AJ81" s="70">
        <v>0</v>
      </c>
      <c r="AK81" s="69">
        <v>45839</v>
      </c>
      <c r="AL81" s="71" t="s">
        <v>158</v>
      </c>
      <c r="AM81" s="53" t="str">
        <f>VLOOKUP(A81,'[1]DANH SÁCH'!$B$8:$F$841,5,0)</f>
        <v>Điều dưỡng CĐ</v>
      </c>
      <c r="AN81" s="53"/>
      <c r="AO81" s="53"/>
      <c r="AP81" s="53"/>
      <c r="AQ81" s="72"/>
      <c r="AR81" s="42">
        <f>VLOOKUP(A81,'[1]Chứng chỉ'!$B$8:$Q$1111,11,0)</f>
        <v>0</v>
      </c>
      <c r="AS81" s="42">
        <f>VLOOKUP(A81,'[1]Chứng chỉ'!$B$8:$Q$1111,12,0)</f>
        <v>0</v>
      </c>
      <c r="AT81" s="47" t="s">
        <v>139</v>
      </c>
      <c r="AU81" s="42">
        <f>VLOOKUP(A81,'[1]Chứng chỉ'!$B$8:$Q$1111,14,0)</f>
        <v>0</v>
      </c>
      <c r="AV81" s="42" t="str">
        <f>VLOOKUP(A81,'[1]Chứng chỉ'!$B$8:$Q$1111,15,0)</f>
        <v>Tày</v>
      </c>
      <c r="AW81" s="42" t="str">
        <f>VLOOKUP(A81,'[1]Chứng chỉ'!$B$8:$Q$1111,16,0)</f>
        <v>Cơ bản</v>
      </c>
      <c r="AX81" s="53"/>
      <c r="AY81" s="57" t="s">
        <v>85</v>
      </c>
      <c r="AZ81" s="65"/>
      <c r="BA81" s="74" t="e">
        <f t="shared" si="36"/>
        <v>#REF!</v>
      </c>
      <c r="BB81" s="74" t="e">
        <f t="shared" si="37"/>
        <v>#REF!</v>
      </c>
      <c r="BC81" s="61" t="s">
        <v>359</v>
      </c>
      <c r="BD81" s="62"/>
    </row>
    <row r="82" spans="1:56" ht="61.2" x14ac:dyDescent="0.3">
      <c r="A82" s="41" t="s">
        <v>707</v>
      </c>
      <c r="B82" s="42">
        <f t="shared" si="0"/>
        <v>76</v>
      </c>
      <c r="C82" s="68" t="s">
        <v>708</v>
      </c>
      <c r="D82" s="41" t="s">
        <v>707</v>
      </c>
      <c r="E82" s="61">
        <v>1506001849</v>
      </c>
      <c r="F82" s="64"/>
      <c r="G82" s="49" t="s">
        <v>709</v>
      </c>
      <c r="H82" s="76"/>
      <c r="I82" s="76">
        <v>29621</v>
      </c>
      <c r="J82" s="66">
        <f t="shared" ca="1" si="39"/>
        <v>45</v>
      </c>
      <c r="K82" s="75" t="s">
        <v>710</v>
      </c>
      <c r="L82" s="41" t="s">
        <v>711</v>
      </c>
      <c r="M82" s="53" t="s">
        <v>67</v>
      </c>
      <c r="N82" s="66" t="s">
        <v>712</v>
      </c>
      <c r="O82" s="53"/>
      <c r="P82" s="49" t="s">
        <v>195</v>
      </c>
      <c r="Q82" s="49" t="s">
        <v>94</v>
      </c>
      <c r="R82" s="49"/>
      <c r="S82" s="49" t="s">
        <v>124</v>
      </c>
      <c r="T82" s="85" t="s">
        <v>97</v>
      </c>
      <c r="U82" s="53" t="s">
        <v>94</v>
      </c>
      <c r="V82" s="49" t="str">
        <f t="shared" si="38"/>
        <v>Phường Đông Kinh, Thành phố Lạng Sơn, Tỉnh Lạng Sơn</v>
      </c>
      <c r="W82" s="55" t="s">
        <v>579</v>
      </c>
      <c r="X82" s="41"/>
      <c r="Y82" s="41"/>
      <c r="Z82" s="41"/>
      <c r="AA82" s="68">
        <f>VLOOKUP(A82,'[1]DANH SÁCH'!$B$8:$AD$841,12,0)</f>
        <v>0</v>
      </c>
      <c r="AB82" s="49" t="str">
        <f>VLOOKUP(A82,'[1]DANH SÁCH'!$B$8:$H$841,6,0)</f>
        <v>TĐ011</v>
      </c>
      <c r="AC82" s="69" t="str">
        <f>VLOOKUP(A82,'[1]DANH SÁCH'!$B$8:$J$841,9,0)</f>
        <v>Nội Tiêu hóa</v>
      </c>
      <c r="AD82" s="69" t="str">
        <f>VLOOKUP(A82,'[1]DANH SÁCH'!$B$8:$AC$841,10,0)</f>
        <v>KP008</v>
      </c>
      <c r="AE82" s="69" t="str">
        <f>VLOOKUP(A82,'[1]DANH SÁCH'!$B$8:$AD$841,13,0)</f>
        <v>Viên chức</v>
      </c>
      <c r="AF82" s="41" t="s">
        <v>147</v>
      </c>
      <c r="AG82" s="42" t="str">
        <f>VLOOKUP(A82,'[1]DANH SÁCH'!$B$8:$H$841,7,0)</f>
        <v>Điều dưỡng (hạng III)</v>
      </c>
      <c r="AH82" s="45">
        <v>3.99</v>
      </c>
      <c r="AI82" s="42">
        <v>6</v>
      </c>
      <c r="AJ82" s="70">
        <v>0</v>
      </c>
      <c r="AK82" s="69">
        <v>45778</v>
      </c>
      <c r="AL82" s="71" t="s">
        <v>80</v>
      </c>
      <c r="AM82" s="53" t="str">
        <f>VLOOKUP(A82,'[1]DANH SÁCH'!$B$8:$F$841,5,0)</f>
        <v>Điều dưỡng ĐH</v>
      </c>
      <c r="AN82" s="53"/>
      <c r="AO82" s="53" t="s">
        <v>316</v>
      </c>
      <c r="AP82" s="53">
        <v>2018</v>
      </c>
      <c r="AQ82" s="72" t="s">
        <v>113</v>
      </c>
      <c r="AR82" s="42">
        <f>VLOOKUP(A82,'[1]Chứng chỉ'!$B$8:$Q$1111,11,0)</f>
        <v>0</v>
      </c>
      <c r="AS82" s="42">
        <f>VLOOKUP(A82,'[1]Chứng chỉ'!$B$8:$Q$1111,12,0)</f>
        <v>0</v>
      </c>
      <c r="AT82" s="47" t="str">
        <f>VLOOKUP(A82,'[1]Chứng chỉ'!$B$8:$Q$1111,13,0)</f>
        <v>Sơ cấp</v>
      </c>
      <c r="AU82" s="42" t="str">
        <f>VLOOKUP(A82,'[1]Chứng chỉ'!$B$8:$Q$1111,14,0)</f>
        <v>Anh A2</v>
      </c>
      <c r="AV82" s="42" t="str">
        <f>VLOOKUP(A82,'[1]Chứng chỉ'!$B$8:$Q$1111,15,0)</f>
        <v>Tày</v>
      </c>
      <c r="AW82" s="42" t="str">
        <f>VLOOKUP(A82,'[1]Chứng chỉ'!$B$8:$Q$1111,16,0)</f>
        <v>Cơ bản</v>
      </c>
      <c r="AX82" s="53"/>
      <c r="AY82" s="57" t="s">
        <v>85</v>
      </c>
      <c r="AZ82" s="65"/>
      <c r="BA82" s="74" t="e">
        <f t="shared" si="36"/>
        <v>#REF!</v>
      </c>
      <c r="BB82" s="74" t="e">
        <f t="shared" si="37"/>
        <v>#REF!</v>
      </c>
      <c r="BC82" s="61" t="s">
        <v>128</v>
      </c>
      <c r="BD82" s="62"/>
    </row>
    <row r="83" spans="1:56" ht="51" x14ac:dyDescent="0.3">
      <c r="A83" s="41" t="s">
        <v>713</v>
      </c>
      <c r="B83" s="42">
        <f t="shared" si="0"/>
        <v>77</v>
      </c>
      <c r="C83" s="68" t="s">
        <v>714</v>
      </c>
      <c r="D83" s="41" t="s">
        <v>713</v>
      </c>
      <c r="E83" s="61">
        <v>2011000012</v>
      </c>
      <c r="F83" s="64"/>
      <c r="G83" s="49" t="s">
        <v>715</v>
      </c>
      <c r="H83" s="76"/>
      <c r="I83" s="76">
        <v>31752</v>
      </c>
      <c r="J83" s="66">
        <f t="shared" ca="1" si="39"/>
        <v>39</v>
      </c>
      <c r="K83" s="75" t="s">
        <v>716</v>
      </c>
      <c r="L83" s="41" t="s">
        <v>717</v>
      </c>
      <c r="M83" s="53" t="s">
        <v>67</v>
      </c>
      <c r="N83" s="66" t="s">
        <v>718</v>
      </c>
      <c r="O83" s="53" t="s">
        <v>481</v>
      </c>
      <c r="P83" s="49" t="s">
        <v>195</v>
      </c>
      <c r="Q83" s="49" t="s">
        <v>94</v>
      </c>
      <c r="R83" s="49"/>
      <c r="S83" s="49" t="s">
        <v>481</v>
      </c>
      <c r="T83" s="53" t="s">
        <v>195</v>
      </c>
      <c r="U83" s="53" t="s">
        <v>94</v>
      </c>
      <c r="V83" s="49" t="str">
        <f t="shared" si="38"/>
        <v>Xã Hùng Sơn, Huyện Tràng Định, Tỉnh Lạng Sơn</v>
      </c>
      <c r="W83" s="55" t="s">
        <v>224</v>
      </c>
      <c r="X83" s="41"/>
      <c r="Y83" s="41"/>
      <c r="Z83" s="41"/>
      <c r="AA83" s="68">
        <f>VLOOKUP(A83,'[1]DANH SÁCH'!$B$8:$AD$841,12,0)</f>
        <v>0</v>
      </c>
      <c r="AB83" s="49" t="str">
        <f>VLOOKUP(A83,'[1]DANH SÁCH'!$B$8:$H$841,6,0)</f>
        <v>TĐ012</v>
      </c>
      <c r="AC83" s="69" t="str">
        <f>VLOOKUP(A83,'[1]DANH SÁCH'!$B$8:$J$841,9,0)</f>
        <v>Nội Tổng hợp</v>
      </c>
      <c r="AD83" s="69" t="str">
        <f>VLOOKUP(A83,'[1]DANH SÁCH'!$B$8:$AC$841,10,0)</f>
        <v>KP007</v>
      </c>
      <c r="AE83" s="69" t="str">
        <f>VLOOKUP(A83,'[1]DANH SÁCH'!$B$8:$AD$841,13,0)</f>
        <v>Viên chức</v>
      </c>
      <c r="AF83" s="41" t="s">
        <v>157</v>
      </c>
      <c r="AG83" s="42" t="str">
        <f>VLOOKUP(A83,'[1]DANH SÁCH'!$B$8:$H$841,7,0)</f>
        <v>Điều dưỡng (hạng IV)</v>
      </c>
      <c r="AH83" s="45">
        <v>3.34</v>
      </c>
      <c r="AI83" s="42">
        <v>5</v>
      </c>
      <c r="AJ83" s="70">
        <v>0</v>
      </c>
      <c r="AK83" s="69">
        <v>45261</v>
      </c>
      <c r="AL83" s="71" t="s">
        <v>158</v>
      </c>
      <c r="AM83" s="53" t="str">
        <f>VLOOKUP(A83,'[1]DANH SÁCH'!$B$8:$F$841,5,0)</f>
        <v>Điều dưỡng CĐ</v>
      </c>
      <c r="AN83" s="53"/>
      <c r="AO83" s="53" t="s">
        <v>316</v>
      </c>
      <c r="AP83" s="53">
        <v>2008</v>
      </c>
      <c r="AQ83" s="72" t="s">
        <v>113</v>
      </c>
      <c r="AR83" s="42">
        <f>VLOOKUP(A83,'[1]Chứng chỉ'!$B$8:$Q$1111,11,0)</f>
        <v>0</v>
      </c>
      <c r="AS83" s="42">
        <f>VLOOKUP(A83,'[1]Chứng chỉ'!$B$8:$Q$1111,12,0)</f>
        <v>0</v>
      </c>
      <c r="AT83" s="47">
        <f>VLOOKUP(A83,'[1]Chứng chỉ'!$B$8:$Q$1111,13,0)</f>
        <v>0</v>
      </c>
      <c r="AU83" s="42" t="str">
        <f>VLOOKUP(A83,'[1]Chứng chỉ'!$B$8:$Q$1111,14,0)</f>
        <v>Anh bậc 4</v>
      </c>
      <c r="AV83" s="42" t="str">
        <f>VLOOKUP(A83,'[1]Chứng chỉ'!$B$8:$Q$1111,15,0)</f>
        <v>Tày</v>
      </c>
      <c r="AW83" s="42" t="str">
        <f>VLOOKUP(A83,'[1]Chứng chỉ'!$B$8:$Q$1111,16,0)</f>
        <v>Cơ bản</v>
      </c>
      <c r="AX83" s="53"/>
      <c r="AY83" s="57" t="s">
        <v>85</v>
      </c>
      <c r="AZ83" s="65"/>
      <c r="BA83" s="74" t="e">
        <f t="shared" si="36"/>
        <v>#REF!</v>
      </c>
      <c r="BB83" s="74" t="e">
        <f t="shared" si="37"/>
        <v>#REF!</v>
      </c>
      <c r="BC83" s="61" t="s">
        <v>128</v>
      </c>
      <c r="BD83" s="62"/>
    </row>
    <row r="84" spans="1:56" ht="51" x14ac:dyDescent="0.3">
      <c r="A84" s="41" t="s">
        <v>719</v>
      </c>
      <c r="B84" s="42">
        <f t="shared" si="0"/>
        <v>78</v>
      </c>
      <c r="C84" s="68" t="s">
        <v>720</v>
      </c>
      <c r="D84" s="41" t="s">
        <v>719</v>
      </c>
      <c r="E84" s="61">
        <v>1504000551</v>
      </c>
      <c r="F84" s="64"/>
      <c r="G84" s="49" t="s">
        <v>721</v>
      </c>
      <c r="H84" s="76"/>
      <c r="I84" s="76">
        <v>28432</v>
      </c>
      <c r="J84" s="66">
        <f t="shared" ca="1" si="39"/>
        <v>48</v>
      </c>
      <c r="K84" s="75" t="s">
        <v>722</v>
      </c>
      <c r="L84" s="41" t="s">
        <v>578</v>
      </c>
      <c r="M84" s="53" t="s">
        <v>67</v>
      </c>
      <c r="N84" s="66"/>
      <c r="O84" s="53" t="s">
        <v>723</v>
      </c>
      <c r="P84" s="49" t="s">
        <v>222</v>
      </c>
      <c r="Q84" s="49" t="s">
        <v>94</v>
      </c>
      <c r="R84" s="49"/>
      <c r="S84" s="49" t="s">
        <v>136</v>
      </c>
      <c r="T84" s="53" t="s">
        <v>97</v>
      </c>
      <c r="U84" s="53" t="s">
        <v>94</v>
      </c>
      <c r="V84" s="49" t="str">
        <f t="shared" si="38"/>
        <v>Phường Chi Lăng, Thành phố Lạng Sơn, Tỉnh Lạng Sơn</v>
      </c>
      <c r="W84" s="55" t="s">
        <v>724</v>
      </c>
      <c r="X84" s="41"/>
      <c r="Y84" s="41"/>
      <c r="Z84" s="41"/>
      <c r="AA84" s="68">
        <f>VLOOKUP(A84,'[1]DANH SÁCH'!$B$8:$AD$841,12,0)</f>
        <v>0</v>
      </c>
      <c r="AB84" s="49" t="str">
        <f>VLOOKUP(A84,'[1]DANH SÁCH'!$B$8:$H$841,6,0)</f>
        <v>TĐ012</v>
      </c>
      <c r="AC84" s="69" t="str">
        <f>VLOOKUP(A84,'[1]DANH SÁCH'!$B$8:$J$841,9,0)</f>
        <v>Nội Tiêu hóa</v>
      </c>
      <c r="AD84" s="69" t="str">
        <f>VLOOKUP(A84,'[1]DANH SÁCH'!$B$8:$AC$841,10,0)</f>
        <v>KP008</v>
      </c>
      <c r="AE84" s="69" t="str">
        <f>VLOOKUP(A84,'[1]DANH SÁCH'!$B$8:$AD$841,13,0)</f>
        <v>Viên chức</v>
      </c>
      <c r="AF84" s="41" t="s">
        <v>157</v>
      </c>
      <c r="AG84" s="42" t="str">
        <f>VLOOKUP(A84,'[1]DANH SÁCH'!$B$8:$H$841,7,0)</f>
        <v>Điều dưỡng (hạng IV)</v>
      </c>
      <c r="AH84" s="45">
        <v>3.96</v>
      </c>
      <c r="AI84" s="42">
        <v>7</v>
      </c>
      <c r="AJ84" s="70">
        <v>0</v>
      </c>
      <c r="AK84" s="69">
        <v>45170</v>
      </c>
      <c r="AL84" s="71" t="s">
        <v>158</v>
      </c>
      <c r="AM84" s="53" t="str">
        <f>VLOOKUP(A84,'[1]DANH SÁCH'!$B$8:$F$841,5,0)</f>
        <v>Điều dưỡng CĐ</v>
      </c>
      <c r="AN84" s="53"/>
      <c r="AO84" s="53" t="s">
        <v>316</v>
      </c>
      <c r="AP84" s="53">
        <v>2018</v>
      </c>
      <c r="AQ84" s="72" t="s">
        <v>113</v>
      </c>
      <c r="AR84" s="42">
        <f>VLOOKUP(A84,'[1]Chứng chỉ'!$B$8:$Q$1111,11,0)</f>
        <v>0</v>
      </c>
      <c r="AS84" s="42">
        <f>VLOOKUP(A84,'[1]Chứng chỉ'!$B$8:$Q$1111,12,0)</f>
        <v>0</v>
      </c>
      <c r="AT84" s="47" t="str">
        <f>VLOOKUP(A84,'[1]Chứng chỉ'!$B$8:$Q$1111,13,0)</f>
        <v>Sơ cấp</v>
      </c>
      <c r="AU84" s="42">
        <f>VLOOKUP(A84,'[1]Chứng chỉ'!$B$8:$Q$1111,14,0)</f>
        <v>0</v>
      </c>
      <c r="AV84" s="42" t="str">
        <f>VLOOKUP(A84,'[1]Chứng chỉ'!$B$8:$Q$1111,15,0)</f>
        <v>Tày</v>
      </c>
      <c r="AW84" s="42" t="str">
        <f>VLOOKUP(A84,'[1]Chứng chỉ'!$B$8:$Q$1111,16,0)</f>
        <v>A</v>
      </c>
      <c r="AX84" s="53"/>
      <c r="AY84" s="57" t="s">
        <v>127</v>
      </c>
      <c r="AZ84" s="65">
        <v>40287</v>
      </c>
      <c r="BA84" s="74" t="e">
        <f t="shared" si="36"/>
        <v>#REF!</v>
      </c>
      <c r="BB84" s="74" t="e">
        <f t="shared" si="37"/>
        <v>#REF!</v>
      </c>
      <c r="BC84" s="61" t="s">
        <v>128</v>
      </c>
      <c r="BD84" s="62"/>
    </row>
    <row r="85" spans="1:56" ht="40.799999999999997" x14ac:dyDescent="0.3">
      <c r="A85" s="41" t="s">
        <v>725</v>
      </c>
      <c r="B85" s="42">
        <f t="shared" si="0"/>
        <v>79</v>
      </c>
      <c r="C85" s="68" t="s">
        <v>726</v>
      </c>
      <c r="D85" s="41" t="s">
        <v>725</v>
      </c>
      <c r="E85" s="61">
        <v>2008000158</v>
      </c>
      <c r="F85" s="64"/>
      <c r="G85" s="49" t="s">
        <v>727</v>
      </c>
      <c r="H85" s="76">
        <v>30015</v>
      </c>
      <c r="I85" s="76"/>
      <c r="J85" s="66">
        <f t="shared" ref="J85:J86" ca="1" si="40">INT(DATEDIF(H85,$J$2,"d")/365)</f>
        <v>44</v>
      </c>
      <c r="K85" s="75" t="s">
        <v>728</v>
      </c>
      <c r="L85" s="41" t="s">
        <v>729</v>
      </c>
      <c r="M85" s="53" t="s">
        <v>67</v>
      </c>
      <c r="N85" s="66" t="s">
        <v>730</v>
      </c>
      <c r="O85" s="53" t="s">
        <v>731</v>
      </c>
      <c r="P85" s="49" t="s">
        <v>732</v>
      </c>
      <c r="Q85" s="49" t="s">
        <v>733</v>
      </c>
      <c r="R85" s="49"/>
      <c r="S85" s="49" t="s">
        <v>734</v>
      </c>
      <c r="T85" s="53" t="s">
        <v>735</v>
      </c>
      <c r="U85" s="53" t="s">
        <v>733</v>
      </c>
      <c r="V85" s="49" t="str">
        <f t="shared" si="38"/>
        <v>Xã Tương Giang, Thị xã  Từ Sơn, Tỉnh Bắc Ninh</v>
      </c>
      <c r="W85" s="55" t="s">
        <v>167</v>
      </c>
      <c r="X85" s="41"/>
      <c r="Y85" s="41"/>
      <c r="Z85" s="41"/>
      <c r="AA85" s="68" t="str">
        <f>VLOOKUP(A85,'[1]DANH SÁCH'!$B$8:$AD$841,12,0)</f>
        <v>Trưởng khoa</v>
      </c>
      <c r="AB85" s="49" t="str">
        <f>VLOOKUP(A85,'[1]DANH SÁCH'!$B$8:$H$841,6,0)</f>
        <v>TĐ003</v>
      </c>
      <c r="AC85" s="69" t="str">
        <f>VLOOKUP(A85,'[1]DANH SÁCH'!$B$8:$J$841,9,0)</f>
        <v>Nội Thận-TN-LM</v>
      </c>
      <c r="AD85" s="69" t="str">
        <f>VLOOKUP(A85,'[1]DANH SÁCH'!$B$8:$AC$841,10,0)</f>
        <v>KP009</v>
      </c>
      <c r="AE85" s="69" t="str">
        <f>VLOOKUP(A85,'[1]DANH SÁCH'!$B$8:$AD$841,13,0)</f>
        <v>Viên chức</v>
      </c>
      <c r="AF85" s="41" t="s">
        <v>79</v>
      </c>
      <c r="AG85" s="42" t="str">
        <f>VLOOKUP(A85,'[1]DANH SÁCH'!$B$8:$H$841,7,0)</f>
        <v>Bác sĩ chính (hạng II)</v>
      </c>
      <c r="AH85" s="45">
        <v>4.74</v>
      </c>
      <c r="AI85" s="42">
        <v>2</v>
      </c>
      <c r="AJ85" s="70">
        <v>0</v>
      </c>
      <c r="AK85" s="69">
        <v>45992</v>
      </c>
      <c r="AL85" s="71" t="s">
        <v>80</v>
      </c>
      <c r="AM85" s="53" t="str">
        <f>VLOOKUP(A85,'[1]DANH SÁCH'!$B$8:$F$841,5,0)</f>
        <v>BSCKI</v>
      </c>
      <c r="AN85" s="53" t="s">
        <v>138</v>
      </c>
      <c r="AO85" s="53" t="s">
        <v>112</v>
      </c>
      <c r="AP85" s="53">
        <v>2016</v>
      </c>
      <c r="AQ85" s="72" t="s">
        <v>113</v>
      </c>
      <c r="AR85" s="42" t="s">
        <v>82</v>
      </c>
      <c r="AS85" s="42" t="s">
        <v>100</v>
      </c>
      <c r="AT85" s="47" t="s">
        <v>101</v>
      </c>
      <c r="AU85" s="42" t="str">
        <f>VLOOKUP(A85,'[1]Chứng chỉ'!$B$8:$Q$1111,14,0)</f>
        <v>Pháp B</v>
      </c>
      <c r="AV85" s="42" t="str">
        <f>VLOOKUP(A85,'[1]Chứng chỉ'!$B$8:$Q$1111,15,0)</f>
        <v>x</v>
      </c>
      <c r="AW85" s="42" t="str">
        <f>VLOOKUP(A85,'[1]Chứng chỉ'!$B$8:$Q$1111,16,0)</f>
        <v>B</v>
      </c>
      <c r="AX85" s="53"/>
      <c r="AY85" s="57" t="s">
        <v>87</v>
      </c>
      <c r="AZ85" s="65">
        <v>41032</v>
      </c>
      <c r="BA85" s="74" t="e">
        <f t="shared" si="36"/>
        <v>#REF!</v>
      </c>
      <c r="BB85" s="74" t="e">
        <f t="shared" si="37"/>
        <v>#REF!</v>
      </c>
      <c r="BC85" s="61" t="s">
        <v>128</v>
      </c>
      <c r="BD85" s="62"/>
    </row>
    <row r="86" spans="1:56" ht="51" x14ac:dyDescent="0.3">
      <c r="A86" s="41" t="s">
        <v>736</v>
      </c>
      <c r="B86" s="42">
        <f t="shared" si="0"/>
        <v>80</v>
      </c>
      <c r="C86" s="68" t="s">
        <v>737</v>
      </c>
      <c r="D86" s="41" t="s">
        <v>736</v>
      </c>
      <c r="E86" s="61">
        <v>2010000125</v>
      </c>
      <c r="F86" s="64"/>
      <c r="G86" s="49" t="s">
        <v>738</v>
      </c>
      <c r="H86" s="76">
        <v>30519</v>
      </c>
      <c r="I86" s="76"/>
      <c r="J86" s="66">
        <f t="shared" ca="1" si="40"/>
        <v>43</v>
      </c>
      <c r="K86" s="75" t="s">
        <v>739</v>
      </c>
      <c r="L86" s="41" t="s">
        <v>740</v>
      </c>
      <c r="M86" s="53" t="s">
        <v>67</v>
      </c>
      <c r="N86" s="66"/>
      <c r="O86" s="53" t="s">
        <v>741</v>
      </c>
      <c r="P86" s="49" t="s">
        <v>155</v>
      </c>
      <c r="Q86" s="49" t="s">
        <v>94</v>
      </c>
      <c r="R86" s="49"/>
      <c r="S86" s="49" t="s">
        <v>741</v>
      </c>
      <c r="T86" s="53" t="s">
        <v>155</v>
      </c>
      <c r="U86" s="53" t="s">
        <v>94</v>
      </c>
      <c r="V86" s="49" t="str">
        <f t="shared" si="38"/>
        <v>Xã Xuân Mai, Huyện Văn Quan, Tỉnh Lạng Sơn</v>
      </c>
      <c r="W86" s="55" t="s">
        <v>236</v>
      </c>
      <c r="X86" s="41"/>
      <c r="Y86" s="41"/>
      <c r="Z86" s="41"/>
      <c r="AA86" s="68" t="str">
        <f>VLOOKUP(A86,'[1]DANH SÁCH'!$B$8:$AD$841,12,0)</f>
        <v>Phó trưởng khoa</v>
      </c>
      <c r="AB86" s="49" t="str">
        <f>VLOOKUP(A86,'[1]DANH SÁCH'!$B$8:$H$841,6,0)</f>
        <v>TĐ003</v>
      </c>
      <c r="AC86" s="69" t="str">
        <f>VLOOKUP(A86,'[1]DANH SÁCH'!$B$8:$J$841,9,0)</f>
        <v>Nội Thận-TN-LM</v>
      </c>
      <c r="AD86" s="69" t="str">
        <f>VLOOKUP(A86,'[1]DANH SÁCH'!$B$8:$AC$841,10,0)</f>
        <v>KP009</v>
      </c>
      <c r="AE86" s="69" t="str">
        <f>VLOOKUP(A86,'[1]DANH SÁCH'!$B$8:$AD$841,13,0)</f>
        <v>Viên chức</v>
      </c>
      <c r="AF86" s="41" t="s">
        <v>274</v>
      </c>
      <c r="AG86" s="42" t="str">
        <f>VLOOKUP(A86,'[1]DANH SÁCH'!$B$8:$H$841,7,0)</f>
        <v>Bác sĩ (hạng III)</v>
      </c>
      <c r="AH86" s="45">
        <v>3.99</v>
      </c>
      <c r="AI86" s="42">
        <v>6</v>
      </c>
      <c r="AJ86" s="70">
        <v>0</v>
      </c>
      <c r="AK86" s="69">
        <v>45566</v>
      </c>
      <c r="AL86" s="71" t="s">
        <v>80</v>
      </c>
      <c r="AM86" s="53" t="str">
        <f>VLOOKUP(A86,'[1]DANH SÁCH'!$B$8:$F$841,5,0)</f>
        <v>BSCKI</v>
      </c>
      <c r="AN86" s="53" t="s">
        <v>138</v>
      </c>
      <c r="AO86" s="53" t="s">
        <v>662</v>
      </c>
      <c r="AP86" s="53">
        <v>2009</v>
      </c>
      <c r="AQ86" s="72" t="s">
        <v>113</v>
      </c>
      <c r="AR86" s="42">
        <f>VLOOKUP(A86,'[1]Chứng chỉ'!$B$8:$Q$1111,11,0)</f>
        <v>0</v>
      </c>
      <c r="AS86" s="42">
        <f>VLOOKUP(A86,'[1]Chứng chỉ'!$B$8:$Q$1111,12,0)</f>
        <v>0</v>
      </c>
      <c r="AT86" s="47">
        <f>VLOOKUP(A86,'[1]Chứng chỉ'!$B$8:$Q$1111,13,0)</f>
        <v>0</v>
      </c>
      <c r="AU86" s="42">
        <f>VLOOKUP(A86,'[1]Chứng chỉ'!$B$8:$Q$1111,14,0)</f>
        <v>0</v>
      </c>
      <c r="AV86" s="42">
        <f>VLOOKUP(A86,'[1]Chứng chỉ'!$B$8:$Q$1111,15,0)</f>
        <v>0</v>
      </c>
      <c r="AW86" s="42" t="str">
        <f>VLOOKUP(A86,'[1]Chứng chỉ'!$B$8:$Q$1111,16,0)</f>
        <v>B</v>
      </c>
      <c r="AX86" s="53"/>
      <c r="AY86" s="57" t="s">
        <v>85</v>
      </c>
      <c r="AZ86" s="65"/>
      <c r="BA86" s="74" t="e">
        <f t="shared" si="36"/>
        <v>#REF!</v>
      </c>
      <c r="BB86" s="74" t="e">
        <f t="shared" si="37"/>
        <v>#REF!</v>
      </c>
      <c r="BC86" s="61" t="s">
        <v>128</v>
      </c>
      <c r="BD86" s="62"/>
    </row>
    <row r="87" spans="1:56" ht="40.799999999999997" x14ac:dyDescent="0.3">
      <c r="A87" s="41" t="s">
        <v>742</v>
      </c>
      <c r="B87" s="42">
        <f t="shared" si="0"/>
        <v>81</v>
      </c>
      <c r="C87" s="44" t="s">
        <v>743</v>
      </c>
      <c r="D87" s="41" t="s">
        <v>742</v>
      </c>
      <c r="E87" s="61">
        <v>2016000981</v>
      </c>
      <c r="F87" s="64"/>
      <c r="G87" s="49" t="s">
        <v>744</v>
      </c>
      <c r="H87" s="87"/>
      <c r="I87" s="41" t="s">
        <v>745</v>
      </c>
      <c r="J87" s="66">
        <f t="shared" ref="J87:J90" ca="1" si="41">INT(DATEDIF(I87,$J$2,"d")/365)</f>
        <v>37</v>
      </c>
      <c r="K87" s="75" t="s">
        <v>746</v>
      </c>
      <c r="L87" s="41" t="s">
        <v>747</v>
      </c>
      <c r="M87" s="53" t="s">
        <v>67</v>
      </c>
      <c r="N87" s="66" t="s">
        <v>748</v>
      </c>
      <c r="O87" s="88"/>
      <c r="P87" s="87"/>
      <c r="Q87" s="87"/>
      <c r="R87" s="87"/>
      <c r="S87" s="76" t="s">
        <v>749</v>
      </c>
      <c r="T87" s="85" t="s">
        <v>282</v>
      </c>
      <c r="U87" s="85" t="s">
        <v>94</v>
      </c>
      <c r="V87" s="49" t="str">
        <f t="shared" si="38"/>
        <v>Xã Yên Bình, Huyện Hữu Lũng, Tỉnh Lạng Sơn</v>
      </c>
      <c r="W87" s="89" t="s">
        <v>491</v>
      </c>
      <c r="X87" s="43"/>
      <c r="Y87" s="43"/>
      <c r="Z87" s="43"/>
      <c r="AA87" s="68">
        <f>VLOOKUP(A87,'[1]DANH SÁCH'!$B$8:$AD$841,12,0)</f>
        <v>0</v>
      </c>
      <c r="AB87" s="49" t="str">
        <f>VLOOKUP(A87,'[1]DANH SÁCH'!$B$8:$H$841,6,0)</f>
        <v>TĐ003</v>
      </c>
      <c r="AC87" s="69" t="str">
        <f>VLOOKUP(A87,'[1]DANH SÁCH'!$B$8:$J$841,9,0)</f>
        <v>Nội Thận-TN-LM</v>
      </c>
      <c r="AD87" s="69" t="str">
        <f>VLOOKUP(A87,'[1]DANH SÁCH'!$B$8:$AC$841,10,0)</f>
        <v>KP009</v>
      </c>
      <c r="AE87" s="69" t="str">
        <f>VLOOKUP(A87,'[1]DANH SÁCH'!$B$8:$AD$841,13,0)</f>
        <v>Viên chức</v>
      </c>
      <c r="AF87" s="41" t="s">
        <v>274</v>
      </c>
      <c r="AG87" s="42" t="str">
        <f>VLOOKUP(A87,'[1]DANH SÁCH'!$B$8:$H$841,7,0)</f>
        <v>Bác sĩ (hạng III)</v>
      </c>
      <c r="AH87" s="45">
        <v>3.33</v>
      </c>
      <c r="AI87" s="42">
        <v>4</v>
      </c>
      <c r="AJ87" s="70">
        <v>0</v>
      </c>
      <c r="AK87" s="69">
        <v>45768</v>
      </c>
      <c r="AL87" s="71" t="s">
        <v>80</v>
      </c>
      <c r="AM87" s="53" t="str">
        <f>VLOOKUP(A87,'[1]DANH SÁCH'!$B$8:$F$841,5,0)</f>
        <v>BSCKI</v>
      </c>
      <c r="AN87" s="53" t="s">
        <v>138</v>
      </c>
      <c r="AO87" s="53" t="s">
        <v>662</v>
      </c>
      <c r="AP87" s="53">
        <v>2015</v>
      </c>
      <c r="AQ87" s="72" t="s">
        <v>113</v>
      </c>
      <c r="AR87" s="42">
        <f>VLOOKUP(A87,'[1]Chứng chỉ'!$B$8:$Q$1111,11,0)</f>
        <v>0</v>
      </c>
      <c r="AS87" s="42">
        <f>VLOOKUP(A87,'[1]Chứng chỉ'!$B$8:$Q$1111,12,0)</f>
        <v>0</v>
      </c>
      <c r="AT87" s="47">
        <f>VLOOKUP(A87,'[1]Chứng chỉ'!$B$8:$Q$1111,13,0)</f>
        <v>0</v>
      </c>
      <c r="AU87" s="42" t="str">
        <f>VLOOKUP(A87,'[1]Chứng chỉ'!$B$8:$Q$1111,14,0)</f>
        <v>Anh B</v>
      </c>
      <c r="AV87" s="42">
        <f>VLOOKUP(A87,'[1]Chứng chỉ'!$B$8:$Q$1111,15,0)</f>
        <v>0</v>
      </c>
      <c r="AW87" s="42" t="str">
        <f>VLOOKUP(A87,'[1]Chứng chỉ'!$B$8:$Q$1111,16,0)</f>
        <v>B</v>
      </c>
      <c r="AX87" s="53"/>
      <c r="AY87" s="57" t="s">
        <v>127</v>
      </c>
      <c r="AZ87" s="65"/>
      <c r="BA87" s="74" t="e">
        <f t="shared" si="36"/>
        <v>#REF!</v>
      </c>
      <c r="BB87" s="74" t="e">
        <f t="shared" si="37"/>
        <v>#REF!</v>
      </c>
      <c r="BC87" s="41"/>
      <c r="BD87" s="64"/>
    </row>
    <row r="88" spans="1:56" ht="40.799999999999997" x14ac:dyDescent="0.3">
      <c r="A88" s="102" t="s">
        <v>750</v>
      </c>
      <c r="B88" s="42">
        <f t="shared" si="0"/>
        <v>82</v>
      </c>
      <c r="C88" s="93" t="s">
        <v>751</v>
      </c>
      <c r="D88" s="102" t="s">
        <v>750</v>
      </c>
      <c r="E88" s="103">
        <v>2016006772</v>
      </c>
      <c r="F88" s="92"/>
      <c r="G88" s="49" t="s">
        <v>752</v>
      </c>
      <c r="H88" s="102"/>
      <c r="I88" s="111" t="s">
        <v>753</v>
      </c>
      <c r="J88" s="66">
        <f t="shared" ca="1" si="41"/>
        <v>35</v>
      </c>
      <c r="K88" s="75" t="s">
        <v>754</v>
      </c>
      <c r="L88" s="111" t="s">
        <v>755</v>
      </c>
      <c r="M88" s="53" t="s">
        <v>67</v>
      </c>
      <c r="N88" s="112" t="s">
        <v>756</v>
      </c>
      <c r="O88" s="113" t="s">
        <v>757</v>
      </c>
      <c r="P88" s="106" t="s">
        <v>758</v>
      </c>
      <c r="Q88" s="106" t="s">
        <v>71</v>
      </c>
      <c r="R88" s="106" t="s">
        <v>759</v>
      </c>
      <c r="S88" s="106" t="s">
        <v>760</v>
      </c>
      <c r="T88" s="113" t="s">
        <v>379</v>
      </c>
      <c r="U88" s="113" t="s">
        <v>71</v>
      </c>
      <c r="V88" s="49" t="str">
        <f t="shared" si="38"/>
        <v>Mai Pha, TP. Lạng Sơn, Lạng Sơn</v>
      </c>
      <c r="W88" s="114" t="s">
        <v>761</v>
      </c>
      <c r="X88" s="102" t="s">
        <v>762</v>
      </c>
      <c r="Y88" s="102" t="s">
        <v>763</v>
      </c>
      <c r="Z88" s="111" t="s">
        <v>764</v>
      </c>
      <c r="AA88" s="68">
        <f>VLOOKUP(A88,'[1]DANH SÁCH'!$B$8:$AD$841,12,0)</f>
        <v>0</v>
      </c>
      <c r="AB88" s="49" t="str">
        <f>VLOOKUP(A88,'[1]DANH SÁCH'!$B$8:$H$841,6,0)</f>
        <v>TĐ003</v>
      </c>
      <c r="AC88" s="69" t="str">
        <f>VLOOKUP(A88,'[1]DANH SÁCH'!$B$8:$J$841,9,0)</f>
        <v>Nội Thận-TN-LM</v>
      </c>
      <c r="AD88" s="69" t="str">
        <f>VLOOKUP(A88,'[1]DANH SÁCH'!$B$8:$AC$841,10,0)</f>
        <v>KP009</v>
      </c>
      <c r="AE88" s="69" t="str">
        <f>VLOOKUP(A88,'[1]DANH SÁCH'!$B$8:$AD$841,13,0)</f>
        <v>Viên chức</v>
      </c>
      <c r="AF88" s="41" t="s">
        <v>274</v>
      </c>
      <c r="AG88" s="92" t="s">
        <v>296</v>
      </c>
      <c r="AH88" s="45">
        <v>3.33</v>
      </c>
      <c r="AI88" s="42">
        <v>4</v>
      </c>
      <c r="AJ88" s="70">
        <v>0</v>
      </c>
      <c r="AK88" s="69">
        <v>46147</v>
      </c>
      <c r="AL88" s="71" t="s">
        <v>80</v>
      </c>
      <c r="AM88" s="53" t="str">
        <f>VLOOKUP(A88,'[1]DANH SÁCH'!$B$8:$F$841,5,0)</f>
        <v>BSCKI</v>
      </c>
      <c r="AN88" s="53" t="s">
        <v>372</v>
      </c>
      <c r="AO88" s="53" t="s">
        <v>765</v>
      </c>
      <c r="AP88" s="53">
        <v>2016</v>
      </c>
      <c r="AQ88" s="72" t="s">
        <v>113</v>
      </c>
      <c r="AR88" s="42">
        <f>VLOOKUP(A88,'[1]Chứng chỉ'!$B$8:$Q$1111,11,0)</f>
        <v>0</v>
      </c>
      <c r="AS88" s="42">
        <f>VLOOKUP(A88,'[1]Chứng chỉ'!$B$8:$Q$1111,12,0)</f>
        <v>0</v>
      </c>
      <c r="AT88" s="47">
        <f>VLOOKUP(A88,'[1]Chứng chỉ'!$B$8:$Q$1111,13,0)</f>
        <v>0</v>
      </c>
      <c r="AU88" s="42" t="str">
        <f>VLOOKUP(A88,'[1]Chứng chỉ'!$B$8:$Q$1111,14,0)</f>
        <v>Anh B</v>
      </c>
      <c r="AV88" s="42">
        <f>VLOOKUP(A88,'[1]Chứng chỉ'!$B$8:$Q$1111,15,0)</f>
        <v>0</v>
      </c>
      <c r="AW88" s="42" t="str">
        <f>VLOOKUP(A88,'[1]Chứng chỉ'!$B$8:$Q$1111,16,0)</f>
        <v>B</v>
      </c>
      <c r="AX88" s="113"/>
      <c r="AY88" s="115" t="s">
        <v>85</v>
      </c>
      <c r="AZ88" s="65"/>
      <c r="BA88" s="74"/>
      <c r="BB88" s="74"/>
      <c r="BC88" s="61"/>
      <c r="BD88" s="64"/>
    </row>
    <row r="89" spans="1:56" ht="61.2" x14ac:dyDescent="0.3">
      <c r="A89" s="41" t="s">
        <v>766</v>
      </c>
      <c r="B89" s="42">
        <f t="shared" si="0"/>
        <v>83</v>
      </c>
      <c r="C89" s="68" t="s">
        <v>767</v>
      </c>
      <c r="D89" s="41" t="s">
        <v>766</v>
      </c>
      <c r="E89" s="61">
        <v>2013002683</v>
      </c>
      <c r="F89" s="64"/>
      <c r="G89" s="49" t="s">
        <v>768</v>
      </c>
      <c r="H89" s="76"/>
      <c r="I89" s="76">
        <v>32879</v>
      </c>
      <c r="J89" s="66">
        <f t="shared" ca="1" si="41"/>
        <v>36</v>
      </c>
      <c r="K89" s="75" t="s">
        <v>769</v>
      </c>
      <c r="L89" s="41" t="s">
        <v>770</v>
      </c>
      <c r="M89" s="53" t="s">
        <v>67</v>
      </c>
      <c r="N89" s="66" t="s">
        <v>771</v>
      </c>
      <c r="O89" s="53"/>
      <c r="P89" s="49" t="s">
        <v>772</v>
      </c>
      <c r="Q89" s="49" t="s">
        <v>669</v>
      </c>
      <c r="R89" s="49"/>
      <c r="S89" s="49" t="s">
        <v>166</v>
      </c>
      <c r="T89" s="53" t="s">
        <v>97</v>
      </c>
      <c r="U89" s="53" t="s">
        <v>94</v>
      </c>
      <c r="V89" s="49" t="str">
        <f t="shared" si="38"/>
        <v>Phường Tam Thanh, Thành phố Lạng Sơn, Tỉnh Lạng Sơn</v>
      </c>
      <c r="W89" s="55" t="s">
        <v>315</v>
      </c>
      <c r="X89" s="41"/>
      <c r="Y89" s="41"/>
      <c r="Z89" s="41"/>
      <c r="AA89" s="68">
        <f>VLOOKUP(A89,'[1]DANH SÁCH'!$B$8:$AD$841,12,0)</f>
        <v>0</v>
      </c>
      <c r="AB89" s="49" t="str">
        <f>VLOOKUP(A89,'[1]DANH SÁCH'!$B$8:$H$841,6,0)</f>
        <v>TĐ011</v>
      </c>
      <c r="AC89" s="69" t="str">
        <f>VLOOKUP(A89,'[1]DANH SÁCH'!$B$8:$J$841,9,0)</f>
        <v>Nội Thận-TN-LM</v>
      </c>
      <c r="AD89" s="69" t="str">
        <f>VLOOKUP(A89,'[1]DANH SÁCH'!$B$8:$AC$841,10,0)</f>
        <v>KP009</v>
      </c>
      <c r="AE89" s="69" t="str">
        <f>VLOOKUP(A89,'[1]DANH SÁCH'!$B$8:$AD$841,13,0)</f>
        <v>Viên chức</v>
      </c>
      <c r="AF89" s="41" t="s">
        <v>147</v>
      </c>
      <c r="AG89" s="42" t="str">
        <f>VLOOKUP(A89,'[1]DANH SÁCH'!$B$8:$H$841,7,0)</f>
        <v>Điều dưỡng (hạng III)</v>
      </c>
      <c r="AH89" s="45">
        <v>3.66</v>
      </c>
      <c r="AI89" s="42">
        <v>5</v>
      </c>
      <c r="AJ89" s="70">
        <v>0</v>
      </c>
      <c r="AK89" s="69">
        <v>46001</v>
      </c>
      <c r="AL89" s="71" t="s">
        <v>80</v>
      </c>
      <c r="AM89" s="53" t="str">
        <f>VLOOKUP(A89,'[1]DANH SÁCH'!$B$8:$F$841,5,0)</f>
        <v>Điều dưỡng ĐH</v>
      </c>
      <c r="AN89" s="53"/>
      <c r="AO89" s="53" t="s">
        <v>662</v>
      </c>
      <c r="AP89" s="53">
        <v>2012</v>
      </c>
      <c r="AQ89" s="72" t="s">
        <v>113</v>
      </c>
      <c r="AR89" s="42">
        <f>VLOOKUP(A89,'[1]Chứng chỉ'!$B$8:$Q$1111,11,0)</f>
        <v>0</v>
      </c>
      <c r="AS89" s="42">
        <f>VLOOKUP(A89,'[1]Chứng chỉ'!$B$8:$Q$1111,12,0)</f>
        <v>0</v>
      </c>
      <c r="AT89" s="47" t="s">
        <v>139</v>
      </c>
      <c r="AU89" s="42" t="str">
        <f>VLOOKUP(A89,'[1]Chứng chỉ'!$B$8:$Q$1111,14,0)</f>
        <v>Anh B</v>
      </c>
      <c r="AV89" s="42">
        <f>VLOOKUP(A89,'[1]Chứng chỉ'!$B$8:$Q$1111,15,0)</f>
        <v>0</v>
      </c>
      <c r="AW89" s="42" t="str">
        <f>VLOOKUP(A89,'[1]Chứng chỉ'!$B$8:$Q$1111,16,0)</f>
        <v>B</v>
      </c>
      <c r="AX89" s="53"/>
      <c r="AY89" s="57" t="s">
        <v>87</v>
      </c>
      <c r="AZ89" s="65"/>
      <c r="BA89" s="74" t="e">
        <f t="shared" ref="BA89:BA103" si="42">VLOOKUP(A89,#REF!,4,0)</f>
        <v>#REF!</v>
      </c>
      <c r="BB89" s="74" t="e">
        <f t="shared" ref="BB89:BB103" si="43">VLOOKUP(A89,#REF!,5,0)</f>
        <v>#REF!</v>
      </c>
      <c r="BC89" s="41"/>
      <c r="BD89" s="64"/>
    </row>
    <row r="90" spans="1:56" ht="51" x14ac:dyDescent="0.3">
      <c r="A90" s="41" t="s">
        <v>773</v>
      </c>
      <c r="B90" s="42">
        <f t="shared" si="0"/>
        <v>84</v>
      </c>
      <c r="C90" s="68" t="s">
        <v>774</v>
      </c>
      <c r="D90" s="41" t="s">
        <v>773</v>
      </c>
      <c r="E90" s="61">
        <v>1506002945</v>
      </c>
      <c r="F90" s="64"/>
      <c r="G90" s="49" t="s">
        <v>775</v>
      </c>
      <c r="H90" s="76"/>
      <c r="I90" s="76">
        <v>30391</v>
      </c>
      <c r="J90" s="66">
        <f t="shared" ca="1" si="41"/>
        <v>43</v>
      </c>
      <c r="K90" s="75" t="s">
        <v>776</v>
      </c>
      <c r="L90" s="41" t="s">
        <v>777</v>
      </c>
      <c r="M90" s="53" t="s">
        <v>67</v>
      </c>
      <c r="N90" s="66" t="s">
        <v>778</v>
      </c>
      <c r="O90" s="53" t="s">
        <v>779</v>
      </c>
      <c r="P90" s="49" t="s">
        <v>780</v>
      </c>
      <c r="Q90" s="49" t="s">
        <v>94</v>
      </c>
      <c r="R90" s="49"/>
      <c r="S90" s="49" t="s">
        <v>460</v>
      </c>
      <c r="T90" s="53" t="s">
        <v>108</v>
      </c>
      <c r="U90" s="53" t="s">
        <v>94</v>
      </c>
      <c r="V90" s="49" t="str">
        <f t="shared" si="38"/>
        <v>Thị trấn Cao Lộc, Huyện Cao Lộc, Tỉnh Lạng Sơn</v>
      </c>
      <c r="W90" s="55" t="s">
        <v>146</v>
      </c>
      <c r="X90" s="41"/>
      <c r="Y90" s="41"/>
      <c r="Z90" s="41"/>
      <c r="AA90" s="68" t="str">
        <f>VLOOKUP(A90,'[1]DANH SÁCH'!$B$8:$AD$841,12,0)</f>
        <v>Trưởng phòng</v>
      </c>
      <c r="AB90" s="49" t="str">
        <f>VLOOKUP(A90,'[1]DANH SÁCH'!$B$8:$H$841,6,0)</f>
        <v>TĐ011</v>
      </c>
      <c r="AC90" s="69" t="str">
        <f>VLOOKUP(A90,'[1]DANH SÁCH'!$B$8:$J$841,9,0)</f>
        <v>HCQT</v>
      </c>
      <c r="AD90" s="69" t="str">
        <f>VLOOKUP(A90,'[1]DANH SÁCH'!$B$8:$AC$841,10,0)</f>
        <v>KP040</v>
      </c>
      <c r="AE90" s="69" t="str">
        <f>VLOOKUP(A90,'[1]DANH SÁCH'!$B$8:$AD$841,13,0)</f>
        <v>Viên chức</v>
      </c>
      <c r="AF90" s="41" t="s">
        <v>147</v>
      </c>
      <c r="AG90" s="42" t="str">
        <f>VLOOKUP(A90,'[1]DANH SÁCH'!$B$8:$H$841,7,0)</f>
        <v>Điều dưỡng (hạng III)</v>
      </c>
      <c r="AH90" s="45" t="s">
        <v>781</v>
      </c>
      <c r="AI90" s="42">
        <v>6</v>
      </c>
      <c r="AJ90" s="70">
        <v>0</v>
      </c>
      <c r="AK90" s="69">
        <v>45778</v>
      </c>
      <c r="AL90" s="71" t="s">
        <v>80</v>
      </c>
      <c r="AM90" s="53" t="str">
        <f>VLOOKUP(A90,'[1]DANH SÁCH'!$B$8:$F$841,5,0)</f>
        <v>Điều dưỡng ĐH</v>
      </c>
      <c r="AN90" s="53"/>
      <c r="AO90" s="53" t="s">
        <v>175</v>
      </c>
      <c r="AP90" s="53">
        <v>2005</v>
      </c>
      <c r="AQ90" s="72" t="s">
        <v>113</v>
      </c>
      <c r="AR90" s="42">
        <f>VLOOKUP(A90,'[1]Chứng chỉ'!$B$8:$Q$1111,11,0)</f>
        <v>0</v>
      </c>
      <c r="AS90" s="42">
        <f>VLOOKUP(A90,'[1]Chứng chỉ'!$B$8:$Q$1111,12,0)</f>
        <v>0</v>
      </c>
      <c r="AT90" s="47" t="s">
        <v>139</v>
      </c>
      <c r="AU90" s="42" t="str">
        <f>VLOOKUP(A90,'[1]Chứng chỉ'!$B$8:$Q$1111,14,0)</f>
        <v>Anh A2</v>
      </c>
      <c r="AV90" s="42" t="str">
        <f>VLOOKUP(A90,'[1]Chứng chỉ'!$B$8:$Q$1111,15,0)</f>
        <v>Tày</v>
      </c>
      <c r="AW90" s="42" t="str">
        <f>VLOOKUP(A90,'[1]Chứng chỉ'!$B$8:$Q$1111,16,0)</f>
        <v>Cơ bản</v>
      </c>
      <c r="AX90" s="53"/>
      <c r="AY90" s="57" t="s">
        <v>85</v>
      </c>
      <c r="AZ90" s="65">
        <v>43355</v>
      </c>
      <c r="BA90" s="74" t="e">
        <f t="shared" si="42"/>
        <v>#REF!</v>
      </c>
      <c r="BB90" s="74" t="e">
        <f t="shared" si="43"/>
        <v>#REF!</v>
      </c>
      <c r="BC90" s="61" t="s">
        <v>128</v>
      </c>
      <c r="BD90" s="62"/>
    </row>
    <row r="91" spans="1:56" ht="40.799999999999997" x14ac:dyDescent="0.3">
      <c r="A91" s="41" t="s">
        <v>782</v>
      </c>
      <c r="B91" s="42">
        <f t="shared" si="0"/>
        <v>85</v>
      </c>
      <c r="C91" s="68" t="s">
        <v>783</v>
      </c>
      <c r="D91" s="41" t="s">
        <v>782</v>
      </c>
      <c r="E91" s="61">
        <v>1506002942</v>
      </c>
      <c r="F91" s="64"/>
      <c r="G91" s="49" t="s">
        <v>784</v>
      </c>
      <c r="H91" s="76">
        <v>29028</v>
      </c>
      <c r="I91" s="76"/>
      <c r="J91" s="66">
        <f ca="1">INT(DATEDIF(H91,$J$2,"d")/365)</f>
        <v>47</v>
      </c>
      <c r="K91" s="75" t="s">
        <v>785</v>
      </c>
      <c r="L91" s="41" t="s">
        <v>786</v>
      </c>
      <c r="M91" s="53" t="s">
        <v>67</v>
      </c>
      <c r="N91" s="66" t="s">
        <v>787</v>
      </c>
      <c r="O91" s="53"/>
      <c r="P91" s="49" t="s">
        <v>108</v>
      </c>
      <c r="Q91" s="49" t="s">
        <v>94</v>
      </c>
      <c r="R91" s="49"/>
      <c r="S91" s="49" t="s">
        <v>357</v>
      </c>
      <c r="T91" s="53" t="s">
        <v>108</v>
      </c>
      <c r="U91" s="53" t="s">
        <v>94</v>
      </c>
      <c r="V91" s="49" t="str">
        <f t="shared" si="38"/>
        <v>Xã Gia Cát, Huyện Cao Lộc, Tỉnh Lạng Sơn</v>
      </c>
      <c r="W91" s="55" t="s">
        <v>146</v>
      </c>
      <c r="X91" s="41"/>
      <c r="Y91" s="41"/>
      <c r="Z91" s="41"/>
      <c r="AA91" s="68">
        <f>VLOOKUP(A91,'[1]DANH SÁCH'!$B$8:$AD$841,12,0)</f>
        <v>0</v>
      </c>
      <c r="AB91" s="49" t="str">
        <f>VLOOKUP(A91,'[1]DANH SÁCH'!$B$8:$H$841,6,0)</f>
        <v>TĐ011</v>
      </c>
      <c r="AC91" s="69" t="str">
        <f>VLOOKUP(A91,'[1]DANH SÁCH'!$B$8:$J$841,9,0)</f>
        <v>Nội Thận-TN-LM</v>
      </c>
      <c r="AD91" s="69" t="str">
        <f>VLOOKUP(A91,'[1]DANH SÁCH'!$B$8:$AC$841,10,0)</f>
        <v>KP009</v>
      </c>
      <c r="AE91" s="69" t="str">
        <f>VLOOKUP(A91,'[1]DANH SÁCH'!$B$8:$AD$841,13,0)</f>
        <v>Viên chức</v>
      </c>
      <c r="AF91" s="41" t="s">
        <v>147</v>
      </c>
      <c r="AG91" s="42" t="str">
        <f>VLOOKUP(A91,'[1]DANH SÁCH'!$B$8:$H$841,7,0)</f>
        <v>Điều dưỡng (hạng III)</v>
      </c>
      <c r="AH91" s="45">
        <v>3.99</v>
      </c>
      <c r="AI91" s="42">
        <v>6</v>
      </c>
      <c r="AJ91" s="70">
        <v>0</v>
      </c>
      <c r="AK91" s="69">
        <v>45962</v>
      </c>
      <c r="AL91" s="71" t="s">
        <v>80</v>
      </c>
      <c r="AM91" s="53" t="str">
        <f>VLOOKUP(A91,'[1]DANH SÁCH'!$B$8:$F$841,5,0)</f>
        <v>Điều dưỡng ĐH</v>
      </c>
      <c r="AN91" s="53"/>
      <c r="AO91" s="53" t="s">
        <v>159</v>
      </c>
      <c r="AP91" s="53">
        <v>2015</v>
      </c>
      <c r="AQ91" s="72"/>
      <c r="AR91" s="42">
        <f>VLOOKUP(A91,'[1]Chứng chỉ'!$B$8:$Q$1111,11,0)</f>
        <v>0</v>
      </c>
      <c r="AS91" s="42">
        <f>VLOOKUP(A91,'[1]Chứng chỉ'!$B$8:$Q$1111,12,0)</f>
        <v>0</v>
      </c>
      <c r="AT91" s="47">
        <f>VLOOKUP(A91,'[1]Chứng chỉ'!$B$8:$Q$1111,13,0)</f>
        <v>0</v>
      </c>
      <c r="AU91" s="42" t="str">
        <f>VLOOKUP(A91,'[1]Chứng chỉ'!$B$8:$Q$1111,14,0)</f>
        <v>Anh A2</v>
      </c>
      <c r="AV91" s="42">
        <f>VLOOKUP(A91,'[1]Chứng chỉ'!$B$8:$Q$1111,15,0)</f>
        <v>0</v>
      </c>
      <c r="AW91" s="42" t="str">
        <f>VLOOKUP(A91,'[1]Chứng chỉ'!$B$8:$Q$1111,16,0)</f>
        <v>Cơ bản</v>
      </c>
      <c r="AX91" s="53"/>
      <c r="AY91" s="57" t="s">
        <v>85</v>
      </c>
      <c r="AZ91" s="65"/>
      <c r="BA91" s="74" t="e">
        <f t="shared" si="42"/>
        <v>#REF!</v>
      </c>
      <c r="BB91" s="74" t="e">
        <f t="shared" si="43"/>
        <v>#REF!</v>
      </c>
      <c r="BC91" s="61" t="s">
        <v>788</v>
      </c>
      <c r="BD91" s="62"/>
    </row>
    <row r="92" spans="1:56" ht="40.799999999999997" x14ac:dyDescent="0.3">
      <c r="A92" s="41" t="s">
        <v>789</v>
      </c>
      <c r="B92" s="42">
        <f t="shared" si="0"/>
        <v>86</v>
      </c>
      <c r="C92" s="68" t="s">
        <v>790</v>
      </c>
      <c r="D92" s="41" t="s">
        <v>789</v>
      </c>
      <c r="E92" s="61">
        <v>2009000915</v>
      </c>
      <c r="F92" s="64"/>
      <c r="G92" s="49" t="s">
        <v>791</v>
      </c>
      <c r="H92" s="76"/>
      <c r="I92" s="76">
        <v>30198</v>
      </c>
      <c r="J92" s="66">
        <f t="shared" ref="J92:J96" ca="1" si="44">INT(DATEDIF(I92,$J$2,"d")/365)</f>
        <v>43</v>
      </c>
      <c r="K92" s="75" t="s">
        <v>792</v>
      </c>
      <c r="L92" s="41" t="s">
        <v>793</v>
      </c>
      <c r="M92" s="53" t="s">
        <v>67</v>
      </c>
      <c r="N92" s="66" t="s">
        <v>712</v>
      </c>
      <c r="O92" s="53"/>
      <c r="P92" s="76" t="s">
        <v>343</v>
      </c>
      <c r="Q92" s="49" t="s">
        <v>94</v>
      </c>
      <c r="R92" s="49"/>
      <c r="S92" s="49"/>
      <c r="T92" s="53" t="s">
        <v>97</v>
      </c>
      <c r="U92" s="53" t="s">
        <v>94</v>
      </c>
      <c r="V92" s="49" t="str">
        <f t="shared" si="38"/>
        <v>, Thành phố Lạng Sơn, Tỉnh Lạng Sơn</v>
      </c>
      <c r="W92" s="55" t="s">
        <v>794</v>
      </c>
      <c r="X92" s="41"/>
      <c r="Y92" s="41"/>
      <c r="Z92" s="41"/>
      <c r="AA92" s="68">
        <f>VLOOKUP(A92,'[1]DANH SÁCH'!$B$8:$AD$841,12,0)</f>
        <v>0</v>
      </c>
      <c r="AB92" s="49" t="str">
        <f>VLOOKUP(A92,'[1]DANH SÁCH'!$B$8:$H$841,6,0)</f>
        <v>TĐ011</v>
      </c>
      <c r="AC92" s="69" t="str">
        <f>VLOOKUP(A92,'[1]DANH SÁCH'!$B$8:$J$841,9,0)</f>
        <v>Răng Hàm Mặt</v>
      </c>
      <c r="AD92" s="69" t="str">
        <f>VLOOKUP(A92,'[1]DANH SÁCH'!$B$8:$AC$841,10,0)</f>
        <v>KP024</v>
      </c>
      <c r="AE92" s="69" t="str">
        <f>VLOOKUP(A92,'[1]DANH SÁCH'!$B$8:$AD$841,13,0)</f>
        <v>Viên chức</v>
      </c>
      <c r="AF92" s="41" t="s">
        <v>147</v>
      </c>
      <c r="AG92" s="42" t="str">
        <f>VLOOKUP(A92,'[1]DANH SÁCH'!$B$8:$H$841,7,0)</f>
        <v>Điều dưỡng (hạng III)</v>
      </c>
      <c r="AH92" s="45">
        <v>3.66</v>
      </c>
      <c r="AI92" s="42">
        <v>5</v>
      </c>
      <c r="AJ92" s="70">
        <v>0</v>
      </c>
      <c r="AK92" s="69">
        <v>45383</v>
      </c>
      <c r="AL92" s="71" t="s">
        <v>80</v>
      </c>
      <c r="AM92" s="53" t="str">
        <f>VLOOKUP(A92,'[1]DANH SÁCH'!$B$8:$F$841,5,0)</f>
        <v>Điều dưỡng ĐH</v>
      </c>
      <c r="AN92" s="53"/>
      <c r="AO92" s="53" t="s">
        <v>159</v>
      </c>
      <c r="AP92" s="53">
        <v>2018</v>
      </c>
      <c r="AQ92" s="72" t="s">
        <v>113</v>
      </c>
      <c r="AR92" s="42">
        <f>VLOOKUP(A92,'[1]Chứng chỉ'!$B$8:$Q$1111,11,0)</f>
        <v>0</v>
      </c>
      <c r="AS92" s="42">
        <f>VLOOKUP(A92,'[1]Chứng chỉ'!$B$8:$Q$1111,12,0)</f>
        <v>0</v>
      </c>
      <c r="AT92" s="47">
        <f>VLOOKUP(A92,'[1]Chứng chỉ'!$B$8:$Q$1111,13,0)</f>
        <v>0</v>
      </c>
      <c r="AU92" s="42" t="str">
        <f>VLOOKUP(A92,'[1]Chứng chỉ'!$B$8:$Q$1111,14,0)</f>
        <v>Anh A2</v>
      </c>
      <c r="AV92" s="42">
        <f>VLOOKUP(A92,'[1]Chứng chỉ'!$B$8:$Q$1111,15,0)</f>
        <v>0</v>
      </c>
      <c r="AW92" s="42" t="str">
        <f>VLOOKUP(A92,'[1]Chứng chỉ'!$B$8:$Q$1111,16,0)</f>
        <v>Cơ bản</v>
      </c>
      <c r="AX92" s="53"/>
      <c r="AY92" s="57" t="s">
        <v>127</v>
      </c>
      <c r="AZ92" s="65"/>
      <c r="BA92" s="74" t="e">
        <f t="shared" si="42"/>
        <v>#REF!</v>
      </c>
      <c r="BB92" s="74" t="e">
        <f t="shared" si="43"/>
        <v>#REF!</v>
      </c>
      <c r="BC92" s="41" t="s">
        <v>413</v>
      </c>
      <c r="BD92" s="64"/>
    </row>
    <row r="93" spans="1:56" ht="51" x14ac:dyDescent="0.3">
      <c r="A93" s="41" t="s">
        <v>795</v>
      </c>
      <c r="B93" s="42">
        <f t="shared" si="0"/>
        <v>87</v>
      </c>
      <c r="C93" s="68" t="s">
        <v>796</v>
      </c>
      <c r="D93" s="41" t="s">
        <v>795</v>
      </c>
      <c r="E93" s="61">
        <v>2009000927</v>
      </c>
      <c r="F93" s="64"/>
      <c r="G93" s="49" t="s">
        <v>797</v>
      </c>
      <c r="H93" s="76"/>
      <c r="I93" s="76">
        <v>31186</v>
      </c>
      <c r="J93" s="66">
        <f t="shared" ca="1" si="44"/>
        <v>41</v>
      </c>
      <c r="K93" s="75" t="s">
        <v>798</v>
      </c>
      <c r="L93" s="41" t="s">
        <v>799</v>
      </c>
      <c r="M93" s="53" t="s">
        <v>67</v>
      </c>
      <c r="N93" s="66" t="s">
        <v>800</v>
      </c>
      <c r="O93" s="53"/>
      <c r="P93" s="49" t="s">
        <v>282</v>
      </c>
      <c r="Q93" s="49" t="s">
        <v>94</v>
      </c>
      <c r="R93" s="49"/>
      <c r="S93" s="49" t="s">
        <v>801</v>
      </c>
      <c r="T93" s="53" t="s">
        <v>182</v>
      </c>
      <c r="U93" s="53" t="s">
        <v>94</v>
      </c>
      <c r="V93" s="49" t="str">
        <f t="shared" si="38"/>
        <v>Thị trấn Lộc Binh, Huyện Lộc Bình, Tỉnh Lạng Sơn</v>
      </c>
      <c r="W93" s="55" t="s">
        <v>678</v>
      </c>
      <c r="X93" s="41"/>
      <c r="Y93" s="41"/>
      <c r="Z93" s="41"/>
      <c r="AA93" s="68">
        <f>VLOOKUP(A93,'[1]DANH SÁCH'!$B$8:$AD$841,12,0)</f>
        <v>0</v>
      </c>
      <c r="AB93" s="49" t="str">
        <f>VLOOKUP(A93,'[1]DANH SÁCH'!$B$8:$H$841,6,0)</f>
        <v>TĐ012</v>
      </c>
      <c r="AC93" s="69" t="str">
        <f>VLOOKUP(A93,'[1]DANH SÁCH'!$B$8:$J$841,9,0)</f>
        <v>Nội Thận-TN-LM</v>
      </c>
      <c r="AD93" s="69" t="str">
        <f>VLOOKUP(A93,'[1]DANH SÁCH'!$B$8:$AC$841,10,0)</f>
        <v>KP009</v>
      </c>
      <c r="AE93" s="69" t="str">
        <f>VLOOKUP(A93,'[1]DANH SÁCH'!$B$8:$AD$841,13,0)</f>
        <v>Viên chức</v>
      </c>
      <c r="AF93" s="41" t="s">
        <v>157</v>
      </c>
      <c r="AG93" s="42" t="str">
        <f>VLOOKUP(A93,'[1]DANH SÁCH'!$B$8:$H$841,7,0)</f>
        <v>Điều dưỡng (hạng IV)</v>
      </c>
      <c r="AH93" s="45">
        <v>3.65</v>
      </c>
      <c r="AI93" s="42">
        <v>6</v>
      </c>
      <c r="AJ93" s="70">
        <v>0</v>
      </c>
      <c r="AK93" s="69">
        <v>45809</v>
      </c>
      <c r="AL93" s="71" t="s">
        <v>158</v>
      </c>
      <c r="AM93" s="53" t="str">
        <f>VLOOKUP(A93,'[1]DANH SÁCH'!$B$8:$F$841,5,0)</f>
        <v>Điều dưỡng CĐ</v>
      </c>
      <c r="AN93" s="53"/>
      <c r="AO93" s="53" t="s">
        <v>159</v>
      </c>
      <c r="AP93" s="53">
        <v>2007</v>
      </c>
      <c r="AQ93" s="72" t="s">
        <v>113</v>
      </c>
      <c r="AR93" s="42">
        <f>VLOOKUP(A93,'[1]Chứng chỉ'!$B$8:$Q$1111,11,0)</f>
        <v>0</v>
      </c>
      <c r="AS93" s="42">
        <f>VLOOKUP(A93,'[1]Chứng chỉ'!$B$8:$Q$1111,12,0)</f>
        <v>0</v>
      </c>
      <c r="AT93" s="47">
        <f>VLOOKUP(A93,'[1]Chứng chỉ'!$B$8:$Q$1111,13,0)</f>
        <v>0</v>
      </c>
      <c r="AU93" s="42" t="str">
        <f>VLOOKUP(A93,'[1]Chứng chỉ'!$B$8:$Q$1111,14,0)</f>
        <v>TOEFL</v>
      </c>
      <c r="AV93" s="42">
        <f>VLOOKUP(A93,'[1]Chứng chỉ'!$B$8:$Q$1111,15,0)</f>
        <v>0</v>
      </c>
      <c r="AW93" s="42" t="str">
        <f>VLOOKUP(A93,'[1]Chứng chỉ'!$B$8:$Q$1111,16,0)</f>
        <v>Cơ bản</v>
      </c>
      <c r="AX93" s="53"/>
      <c r="AY93" s="57" t="s">
        <v>127</v>
      </c>
      <c r="AZ93" s="65"/>
      <c r="BA93" s="74" t="e">
        <f t="shared" si="42"/>
        <v>#REF!</v>
      </c>
      <c r="BB93" s="74" t="e">
        <f t="shared" si="43"/>
        <v>#REF!</v>
      </c>
      <c r="BC93" s="61" t="s">
        <v>449</v>
      </c>
      <c r="BD93" s="62"/>
    </row>
    <row r="94" spans="1:56" ht="61.2" x14ac:dyDescent="0.3">
      <c r="A94" s="41" t="s">
        <v>802</v>
      </c>
      <c r="B94" s="42">
        <f t="shared" si="0"/>
        <v>88</v>
      </c>
      <c r="C94" s="68" t="s">
        <v>803</v>
      </c>
      <c r="D94" s="41" t="s">
        <v>802</v>
      </c>
      <c r="E94" s="61">
        <v>1507002260</v>
      </c>
      <c r="F94" s="64"/>
      <c r="G94" s="49" t="s">
        <v>804</v>
      </c>
      <c r="H94" s="76"/>
      <c r="I94" s="76">
        <v>31128</v>
      </c>
      <c r="J94" s="66">
        <f t="shared" ca="1" si="44"/>
        <v>41</v>
      </c>
      <c r="K94" s="75" t="s">
        <v>805</v>
      </c>
      <c r="L94" s="41" t="s">
        <v>806</v>
      </c>
      <c r="M94" s="53" t="s">
        <v>67</v>
      </c>
      <c r="N94" s="66" t="s">
        <v>807</v>
      </c>
      <c r="O94" s="53" t="s">
        <v>439</v>
      </c>
      <c r="P94" s="49" t="s">
        <v>195</v>
      </c>
      <c r="Q94" s="49" t="s">
        <v>94</v>
      </c>
      <c r="R94" s="49" t="s">
        <v>808</v>
      </c>
      <c r="S94" s="49" t="s">
        <v>166</v>
      </c>
      <c r="T94" s="53" t="s">
        <v>97</v>
      </c>
      <c r="U94" s="53" t="s">
        <v>94</v>
      </c>
      <c r="V94" s="49" t="str">
        <f t="shared" si="38"/>
        <v>Phường Tam Thanh, Thành phố Lạng Sơn, Tỉnh Lạng Sơn</v>
      </c>
      <c r="W94" s="55" t="s">
        <v>809</v>
      </c>
      <c r="X94" s="41"/>
      <c r="Y94" s="41"/>
      <c r="Z94" s="41"/>
      <c r="AA94" s="68">
        <f>VLOOKUP(A94,'[1]DANH SÁCH'!$B$8:$AD$841,12,0)</f>
        <v>0</v>
      </c>
      <c r="AB94" s="49" t="str">
        <f>VLOOKUP(A94,'[1]DANH SÁCH'!$B$8:$H$841,6,0)</f>
        <v>TĐ012</v>
      </c>
      <c r="AC94" s="69" t="str">
        <f>VLOOKUP(A94,'[1]DANH SÁCH'!$B$8:$J$841,9,0)</f>
        <v>Nội Thận-TN-LM</v>
      </c>
      <c r="AD94" s="69" t="str">
        <f>VLOOKUP(A94,'[1]DANH SÁCH'!$B$8:$AC$841,10,0)</f>
        <v>KP009</v>
      </c>
      <c r="AE94" s="69" t="str">
        <f>VLOOKUP(A94,'[1]DANH SÁCH'!$B$8:$AD$841,13,0)</f>
        <v>Viên chức</v>
      </c>
      <c r="AF94" s="41" t="s">
        <v>157</v>
      </c>
      <c r="AG94" s="42" t="str">
        <f>VLOOKUP(A94,'[1]DANH SÁCH'!$B$8:$H$841,7,0)</f>
        <v>Điều dưỡng (hạng IV)</v>
      </c>
      <c r="AH94" s="45">
        <v>3.65</v>
      </c>
      <c r="AI94" s="42">
        <v>6</v>
      </c>
      <c r="AJ94" s="70">
        <v>0</v>
      </c>
      <c r="AK94" s="69">
        <v>45839</v>
      </c>
      <c r="AL94" s="71" t="s">
        <v>158</v>
      </c>
      <c r="AM94" s="53" t="str">
        <f>VLOOKUP(A94,'[1]DANH SÁCH'!$B$8:$F$841,5,0)</f>
        <v>Điều dưỡng CĐ</v>
      </c>
      <c r="AN94" s="53"/>
      <c r="AO94" s="53" t="s">
        <v>810</v>
      </c>
      <c r="AP94" s="53">
        <v>2006</v>
      </c>
      <c r="AQ94" s="72" t="s">
        <v>113</v>
      </c>
      <c r="AR94" s="42">
        <f>VLOOKUP(A94,'[1]Chứng chỉ'!$B$8:$Q$1111,11,0)</f>
        <v>0</v>
      </c>
      <c r="AS94" s="42">
        <f>VLOOKUP(A94,'[1]Chứng chỉ'!$B$8:$Q$1111,12,0)</f>
        <v>0</v>
      </c>
      <c r="AT94" s="47">
        <f>VLOOKUP(A94,'[1]Chứng chỉ'!$B$8:$Q$1111,13,0)</f>
        <v>0</v>
      </c>
      <c r="AU94" s="42" t="str">
        <f>VLOOKUP(A94,'[1]Chứng chỉ'!$B$8:$Q$1111,14,0)</f>
        <v>Anh B</v>
      </c>
      <c r="AV94" s="42">
        <f>VLOOKUP(A94,'[1]Chứng chỉ'!$B$8:$Q$1111,15,0)</f>
        <v>0</v>
      </c>
      <c r="AW94" s="42" t="str">
        <f>VLOOKUP(A94,'[1]Chứng chỉ'!$B$8:$Q$1111,16,0)</f>
        <v>Cơ bản</v>
      </c>
      <c r="AX94" s="53"/>
      <c r="AY94" s="57" t="s">
        <v>127</v>
      </c>
      <c r="AZ94" s="65"/>
      <c r="BA94" s="74" t="e">
        <f t="shared" si="42"/>
        <v>#REF!</v>
      </c>
      <c r="BB94" s="74" t="e">
        <f t="shared" si="43"/>
        <v>#REF!</v>
      </c>
      <c r="BC94" s="61" t="s">
        <v>449</v>
      </c>
      <c r="BD94" s="62"/>
    </row>
    <row r="95" spans="1:56" ht="61.2" x14ac:dyDescent="0.3">
      <c r="A95" s="41" t="s">
        <v>811</v>
      </c>
      <c r="B95" s="42">
        <f t="shared" si="0"/>
        <v>89</v>
      </c>
      <c r="C95" s="68" t="s">
        <v>812</v>
      </c>
      <c r="D95" s="41" t="s">
        <v>811</v>
      </c>
      <c r="E95" s="61">
        <v>2009000930</v>
      </c>
      <c r="F95" s="64"/>
      <c r="G95" s="49" t="s">
        <v>813</v>
      </c>
      <c r="H95" s="76"/>
      <c r="I95" s="76">
        <v>31315</v>
      </c>
      <c r="J95" s="66">
        <f t="shared" ca="1" si="44"/>
        <v>40</v>
      </c>
      <c r="K95" s="75" t="s">
        <v>814</v>
      </c>
      <c r="L95" s="41" t="s">
        <v>815</v>
      </c>
      <c r="M95" s="53" t="s">
        <v>67</v>
      </c>
      <c r="N95" s="66"/>
      <c r="O95" s="53"/>
      <c r="P95" s="49" t="s">
        <v>282</v>
      </c>
      <c r="Q95" s="49" t="s">
        <v>94</v>
      </c>
      <c r="R95" s="49"/>
      <c r="S95" s="49" t="s">
        <v>124</v>
      </c>
      <c r="T95" s="85" t="s">
        <v>97</v>
      </c>
      <c r="U95" s="53" t="s">
        <v>94</v>
      </c>
      <c r="V95" s="49" t="str">
        <f t="shared" si="38"/>
        <v>Phường Đông Kinh, Thành phố Lạng Sơn, Tỉnh Lạng Sơn</v>
      </c>
      <c r="W95" s="55" t="s">
        <v>98</v>
      </c>
      <c r="X95" s="41"/>
      <c r="Y95" s="41"/>
      <c r="Z95" s="41"/>
      <c r="AA95" s="68">
        <f>VLOOKUP(A95,'[1]DANH SÁCH'!$B$8:$AD$841,12,0)</f>
        <v>0</v>
      </c>
      <c r="AB95" s="49" t="str">
        <f>VLOOKUP(A95,'[1]DANH SÁCH'!$B$8:$H$841,6,0)</f>
        <v>TĐ012</v>
      </c>
      <c r="AC95" s="69" t="str">
        <f>VLOOKUP(A95,'[1]DANH SÁCH'!$B$8:$J$841,9,0)</f>
        <v>Nội Thận-TN-LM</v>
      </c>
      <c r="AD95" s="69" t="str">
        <f>VLOOKUP(A95,'[1]DANH SÁCH'!$B$8:$AC$841,10,0)</f>
        <v>KP009</v>
      </c>
      <c r="AE95" s="69" t="str">
        <f>VLOOKUP(A95,'[1]DANH SÁCH'!$B$8:$AD$841,13,0)</f>
        <v>Viên chức</v>
      </c>
      <c r="AF95" s="41" t="s">
        <v>157</v>
      </c>
      <c r="AG95" s="42" t="str">
        <f>VLOOKUP(A95,'[1]DANH SÁCH'!$B$8:$H$841,7,0)</f>
        <v>Điều dưỡng (hạng IV)</v>
      </c>
      <c r="AH95" s="45">
        <v>3.34</v>
      </c>
      <c r="AI95" s="42">
        <v>5</v>
      </c>
      <c r="AJ95" s="70">
        <v>0</v>
      </c>
      <c r="AK95" s="69">
        <v>44927</v>
      </c>
      <c r="AL95" s="71" t="s">
        <v>158</v>
      </c>
      <c r="AM95" s="53" t="str">
        <f>VLOOKUP(A95,'[1]DANH SÁCH'!$B$8:$F$841,5,0)</f>
        <v>Điều dưỡng CĐ</v>
      </c>
      <c r="AN95" s="53"/>
      <c r="AO95" s="53" t="s">
        <v>159</v>
      </c>
      <c r="AP95" s="53">
        <v>2007</v>
      </c>
      <c r="AQ95" s="72" t="s">
        <v>113</v>
      </c>
      <c r="AR95" s="42">
        <f>VLOOKUP(A95,'[1]Chứng chỉ'!$B$8:$Q$1111,11,0)</f>
        <v>0</v>
      </c>
      <c r="AS95" s="42">
        <f>VLOOKUP(A95,'[1]Chứng chỉ'!$B$8:$Q$1111,12,0)</f>
        <v>0</v>
      </c>
      <c r="AT95" s="47">
        <f>VLOOKUP(A95,'[1]Chứng chỉ'!$B$8:$Q$1111,13,0)</f>
        <v>0</v>
      </c>
      <c r="AU95" s="42" t="str">
        <f>VLOOKUP(A95,'[1]Chứng chỉ'!$B$8:$Q$1111,14,0)</f>
        <v>TOEFL</v>
      </c>
      <c r="AV95" s="42">
        <f>VLOOKUP(A95,'[1]Chứng chỉ'!$B$8:$Q$1111,15,0)</f>
        <v>0</v>
      </c>
      <c r="AW95" s="42" t="str">
        <f>VLOOKUP(A95,'[1]Chứng chỉ'!$B$8:$Q$1111,16,0)</f>
        <v>Cơ bản</v>
      </c>
      <c r="AX95" s="53"/>
      <c r="AY95" s="57" t="s">
        <v>127</v>
      </c>
      <c r="AZ95" s="65"/>
      <c r="BA95" s="74" t="e">
        <f t="shared" si="42"/>
        <v>#REF!</v>
      </c>
      <c r="BB95" s="74" t="e">
        <f t="shared" si="43"/>
        <v>#REF!</v>
      </c>
      <c r="BC95" s="61" t="s">
        <v>449</v>
      </c>
      <c r="BD95" s="62"/>
    </row>
    <row r="96" spans="1:56" ht="61.2" x14ac:dyDescent="0.3">
      <c r="A96" s="41" t="s">
        <v>816</v>
      </c>
      <c r="B96" s="42">
        <f t="shared" si="0"/>
        <v>90</v>
      </c>
      <c r="C96" s="68" t="s">
        <v>817</v>
      </c>
      <c r="D96" s="41" t="s">
        <v>816</v>
      </c>
      <c r="E96" s="61">
        <v>2010000142</v>
      </c>
      <c r="F96" s="64"/>
      <c r="G96" s="49" t="s">
        <v>818</v>
      </c>
      <c r="H96" s="76"/>
      <c r="I96" s="76">
        <v>31493</v>
      </c>
      <c r="J96" s="66">
        <f t="shared" ca="1" si="44"/>
        <v>40</v>
      </c>
      <c r="K96" s="75" t="s">
        <v>819</v>
      </c>
      <c r="L96" s="41" t="s">
        <v>820</v>
      </c>
      <c r="M96" s="53" t="s">
        <v>67</v>
      </c>
      <c r="N96" s="66"/>
      <c r="O96" s="85" t="s">
        <v>821</v>
      </c>
      <c r="P96" s="49" t="s">
        <v>195</v>
      </c>
      <c r="Q96" s="76" t="s">
        <v>94</v>
      </c>
      <c r="R96" s="49" t="s">
        <v>822</v>
      </c>
      <c r="S96" s="76" t="s">
        <v>96</v>
      </c>
      <c r="T96" s="85" t="s">
        <v>97</v>
      </c>
      <c r="U96" s="85" t="s">
        <v>94</v>
      </c>
      <c r="V96" s="49" t="str">
        <f t="shared" si="38"/>
        <v>Phường Hoàng Văn Thụ, Thành phố Lạng Sơn, Tỉnh Lạng Sơn</v>
      </c>
      <c r="W96" s="55" t="s">
        <v>236</v>
      </c>
      <c r="X96" s="41"/>
      <c r="Y96" s="41"/>
      <c r="Z96" s="41"/>
      <c r="AA96" s="68">
        <f>VLOOKUP(A96,'[1]DANH SÁCH'!$B$8:$AD$841,12,0)</f>
        <v>0</v>
      </c>
      <c r="AB96" s="49" t="str">
        <f>VLOOKUP(A96,'[1]DANH SÁCH'!$B$8:$H$841,6,0)</f>
        <v>TĐ012</v>
      </c>
      <c r="AC96" s="69" t="str">
        <f>VLOOKUP(A96,'[1]DANH SÁCH'!$B$8:$J$841,9,0)</f>
        <v>Nội Thận-TN-LM</v>
      </c>
      <c r="AD96" s="69" t="str">
        <f>VLOOKUP(A96,'[1]DANH SÁCH'!$B$8:$AC$841,10,0)</f>
        <v>KP009</v>
      </c>
      <c r="AE96" s="69" t="str">
        <f>VLOOKUP(A96,'[1]DANH SÁCH'!$B$8:$AD$841,13,0)</f>
        <v>Viên chức</v>
      </c>
      <c r="AF96" s="41" t="s">
        <v>157</v>
      </c>
      <c r="AG96" s="42" t="str">
        <f>VLOOKUP(A96,'[1]DANH SÁCH'!$B$8:$H$841,7,0)</f>
        <v>Điều dưỡng (hạng IV)</v>
      </c>
      <c r="AH96" s="45">
        <v>3.65</v>
      </c>
      <c r="AI96" s="42">
        <v>6</v>
      </c>
      <c r="AJ96" s="70">
        <v>0</v>
      </c>
      <c r="AK96" s="69">
        <v>45839</v>
      </c>
      <c r="AL96" s="71" t="s">
        <v>158</v>
      </c>
      <c r="AM96" s="53" t="str">
        <f>VLOOKUP(A96,'[1]DANH SÁCH'!$B$8:$F$841,5,0)</f>
        <v>Điều dưỡng CĐ</v>
      </c>
      <c r="AN96" s="53"/>
      <c r="AO96" s="53" t="s">
        <v>159</v>
      </c>
      <c r="AP96" s="53">
        <v>2008</v>
      </c>
      <c r="AQ96" s="72" t="s">
        <v>113</v>
      </c>
      <c r="AR96" s="42">
        <f>VLOOKUP(A96,'[1]Chứng chỉ'!$B$8:$Q$1111,11,0)</f>
        <v>0</v>
      </c>
      <c r="AS96" s="42">
        <f>VLOOKUP(A96,'[1]Chứng chỉ'!$B$8:$Q$1111,12,0)</f>
        <v>0</v>
      </c>
      <c r="AT96" s="47">
        <f>VLOOKUP(A96,'[1]Chứng chỉ'!$B$8:$Q$1111,13,0)</f>
        <v>0</v>
      </c>
      <c r="AU96" s="42" t="str">
        <f>VLOOKUP(A96,'[1]Chứng chỉ'!$B$8:$Q$1111,14,0)</f>
        <v>TOEFL</v>
      </c>
      <c r="AV96" s="42">
        <f>VLOOKUP(A96,'[1]Chứng chỉ'!$B$8:$Q$1111,15,0)</f>
        <v>0</v>
      </c>
      <c r="AW96" s="42" t="str">
        <f>VLOOKUP(A96,'[1]Chứng chỉ'!$B$8:$Q$1111,16,0)</f>
        <v>Cơ bản</v>
      </c>
      <c r="AX96" s="53"/>
      <c r="AY96" s="57" t="s">
        <v>85</v>
      </c>
      <c r="AZ96" s="65">
        <v>42554</v>
      </c>
      <c r="BA96" s="74" t="e">
        <f t="shared" si="42"/>
        <v>#REF!</v>
      </c>
      <c r="BB96" s="74" t="e">
        <f t="shared" si="43"/>
        <v>#REF!</v>
      </c>
      <c r="BC96" s="61" t="s">
        <v>128</v>
      </c>
      <c r="BD96" s="62"/>
    </row>
    <row r="97" spans="1:56" ht="51" x14ac:dyDescent="0.3">
      <c r="A97" s="41" t="s">
        <v>823</v>
      </c>
      <c r="B97" s="42">
        <f t="shared" si="0"/>
        <v>91</v>
      </c>
      <c r="C97" s="68" t="s">
        <v>824</v>
      </c>
      <c r="D97" s="41" t="s">
        <v>823</v>
      </c>
      <c r="E97" s="61">
        <v>2011000021</v>
      </c>
      <c r="F97" s="64"/>
      <c r="G97" s="49" t="s">
        <v>825</v>
      </c>
      <c r="H97" s="76">
        <v>30829</v>
      </c>
      <c r="I97" s="76"/>
      <c r="J97" s="66">
        <f ca="1">INT(DATEDIF(H97,$J$2,"d")/365)</f>
        <v>42</v>
      </c>
      <c r="K97" s="75" t="s">
        <v>826</v>
      </c>
      <c r="L97" s="41" t="s">
        <v>827</v>
      </c>
      <c r="M97" s="53" t="s">
        <v>67</v>
      </c>
      <c r="N97" s="66"/>
      <c r="O97" s="53" t="s">
        <v>828</v>
      </c>
      <c r="P97" s="76" t="s">
        <v>145</v>
      </c>
      <c r="Q97" s="49" t="s">
        <v>94</v>
      </c>
      <c r="R97" s="49"/>
      <c r="S97" s="49" t="s">
        <v>828</v>
      </c>
      <c r="T97" s="85" t="s">
        <v>145</v>
      </c>
      <c r="U97" s="53" t="s">
        <v>94</v>
      </c>
      <c r="V97" s="49" t="str">
        <f t="shared" si="38"/>
        <v>Xã Trùng Quán, Huyện Văn Lãng, Tỉnh Lạng Sơn</v>
      </c>
      <c r="W97" s="55" t="s">
        <v>224</v>
      </c>
      <c r="X97" s="41"/>
      <c r="Y97" s="41"/>
      <c r="Z97" s="41"/>
      <c r="AA97" s="68">
        <f>VLOOKUP(A97,'[1]DANH SÁCH'!$B$8:$AD$841,12,0)</f>
        <v>0</v>
      </c>
      <c r="AB97" s="49" t="str">
        <f>VLOOKUP(A97,'[1]DANH SÁCH'!$B$8:$H$841,6,0)</f>
        <v>TĐ012</v>
      </c>
      <c r="AC97" s="69" t="str">
        <f>VLOOKUP(A97,'[1]DANH SÁCH'!$B$8:$J$841,9,0)</f>
        <v>Nội Thận-TN-LM</v>
      </c>
      <c r="AD97" s="69" t="str">
        <f>VLOOKUP(A97,'[1]DANH SÁCH'!$B$8:$AC$841,10,0)</f>
        <v>KP009</v>
      </c>
      <c r="AE97" s="69" t="str">
        <f>VLOOKUP(A97,'[1]DANH SÁCH'!$B$8:$AD$841,13,0)</f>
        <v>Viên chức</v>
      </c>
      <c r="AF97" s="41" t="s">
        <v>157</v>
      </c>
      <c r="AG97" s="42" t="str">
        <f>VLOOKUP(A97,'[1]DANH SÁCH'!$B$8:$H$841,7,0)</f>
        <v>Điều dưỡng (hạng IV)</v>
      </c>
      <c r="AH97" s="45">
        <v>3.65</v>
      </c>
      <c r="AI97" s="42">
        <v>6</v>
      </c>
      <c r="AJ97" s="70">
        <v>0</v>
      </c>
      <c r="AK97" s="69">
        <v>45839</v>
      </c>
      <c r="AL97" s="71" t="s">
        <v>158</v>
      </c>
      <c r="AM97" s="53" t="str">
        <f>VLOOKUP(A97,'[1]DANH SÁCH'!$B$8:$F$841,5,0)</f>
        <v>Điều dưỡng CĐ</v>
      </c>
      <c r="AN97" s="53"/>
      <c r="AO97" s="53" t="s">
        <v>159</v>
      </c>
      <c r="AP97" s="53">
        <v>2009</v>
      </c>
      <c r="AQ97" s="72" t="s">
        <v>113</v>
      </c>
      <c r="AR97" s="42">
        <f>VLOOKUP(A97,'[1]Chứng chỉ'!$B$8:$Q$1111,11,0)</f>
        <v>0</v>
      </c>
      <c r="AS97" s="42">
        <f>VLOOKUP(A97,'[1]Chứng chỉ'!$B$8:$Q$1111,12,0)</f>
        <v>0</v>
      </c>
      <c r="AT97" s="47">
        <f>VLOOKUP(A97,'[1]Chứng chỉ'!$B$8:$Q$1111,13,0)</f>
        <v>0</v>
      </c>
      <c r="AU97" s="42" t="str">
        <f>VLOOKUP(A97,'[1]Chứng chỉ'!$B$8:$Q$1111,14,0)</f>
        <v>Anh B</v>
      </c>
      <c r="AV97" s="42">
        <f>VLOOKUP(A97,'[1]Chứng chỉ'!$B$8:$Q$1111,15,0)</f>
        <v>0</v>
      </c>
      <c r="AW97" s="42" t="str">
        <f>VLOOKUP(A97,'[1]Chứng chỉ'!$B$8:$Q$1111,16,0)</f>
        <v>Cơ bản</v>
      </c>
      <c r="AX97" s="53"/>
      <c r="AY97" s="57" t="s">
        <v>85</v>
      </c>
      <c r="AZ97" s="65"/>
      <c r="BA97" s="74" t="e">
        <f t="shared" si="42"/>
        <v>#REF!</v>
      </c>
      <c r="BB97" s="74" t="e">
        <f t="shared" si="43"/>
        <v>#REF!</v>
      </c>
      <c r="BC97" s="61" t="s">
        <v>128</v>
      </c>
      <c r="BD97" s="62"/>
    </row>
    <row r="98" spans="1:56" ht="51" x14ac:dyDescent="0.3">
      <c r="A98" s="41" t="s">
        <v>829</v>
      </c>
      <c r="B98" s="42">
        <f t="shared" si="0"/>
        <v>92</v>
      </c>
      <c r="C98" s="68" t="s">
        <v>830</v>
      </c>
      <c r="D98" s="41" t="s">
        <v>829</v>
      </c>
      <c r="E98" s="61">
        <v>2009000909</v>
      </c>
      <c r="F98" s="64"/>
      <c r="G98" s="49" t="s">
        <v>831</v>
      </c>
      <c r="H98" s="76"/>
      <c r="I98" s="76">
        <v>31619</v>
      </c>
      <c r="J98" s="66">
        <f t="shared" ref="J98:J99" ca="1" si="45">INT(DATEDIF(I98,$J$2,"d")/365)</f>
        <v>40</v>
      </c>
      <c r="K98" s="75" t="s">
        <v>832</v>
      </c>
      <c r="L98" s="41" t="s">
        <v>833</v>
      </c>
      <c r="M98" s="53" t="s">
        <v>67</v>
      </c>
      <c r="N98" s="66"/>
      <c r="O98" s="53"/>
      <c r="P98" s="49" t="s">
        <v>343</v>
      </c>
      <c r="Q98" s="49" t="s">
        <v>94</v>
      </c>
      <c r="R98" s="49"/>
      <c r="S98" s="49" t="s">
        <v>136</v>
      </c>
      <c r="T98" s="53" t="s">
        <v>97</v>
      </c>
      <c r="U98" s="53" t="s">
        <v>94</v>
      </c>
      <c r="V98" s="49" t="str">
        <f t="shared" si="38"/>
        <v>Phường Chi Lăng, Thành phố Lạng Sơn, Tỉnh Lạng Sơn</v>
      </c>
      <c r="W98" s="55" t="s">
        <v>185</v>
      </c>
      <c r="X98" s="41"/>
      <c r="Y98" s="41"/>
      <c r="Z98" s="41"/>
      <c r="AA98" s="68">
        <f>VLOOKUP(A98,'[1]DANH SÁCH'!$B$8:$AD$841,12,0)</f>
        <v>0</v>
      </c>
      <c r="AB98" s="49" t="str">
        <f>VLOOKUP(A98,'[1]DANH SÁCH'!$B$8:$H$841,6,0)</f>
        <v>TĐ012</v>
      </c>
      <c r="AC98" s="69" t="str">
        <f>VLOOKUP(A98,'[1]DANH SÁCH'!$B$8:$J$841,9,0)</f>
        <v>Nội Thận-TN-LM</v>
      </c>
      <c r="AD98" s="69" t="str">
        <f>VLOOKUP(A98,'[1]DANH SÁCH'!$B$8:$AC$841,10,0)</f>
        <v>KP009</v>
      </c>
      <c r="AE98" s="69" t="str">
        <f>VLOOKUP(A98,'[1]DANH SÁCH'!$B$8:$AD$841,13,0)</f>
        <v>Viên chức</v>
      </c>
      <c r="AF98" s="41" t="s">
        <v>157</v>
      </c>
      <c r="AG98" s="42" t="str">
        <f>VLOOKUP(A98,'[1]DANH SÁCH'!$B$8:$H$841,7,0)</f>
        <v>Điều dưỡng (hạng IV)</v>
      </c>
      <c r="AH98" s="45">
        <v>3.34</v>
      </c>
      <c r="AI98" s="42">
        <v>5</v>
      </c>
      <c r="AJ98" s="70">
        <v>0</v>
      </c>
      <c r="AK98" s="69">
        <v>44927</v>
      </c>
      <c r="AL98" s="71" t="s">
        <v>158</v>
      </c>
      <c r="AM98" s="53" t="str">
        <f>VLOOKUP(A98,'[1]DANH SÁCH'!$B$8:$F$841,5,0)</f>
        <v>Điều dưỡng CĐ</v>
      </c>
      <c r="AN98" s="53"/>
      <c r="AO98" s="53"/>
      <c r="AP98" s="53"/>
      <c r="AQ98" s="72" t="s">
        <v>113</v>
      </c>
      <c r="AR98" s="42">
        <f>VLOOKUP(A98,'[1]Chứng chỉ'!$B$8:$Q$1111,11,0)</f>
        <v>0</v>
      </c>
      <c r="AS98" s="42">
        <f>VLOOKUP(A98,'[1]Chứng chỉ'!$B$8:$Q$1111,12,0)</f>
        <v>0</v>
      </c>
      <c r="AT98" s="47">
        <f>VLOOKUP(A98,'[1]Chứng chỉ'!$B$8:$Q$1111,13,0)</f>
        <v>0</v>
      </c>
      <c r="AU98" s="42">
        <f>VLOOKUP(A98,'[1]Chứng chỉ'!$B$8:$Q$1111,14,0)</f>
        <v>0</v>
      </c>
      <c r="AV98" s="42">
        <f>VLOOKUP(A98,'[1]Chứng chỉ'!$B$8:$Q$1111,15,0)</f>
        <v>0</v>
      </c>
      <c r="AW98" s="42" t="str">
        <f>VLOOKUP(A98,'[1]Chứng chỉ'!$B$8:$Q$1111,16,0)</f>
        <v>B</v>
      </c>
      <c r="AX98" s="53"/>
      <c r="AY98" s="57" t="s">
        <v>127</v>
      </c>
      <c r="AZ98" s="65"/>
      <c r="BA98" s="74" t="e">
        <f t="shared" si="42"/>
        <v>#REF!</v>
      </c>
      <c r="BB98" s="74" t="e">
        <f t="shared" si="43"/>
        <v>#REF!</v>
      </c>
      <c r="BC98" s="61" t="s">
        <v>128</v>
      </c>
      <c r="BD98" s="62"/>
    </row>
    <row r="99" spans="1:56" ht="51" x14ac:dyDescent="0.3">
      <c r="A99" s="41" t="s">
        <v>834</v>
      </c>
      <c r="B99" s="42">
        <f t="shared" si="0"/>
        <v>93</v>
      </c>
      <c r="C99" s="68" t="s">
        <v>835</v>
      </c>
      <c r="D99" s="41" t="s">
        <v>834</v>
      </c>
      <c r="E99" s="61">
        <v>2008002395</v>
      </c>
      <c r="F99" s="64"/>
      <c r="G99" s="49" t="s">
        <v>836</v>
      </c>
      <c r="H99" s="76"/>
      <c r="I99" s="76">
        <v>30494</v>
      </c>
      <c r="J99" s="66">
        <f t="shared" ca="1" si="45"/>
        <v>43</v>
      </c>
      <c r="K99" s="75" t="s">
        <v>837</v>
      </c>
      <c r="L99" s="41" t="s">
        <v>838</v>
      </c>
      <c r="M99" s="53" t="s">
        <v>67</v>
      </c>
      <c r="N99" s="66" t="s">
        <v>839</v>
      </c>
      <c r="O99" s="53"/>
      <c r="P99" s="49" t="s">
        <v>840</v>
      </c>
      <c r="Q99" s="49" t="s">
        <v>235</v>
      </c>
      <c r="R99" s="49"/>
      <c r="S99" s="49" t="s">
        <v>73</v>
      </c>
      <c r="T99" s="53" t="s">
        <v>97</v>
      </c>
      <c r="U99" s="53" t="s">
        <v>94</v>
      </c>
      <c r="V99" s="49" t="str">
        <f t="shared" si="38"/>
        <v>Phường Vĩnh Trại, Thành phố Lạng Sơn, Tỉnh Lạng Sơn</v>
      </c>
      <c r="W99" s="55" t="s">
        <v>156</v>
      </c>
      <c r="X99" s="41"/>
      <c r="Y99" s="41"/>
      <c r="Z99" s="41"/>
      <c r="AA99" s="68">
        <f>VLOOKUP(A99,'[1]DANH SÁCH'!$B$8:$AD$841,12,0)</f>
        <v>0</v>
      </c>
      <c r="AB99" s="49" t="str">
        <f>VLOOKUP(A99,'[1]DANH SÁCH'!$B$8:$H$841,6,0)</f>
        <v>TĐ012</v>
      </c>
      <c r="AC99" s="69" t="str">
        <f>VLOOKUP(A99,'[1]DANH SÁCH'!$B$8:$J$841,9,0)</f>
        <v>Nội Thận-TN-LM</v>
      </c>
      <c r="AD99" s="69" t="str">
        <f>VLOOKUP(A99,'[1]DANH SÁCH'!$B$8:$AC$841,10,0)</f>
        <v>KP009</v>
      </c>
      <c r="AE99" s="69" t="str">
        <f>VLOOKUP(A99,'[1]DANH SÁCH'!$B$8:$AD$841,13,0)</f>
        <v>Viên chức</v>
      </c>
      <c r="AF99" s="41" t="s">
        <v>157</v>
      </c>
      <c r="AG99" s="42" t="str">
        <f>VLOOKUP(A99,'[1]DANH SÁCH'!$B$8:$H$841,7,0)</f>
        <v>Điều dưỡng (hạng IV)</v>
      </c>
      <c r="AH99" s="45">
        <v>3.03</v>
      </c>
      <c r="AI99" s="42">
        <v>4</v>
      </c>
      <c r="AJ99" s="70">
        <v>0</v>
      </c>
      <c r="AK99" s="69">
        <v>45448</v>
      </c>
      <c r="AL99" s="71" t="s">
        <v>158</v>
      </c>
      <c r="AM99" s="53" t="str">
        <f>VLOOKUP(A99,'[1]DANH SÁCH'!$B$8:$F$841,5,0)</f>
        <v>Điều dưỡng CĐ</v>
      </c>
      <c r="AN99" s="53"/>
      <c r="AO99" s="53" t="s">
        <v>175</v>
      </c>
      <c r="AP99" s="53">
        <v>2006</v>
      </c>
      <c r="AQ99" s="72" t="s">
        <v>113</v>
      </c>
      <c r="AR99" s="42">
        <f>VLOOKUP(A99,'[1]Chứng chỉ'!$B$8:$Q$1111,11,0)</f>
        <v>0</v>
      </c>
      <c r="AS99" s="42">
        <f>VLOOKUP(A99,'[1]Chứng chỉ'!$B$8:$Q$1111,12,0)</f>
        <v>0</v>
      </c>
      <c r="AT99" s="47">
        <f>VLOOKUP(A99,'[1]Chứng chỉ'!$B$8:$Q$1111,13,0)</f>
        <v>0</v>
      </c>
      <c r="AU99" s="42" t="str">
        <f>VLOOKUP(A99,'[1]Chứng chỉ'!$B$8:$Q$1111,14,0)</f>
        <v>Anh B</v>
      </c>
      <c r="AV99" s="42">
        <f>VLOOKUP(A99,'[1]Chứng chỉ'!$B$8:$Q$1111,15,0)</f>
        <v>0</v>
      </c>
      <c r="AW99" s="42">
        <f>VLOOKUP(A99,'[1]Chứng chỉ'!$B$8:$Q$1111,16,0)</f>
        <v>0</v>
      </c>
      <c r="AX99" s="53"/>
      <c r="AY99" s="57" t="s">
        <v>87</v>
      </c>
      <c r="AZ99" s="65"/>
      <c r="BA99" s="74" t="e">
        <f t="shared" si="42"/>
        <v>#REF!</v>
      </c>
      <c r="BB99" s="74" t="e">
        <f t="shared" si="43"/>
        <v>#REF!</v>
      </c>
      <c r="BC99" s="61" t="s">
        <v>128</v>
      </c>
      <c r="BD99" s="62"/>
    </row>
    <row r="100" spans="1:56" ht="51" x14ac:dyDescent="0.3">
      <c r="A100" s="41" t="s">
        <v>841</v>
      </c>
      <c r="B100" s="42">
        <f t="shared" si="0"/>
        <v>94</v>
      </c>
      <c r="C100" s="68" t="s">
        <v>842</v>
      </c>
      <c r="D100" s="41" t="s">
        <v>841</v>
      </c>
      <c r="E100" s="61">
        <v>2012000296</v>
      </c>
      <c r="F100" s="64"/>
      <c r="G100" s="49" t="s">
        <v>843</v>
      </c>
      <c r="H100" s="76">
        <v>32260</v>
      </c>
      <c r="I100" s="76"/>
      <c r="J100" s="66">
        <f t="shared" ref="J100:J101" ca="1" si="46">INT(DATEDIF(H100,$J$2,"d")/365)</f>
        <v>38</v>
      </c>
      <c r="K100" s="75" t="s">
        <v>844</v>
      </c>
      <c r="L100" s="41" t="s">
        <v>845</v>
      </c>
      <c r="M100" s="53" t="s">
        <v>67</v>
      </c>
      <c r="N100" s="66" t="s">
        <v>846</v>
      </c>
      <c r="O100" s="53" t="s">
        <v>847</v>
      </c>
      <c r="P100" s="49" t="s">
        <v>848</v>
      </c>
      <c r="Q100" s="49" t="s">
        <v>849</v>
      </c>
      <c r="R100" s="49"/>
      <c r="S100" s="49" t="s">
        <v>850</v>
      </c>
      <c r="T100" s="53" t="s">
        <v>231</v>
      </c>
      <c r="U100" s="53" t="s">
        <v>94</v>
      </c>
      <c r="V100" s="49" t="str">
        <f t="shared" si="38"/>
        <v>Thị trấn Thái Bình, Huyện Đình Lập, Tỉnh Lạng Sơn</v>
      </c>
      <c r="W100" s="86" t="s">
        <v>249</v>
      </c>
      <c r="X100" s="41"/>
      <c r="Y100" s="41"/>
      <c r="Z100" s="41"/>
      <c r="AA100" s="68" t="str">
        <f>VLOOKUP(A100,'[1]DANH SÁCH'!$B$8:$AD$841,12,0)</f>
        <v>Phó trưởng khoa</v>
      </c>
      <c r="AB100" s="49" t="str">
        <f>VLOOKUP(A100,'[1]DANH SÁCH'!$B$8:$H$841,6,0)</f>
        <v>TĐ003</v>
      </c>
      <c r="AC100" s="69" t="str">
        <f>VLOOKUP(A100,'[1]DANH SÁCH'!$B$8:$J$841,9,0)</f>
        <v>Nội TM</v>
      </c>
      <c r="AD100" s="69" t="str">
        <f>VLOOKUP(A100,'[1]DANH SÁCH'!$B$8:$AC$841,10,0)</f>
        <v>KP010</v>
      </c>
      <c r="AE100" s="69" t="str">
        <f>VLOOKUP(A100,'[1]DANH SÁCH'!$B$8:$AD$841,13,0)</f>
        <v>Viên chức</v>
      </c>
      <c r="AF100" s="41" t="s">
        <v>274</v>
      </c>
      <c r="AG100" s="42" t="str">
        <f>VLOOKUP(A100,'[1]DANH SÁCH'!$B$8:$H$841,7,0)</f>
        <v>Bác sĩ chính (hạng II)</v>
      </c>
      <c r="AH100" s="45">
        <v>4.4000000000000004</v>
      </c>
      <c r="AI100" s="42">
        <v>1</v>
      </c>
      <c r="AJ100" s="70">
        <v>0</v>
      </c>
      <c r="AK100" s="69">
        <v>45809</v>
      </c>
      <c r="AL100" s="71" t="s">
        <v>80</v>
      </c>
      <c r="AM100" s="53" t="str">
        <f>VLOOKUP(A100,'[1]DANH SÁCH'!$B$8:$F$841,5,0)</f>
        <v>BSCKI</v>
      </c>
      <c r="AN100" s="53" t="s">
        <v>138</v>
      </c>
      <c r="AO100" s="53" t="s">
        <v>297</v>
      </c>
      <c r="AP100" s="53">
        <v>2012</v>
      </c>
      <c r="AQ100" s="72" t="s">
        <v>113</v>
      </c>
      <c r="AR100" s="42">
        <f>VLOOKUP(A100,'[1]Chứng chỉ'!$B$8:$Q$1111,11,0)</f>
        <v>0</v>
      </c>
      <c r="AS100" s="42">
        <f>VLOOKUP(A100,'[1]Chứng chỉ'!$B$8:$Q$1111,12,0)</f>
        <v>0</v>
      </c>
      <c r="AT100" s="47">
        <f>VLOOKUP(A100,'[1]Chứng chỉ'!$B$8:$Q$1111,13,0)</f>
        <v>0</v>
      </c>
      <c r="AU100" s="42" t="str">
        <f>VLOOKUP(A100,'[1]Chứng chỉ'!$B$8:$Q$1111,14,0)</f>
        <v>Anh A2</v>
      </c>
      <c r="AV100" s="42">
        <f>VLOOKUP(A100,'[1]Chứng chỉ'!$B$8:$Q$1111,15,0)</f>
        <v>0</v>
      </c>
      <c r="AW100" s="42" t="str">
        <f>VLOOKUP(A100,'[1]Chứng chỉ'!$B$8:$Q$1111,16,0)</f>
        <v>Cơ bản</v>
      </c>
      <c r="AX100" s="53"/>
      <c r="AY100" s="57" t="s">
        <v>87</v>
      </c>
      <c r="AZ100" s="65"/>
      <c r="BA100" s="74" t="e">
        <f t="shared" si="42"/>
        <v>#REF!</v>
      </c>
      <c r="BB100" s="74" t="e">
        <f t="shared" si="43"/>
        <v>#REF!</v>
      </c>
      <c r="BC100" s="61" t="s">
        <v>128</v>
      </c>
      <c r="BD100" s="62"/>
    </row>
    <row r="101" spans="1:56" ht="40.799999999999997" x14ac:dyDescent="0.3">
      <c r="A101" s="41" t="s">
        <v>851</v>
      </c>
      <c r="B101" s="42">
        <f t="shared" si="0"/>
        <v>95</v>
      </c>
      <c r="C101" s="68" t="s">
        <v>852</v>
      </c>
      <c r="D101" s="41" t="s">
        <v>851</v>
      </c>
      <c r="E101" s="75">
        <v>1504000897</v>
      </c>
      <c r="F101" s="49"/>
      <c r="G101" s="49" t="s">
        <v>853</v>
      </c>
      <c r="H101" s="76">
        <v>27225</v>
      </c>
      <c r="I101" s="76"/>
      <c r="J101" s="66">
        <f t="shared" ca="1" si="46"/>
        <v>52</v>
      </c>
      <c r="K101" s="75" t="s">
        <v>854</v>
      </c>
      <c r="L101" s="41" t="s">
        <v>855</v>
      </c>
      <c r="M101" s="53" t="s">
        <v>67</v>
      </c>
      <c r="N101" s="66" t="s">
        <v>712</v>
      </c>
      <c r="O101" s="53" t="s">
        <v>447</v>
      </c>
      <c r="P101" s="76" t="s">
        <v>343</v>
      </c>
      <c r="Q101" s="49" t="s">
        <v>94</v>
      </c>
      <c r="R101" s="76"/>
      <c r="S101" s="49" t="s">
        <v>447</v>
      </c>
      <c r="T101" s="85" t="s">
        <v>343</v>
      </c>
      <c r="U101" s="53" t="s">
        <v>94</v>
      </c>
      <c r="V101" s="49" t="str">
        <f t="shared" si="38"/>
        <v>Xã Tô Hiệu, Huyện Bình Gia, Tỉnh Lạng Sơn</v>
      </c>
      <c r="W101" s="55" t="s">
        <v>266</v>
      </c>
      <c r="X101" s="41"/>
      <c r="Y101" s="41"/>
      <c r="Z101" s="41"/>
      <c r="AA101" s="68" t="str">
        <f>VLOOKUP(A101,'[1]DANH SÁCH'!$B$8:$AD$841,12,0)</f>
        <v>Trưởng khoa</v>
      </c>
      <c r="AB101" s="49" t="str">
        <f>VLOOKUP(A101,'[1]DANH SÁCH'!$B$8:$H$841,6,0)</f>
        <v>TĐ003</v>
      </c>
      <c r="AC101" s="69" t="str">
        <f>VLOOKUP(A101,'[1]DANH SÁCH'!$B$8:$J$841,9,0)</f>
        <v>Nội TM</v>
      </c>
      <c r="AD101" s="69" t="str">
        <f>VLOOKUP(A101,'[1]DANH SÁCH'!$B$8:$AC$841,10,0)</f>
        <v>KP010</v>
      </c>
      <c r="AE101" s="69" t="str">
        <f>VLOOKUP(A101,'[1]DANH SÁCH'!$B$8:$AD$841,13,0)</f>
        <v>Viên chức</v>
      </c>
      <c r="AF101" s="41" t="s">
        <v>79</v>
      </c>
      <c r="AG101" s="42" t="str">
        <f>VLOOKUP(A101,'[1]DANH SÁCH'!$B$8:$H$841,7,0)</f>
        <v>Bác sĩ chính (hạng II)</v>
      </c>
      <c r="AH101" s="45">
        <v>4.74</v>
      </c>
      <c r="AI101" s="42">
        <v>2</v>
      </c>
      <c r="AJ101" s="70">
        <v>0</v>
      </c>
      <c r="AK101" s="69">
        <v>45809</v>
      </c>
      <c r="AL101" s="71" t="s">
        <v>80</v>
      </c>
      <c r="AM101" s="53" t="str">
        <f>VLOOKUP(A101,'[1]DANH SÁCH'!$B$8:$F$841,5,0)</f>
        <v>BSCKI</v>
      </c>
      <c r="AN101" s="53" t="s">
        <v>138</v>
      </c>
      <c r="AO101" s="53" t="s">
        <v>112</v>
      </c>
      <c r="AP101" s="53">
        <v>2014</v>
      </c>
      <c r="AQ101" s="72"/>
      <c r="AR101" s="42" t="s">
        <v>82</v>
      </c>
      <c r="AS101" s="42" t="s">
        <v>100</v>
      </c>
      <c r="AT101" s="47" t="s">
        <v>101</v>
      </c>
      <c r="AU101" s="42">
        <f>VLOOKUP(A101,'[1]Chứng chỉ'!$B$8:$Q$1111,14,0)</f>
        <v>0</v>
      </c>
      <c r="AV101" s="42" t="str">
        <f>VLOOKUP(A101,'[1]Chứng chỉ'!$B$8:$Q$1111,15,0)</f>
        <v>Tày</v>
      </c>
      <c r="AW101" s="42" t="str">
        <f>VLOOKUP(A101,'[1]Chứng chỉ'!$B$8:$Q$1111,16,0)</f>
        <v>Cơ bản</v>
      </c>
      <c r="AX101" s="53"/>
      <c r="AY101" s="57" t="s">
        <v>85</v>
      </c>
      <c r="AZ101" s="65">
        <v>42498</v>
      </c>
      <c r="BA101" s="74" t="e">
        <f t="shared" si="42"/>
        <v>#REF!</v>
      </c>
      <c r="BB101" s="74" t="e">
        <f t="shared" si="43"/>
        <v>#REF!</v>
      </c>
      <c r="BC101" s="41"/>
      <c r="BD101" s="64"/>
    </row>
    <row r="102" spans="1:56" ht="40.799999999999997" x14ac:dyDescent="0.3">
      <c r="A102" s="46" t="s">
        <v>856</v>
      </c>
      <c r="B102" s="42">
        <f t="shared" si="0"/>
        <v>96</v>
      </c>
      <c r="C102" s="93" t="s">
        <v>857</v>
      </c>
      <c r="D102" s="46" t="s">
        <v>856</v>
      </c>
      <c r="E102" s="61" t="s">
        <v>858</v>
      </c>
      <c r="F102" s="64"/>
      <c r="G102" s="49" t="s">
        <v>859</v>
      </c>
      <c r="H102" s="46"/>
      <c r="I102" s="101">
        <v>33330</v>
      </c>
      <c r="J102" s="66">
        <f t="shared" ref="J102:J104" ca="1" si="47">INT(DATEDIF(I102,$J$2,"d")/365)</f>
        <v>35</v>
      </c>
      <c r="K102" s="75" t="s">
        <v>860</v>
      </c>
      <c r="L102" s="102" t="s">
        <v>861</v>
      </c>
      <c r="M102" s="53" t="s">
        <v>67</v>
      </c>
      <c r="N102" s="105" t="s">
        <v>862</v>
      </c>
      <c r="O102" s="56" t="s">
        <v>863</v>
      </c>
      <c r="P102" s="56" t="s">
        <v>343</v>
      </c>
      <c r="Q102" s="53" t="s">
        <v>94</v>
      </c>
      <c r="R102" s="92" t="s">
        <v>864</v>
      </c>
      <c r="S102" s="47" t="s">
        <v>863</v>
      </c>
      <c r="T102" s="56" t="s">
        <v>343</v>
      </c>
      <c r="U102" s="53" t="s">
        <v>94</v>
      </c>
      <c r="V102" s="92" t="s">
        <v>865</v>
      </c>
      <c r="W102" s="104" t="s">
        <v>384</v>
      </c>
      <c r="X102" s="46"/>
      <c r="Y102" s="92">
        <v>566</v>
      </c>
      <c r="Z102" s="92" t="s">
        <v>386</v>
      </c>
      <c r="AA102" s="68">
        <f>VLOOKUP(A102,'[1]DANH SÁCH'!$B$8:$AD$841,12,0)</f>
        <v>0</v>
      </c>
      <c r="AB102" s="49" t="str">
        <f>VLOOKUP(A102,'[1]DANH SÁCH'!$B$8:$H$841,6,0)</f>
        <v>TĐ003</v>
      </c>
      <c r="AC102" s="69" t="str">
        <f>VLOOKUP(A102,'[1]DANH SÁCH'!$B$8:$J$841,9,0)</f>
        <v>Nội TM</v>
      </c>
      <c r="AD102" s="69" t="str">
        <f>VLOOKUP(A102,'[1]DANH SÁCH'!$B$8:$AC$841,10,0)</f>
        <v>KP010</v>
      </c>
      <c r="AE102" s="69" t="str">
        <f>VLOOKUP(A102,'[1]DANH SÁCH'!$B$8:$AD$841,13,0)</f>
        <v>Viên chức</v>
      </c>
      <c r="AF102" s="41" t="s">
        <v>274</v>
      </c>
      <c r="AG102" s="92" t="s">
        <v>296</v>
      </c>
      <c r="AH102" s="45">
        <v>3</v>
      </c>
      <c r="AI102" s="42">
        <v>3</v>
      </c>
      <c r="AJ102" s="70">
        <v>0</v>
      </c>
      <c r="AK102" s="69">
        <v>45658</v>
      </c>
      <c r="AL102" s="71" t="s">
        <v>80</v>
      </c>
      <c r="AM102" s="53" t="str">
        <f>VLOOKUP(A102,'[1]DANH SÁCH'!$B$8:$F$841,5,0)</f>
        <v>BSCKI</v>
      </c>
      <c r="AN102" s="53" t="s">
        <v>138</v>
      </c>
      <c r="AO102" s="53" t="s">
        <v>297</v>
      </c>
      <c r="AP102" s="53">
        <v>2016</v>
      </c>
      <c r="AQ102" s="72" t="s">
        <v>113</v>
      </c>
      <c r="AR102" s="42">
        <f>VLOOKUP(A102,'[1]Chứng chỉ'!$B$8:$Q$1111,11,0)</f>
        <v>0</v>
      </c>
      <c r="AS102" s="42">
        <f>VLOOKUP(A102,'[1]Chứng chỉ'!$B$8:$Q$1111,12,0)</f>
        <v>0</v>
      </c>
      <c r="AT102" s="47" t="s">
        <v>139</v>
      </c>
      <c r="AU102" s="42" t="str">
        <f>VLOOKUP(A102,'[1]Chứng chỉ'!$B$8:$Q$1111,14,0)</f>
        <v>Anh A3</v>
      </c>
      <c r="AV102" s="42">
        <f>VLOOKUP(A102,'[1]Chứng chỉ'!$B$8:$Q$1111,15,0)</f>
        <v>0</v>
      </c>
      <c r="AW102" s="42" t="str">
        <f>VLOOKUP(A102,'[1]Chứng chỉ'!$B$8:$Q$1111,16,0)</f>
        <v>Cơ bản</v>
      </c>
      <c r="AX102" s="56"/>
      <c r="AY102" s="73" t="s">
        <v>127</v>
      </c>
      <c r="AZ102" s="65"/>
      <c r="BA102" s="74" t="e">
        <f t="shared" si="42"/>
        <v>#REF!</v>
      </c>
      <c r="BB102" s="74" t="e">
        <f t="shared" si="43"/>
        <v>#REF!</v>
      </c>
      <c r="BC102" s="61" t="s">
        <v>128</v>
      </c>
      <c r="BD102" s="62"/>
    </row>
    <row r="103" spans="1:56" ht="51" x14ac:dyDescent="0.3">
      <c r="A103" s="41" t="s">
        <v>866</v>
      </c>
      <c r="B103" s="42">
        <f t="shared" si="0"/>
        <v>97</v>
      </c>
      <c r="C103" s="68" t="s">
        <v>867</v>
      </c>
      <c r="D103" s="41" t="s">
        <v>866</v>
      </c>
      <c r="E103" s="61">
        <v>2013002634</v>
      </c>
      <c r="F103" s="64"/>
      <c r="G103" s="49" t="s">
        <v>868</v>
      </c>
      <c r="H103" s="76"/>
      <c r="I103" s="76">
        <v>32233</v>
      </c>
      <c r="J103" s="66">
        <f t="shared" ca="1" si="47"/>
        <v>38</v>
      </c>
      <c r="K103" s="75" t="s">
        <v>869</v>
      </c>
      <c r="L103" s="41" t="s">
        <v>870</v>
      </c>
      <c r="M103" s="53" t="s">
        <v>67</v>
      </c>
      <c r="N103" s="66" t="s">
        <v>871</v>
      </c>
      <c r="O103" s="53"/>
      <c r="P103" s="49" t="s">
        <v>872</v>
      </c>
      <c r="Q103" s="49" t="s">
        <v>873</v>
      </c>
      <c r="R103" s="49"/>
      <c r="S103" s="49" t="s">
        <v>136</v>
      </c>
      <c r="T103" s="53" t="s">
        <v>97</v>
      </c>
      <c r="U103" s="53" t="s">
        <v>94</v>
      </c>
      <c r="V103" s="49" t="str">
        <f>S103&amp;", "&amp;T103&amp;", "&amp;U103</f>
        <v>Phường Chi Lăng, Thành phố Lạng Sơn, Tỉnh Lạng Sơn</v>
      </c>
      <c r="W103" s="86" t="s">
        <v>249</v>
      </c>
      <c r="X103" s="41"/>
      <c r="Y103" s="41"/>
      <c r="Z103" s="41"/>
      <c r="AA103" s="68">
        <f>VLOOKUP(A103,'[1]DANH SÁCH'!$B$8:$AD$841,12,0)</f>
        <v>0</v>
      </c>
      <c r="AB103" s="49" t="str">
        <f>VLOOKUP(A103,'[1]DANH SÁCH'!$B$8:$H$841,6,0)</f>
        <v>TĐ003</v>
      </c>
      <c r="AC103" s="69" t="str">
        <f>VLOOKUP(A103,'[1]DANH SÁCH'!$B$8:$J$841,9,0)</f>
        <v>Nội TM</v>
      </c>
      <c r="AD103" s="69" t="str">
        <f>VLOOKUP(A103,'[1]DANH SÁCH'!$B$8:$AC$841,10,0)</f>
        <v>KP010</v>
      </c>
      <c r="AE103" s="69" t="str">
        <f>VLOOKUP(A103,'[1]DANH SÁCH'!$B$8:$AD$841,13,0)</f>
        <v>Viên chức</v>
      </c>
      <c r="AF103" s="41" t="s">
        <v>274</v>
      </c>
      <c r="AG103" s="42" t="str">
        <f>VLOOKUP(A103,'[1]DANH SÁCH'!$B$8:$H$841,7,0)</f>
        <v>Bác sĩ (hạng III)</v>
      </c>
      <c r="AH103" s="45">
        <v>3.33</v>
      </c>
      <c r="AI103" s="42">
        <v>4</v>
      </c>
      <c r="AJ103" s="70">
        <v>0</v>
      </c>
      <c r="AK103" s="69">
        <v>45047</v>
      </c>
      <c r="AL103" s="71" t="s">
        <v>80</v>
      </c>
      <c r="AM103" s="53" t="str">
        <f>VLOOKUP(A103,'[1]DANH SÁCH'!$B$8:$F$841,5,0)</f>
        <v>BSCKI</v>
      </c>
      <c r="AN103" s="53" t="s">
        <v>138</v>
      </c>
      <c r="AO103" s="53" t="s">
        <v>297</v>
      </c>
      <c r="AP103" s="53">
        <v>2013</v>
      </c>
      <c r="AQ103" s="72" t="s">
        <v>113</v>
      </c>
      <c r="AR103" s="42">
        <f>VLOOKUP(A103,'[1]Chứng chỉ'!$B$8:$Q$1111,11,0)</f>
        <v>0</v>
      </c>
      <c r="AS103" s="42">
        <f>VLOOKUP(A103,'[1]Chứng chỉ'!$B$8:$Q$1111,12,0)</f>
        <v>0</v>
      </c>
      <c r="AT103" s="47">
        <f>VLOOKUP(A103,'[1]Chứng chỉ'!$B$8:$Q$1111,13,0)</f>
        <v>0</v>
      </c>
      <c r="AU103" s="42" t="str">
        <f>VLOOKUP(A103,'[1]Chứng chỉ'!$B$8:$Q$1111,14,0)</f>
        <v>Anh Bậc 3</v>
      </c>
      <c r="AV103" s="42">
        <f>VLOOKUP(A103,'[1]Chứng chỉ'!$B$8:$Q$1111,15,0)</f>
        <v>0</v>
      </c>
      <c r="AW103" s="42" t="str">
        <f>VLOOKUP(A103,'[1]Chứng chỉ'!$B$8:$Q$1111,16,0)</f>
        <v>Tin B</v>
      </c>
      <c r="AX103" s="53"/>
      <c r="AY103" s="57" t="s">
        <v>85</v>
      </c>
      <c r="AZ103" s="65">
        <v>44755</v>
      </c>
      <c r="BA103" s="74" t="e">
        <f t="shared" si="42"/>
        <v>#REF!</v>
      </c>
      <c r="BB103" s="74" t="e">
        <f t="shared" si="43"/>
        <v>#REF!</v>
      </c>
      <c r="BC103" s="61"/>
      <c r="BD103" s="64"/>
    </row>
    <row r="104" spans="1:56" ht="30.6" x14ac:dyDescent="0.3">
      <c r="A104" s="46" t="s">
        <v>874</v>
      </c>
      <c r="B104" s="42">
        <f t="shared" si="0"/>
        <v>98</v>
      </c>
      <c r="C104" s="63" t="s">
        <v>875</v>
      </c>
      <c r="D104" s="46" t="s">
        <v>874</v>
      </c>
      <c r="E104" s="61" t="s">
        <v>876</v>
      </c>
      <c r="F104" s="42"/>
      <c r="G104" s="49" t="s">
        <v>877</v>
      </c>
      <c r="H104" s="47"/>
      <c r="I104" s="65">
        <v>32473</v>
      </c>
      <c r="J104" s="66">
        <f t="shared" ca="1" si="47"/>
        <v>37</v>
      </c>
      <c r="K104" s="46" t="s">
        <v>878</v>
      </c>
      <c r="L104" s="65">
        <v>38330</v>
      </c>
      <c r="M104" s="56"/>
      <c r="N104" s="52"/>
      <c r="O104" s="56"/>
      <c r="P104" s="47"/>
      <c r="Q104" s="47"/>
      <c r="R104" s="47"/>
      <c r="S104" s="47"/>
      <c r="T104" s="47"/>
      <c r="U104" s="47"/>
      <c r="V104" s="56" t="s">
        <v>879</v>
      </c>
      <c r="W104" s="67" t="s">
        <v>384</v>
      </c>
      <c r="X104" s="46"/>
      <c r="Y104" s="46"/>
      <c r="Z104" s="46"/>
      <c r="AA104" s="68">
        <f>VLOOKUP(A104,'[1]DANH SÁCH'!$B$8:$AD$841,12,0)</f>
        <v>0</v>
      </c>
      <c r="AB104" s="49" t="str">
        <f>VLOOKUP(A104,'[1]DANH SÁCH'!$B$8:$H$841,6,0)</f>
        <v>TĐ005</v>
      </c>
      <c r="AC104" s="69" t="str">
        <f>VLOOKUP(A104,'[1]DANH SÁCH'!$B$8:$J$841,9,0)</f>
        <v>Nội TM</v>
      </c>
      <c r="AD104" s="69" t="str">
        <f>VLOOKUP(A104,'[1]DANH SÁCH'!$B$8:$AC$841,10,0)</f>
        <v>KP010</v>
      </c>
      <c r="AE104" s="69" t="str">
        <f>VLOOKUP(A104,'[1]DANH SÁCH'!$B$8:$AD$841,13,0)</f>
        <v>Viên chức</v>
      </c>
      <c r="AF104" s="46" t="s">
        <v>274</v>
      </c>
      <c r="AG104" s="42" t="str">
        <f>VLOOKUP(A104,'[1]DANH SÁCH'!$B$8:$H$841,7,0)</f>
        <v>Bác sĩ (hạng III)</v>
      </c>
      <c r="AH104" s="45">
        <v>3</v>
      </c>
      <c r="AI104" s="42">
        <v>3</v>
      </c>
      <c r="AJ104" s="70">
        <v>0</v>
      </c>
      <c r="AK104" s="69">
        <v>45839</v>
      </c>
      <c r="AL104" s="71" t="s">
        <v>80</v>
      </c>
      <c r="AM104" s="53" t="str">
        <f>VLOOKUP(A104,'[1]DANH SÁCH'!$B$8:$F$841,5,0)</f>
        <v>Bác sĩ</v>
      </c>
      <c r="AN104" s="47" t="s">
        <v>307</v>
      </c>
      <c r="AO104" s="56" t="s">
        <v>880</v>
      </c>
      <c r="AP104" s="47"/>
      <c r="AQ104" s="46" t="s">
        <v>113</v>
      </c>
      <c r="AR104" s="42">
        <f>VLOOKUP(A104,'[1]Chứng chỉ'!$B$8:$Q$1111,11,0)</f>
        <v>0</v>
      </c>
      <c r="AS104" s="42">
        <f>VLOOKUP(A104,'[1]Chứng chỉ'!$B$8:$Q$1111,12,0)</f>
        <v>0</v>
      </c>
      <c r="AT104" s="47">
        <f>VLOOKUP(A104,'[1]Chứng chỉ'!$B$8:$Q$1111,13,0)</f>
        <v>0</v>
      </c>
      <c r="AU104" s="42" t="str">
        <f>VLOOKUP(A104,'[1]Chứng chỉ'!$B$8:$Q$1111,14,0)</f>
        <v>Anh B</v>
      </c>
      <c r="AV104" s="42">
        <f>VLOOKUP(A104,'[1]Chứng chỉ'!$B$8:$Q$1111,15,0)</f>
        <v>0</v>
      </c>
      <c r="AW104" s="42" t="str">
        <f>VLOOKUP(A104,'[1]Chứng chỉ'!$B$8:$Q$1111,16,0)</f>
        <v>Tin B</v>
      </c>
      <c r="AX104" s="47"/>
      <c r="AY104" s="47" t="s">
        <v>87</v>
      </c>
      <c r="AZ104" s="65"/>
      <c r="BA104" s="47" t="s">
        <v>881</v>
      </c>
      <c r="BB104" s="47" t="s">
        <v>882</v>
      </c>
      <c r="BC104" s="41" t="s">
        <v>128</v>
      </c>
      <c r="BD104" s="64"/>
    </row>
    <row r="105" spans="1:56" ht="40.799999999999997" x14ac:dyDescent="0.3">
      <c r="A105" s="41" t="s">
        <v>883</v>
      </c>
      <c r="B105" s="42">
        <f t="shared" si="0"/>
        <v>99</v>
      </c>
      <c r="C105" s="68" t="s">
        <v>884</v>
      </c>
      <c r="D105" s="41" t="s">
        <v>883</v>
      </c>
      <c r="E105" s="61">
        <v>2013002129</v>
      </c>
      <c r="F105" s="64"/>
      <c r="G105" s="49" t="s">
        <v>885</v>
      </c>
      <c r="H105" s="76">
        <v>30423</v>
      </c>
      <c r="I105" s="76"/>
      <c r="J105" s="66">
        <f ca="1">INT(DATEDIF(H105,$J$2,"d")/365)</f>
        <v>43</v>
      </c>
      <c r="K105" s="75" t="s">
        <v>886</v>
      </c>
      <c r="L105" s="41" t="s">
        <v>887</v>
      </c>
      <c r="M105" s="53" t="s">
        <v>67</v>
      </c>
      <c r="N105" s="66" t="s">
        <v>165</v>
      </c>
      <c r="O105" s="85" t="s">
        <v>888</v>
      </c>
      <c r="P105" s="49" t="s">
        <v>155</v>
      </c>
      <c r="Q105" s="49" t="s">
        <v>94</v>
      </c>
      <c r="R105" s="76"/>
      <c r="S105" s="76" t="s">
        <v>888</v>
      </c>
      <c r="T105" s="53" t="s">
        <v>155</v>
      </c>
      <c r="U105" s="53" t="s">
        <v>94</v>
      </c>
      <c r="V105" s="49" t="str">
        <f t="shared" ref="V105:V111" si="48">S105&amp;", "&amp;T105&amp;", "&amp;U105</f>
        <v>Xã Điềm He, Huyện Văn Quan, Tỉnh Lạng Sơn</v>
      </c>
      <c r="W105" s="55" t="s">
        <v>156</v>
      </c>
      <c r="X105" s="41"/>
      <c r="Y105" s="41"/>
      <c r="Z105" s="41"/>
      <c r="AA105" s="68">
        <f>VLOOKUP(A105,'[1]DANH SÁCH'!$B$8:$AD$841,12,0)</f>
        <v>0</v>
      </c>
      <c r="AB105" s="49" t="str">
        <f>VLOOKUP(A105,'[1]DANH SÁCH'!$B$8:$H$841,6,0)</f>
        <v>TĐ011</v>
      </c>
      <c r="AC105" s="69" t="str">
        <f>VLOOKUP(A105,'[1]DANH SÁCH'!$B$8:$J$841,9,0)</f>
        <v>Nội TM</v>
      </c>
      <c r="AD105" s="69" t="str">
        <f>VLOOKUP(A105,'[1]DANH SÁCH'!$B$8:$AC$841,10,0)</f>
        <v>KP010</v>
      </c>
      <c r="AE105" s="69" t="str">
        <f>VLOOKUP(A105,'[1]DANH SÁCH'!$B$8:$AD$841,13,0)</f>
        <v>Viên chức</v>
      </c>
      <c r="AF105" s="41" t="s">
        <v>147</v>
      </c>
      <c r="AG105" s="42" t="str">
        <f>VLOOKUP(A105,'[1]DANH SÁCH'!$B$8:$H$841,7,0)</f>
        <v>Điều dưỡng (hạng III)</v>
      </c>
      <c r="AH105" s="45">
        <v>3.33</v>
      </c>
      <c r="AI105" s="42">
        <v>4</v>
      </c>
      <c r="AJ105" s="70">
        <v>0</v>
      </c>
      <c r="AK105" s="69">
        <v>45087</v>
      </c>
      <c r="AL105" s="71" t="s">
        <v>80</v>
      </c>
      <c r="AM105" s="53" t="str">
        <f>VLOOKUP(A105,'[1]DANH SÁCH'!$B$8:$F$841,5,0)</f>
        <v>Điều dưỡng ĐH</v>
      </c>
      <c r="AN105" s="53"/>
      <c r="AO105" s="53" t="s">
        <v>662</v>
      </c>
      <c r="AP105" s="53">
        <v>2011</v>
      </c>
      <c r="AQ105" s="72" t="s">
        <v>113</v>
      </c>
      <c r="AR105" s="42">
        <f>VLOOKUP(A105,'[1]Chứng chỉ'!$B$8:$Q$1111,11,0)</f>
        <v>0</v>
      </c>
      <c r="AS105" s="42">
        <f>VLOOKUP(A105,'[1]Chứng chỉ'!$B$8:$Q$1111,12,0)</f>
        <v>0</v>
      </c>
      <c r="AT105" s="47">
        <f>VLOOKUP(A105,'[1]Chứng chỉ'!$B$8:$Q$1111,13,0)</f>
        <v>0</v>
      </c>
      <c r="AU105" s="42" t="str">
        <f>VLOOKUP(A105,'[1]Chứng chỉ'!$B$8:$Q$1111,14,0)</f>
        <v>Anh B</v>
      </c>
      <c r="AV105" s="42">
        <f>VLOOKUP(A105,'[1]Chứng chỉ'!$B$8:$Q$1111,15,0)</f>
        <v>0</v>
      </c>
      <c r="AW105" s="42" t="str">
        <f>VLOOKUP(A105,'[1]Chứng chỉ'!$B$8:$Q$1111,16,0)</f>
        <v>Tin B</v>
      </c>
      <c r="AX105" s="53"/>
      <c r="AY105" s="57" t="s">
        <v>85</v>
      </c>
      <c r="AZ105" s="65"/>
      <c r="BA105" s="68" t="s">
        <v>889</v>
      </c>
      <c r="BB105" s="74" t="e">
        <f t="shared" ref="BB105:BB106" si="49">VLOOKUP(A105,#REF!,5,0)</f>
        <v>#REF!</v>
      </c>
      <c r="BC105" s="61" t="s">
        <v>890</v>
      </c>
      <c r="BD105" s="62"/>
    </row>
    <row r="106" spans="1:56" ht="61.2" x14ac:dyDescent="0.3">
      <c r="A106" s="41" t="s">
        <v>891</v>
      </c>
      <c r="B106" s="42">
        <f t="shared" si="0"/>
        <v>100</v>
      </c>
      <c r="C106" s="68" t="s">
        <v>892</v>
      </c>
      <c r="D106" s="41" t="s">
        <v>891</v>
      </c>
      <c r="E106" s="61">
        <v>1506002921</v>
      </c>
      <c r="F106" s="64"/>
      <c r="G106" s="49" t="s">
        <v>893</v>
      </c>
      <c r="H106" s="76"/>
      <c r="I106" s="76">
        <v>30519</v>
      </c>
      <c r="J106" s="66">
        <f t="shared" ref="J106:J109" ca="1" si="50">INT(DATEDIF(I106,$J$2,"d")/365)</f>
        <v>43</v>
      </c>
      <c r="K106" s="75" t="s">
        <v>894</v>
      </c>
      <c r="L106" s="83" t="s">
        <v>895</v>
      </c>
      <c r="M106" s="53" t="s">
        <v>67</v>
      </c>
      <c r="N106" s="66" t="s">
        <v>94</v>
      </c>
      <c r="O106" s="53" t="s">
        <v>896</v>
      </c>
      <c r="P106" s="49" t="s">
        <v>108</v>
      </c>
      <c r="Q106" s="49" t="s">
        <v>94</v>
      </c>
      <c r="R106" s="49"/>
      <c r="S106" s="49" t="s">
        <v>166</v>
      </c>
      <c r="T106" s="49" t="s">
        <v>97</v>
      </c>
      <c r="U106" s="49" t="s">
        <v>94</v>
      </c>
      <c r="V106" s="49" t="str">
        <f t="shared" si="48"/>
        <v>Phường Tam Thanh, Thành phố Lạng Sơn, Tỉnh Lạng Sơn</v>
      </c>
      <c r="W106" s="55" t="s">
        <v>146</v>
      </c>
      <c r="X106" s="41"/>
      <c r="Y106" s="41"/>
      <c r="Z106" s="41"/>
      <c r="AA106" s="68" t="str">
        <f>VLOOKUP(A106,'[1]DANH SÁCH'!$B$8:$AD$841,12,0)</f>
        <v>Điều dưỡng trưởng</v>
      </c>
      <c r="AB106" s="49" t="str">
        <f>VLOOKUP(A106,'[1]DANH SÁCH'!$B$8:$H$841,6,0)</f>
        <v>TĐ011</v>
      </c>
      <c r="AC106" s="69" t="str">
        <f>VLOOKUP(A106,'[1]DANH SÁCH'!$B$8:$J$841,9,0)</f>
        <v>Nội TM</v>
      </c>
      <c r="AD106" s="69" t="str">
        <f>VLOOKUP(A106,'[1]DANH SÁCH'!$B$8:$AC$841,10,0)</f>
        <v>KP010</v>
      </c>
      <c r="AE106" s="69" t="str">
        <f>VLOOKUP(A106,'[1]DANH SÁCH'!$B$8:$AD$841,13,0)</f>
        <v>Viên chức</v>
      </c>
      <c r="AF106" s="41" t="s">
        <v>147</v>
      </c>
      <c r="AG106" s="42" t="str">
        <f>VLOOKUP(A106,'[1]DANH SÁCH'!$B$8:$H$841,7,0)</f>
        <v>Điều dưỡng (hạng III)</v>
      </c>
      <c r="AH106" s="45">
        <v>3.99</v>
      </c>
      <c r="AI106" s="42">
        <v>6</v>
      </c>
      <c r="AJ106" s="70">
        <v>0</v>
      </c>
      <c r="AK106" s="69">
        <v>45778</v>
      </c>
      <c r="AL106" s="71" t="s">
        <v>80</v>
      </c>
      <c r="AM106" s="53" t="str">
        <f>VLOOKUP(A106,'[1]DANH SÁCH'!$B$8:$F$841,5,0)</f>
        <v>Điều dưỡng ĐH</v>
      </c>
      <c r="AN106" s="53"/>
      <c r="AO106" s="53" t="s">
        <v>897</v>
      </c>
      <c r="AP106" s="53">
        <v>2017</v>
      </c>
      <c r="AQ106" s="99" t="s">
        <v>113</v>
      </c>
      <c r="AR106" s="42">
        <f>VLOOKUP(A106,'[1]Chứng chỉ'!$B$8:$Q$1111,11,0)</f>
        <v>0</v>
      </c>
      <c r="AS106" s="42">
        <f>VLOOKUP(A106,'[1]Chứng chỉ'!$B$8:$Q$1111,12,0)</f>
        <v>0</v>
      </c>
      <c r="AT106" s="47" t="s">
        <v>139</v>
      </c>
      <c r="AU106" s="42" t="str">
        <f>VLOOKUP(A106,'[1]Chứng chỉ'!$B$8:$Q$1111,14,0)</f>
        <v>Anh B</v>
      </c>
      <c r="AV106" s="42">
        <f>VLOOKUP(A106,'[1]Chứng chỉ'!$B$8:$Q$1111,15,0)</f>
        <v>0</v>
      </c>
      <c r="AW106" s="42" t="str">
        <f>VLOOKUP(A106,'[1]Chứng chỉ'!$B$8:$Q$1111,16,0)</f>
        <v>Cơ bản</v>
      </c>
      <c r="AX106" s="42"/>
      <c r="AY106" s="57" t="s">
        <v>127</v>
      </c>
      <c r="AZ106" s="65">
        <v>44271</v>
      </c>
      <c r="BA106" s="74" t="e">
        <f>VLOOKUP(A106,#REF!,4,0)</f>
        <v>#REF!</v>
      </c>
      <c r="BB106" s="74" t="e">
        <f t="shared" si="49"/>
        <v>#REF!</v>
      </c>
      <c r="BC106" s="61" t="s">
        <v>128</v>
      </c>
      <c r="BD106" s="62"/>
    </row>
    <row r="107" spans="1:56" ht="183.6" x14ac:dyDescent="0.3">
      <c r="A107" s="41" t="s">
        <v>898</v>
      </c>
      <c r="B107" s="42">
        <f t="shared" si="0"/>
        <v>101</v>
      </c>
      <c r="C107" s="68" t="s">
        <v>899</v>
      </c>
      <c r="D107" s="41" t="s">
        <v>898</v>
      </c>
      <c r="E107" s="61">
        <v>2012000305</v>
      </c>
      <c r="F107" s="64"/>
      <c r="G107" s="49" t="s">
        <v>900</v>
      </c>
      <c r="H107" s="76"/>
      <c r="I107" s="76">
        <v>33260</v>
      </c>
      <c r="J107" s="66">
        <f t="shared" ca="1" si="50"/>
        <v>35</v>
      </c>
      <c r="K107" s="75" t="s">
        <v>901</v>
      </c>
      <c r="L107" s="41" t="s">
        <v>711</v>
      </c>
      <c r="M107" s="53" t="s">
        <v>67</v>
      </c>
      <c r="N107" s="66" t="s">
        <v>902</v>
      </c>
      <c r="O107" s="53" t="s">
        <v>136</v>
      </c>
      <c r="P107" s="49" t="s">
        <v>97</v>
      </c>
      <c r="Q107" s="49" t="s">
        <v>94</v>
      </c>
      <c r="R107" s="49"/>
      <c r="S107" s="49" t="s">
        <v>136</v>
      </c>
      <c r="T107" s="53" t="s">
        <v>97</v>
      </c>
      <c r="U107" s="53" t="s">
        <v>94</v>
      </c>
      <c r="V107" s="49" t="str">
        <f t="shared" si="48"/>
        <v>Phường Chi Lăng, Thành phố Lạng Sơn, Tỉnh Lạng Sơn</v>
      </c>
      <c r="W107" s="55" t="s">
        <v>156</v>
      </c>
      <c r="X107" s="41"/>
      <c r="Y107" s="41"/>
      <c r="Z107" s="41"/>
      <c r="AA107" s="68">
        <f>VLOOKUP(A107,'[1]DANH SÁCH'!$B$8:$AD$841,12,0)</f>
        <v>0</v>
      </c>
      <c r="AB107" s="49" t="str">
        <f>VLOOKUP(A107,'[1]DANH SÁCH'!$B$8:$H$841,6,0)</f>
        <v>TĐ012</v>
      </c>
      <c r="AC107" s="69" t="str">
        <f>VLOOKUP(A107,'[1]DANH SÁCH'!$B$8:$J$841,9,0)</f>
        <v>Nội TM</v>
      </c>
      <c r="AD107" s="69" t="str">
        <f>VLOOKUP(A107,'[1]DANH SÁCH'!$B$8:$AC$841,10,0)</f>
        <v>KP010</v>
      </c>
      <c r="AE107" s="69" t="str">
        <f>VLOOKUP(A107,'[1]DANH SÁCH'!$B$8:$AD$841,13,0)</f>
        <v>Viên chức</v>
      </c>
      <c r="AF107" s="41" t="s">
        <v>157</v>
      </c>
      <c r="AG107" s="42" t="str">
        <f>VLOOKUP(A107,'[1]DANH SÁCH'!$B$8:$H$841,7,0)</f>
        <v>Điều dưỡng (hạng IV)</v>
      </c>
      <c r="AH107" s="45">
        <v>3.06</v>
      </c>
      <c r="AI107" s="42">
        <v>7</v>
      </c>
      <c r="AJ107" s="70">
        <v>0</v>
      </c>
      <c r="AK107" s="69">
        <v>45636</v>
      </c>
      <c r="AL107" s="71" t="s">
        <v>101</v>
      </c>
      <c r="AM107" s="53" t="str">
        <f>VLOOKUP(A107,'[1]DANH SÁCH'!$B$8:$F$841,5,0)</f>
        <v>Điều dưỡng CĐ</v>
      </c>
      <c r="AN107" s="53"/>
      <c r="AO107" s="53" t="s">
        <v>903</v>
      </c>
      <c r="AP107" s="53">
        <v>2011</v>
      </c>
      <c r="AQ107" s="72" t="s">
        <v>113</v>
      </c>
      <c r="AR107" s="42">
        <f>VLOOKUP(A107,'[1]Chứng chỉ'!$B$8:$Q$1111,11,0)</f>
        <v>0</v>
      </c>
      <c r="AS107" s="42">
        <f>VLOOKUP(A107,'[1]Chứng chỉ'!$B$8:$Q$1111,12,0)</f>
        <v>0</v>
      </c>
      <c r="AT107" s="47">
        <f>VLOOKUP(A107,'[1]Chứng chỉ'!$B$8:$Q$1111,13,0)</f>
        <v>0</v>
      </c>
      <c r="AU107" s="42" t="str">
        <f>VLOOKUP(A107,'[1]Chứng chỉ'!$B$8:$Q$1111,14,0)</f>
        <v>Anh B</v>
      </c>
      <c r="AV107" s="42">
        <f>VLOOKUP(A107,'[1]Chứng chỉ'!$B$8:$Q$1111,15,0)</f>
        <v>0</v>
      </c>
      <c r="AW107" s="42" t="str">
        <f>VLOOKUP(A107,'[1]Chứng chỉ'!$B$8:$Q$1111,16,0)</f>
        <v>Tin B</v>
      </c>
      <c r="AX107" s="53"/>
      <c r="AY107" s="57" t="s">
        <v>87</v>
      </c>
      <c r="AZ107" s="65"/>
      <c r="BA107" s="74" t="s">
        <v>904</v>
      </c>
      <c r="BB107" s="74" t="s">
        <v>905</v>
      </c>
      <c r="BC107" s="61" t="s">
        <v>128</v>
      </c>
      <c r="BD107" s="62"/>
    </row>
    <row r="108" spans="1:56" ht="61.2" x14ac:dyDescent="0.3">
      <c r="A108" s="41" t="s">
        <v>906</v>
      </c>
      <c r="B108" s="42">
        <f t="shared" si="0"/>
        <v>102</v>
      </c>
      <c r="C108" s="68" t="s">
        <v>907</v>
      </c>
      <c r="D108" s="41" t="s">
        <v>906</v>
      </c>
      <c r="E108" s="61">
        <v>2011004200</v>
      </c>
      <c r="F108" s="64"/>
      <c r="G108" s="49" t="s">
        <v>908</v>
      </c>
      <c r="H108" s="76"/>
      <c r="I108" s="76">
        <v>32522</v>
      </c>
      <c r="J108" s="66">
        <f t="shared" ca="1" si="50"/>
        <v>37</v>
      </c>
      <c r="K108" s="75" t="s">
        <v>909</v>
      </c>
      <c r="L108" s="41" t="s">
        <v>910</v>
      </c>
      <c r="M108" s="53" t="s">
        <v>67</v>
      </c>
      <c r="N108" s="66" t="s">
        <v>911</v>
      </c>
      <c r="O108" s="53" t="s">
        <v>912</v>
      </c>
      <c r="P108" s="49" t="s">
        <v>222</v>
      </c>
      <c r="Q108" s="49" t="s">
        <v>94</v>
      </c>
      <c r="R108" s="76"/>
      <c r="S108" s="49" t="s">
        <v>124</v>
      </c>
      <c r="T108" s="53" t="s">
        <v>97</v>
      </c>
      <c r="U108" s="53" t="s">
        <v>94</v>
      </c>
      <c r="V108" s="49" t="str">
        <f t="shared" si="48"/>
        <v>Phường Đông Kinh, Thành phố Lạng Sơn, Tỉnh Lạng Sơn</v>
      </c>
      <c r="W108" s="55" t="s">
        <v>315</v>
      </c>
      <c r="X108" s="41"/>
      <c r="Y108" s="41"/>
      <c r="Z108" s="41"/>
      <c r="AA108" s="68">
        <f>VLOOKUP(A108,'[1]DANH SÁCH'!$B$8:$AD$841,12,0)</f>
        <v>0</v>
      </c>
      <c r="AB108" s="49" t="str">
        <f>VLOOKUP(A108,'[1]DANH SÁCH'!$B$8:$H$841,6,0)</f>
        <v>TĐ011</v>
      </c>
      <c r="AC108" s="69" t="str">
        <f>VLOOKUP(A108,'[1]DANH SÁCH'!$B$8:$J$841,9,0)</f>
        <v>Nội TM</v>
      </c>
      <c r="AD108" s="69" t="str">
        <f>VLOOKUP(A108,'[1]DANH SÁCH'!$B$8:$AC$841,10,0)</f>
        <v>KP010</v>
      </c>
      <c r="AE108" s="69" t="str">
        <f>VLOOKUP(A108,'[1]DANH SÁCH'!$B$8:$AD$841,13,0)</f>
        <v>Viên chức</v>
      </c>
      <c r="AF108" s="41" t="s">
        <v>147</v>
      </c>
      <c r="AG108" s="42" t="str">
        <f>VLOOKUP(A108,'[1]DANH SÁCH'!$B$8:$H$841,7,0)</f>
        <v>Điều dưỡng (hạng III)</v>
      </c>
      <c r="AH108" s="45">
        <v>3.66</v>
      </c>
      <c r="AI108" s="42">
        <v>5</v>
      </c>
      <c r="AJ108" s="70">
        <v>0</v>
      </c>
      <c r="AK108" s="69">
        <v>45809</v>
      </c>
      <c r="AL108" s="71" t="s">
        <v>80</v>
      </c>
      <c r="AM108" s="53" t="str">
        <f>VLOOKUP(A108,'[1]DANH SÁCH'!$B$8:$F$841,5,0)</f>
        <v>Điều dưỡng ĐH</v>
      </c>
      <c r="AN108" s="53"/>
      <c r="AO108" s="53" t="s">
        <v>159</v>
      </c>
      <c r="AP108" s="53">
        <v>2010</v>
      </c>
      <c r="AQ108" s="72" t="s">
        <v>113</v>
      </c>
      <c r="AR108" s="42">
        <f>VLOOKUP(A108,'[1]Chứng chỉ'!$B$8:$Q$1111,11,0)</f>
        <v>0</v>
      </c>
      <c r="AS108" s="42">
        <f>VLOOKUP(A108,'[1]Chứng chỉ'!$B$8:$Q$1111,12,0)</f>
        <v>0</v>
      </c>
      <c r="AT108" s="47" t="s">
        <v>139</v>
      </c>
      <c r="AU108" s="42">
        <f>VLOOKUP(A108,'[1]Chứng chỉ'!$B$8:$Q$1111,14,0)</f>
        <v>0</v>
      </c>
      <c r="AV108" s="42" t="str">
        <f>VLOOKUP(A108,'[1]Chứng chỉ'!$B$8:$Q$1111,15,0)</f>
        <v>Tày</v>
      </c>
      <c r="AW108" s="42" t="str">
        <f>VLOOKUP(A108,'[1]Chứng chỉ'!$B$8:$Q$1111,16,0)</f>
        <v>Cơ bản</v>
      </c>
      <c r="AX108" s="53"/>
      <c r="AY108" s="57" t="s">
        <v>127</v>
      </c>
      <c r="AZ108" s="65"/>
      <c r="BA108" s="74" t="e">
        <f t="shared" ref="BA108:BA111" si="51">VLOOKUP(A108,#REF!,4,0)</f>
        <v>#REF!</v>
      </c>
      <c r="BB108" s="74" t="e">
        <f t="shared" ref="BB108:BB111" si="52">VLOOKUP(A108,#REF!,5,0)</f>
        <v>#REF!</v>
      </c>
      <c r="BC108" s="61" t="s">
        <v>128</v>
      </c>
      <c r="BD108" s="62"/>
    </row>
    <row r="109" spans="1:56" ht="51" x14ac:dyDescent="0.3">
      <c r="A109" s="41" t="s">
        <v>913</v>
      </c>
      <c r="B109" s="42">
        <f t="shared" si="0"/>
        <v>103</v>
      </c>
      <c r="C109" s="68" t="s">
        <v>914</v>
      </c>
      <c r="D109" s="41" t="s">
        <v>913</v>
      </c>
      <c r="E109" s="61">
        <v>2009002388</v>
      </c>
      <c r="F109" s="64"/>
      <c r="G109" s="49" t="s">
        <v>915</v>
      </c>
      <c r="H109" s="76"/>
      <c r="I109" s="76">
        <v>31451</v>
      </c>
      <c r="J109" s="66">
        <f t="shared" ca="1" si="50"/>
        <v>40</v>
      </c>
      <c r="K109" s="75" t="s">
        <v>916</v>
      </c>
      <c r="L109" s="41" t="s">
        <v>328</v>
      </c>
      <c r="M109" s="53" t="s">
        <v>67</v>
      </c>
      <c r="N109" s="66" t="s">
        <v>917</v>
      </c>
      <c r="O109" s="85"/>
      <c r="P109" s="49" t="s">
        <v>155</v>
      </c>
      <c r="Q109" s="49" t="s">
        <v>94</v>
      </c>
      <c r="R109" s="85"/>
      <c r="S109" s="85" t="s">
        <v>918</v>
      </c>
      <c r="T109" s="53" t="s">
        <v>155</v>
      </c>
      <c r="U109" s="53" t="s">
        <v>94</v>
      </c>
      <c r="V109" s="49" t="str">
        <f t="shared" si="48"/>
        <v>Xã Tràng Phái, Huyện Văn Quan, Tỉnh Lạng Sơn</v>
      </c>
      <c r="W109" s="86" t="s">
        <v>167</v>
      </c>
      <c r="X109" s="41"/>
      <c r="Y109" s="41"/>
      <c r="Z109" s="41"/>
      <c r="AA109" s="68">
        <f>VLOOKUP(A109,'[1]DANH SÁCH'!$B$8:$AD$841,12,0)</f>
        <v>0</v>
      </c>
      <c r="AB109" s="49" t="str">
        <f>VLOOKUP(A109,'[1]DANH SÁCH'!$B$8:$H$841,6,0)</f>
        <v>TĐ012</v>
      </c>
      <c r="AC109" s="69" t="str">
        <f>VLOOKUP(A109,'[1]DANH SÁCH'!$B$8:$J$841,9,0)</f>
        <v>Nội TM</v>
      </c>
      <c r="AD109" s="69" t="str">
        <f>VLOOKUP(A109,'[1]DANH SÁCH'!$B$8:$AC$841,10,0)</f>
        <v>KP010</v>
      </c>
      <c r="AE109" s="69" t="str">
        <f>VLOOKUP(A109,'[1]DANH SÁCH'!$B$8:$AD$841,13,0)</f>
        <v>Viên chức</v>
      </c>
      <c r="AF109" s="41" t="s">
        <v>157</v>
      </c>
      <c r="AG109" s="42" t="str">
        <f>VLOOKUP(A109,'[1]DANH SÁCH'!$B$8:$H$841,7,0)</f>
        <v>Điều dưỡng (hạng IV)</v>
      </c>
      <c r="AH109" s="45">
        <v>3.65</v>
      </c>
      <c r="AI109" s="42">
        <v>6</v>
      </c>
      <c r="AJ109" s="70">
        <v>0</v>
      </c>
      <c r="AK109" s="69">
        <v>45839</v>
      </c>
      <c r="AL109" s="71" t="s">
        <v>158</v>
      </c>
      <c r="AM109" s="53" t="str">
        <f>VLOOKUP(A109,'[1]DANH SÁCH'!$B$8:$F$841,5,0)</f>
        <v>Điều dưỡng CĐ</v>
      </c>
      <c r="AN109" s="53"/>
      <c r="AO109" s="53" t="s">
        <v>159</v>
      </c>
      <c r="AP109" s="53">
        <v>2007</v>
      </c>
      <c r="AQ109" s="72" t="s">
        <v>113</v>
      </c>
      <c r="AR109" s="42">
        <f>VLOOKUP(A109,'[1]Chứng chỉ'!$B$8:$Q$1111,11,0)</f>
        <v>0</v>
      </c>
      <c r="AS109" s="42">
        <f>VLOOKUP(A109,'[1]Chứng chỉ'!$B$8:$Q$1111,12,0)</f>
        <v>0</v>
      </c>
      <c r="AT109" s="47">
        <f>VLOOKUP(A109,'[1]Chứng chỉ'!$B$8:$Q$1111,13,0)</f>
        <v>0</v>
      </c>
      <c r="AU109" s="42" t="str">
        <f>VLOOKUP(A109,'[1]Chứng chỉ'!$B$8:$Q$1111,14,0)</f>
        <v>Anh B</v>
      </c>
      <c r="AV109" s="42">
        <f>VLOOKUP(A109,'[1]Chứng chỉ'!$B$8:$Q$1111,15,0)</f>
        <v>0</v>
      </c>
      <c r="AW109" s="42" t="str">
        <f>VLOOKUP(A109,'[1]Chứng chỉ'!$B$8:$Q$1111,16,0)</f>
        <v>Cơ bản</v>
      </c>
      <c r="AX109" s="53"/>
      <c r="AY109" s="57" t="s">
        <v>127</v>
      </c>
      <c r="AZ109" s="65">
        <v>41516</v>
      </c>
      <c r="BA109" s="74" t="e">
        <f t="shared" si="51"/>
        <v>#REF!</v>
      </c>
      <c r="BB109" s="74" t="e">
        <f t="shared" si="52"/>
        <v>#REF!</v>
      </c>
      <c r="BC109" s="61" t="s">
        <v>128</v>
      </c>
      <c r="BD109" s="62"/>
    </row>
    <row r="110" spans="1:56" ht="51" x14ac:dyDescent="0.3">
      <c r="A110" s="41" t="s">
        <v>919</v>
      </c>
      <c r="B110" s="42">
        <f t="shared" si="0"/>
        <v>104</v>
      </c>
      <c r="C110" s="68" t="s">
        <v>920</v>
      </c>
      <c r="D110" s="41" t="s">
        <v>919</v>
      </c>
      <c r="E110" s="61">
        <v>6697445763</v>
      </c>
      <c r="F110" s="64"/>
      <c r="G110" s="49" t="s">
        <v>921</v>
      </c>
      <c r="H110" s="76">
        <v>24816</v>
      </c>
      <c r="I110" s="76"/>
      <c r="J110" s="66">
        <f ca="1">INT(DATEDIF(H110,$J$2,"d")/365)</f>
        <v>58</v>
      </c>
      <c r="K110" s="75" t="s">
        <v>922</v>
      </c>
      <c r="L110" s="41" t="s">
        <v>923</v>
      </c>
      <c r="M110" s="53" t="s">
        <v>67</v>
      </c>
      <c r="N110" s="66" t="s">
        <v>924</v>
      </c>
      <c r="O110" s="53" t="s">
        <v>925</v>
      </c>
      <c r="P110" s="49" t="s">
        <v>108</v>
      </c>
      <c r="Q110" s="49" t="s">
        <v>94</v>
      </c>
      <c r="R110" s="49"/>
      <c r="S110" s="49" t="s">
        <v>73</v>
      </c>
      <c r="T110" s="53" t="s">
        <v>97</v>
      </c>
      <c r="U110" s="53" t="s">
        <v>94</v>
      </c>
      <c r="V110" s="49" t="str">
        <f t="shared" si="48"/>
        <v>Phường Vĩnh Trại, Thành phố Lạng Sơn, Tỉnh Lạng Sơn</v>
      </c>
      <c r="W110" s="55" t="s">
        <v>926</v>
      </c>
      <c r="X110" s="41"/>
      <c r="Y110" s="41"/>
      <c r="Z110" s="41"/>
      <c r="AA110" s="68" t="str">
        <f>VLOOKUP(A110,'[1]DANH SÁCH'!$B$8:$AD$841,12,0)</f>
        <v>Trưởng khoa</v>
      </c>
      <c r="AB110" s="49" t="str">
        <f>VLOOKUP(A110,'[1]DANH SÁCH'!$B$8:$H$841,6,0)</f>
        <v>TĐ003</v>
      </c>
      <c r="AC110" s="69" t="str">
        <f>VLOOKUP(A110,'[1]DANH SÁCH'!$B$8:$J$841,9,0)</f>
        <v>UB-YHHN</v>
      </c>
      <c r="AD110" s="69" t="str">
        <f>VLOOKUP(A110,'[1]DANH SÁCH'!$B$8:$AC$841,10,0)</f>
        <v>KP011</v>
      </c>
      <c r="AE110" s="69" t="str">
        <f>VLOOKUP(A110,'[1]DANH SÁCH'!$B$8:$AD$841,13,0)</f>
        <v>Viên chức</v>
      </c>
      <c r="AF110" s="41" t="s">
        <v>79</v>
      </c>
      <c r="AG110" s="42" t="str">
        <f>VLOOKUP(A110,'[1]DANH SÁCH'!$B$8:$H$841,7,0)</f>
        <v>Bác sĩ chính (hạng II)</v>
      </c>
      <c r="AH110" s="45">
        <v>5.76</v>
      </c>
      <c r="AI110" s="42">
        <v>5</v>
      </c>
      <c r="AJ110" s="70">
        <v>0</v>
      </c>
      <c r="AK110" s="69">
        <v>45536</v>
      </c>
      <c r="AL110" s="71" t="s">
        <v>80</v>
      </c>
      <c r="AM110" s="53" t="str">
        <f>VLOOKUP(A110,'[1]DANH SÁCH'!$B$8:$F$841,5,0)</f>
        <v>BSCKI</v>
      </c>
      <c r="AN110" s="53" t="s">
        <v>927</v>
      </c>
      <c r="AO110" s="53" t="s">
        <v>112</v>
      </c>
      <c r="AP110" s="53">
        <v>2008</v>
      </c>
      <c r="AQ110" s="72"/>
      <c r="AR110" s="42" t="s">
        <v>82</v>
      </c>
      <c r="AS110" s="42" t="s">
        <v>670</v>
      </c>
      <c r="AT110" s="47" t="s">
        <v>101</v>
      </c>
      <c r="AU110" s="42" t="str">
        <f>VLOOKUP(A110,'[1]Chứng chỉ'!$B$8:$Q$1111,14,0)</f>
        <v>Anh B</v>
      </c>
      <c r="AV110" s="42" t="str">
        <f>VLOOKUP(A110,'[1]Chứng chỉ'!$B$8:$Q$1111,15,0)</f>
        <v>Tày</v>
      </c>
      <c r="AW110" s="42" t="str">
        <f>VLOOKUP(A110,'[1]Chứng chỉ'!$B$8:$Q$1111,16,0)</f>
        <v>Cơ bản</v>
      </c>
      <c r="AX110" s="53"/>
      <c r="AY110" s="57" t="s">
        <v>127</v>
      </c>
      <c r="AZ110" s="65">
        <v>35866</v>
      </c>
      <c r="BA110" s="74" t="e">
        <f t="shared" si="51"/>
        <v>#REF!</v>
      </c>
      <c r="BB110" s="74" t="e">
        <f t="shared" si="52"/>
        <v>#REF!</v>
      </c>
      <c r="BC110" s="61" t="s">
        <v>128</v>
      </c>
      <c r="BD110" s="62"/>
    </row>
    <row r="111" spans="1:56" ht="51" x14ac:dyDescent="0.3">
      <c r="A111" s="41" t="s">
        <v>928</v>
      </c>
      <c r="B111" s="42">
        <f t="shared" si="0"/>
        <v>105</v>
      </c>
      <c r="C111" s="44" t="s">
        <v>929</v>
      </c>
      <c r="D111" s="41" t="s">
        <v>928</v>
      </c>
      <c r="E111" s="61">
        <v>2016000975</v>
      </c>
      <c r="F111" s="64"/>
      <c r="G111" s="49" t="s">
        <v>930</v>
      </c>
      <c r="H111" s="87"/>
      <c r="I111" s="41" t="s">
        <v>931</v>
      </c>
      <c r="J111" s="66">
        <f t="shared" ref="J111:J117" ca="1" si="53">INT(DATEDIF(I111,$J$2,"d")/365)</f>
        <v>36</v>
      </c>
      <c r="K111" s="75" t="s">
        <v>932</v>
      </c>
      <c r="L111" s="41"/>
      <c r="M111" s="53" t="s">
        <v>67</v>
      </c>
      <c r="N111" s="66" t="s">
        <v>933</v>
      </c>
      <c r="O111" s="88"/>
      <c r="P111" s="87"/>
      <c r="Q111" s="87"/>
      <c r="R111" s="87"/>
      <c r="S111" s="76" t="s">
        <v>934</v>
      </c>
      <c r="T111" s="85" t="s">
        <v>343</v>
      </c>
      <c r="U111" s="85" t="s">
        <v>94</v>
      </c>
      <c r="V111" s="49" t="str">
        <f t="shared" si="48"/>
        <v>Xã Thiện Thuật, Huyện Bình Gia, Tỉnh Lạng Sơn</v>
      </c>
      <c r="W111" s="89" t="s">
        <v>491</v>
      </c>
      <c r="X111" s="43"/>
      <c r="Y111" s="43"/>
      <c r="Z111" s="43"/>
      <c r="AA111" s="68">
        <f>VLOOKUP(A111,'[1]DANH SÁCH'!$B$8:$AD$841,12,0)</f>
        <v>0</v>
      </c>
      <c r="AB111" s="49" t="str">
        <f>VLOOKUP(A111,'[1]DANH SÁCH'!$B$8:$H$841,6,0)</f>
        <v>TĐ005</v>
      </c>
      <c r="AC111" s="69" t="str">
        <f>VLOOKUP(A111,'[1]DANH SÁCH'!$B$8:$J$841,9,0)</f>
        <v>UB-YHHN</v>
      </c>
      <c r="AD111" s="69" t="str">
        <f>VLOOKUP(A111,'[1]DANH SÁCH'!$B$8:$AC$841,10,0)</f>
        <v>KP011</v>
      </c>
      <c r="AE111" s="69" t="str">
        <f>VLOOKUP(A111,'[1]DANH SÁCH'!$B$8:$AD$841,13,0)</f>
        <v>Viên chức</v>
      </c>
      <c r="AF111" s="41" t="s">
        <v>274</v>
      </c>
      <c r="AG111" s="42" t="str">
        <f>VLOOKUP(A111,'[1]DANH SÁCH'!$B$8:$H$841,7,0)</f>
        <v>Bác sĩ (hạng III)</v>
      </c>
      <c r="AH111" s="45">
        <v>3.33</v>
      </c>
      <c r="AI111" s="42">
        <v>4</v>
      </c>
      <c r="AJ111" s="70">
        <v>0</v>
      </c>
      <c r="AK111" s="69">
        <v>45768</v>
      </c>
      <c r="AL111" s="71" t="s">
        <v>80</v>
      </c>
      <c r="AM111" s="53" t="str">
        <f>VLOOKUP(A111,'[1]DANH SÁCH'!$B$8:$F$841,5,0)</f>
        <v>Bác sĩ</v>
      </c>
      <c r="AN111" s="53" t="s">
        <v>372</v>
      </c>
      <c r="AO111" s="53" t="s">
        <v>387</v>
      </c>
      <c r="AP111" s="53">
        <v>2015</v>
      </c>
      <c r="AQ111" s="72" t="s">
        <v>113</v>
      </c>
      <c r="AR111" s="42">
        <f>VLOOKUP(A111,'[1]Chứng chỉ'!$B$8:$Q$1111,11,0)</f>
        <v>0</v>
      </c>
      <c r="AS111" s="42">
        <f>VLOOKUP(A111,'[1]Chứng chỉ'!$B$8:$Q$1111,12,0)</f>
        <v>0</v>
      </c>
      <c r="AT111" s="47" t="s">
        <v>139</v>
      </c>
      <c r="AU111" s="42" t="str">
        <f>VLOOKUP(A111,'[1]Chứng chỉ'!$B$8:$Q$1111,14,0)</f>
        <v>Anh B</v>
      </c>
      <c r="AV111" s="42">
        <f>VLOOKUP(A111,'[1]Chứng chỉ'!$B$8:$Q$1111,15,0)</f>
        <v>0</v>
      </c>
      <c r="AW111" s="42" t="str">
        <f>VLOOKUP(A111,'[1]Chứng chỉ'!$B$8:$Q$1111,16,0)</f>
        <v>Tin B</v>
      </c>
      <c r="AX111" s="53"/>
      <c r="AY111" s="57" t="s">
        <v>127</v>
      </c>
      <c r="AZ111" s="65">
        <v>44663</v>
      </c>
      <c r="BA111" s="74" t="e">
        <f t="shared" si="51"/>
        <v>#REF!</v>
      </c>
      <c r="BB111" s="74" t="e">
        <f t="shared" si="52"/>
        <v>#REF!</v>
      </c>
      <c r="BC111" s="79" t="s">
        <v>114</v>
      </c>
      <c r="BD111" s="64"/>
    </row>
    <row r="112" spans="1:56" ht="40.799999999999997" x14ac:dyDescent="0.3">
      <c r="A112" s="46" t="s">
        <v>935</v>
      </c>
      <c r="B112" s="42">
        <f t="shared" si="0"/>
        <v>106</v>
      </c>
      <c r="C112" s="116" t="s">
        <v>936</v>
      </c>
      <c r="D112" s="46" t="s">
        <v>935</v>
      </c>
      <c r="E112" s="61" t="s">
        <v>937</v>
      </c>
      <c r="F112" s="42" t="s">
        <v>296</v>
      </c>
      <c r="G112" s="49" t="s">
        <v>938</v>
      </c>
      <c r="H112" s="47"/>
      <c r="I112" s="117" t="s">
        <v>939</v>
      </c>
      <c r="J112" s="66">
        <f t="shared" ca="1" si="53"/>
        <v>37</v>
      </c>
      <c r="K112" s="46" t="s">
        <v>940</v>
      </c>
      <c r="L112" s="65">
        <v>41752</v>
      </c>
      <c r="M112" s="56"/>
      <c r="N112" s="52"/>
      <c r="O112" s="56"/>
      <c r="P112" s="47"/>
      <c r="Q112" s="47"/>
      <c r="R112" s="47"/>
      <c r="S112" s="47"/>
      <c r="T112" s="47"/>
      <c r="U112" s="47"/>
      <c r="V112" s="47" t="s">
        <v>941</v>
      </c>
      <c r="W112" s="67" t="s">
        <v>249</v>
      </c>
      <c r="X112" s="46"/>
      <c r="Y112" s="46"/>
      <c r="Z112" s="46"/>
      <c r="AA112" s="68">
        <f>VLOOKUP(A112,'[1]DANH SÁCH'!$B$8:$AD$841,12,0)</f>
        <v>0</v>
      </c>
      <c r="AB112" s="49" t="str">
        <f>VLOOKUP(A112,'[1]DANH SÁCH'!$B$8:$H$841,6,0)</f>
        <v>TĐ003</v>
      </c>
      <c r="AC112" s="69" t="str">
        <f>VLOOKUP(A112,'[1]DANH SÁCH'!$B$8:$J$841,9,0)</f>
        <v>UB-YHHN</v>
      </c>
      <c r="AD112" s="69" t="str">
        <f>VLOOKUP(A112,'[1]DANH SÁCH'!$B$8:$AC$841,10,0)</f>
        <v>KP011</v>
      </c>
      <c r="AE112" s="69" t="str">
        <f>VLOOKUP(A112,'[1]DANH SÁCH'!$B$8:$AD$841,13,0)</f>
        <v>Viên chức</v>
      </c>
      <c r="AF112" s="46" t="s">
        <v>274</v>
      </c>
      <c r="AG112" s="47" t="s">
        <v>535</v>
      </c>
      <c r="AH112" s="45">
        <v>3.33</v>
      </c>
      <c r="AI112" s="42">
        <v>4</v>
      </c>
      <c r="AJ112" s="70">
        <v>0</v>
      </c>
      <c r="AK112" s="69">
        <v>45306</v>
      </c>
      <c r="AL112" s="71" t="s">
        <v>80</v>
      </c>
      <c r="AM112" s="53" t="str">
        <f>VLOOKUP(A112,'[1]DANH SÁCH'!$B$8:$F$841,5,0)</f>
        <v>BSCKI</v>
      </c>
      <c r="AN112" s="47" t="s">
        <v>372</v>
      </c>
      <c r="AO112" s="47"/>
      <c r="AP112" s="47"/>
      <c r="AQ112" s="47"/>
      <c r="AR112" s="42">
        <f>VLOOKUP(A112,'[1]Chứng chỉ'!$B$8:$Q$1111,11,0)</f>
        <v>0</v>
      </c>
      <c r="AS112" s="42" t="str">
        <f>VLOOKUP(A112,'[1]Chứng chỉ'!$B$8:$Q$1111,12,0)</f>
        <v>X</v>
      </c>
      <c r="AT112" s="47">
        <f>VLOOKUP(A112,'[1]Chứng chỉ'!$B$8:$Q$1111,13,0)</f>
        <v>0</v>
      </c>
      <c r="AU112" s="42" t="str">
        <f>VLOOKUP(A112,'[1]Chứng chỉ'!$B$8:$Q$1111,14,0)</f>
        <v>Anh B</v>
      </c>
      <c r="AV112" s="42" t="str">
        <f>VLOOKUP(A112,'[1]Chứng chỉ'!$B$8:$Q$1111,15,0)</f>
        <v>Tày</v>
      </c>
      <c r="AW112" s="42">
        <f>VLOOKUP(A112,'[1]Chứng chỉ'!$B$8:$Q$1111,16,0)</f>
        <v>0</v>
      </c>
      <c r="AX112" s="47"/>
      <c r="AY112" s="47" t="s">
        <v>942</v>
      </c>
      <c r="AZ112" s="65"/>
      <c r="BA112" s="47"/>
      <c r="BB112" s="47"/>
      <c r="BC112" s="61"/>
      <c r="BD112" s="64"/>
    </row>
    <row r="113" spans="1:56" ht="61.2" x14ac:dyDescent="0.3">
      <c r="A113" s="41" t="s">
        <v>943</v>
      </c>
      <c r="B113" s="42">
        <f t="shared" si="0"/>
        <v>107</v>
      </c>
      <c r="C113" s="68" t="s">
        <v>944</v>
      </c>
      <c r="D113" s="41" t="s">
        <v>943</v>
      </c>
      <c r="E113" s="61">
        <v>1504000555</v>
      </c>
      <c r="F113" s="64"/>
      <c r="G113" s="49" t="s">
        <v>945</v>
      </c>
      <c r="H113" s="76"/>
      <c r="I113" s="76">
        <v>27397</v>
      </c>
      <c r="J113" s="66">
        <f t="shared" ca="1" si="53"/>
        <v>51</v>
      </c>
      <c r="K113" s="75" t="s">
        <v>946</v>
      </c>
      <c r="L113" s="41" t="s">
        <v>947</v>
      </c>
      <c r="M113" s="53" t="s">
        <v>67</v>
      </c>
      <c r="N113" s="66"/>
      <c r="O113" s="53"/>
      <c r="P113" s="49" t="s">
        <v>93</v>
      </c>
      <c r="Q113" s="49" t="s">
        <v>94</v>
      </c>
      <c r="R113" s="49" t="s">
        <v>948</v>
      </c>
      <c r="S113" s="49" t="s">
        <v>166</v>
      </c>
      <c r="T113" s="53" t="s">
        <v>97</v>
      </c>
      <c r="U113" s="53" t="s">
        <v>94</v>
      </c>
      <c r="V113" s="49" t="str">
        <f t="shared" ref="V113:V129" si="54">S113&amp;", "&amp;T113&amp;", "&amp;U113</f>
        <v>Phường Tam Thanh, Thành phố Lạng Sơn, Tỉnh Lạng Sơn</v>
      </c>
      <c r="W113" s="55" t="s">
        <v>125</v>
      </c>
      <c r="X113" s="41"/>
      <c r="Y113" s="41"/>
      <c r="Z113" s="41"/>
      <c r="AA113" s="68">
        <f>VLOOKUP(A113,'[1]DANH SÁCH'!$B$8:$AD$841,12,0)</f>
        <v>0</v>
      </c>
      <c r="AB113" s="49" t="str">
        <f>VLOOKUP(A113,'[1]DANH SÁCH'!$B$8:$H$841,6,0)</f>
        <v>TĐ011</v>
      </c>
      <c r="AC113" s="69" t="str">
        <f>VLOOKUP(A113,'[1]DANH SÁCH'!$B$8:$J$841,9,0)</f>
        <v>UB-YHHN</v>
      </c>
      <c r="AD113" s="69" t="str">
        <f>VLOOKUP(A113,'[1]DANH SÁCH'!$B$8:$AC$841,10,0)</f>
        <v>KP011</v>
      </c>
      <c r="AE113" s="69" t="str">
        <f>VLOOKUP(A113,'[1]DANH SÁCH'!$B$8:$AD$841,13,0)</f>
        <v>Viên chức</v>
      </c>
      <c r="AF113" s="41" t="s">
        <v>147</v>
      </c>
      <c r="AG113" s="42" t="str">
        <f>VLOOKUP(A113,'[1]DANH SÁCH'!$B$8:$H$841,7,0)</f>
        <v>Điều dưỡng (hạng III)</v>
      </c>
      <c r="AH113" s="45">
        <v>3.99</v>
      </c>
      <c r="AI113" s="42">
        <v>6</v>
      </c>
      <c r="AJ113" s="70">
        <v>0</v>
      </c>
      <c r="AK113" s="69">
        <v>45292</v>
      </c>
      <c r="AL113" s="71" t="s">
        <v>80</v>
      </c>
      <c r="AM113" s="53" t="str">
        <f>VLOOKUP(A113,'[1]DANH SÁCH'!$B$8:$F$841,5,0)</f>
        <v>Điều dưỡng ĐH</v>
      </c>
      <c r="AN113" s="53"/>
      <c r="AO113" s="53" t="s">
        <v>175</v>
      </c>
      <c r="AP113" s="53">
        <v>1997</v>
      </c>
      <c r="AQ113" s="72" t="s">
        <v>113</v>
      </c>
      <c r="AR113" s="42">
        <f>VLOOKUP(A113,'[1]Chứng chỉ'!$B$8:$Q$1111,11,0)</f>
        <v>0</v>
      </c>
      <c r="AS113" s="42">
        <f>VLOOKUP(A113,'[1]Chứng chỉ'!$B$8:$Q$1111,12,0)</f>
        <v>0</v>
      </c>
      <c r="AT113" s="47" t="s">
        <v>139</v>
      </c>
      <c r="AU113" s="42">
        <f>VLOOKUP(A113,'[1]Chứng chỉ'!$B$8:$Q$1111,14,0)</f>
        <v>0</v>
      </c>
      <c r="AV113" s="42">
        <f>VLOOKUP(A113,'[1]Chứng chỉ'!$B$8:$Q$1111,15,0)</f>
        <v>0</v>
      </c>
      <c r="AW113" s="42" t="str">
        <f>VLOOKUP(A113,'[1]Chứng chỉ'!$B$8:$Q$1111,16,0)</f>
        <v>Tin A</v>
      </c>
      <c r="AX113" s="53"/>
      <c r="AY113" s="57" t="s">
        <v>85</v>
      </c>
      <c r="AZ113" s="65"/>
      <c r="BA113" s="74" t="e">
        <f t="shared" ref="BA113:BA130" si="55">VLOOKUP(A113,#REF!,4,0)</f>
        <v>#REF!</v>
      </c>
      <c r="BB113" s="74" t="e">
        <f t="shared" ref="BB113:BB130" si="56">VLOOKUP(A113,#REF!,5,0)</f>
        <v>#REF!</v>
      </c>
      <c r="BC113" s="61" t="s">
        <v>128</v>
      </c>
      <c r="BD113" s="62"/>
    </row>
    <row r="114" spans="1:56" ht="51" x14ac:dyDescent="0.3">
      <c r="A114" s="41" t="s">
        <v>949</v>
      </c>
      <c r="B114" s="42">
        <f t="shared" si="0"/>
        <v>108</v>
      </c>
      <c r="C114" s="68" t="s">
        <v>950</v>
      </c>
      <c r="D114" s="41" t="s">
        <v>949</v>
      </c>
      <c r="E114" s="61">
        <v>2009000940</v>
      </c>
      <c r="F114" s="64"/>
      <c r="G114" s="49" t="s">
        <v>951</v>
      </c>
      <c r="H114" s="76"/>
      <c r="I114" s="76">
        <v>31042</v>
      </c>
      <c r="J114" s="66">
        <f t="shared" ca="1" si="53"/>
        <v>41</v>
      </c>
      <c r="K114" s="75" t="s">
        <v>952</v>
      </c>
      <c r="L114" s="41" t="s">
        <v>953</v>
      </c>
      <c r="M114" s="53" t="s">
        <v>67</v>
      </c>
      <c r="N114" s="66"/>
      <c r="O114" s="53" t="s">
        <v>954</v>
      </c>
      <c r="P114" s="49" t="s">
        <v>108</v>
      </c>
      <c r="Q114" s="49" t="s">
        <v>94</v>
      </c>
      <c r="R114" s="49"/>
      <c r="S114" s="49" t="s">
        <v>460</v>
      </c>
      <c r="T114" s="53" t="s">
        <v>108</v>
      </c>
      <c r="U114" s="53" t="s">
        <v>94</v>
      </c>
      <c r="V114" s="49" t="str">
        <f t="shared" si="54"/>
        <v>Thị trấn Cao Lộc, Huyện Cao Lộc, Tỉnh Lạng Sơn</v>
      </c>
      <c r="W114" s="55" t="s">
        <v>98</v>
      </c>
      <c r="X114" s="41"/>
      <c r="Y114" s="41"/>
      <c r="Z114" s="41"/>
      <c r="AA114" s="68">
        <f>VLOOKUP(A114,'[1]DANH SÁCH'!$B$8:$AD$841,12,0)</f>
        <v>0</v>
      </c>
      <c r="AB114" s="49" t="str">
        <f>VLOOKUP(A114,'[1]DANH SÁCH'!$B$8:$H$841,6,0)</f>
        <v>TĐ011</v>
      </c>
      <c r="AC114" s="69" t="str">
        <f>VLOOKUP(A114,'[1]DANH SÁCH'!$B$8:$J$841,9,0)</f>
        <v>UB-YHHN</v>
      </c>
      <c r="AD114" s="69" t="str">
        <f>VLOOKUP(A114,'[1]DANH SÁCH'!$B$8:$AC$841,10,0)</f>
        <v>KP011</v>
      </c>
      <c r="AE114" s="69" t="str">
        <f>VLOOKUP(A114,'[1]DANH SÁCH'!$B$8:$AD$841,13,0)</f>
        <v>Viên chức</v>
      </c>
      <c r="AF114" s="41" t="s">
        <v>147</v>
      </c>
      <c r="AG114" s="42" t="str">
        <f>VLOOKUP(A114,'[1]DANH SÁCH'!$B$8:$H$841,7,0)</f>
        <v>Điều dưỡng (hạng III)</v>
      </c>
      <c r="AH114" s="45">
        <v>3.66</v>
      </c>
      <c r="AI114" s="42">
        <v>5</v>
      </c>
      <c r="AJ114" s="70">
        <v>0</v>
      </c>
      <c r="AK114" s="69">
        <v>45901</v>
      </c>
      <c r="AL114" s="71" t="s">
        <v>80</v>
      </c>
      <c r="AM114" s="53" t="str">
        <f>VLOOKUP(A114,'[1]DANH SÁCH'!$B$8:$F$841,5,0)</f>
        <v>Điều dưỡng ĐH</v>
      </c>
      <c r="AN114" s="53"/>
      <c r="AO114" s="53" t="s">
        <v>955</v>
      </c>
      <c r="AP114" s="53">
        <v>2016</v>
      </c>
      <c r="AQ114" s="72" t="s">
        <v>113</v>
      </c>
      <c r="AR114" s="42">
        <f>VLOOKUP(A114,'[1]Chứng chỉ'!$B$8:$Q$1111,11,0)</f>
        <v>0</v>
      </c>
      <c r="AS114" s="42">
        <f>VLOOKUP(A114,'[1]Chứng chỉ'!$B$8:$Q$1111,12,0)</f>
        <v>0</v>
      </c>
      <c r="AT114" s="47" t="s">
        <v>139</v>
      </c>
      <c r="AU114" s="42">
        <f>VLOOKUP(A114,'[1]Chứng chỉ'!$B$8:$Q$1111,14,0)</f>
        <v>0</v>
      </c>
      <c r="AV114" s="42">
        <f>VLOOKUP(A114,'[1]Chứng chỉ'!$B$8:$Q$1111,15,0)</f>
        <v>0</v>
      </c>
      <c r="AW114" s="42" t="str">
        <f>VLOOKUP(A114,'[1]Chứng chỉ'!$B$8:$Q$1111,16,0)</f>
        <v>Tin B</v>
      </c>
      <c r="AX114" s="53"/>
      <c r="AY114" s="57" t="s">
        <v>127</v>
      </c>
      <c r="AZ114" s="65"/>
      <c r="BA114" s="74" t="e">
        <f t="shared" si="55"/>
        <v>#REF!</v>
      </c>
      <c r="BB114" s="74" t="e">
        <f t="shared" si="56"/>
        <v>#REF!</v>
      </c>
      <c r="BC114" s="41"/>
      <c r="BD114" s="64"/>
    </row>
    <row r="115" spans="1:56" ht="61.2" x14ac:dyDescent="0.3">
      <c r="A115" s="41" t="s">
        <v>956</v>
      </c>
      <c r="B115" s="42">
        <f t="shared" si="0"/>
        <v>109</v>
      </c>
      <c r="C115" s="68" t="s">
        <v>957</v>
      </c>
      <c r="D115" s="41" t="s">
        <v>956</v>
      </c>
      <c r="E115" s="61">
        <v>1500002057</v>
      </c>
      <c r="F115" s="64"/>
      <c r="G115" s="49" t="s">
        <v>958</v>
      </c>
      <c r="H115" s="76"/>
      <c r="I115" s="76">
        <v>26976</v>
      </c>
      <c r="J115" s="66">
        <f t="shared" ca="1" si="53"/>
        <v>52</v>
      </c>
      <c r="K115" s="75" t="s">
        <v>959</v>
      </c>
      <c r="L115" s="41" t="s">
        <v>960</v>
      </c>
      <c r="M115" s="53" t="s">
        <v>67</v>
      </c>
      <c r="N115" s="66"/>
      <c r="O115" s="53"/>
      <c r="P115" s="49" t="s">
        <v>93</v>
      </c>
      <c r="Q115" s="49" t="s">
        <v>94</v>
      </c>
      <c r="R115" s="49"/>
      <c r="S115" s="49" t="s">
        <v>166</v>
      </c>
      <c r="T115" s="53" t="s">
        <v>97</v>
      </c>
      <c r="U115" s="53" t="s">
        <v>94</v>
      </c>
      <c r="V115" s="49" t="str">
        <f t="shared" si="54"/>
        <v>Phường Tam Thanh, Thành phố Lạng Sơn, Tỉnh Lạng Sơn</v>
      </c>
      <c r="W115" s="55" t="s">
        <v>961</v>
      </c>
      <c r="X115" s="41"/>
      <c r="Y115" s="41"/>
      <c r="Z115" s="41"/>
      <c r="AA115" s="68">
        <f>VLOOKUP(A115,'[1]DANH SÁCH'!$B$8:$AD$841,12,0)</f>
        <v>0</v>
      </c>
      <c r="AB115" s="49" t="str">
        <f>VLOOKUP(A115,'[1]DANH SÁCH'!$B$8:$H$841,6,0)</f>
        <v>TĐ012</v>
      </c>
      <c r="AC115" s="69" t="str">
        <f>VLOOKUP(A115,'[1]DANH SÁCH'!$B$8:$J$841,9,0)</f>
        <v>UB-YHHN</v>
      </c>
      <c r="AD115" s="69" t="str">
        <f>VLOOKUP(A115,'[1]DANH SÁCH'!$B$8:$AC$841,10,0)</f>
        <v>KP011</v>
      </c>
      <c r="AE115" s="69" t="str">
        <f>VLOOKUP(A115,'[1]DANH SÁCH'!$B$8:$AD$841,13,0)</f>
        <v>Viên chức</v>
      </c>
      <c r="AF115" s="41" t="s">
        <v>157</v>
      </c>
      <c r="AG115" s="42" t="str">
        <f>VLOOKUP(A115,'[1]DANH SÁCH'!$B$8:$H$841,7,0)</f>
        <v>Điều dưỡng (hạng IV)</v>
      </c>
      <c r="AH115" s="45">
        <v>4.58</v>
      </c>
      <c r="AI115" s="42">
        <v>9</v>
      </c>
      <c r="AJ115" s="70">
        <v>0</v>
      </c>
      <c r="AK115" s="69">
        <v>45778</v>
      </c>
      <c r="AL115" s="71" t="s">
        <v>158</v>
      </c>
      <c r="AM115" s="53" t="str">
        <f>VLOOKUP(A115,'[1]DANH SÁCH'!$B$8:$F$841,5,0)</f>
        <v>Điều dưỡng CĐ</v>
      </c>
      <c r="AN115" s="53"/>
      <c r="AO115" s="53" t="s">
        <v>159</v>
      </c>
      <c r="AP115" s="53">
        <v>2015</v>
      </c>
      <c r="AQ115" s="72" t="s">
        <v>113</v>
      </c>
      <c r="AR115" s="42">
        <f>VLOOKUP(A115,'[1]Chứng chỉ'!$B$8:$Q$1111,11,0)</f>
        <v>0</v>
      </c>
      <c r="AS115" s="42">
        <f>VLOOKUP(A115,'[1]Chứng chỉ'!$B$8:$Q$1111,12,0)</f>
        <v>0</v>
      </c>
      <c r="AT115" s="47" t="s">
        <v>139</v>
      </c>
      <c r="AU115" s="42">
        <f>VLOOKUP(A115,'[1]Chứng chỉ'!$B$8:$Q$1111,14,0)</f>
        <v>0</v>
      </c>
      <c r="AV115" s="42" t="str">
        <f>VLOOKUP(A115,'[1]Chứng chỉ'!$B$8:$Q$1111,15,0)</f>
        <v>Tày</v>
      </c>
      <c r="AW115" s="42" t="str">
        <f>VLOOKUP(A115,'[1]Chứng chỉ'!$B$8:$Q$1111,16,0)</f>
        <v>Cơ bản</v>
      </c>
      <c r="AX115" s="53"/>
      <c r="AY115" s="57" t="s">
        <v>85</v>
      </c>
      <c r="AZ115" s="65">
        <v>38324</v>
      </c>
      <c r="BA115" s="74" t="e">
        <f t="shared" si="55"/>
        <v>#REF!</v>
      </c>
      <c r="BB115" s="74" t="e">
        <f t="shared" si="56"/>
        <v>#REF!</v>
      </c>
      <c r="BC115" s="41" t="s">
        <v>61</v>
      </c>
      <c r="BD115" s="64"/>
    </row>
    <row r="116" spans="1:56" ht="40.799999999999997" x14ac:dyDescent="0.3">
      <c r="A116" s="41" t="s">
        <v>962</v>
      </c>
      <c r="B116" s="42">
        <f t="shared" si="0"/>
        <v>110</v>
      </c>
      <c r="C116" s="68" t="s">
        <v>963</v>
      </c>
      <c r="D116" s="41" t="s">
        <v>962</v>
      </c>
      <c r="E116" s="61">
        <v>2010000131</v>
      </c>
      <c r="F116" s="64"/>
      <c r="G116" s="49" t="s">
        <v>964</v>
      </c>
      <c r="H116" s="76"/>
      <c r="I116" s="76">
        <v>32162</v>
      </c>
      <c r="J116" s="66">
        <f t="shared" ca="1" si="53"/>
        <v>38</v>
      </c>
      <c r="K116" s="75" t="s">
        <v>965</v>
      </c>
      <c r="L116" s="41" t="s">
        <v>647</v>
      </c>
      <c r="M116" s="53" t="s">
        <v>67</v>
      </c>
      <c r="N116" s="66"/>
      <c r="O116" s="53" t="s">
        <v>966</v>
      </c>
      <c r="P116" s="49" t="s">
        <v>343</v>
      </c>
      <c r="Q116" s="49" t="s">
        <v>94</v>
      </c>
      <c r="R116" s="49" t="s">
        <v>966</v>
      </c>
      <c r="S116" s="49" t="s">
        <v>447</v>
      </c>
      <c r="T116" s="53" t="s">
        <v>343</v>
      </c>
      <c r="U116" s="53" t="s">
        <v>94</v>
      </c>
      <c r="V116" s="49" t="str">
        <f t="shared" si="54"/>
        <v>Xã Tô Hiệu, Huyện Bình Gia, Tỉnh Lạng Sơn</v>
      </c>
      <c r="W116" s="55" t="s">
        <v>809</v>
      </c>
      <c r="X116" s="41"/>
      <c r="Y116" s="41"/>
      <c r="Z116" s="41"/>
      <c r="AA116" s="68">
        <f>VLOOKUP(A116,'[1]DANH SÁCH'!$B$8:$AD$841,12,0)</f>
        <v>0</v>
      </c>
      <c r="AB116" s="49" t="str">
        <f>VLOOKUP(A116,'[1]DANH SÁCH'!$B$8:$H$841,6,0)</f>
        <v>TĐ012</v>
      </c>
      <c r="AC116" s="69" t="str">
        <f>VLOOKUP(A116,'[1]DANH SÁCH'!$B$8:$J$841,9,0)</f>
        <v>UB-YHHN</v>
      </c>
      <c r="AD116" s="69" t="str">
        <f>VLOOKUP(A116,'[1]DANH SÁCH'!$B$8:$AC$841,10,0)</f>
        <v>KP011</v>
      </c>
      <c r="AE116" s="69" t="str">
        <f>VLOOKUP(A116,'[1]DANH SÁCH'!$B$8:$AD$841,13,0)</f>
        <v>Viên chức</v>
      </c>
      <c r="AF116" s="41" t="s">
        <v>157</v>
      </c>
      <c r="AG116" s="42" t="str">
        <f>VLOOKUP(A116,'[1]DANH SÁCH'!$B$8:$H$841,7,0)</f>
        <v>Điều dưỡng (hạng IV)</v>
      </c>
      <c r="AH116" s="45">
        <v>3.34</v>
      </c>
      <c r="AI116" s="42">
        <v>5</v>
      </c>
      <c r="AJ116" s="70">
        <v>0</v>
      </c>
      <c r="AK116" s="69">
        <v>44927</v>
      </c>
      <c r="AL116" s="71" t="s">
        <v>158</v>
      </c>
      <c r="AM116" s="53" t="str">
        <f>VLOOKUP(A116,'[1]DANH SÁCH'!$B$8:$F$841,5,0)</f>
        <v>Điều dưỡng CĐ</v>
      </c>
      <c r="AN116" s="53"/>
      <c r="AO116" s="53" t="s">
        <v>159</v>
      </c>
      <c r="AP116" s="53">
        <v>2008</v>
      </c>
      <c r="AQ116" s="72" t="s">
        <v>113</v>
      </c>
      <c r="AR116" s="42">
        <f>VLOOKUP(A116,'[1]Chứng chỉ'!$B$8:$Q$1111,11,0)</f>
        <v>0</v>
      </c>
      <c r="AS116" s="42">
        <f>VLOOKUP(A116,'[1]Chứng chỉ'!$B$8:$Q$1111,12,0)</f>
        <v>0</v>
      </c>
      <c r="AT116" s="47">
        <f>VLOOKUP(A116,'[1]Chứng chỉ'!$B$8:$Q$1111,13,0)</f>
        <v>0</v>
      </c>
      <c r="AU116" s="42" t="str">
        <f>VLOOKUP(A116,'[1]Chứng chỉ'!$B$8:$Q$1111,14,0)</f>
        <v>Anh B</v>
      </c>
      <c r="AV116" s="42">
        <f>VLOOKUP(A116,'[1]Chứng chỉ'!$B$8:$Q$1111,15,0)</f>
        <v>0</v>
      </c>
      <c r="AW116" s="42" t="str">
        <f>VLOOKUP(A116,'[1]Chứng chỉ'!$B$8:$Q$1111,16,0)</f>
        <v>Tin B</v>
      </c>
      <c r="AX116" s="53"/>
      <c r="AY116" s="57" t="s">
        <v>85</v>
      </c>
      <c r="AZ116" s="65"/>
      <c r="BA116" s="74" t="e">
        <f t="shared" si="55"/>
        <v>#REF!</v>
      </c>
      <c r="BB116" s="74" t="e">
        <f t="shared" si="56"/>
        <v>#REF!</v>
      </c>
      <c r="BC116" s="41"/>
      <c r="BD116" s="64"/>
    </row>
    <row r="117" spans="1:56" ht="40.799999999999997" x14ac:dyDescent="0.3">
      <c r="A117" s="41" t="s">
        <v>967</v>
      </c>
      <c r="B117" s="42">
        <f t="shared" si="0"/>
        <v>111</v>
      </c>
      <c r="C117" s="68" t="s">
        <v>968</v>
      </c>
      <c r="D117" s="41" t="s">
        <v>967</v>
      </c>
      <c r="E117" s="61">
        <v>2009002565</v>
      </c>
      <c r="F117" s="64"/>
      <c r="G117" s="49" t="s">
        <v>969</v>
      </c>
      <c r="H117" s="76"/>
      <c r="I117" s="76">
        <v>30768</v>
      </c>
      <c r="J117" s="66">
        <f t="shared" ca="1" si="53"/>
        <v>42</v>
      </c>
      <c r="K117" s="75" t="s">
        <v>970</v>
      </c>
      <c r="L117" s="41" t="s">
        <v>971</v>
      </c>
      <c r="M117" s="53" t="s">
        <v>67</v>
      </c>
      <c r="N117" s="66"/>
      <c r="O117" s="53" t="s">
        <v>972</v>
      </c>
      <c r="P117" s="49" t="s">
        <v>222</v>
      </c>
      <c r="Q117" s="49" t="s">
        <v>94</v>
      </c>
      <c r="R117" s="49"/>
      <c r="S117" s="49" t="s">
        <v>972</v>
      </c>
      <c r="T117" s="53" t="s">
        <v>222</v>
      </c>
      <c r="U117" s="53" t="s">
        <v>94</v>
      </c>
      <c r="V117" s="49" t="str">
        <f t="shared" si="54"/>
        <v>Xã Mai Sao, Huyện Chi Lăng, Tỉnh Lạng Sơn</v>
      </c>
      <c r="W117" s="55" t="s">
        <v>236</v>
      </c>
      <c r="X117" s="41"/>
      <c r="Y117" s="41"/>
      <c r="Z117" s="41"/>
      <c r="AA117" s="68">
        <f>VLOOKUP(A117,'[1]DANH SÁCH'!$B$8:$AD$841,12,0)</f>
        <v>0</v>
      </c>
      <c r="AB117" s="49" t="str">
        <f>VLOOKUP(A117,'[1]DANH SÁCH'!$B$8:$H$841,6,0)</f>
        <v>TĐ012</v>
      </c>
      <c r="AC117" s="69" t="str">
        <f>VLOOKUP(A117,'[1]DANH SÁCH'!$B$8:$J$841,9,0)</f>
        <v>UB-YHHN</v>
      </c>
      <c r="AD117" s="69" t="str">
        <f>VLOOKUP(A117,'[1]DANH SÁCH'!$B$8:$AC$841,10,0)</f>
        <v>KP011</v>
      </c>
      <c r="AE117" s="69" t="str">
        <f>VLOOKUP(A117,'[1]DANH SÁCH'!$B$8:$AD$841,13,0)</f>
        <v>Viên chức</v>
      </c>
      <c r="AF117" s="41" t="s">
        <v>157</v>
      </c>
      <c r="AG117" s="42" t="str">
        <f>VLOOKUP(A117,'[1]DANH SÁCH'!$B$8:$H$841,7,0)</f>
        <v>Điều dưỡng (hạng IV)</v>
      </c>
      <c r="AH117" s="45">
        <v>3.65</v>
      </c>
      <c r="AI117" s="42">
        <v>6</v>
      </c>
      <c r="AJ117" s="70">
        <v>0</v>
      </c>
      <c r="AK117" s="69">
        <v>45839</v>
      </c>
      <c r="AL117" s="71" t="s">
        <v>158</v>
      </c>
      <c r="AM117" s="53" t="str">
        <f>VLOOKUP(A117,'[1]DANH SÁCH'!$B$8:$F$841,5,0)</f>
        <v>Điều dưỡng CĐ</v>
      </c>
      <c r="AN117" s="53"/>
      <c r="AO117" s="53" t="s">
        <v>175</v>
      </c>
      <c r="AP117" s="53">
        <v>2006</v>
      </c>
      <c r="AQ117" s="72" t="s">
        <v>113</v>
      </c>
      <c r="AR117" s="42">
        <f>VLOOKUP(A117,'[1]Chứng chỉ'!$B$8:$Q$1111,11,0)</f>
        <v>0</v>
      </c>
      <c r="AS117" s="42">
        <f>VLOOKUP(A117,'[1]Chứng chỉ'!$B$8:$Q$1111,12,0)</f>
        <v>0</v>
      </c>
      <c r="AT117" s="47" t="s">
        <v>139</v>
      </c>
      <c r="AU117" s="42">
        <f>VLOOKUP(A117,'[1]Chứng chỉ'!$B$8:$Q$1111,14,0)</f>
        <v>0</v>
      </c>
      <c r="AV117" s="42">
        <f>VLOOKUP(A117,'[1]Chứng chỉ'!$B$8:$Q$1111,15,0)</f>
        <v>0</v>
      </c>
      <c r="AW117" s="42" t="str">
        <f>VLOOKUP(A117,'[1]Chứng chỉ'!$B$8:$Q$1111,16,0)</f>
        <v>Tin B</v>
      </c>
      <c r="AX117" s="53"/>
      <c r="AY117" s="57" t="s">
        <v>127</v>
      </c>
      <c r="AZ117" s="65">
        <v>40175</v>
      </c>
      <c r="BA117" s="74" t="e">
        <f t="shared" si="55"/>
        <v>#REF!</v>
      </c>
      <c r="BB117" s="74" t="e">
        <f t="shared" si="56"/>
        <v>#REF!</v>
      </c>
      <c r="BC117" s="41" t="s">
        <v>128</v>
      </c>
      <c r="BD117" s="64"/>
    </row>
    <row r="118" spans="1:56" ht="61.2" x14ac:dyDescent="0.3">
      <c r="A118" s="41" t="s">
        <v>973</v>
      </c>
      <c r="B118" s="42">
        <f t="shared" si="0"/>
        <v>112</v>
      </c>
      <c r="C118" s="68" t="s">
        <v>974</v>
      </c>
      <c r="D118" s="41" t="s">
        <v>973</v>
      </c>
      <c r="E118" s="61">
        <v>1507002012</v>
      </c>
      <c r="F118" s="64"/>
      <c r="G118" s="49" t="s">
        <v>975</v>
      </c>
      <c r="H118" s="76">
        <v>30942</v>
      </c>
      <c r="I118" s="76"/>
      <c r="J118" s="66">
        <f t="shared" ref="J118:J122" ca="1" si="57">INT(DATEDIF(H118,$J$2,"d")/365)</f>
        <v>41</v>
      </c>
      <c r="K118" s="75" t="s">
        <v>976</v>
      </c>
      <c r="L118" s="41" t="s">
        <v>255</v>
      </c>
      <c r="M118" s="53" t="s">
        <v>67</v>
      </c>
      <c r="N118" s="66" t="s">
        <v>917</v>
      </c>
      <c r="O118" s="53"/>
      <c r="P118" s="49" t="s">
        <v>155</v>
      </c>
      <c r="Q118" s="49" t="s">
        <v>94</v>
      </c>
      <c r="R118" s="49"/>
      <c r="S118" s="49" t="s">
        <v>166</v>
      </c>
      <c r="T118" s="53" t="s">
        <v>97</v>
      </c>
      <c r="U118" s="53" t="s">
        <v>94</v>
      </c>
      <c r="V118" s="49" t="str">
        <f t="shared" si="54"/>
        <v>Phường Tam Thanh, Thành phố Lạng Sơn, Tỉnh Lạng Sơn</v>
      </c>
      <c r="W118" s="55" t="s">
        <v>98</v>
      </c>
      <c r="X118" s="41"/>
      <c r="Y118" s="41"/>
      <c r="Z118" s="41"/>
      <c r="AA118" s="68">
        <f>VLOOKUP(A118,'[1]DANH SÁCH'!$B$8:$AD$841,12,0)</f>
        <v>0</v>
      </c>
      <c r="AB118" s="49" t="str">
        <f>VLOOKUP(A118,'[1]DANH SÁCH'!$B$8:$H$841,6,0)</f>
        <v>TĐ012</v>
      </c>
      <c r="AC118" s="69" t="str">
        <f>VLOOKUP(A118,'[1]DANH SÁCH'!$B$8:$J$841,9,0)</f>
        <v>UB-YHHN</v>
      </c>
      <c r="AD118" s="69" t="str">
        <f>VLOOKUP(A118,'[1]DANH SÁCH'!$B$8:$AC$841,10,0)</f>
        <v>KP011</v>
      </c>
      <c r="AE118" s="69" t="str">
        <f>VLOOKUP(A118,'[1]DANH SÁCH'!$B$8:$AD$841,13,0)</f>
        <v>Viên chức</v>
      </c>
      <c r="AF118" s="41" t="s">
        <v>157</v>
      </c>
      <c r="AG118" s="42" t="str">
        <f>VLOOKUP(A118,'[1]DANH SÁCH'!$B$8:$H$841,7,0)</f>
        <v>Điều dưỡng (hạng IV)</v>
      </c>
      <c r="AH118" s="45">
        <v>3.65</v>
      </c>
      <c r="AI118" s="42">
        <v>6</v>
      </c>
      <c r="AJ118" s="70">
        <v>0</v>
      </c>
      <c r="AK118" s="69">
        <v>45809</v>
      </c>
      <c r="AL118" s="71" t="s">
        <v>158</v>
      </c>
      <c r="AM118" s="53" t="str">
        <f>VLOOKUP(A118,'[1]DANH SÁCH'!$B$8:$F$841,5,0)</f>
        <v>Điều dưỡng CĐ</v>
      </c>
      <c r="AN118" s="53"/>
      <c r="AO118" s="53" t="s">
        <v>159</v>
      </c>
      <c r="AP118" s="53">
        <v>2018</v>
      </c>
      <c r="AQ118" s="72" t="s">
        <v>113</v>
      </c>
      <c r="AR118" s="42">
        <f>VLOOKUP(A118,'[1]Chứng chỉ'!$B$8:$Q$1111,11,0)</f>
        <v>0</v>
      </c>
      <c r="AS118" s="42">
        <f>VLOOKUP(A118,'[1]Chứng chỉ'!$B$8:$Q$1111,12,0)</f>
        <v>0</v>
      </c>
      <c r="AT118" s="47">
        <f>VLOOKUP(A118,'[1]Chứng chỉ'!$B$8:$Q$1111,13,0)</f>
        <v>0</v>
      </c>
      <c r="AU118" s="42">
        <f>VLOOKUP(A118,'[1]Chứng chỉ'!$B$8:$Q$1111,14,0)</f>
        <v>0</v>
      </c>
      <c r="AV118" s="42">
        <f>VLOOKUP(A118,'[1]Chứng chỉ'!$B$8:$Q$1111,15,0)</f>
        <v>0</v>
      </c>
      <c r="AW118" s="42" t="str">
        <f>VLOOKUP(A118,'[1]Chứng chỉ'!$B$8:$Q$1111,16,0)</f>
        <v>Tin B</v>
      </c>
      <c r="AX118" s="53"/>
      <c r="AY118" s="57" t="s">
        <v>127</v>
      </c>
      <c r="AZ118" s="65"/>
      <c r="BA118" s="74" t="e">
        <f t="shared" si="55"/>
        <v>#REF!</v>
      </c>
      <c r="BB118" s="74" t="e">
        <f t="shared" si="56"/>
        <v>#REF!</v>
      </c>
      <c r="BC118" s="61"/>
      <c r="BD118" s="64"/>
    </row>
    <row r="119" spans="1:56" ht="51" x14ac:dyDescent="0.3">
      <c r="A119" s="41" t="s">
        <v>977</v>
      </c>
      <c r="B119" s="42">
        <f t="shared" si="0"/>
        <v>113</v>
      </c>
      <c r="C119" s="68" t="s">
        <v>978</v>
      </c>
      <c r="D119" s="41" t="s">
        <v>977</v>
      </c>
      <c r="E119" s="61">
        <v>2011000015</v>
      </c>
      <c r="F119" s="64"/>
      <c r="G119" s="49" t="s">
        <v>979</v>
      </c>
      <c r="H119" s="76">
        <v>28728</v>
      </c>
      <c r="I119" s="76"/>
      <c r="J119" s="66">
        <f t="shared" ca="1" si="57"/>
        <v>47</v>
      </c>
      <c r="K119" s="75" t="s">
        <v>980</v>
      </c>
      <c r="L119" s="83" t="s">
        <v>981</v>
      </c>
      <c r="M119" s="53" t="s">
        <v>67</v>
      </c>
      <c r="N119" s="66" t="s">
        <v>94</v>
      </c>
      <c r="O119" s="53" t="s">
        <v>982</v>
      </c>
      <c r="P119" s="49" t="s">
        <v>145</v>
      </c>
      <c r="Q119" s="49" t="s">
        <v>94</v>
      </c>
      <c r="R119" s="49" t="s">
        <v>983</v>
      </c>
      <c r="S119" s="49" t="s">
        <v>460</v>
      </c>
      <c r="T119" s="49" t="s">
        <v>108</v>
      </c>
      <c r="U119" s="49" t="s">
        <v>94</v>
      </c>
      <c r="V119" s="49" t="str">
        <f t="shared" si="54"/>
        <v>Thị trấn Cao Lộc, Huyện Cao Lộc, Tỉnh Lạng Sơn</v>
      </c>
      <c r="W119" s="55" t="s">
        <v>224</v>
      </c>
      <c r="X119" s="41"/>
      <c r="Y119" s="41"/>
      <c r="Z119" s="41"/>
      <c r="AA119" s="68">
        <f>VLOOKUP(A119,'[1]DANH SÁCH'!$B$8:$AD$841,12,0)</f>
        <v>0</v>
      </c>
      <c r="AB119" s="49" t="str">
        <f>VLOOKUP(A119,'[1]DANH SÁCH'!$B$8:$H$841,6,0)</f>
        <v>TĐ012</v>
      </c>
      <c r="AC119" s="69" t="str">
        <f>VLOOKUP(A119,'[1]DANH SÁCH'!$B$8:$J$841,9,0)</f>
        <v>UB-YHHN</v>
      </c>
      <c r="AD119" s="69" t="str">
        <f>VLOOKUP(A119,'[1]DANH SÁCH'!$B$8:$AC$841,10,0)</f>
        <v>KP011</v>
      </c>
      <c r="AE119" s="69" t="str">
        <f>VLOOKUP(A119,'[1]DANH SÁCH'!$B$8:$AD$841,13,0)</f>
        <v>Viên chức</v>
      </c>
      <c r="AF119" s="41" t="s">
        <v>157</v>
      </c>
      <c r="AG119" s="42" t="str">
        <f>VLOOKUP(A119,'[1]DANH SÁCH'!$B$8:$H$841,7,0)</f>
        <v>Điều dưỡng (hạng IV)</v>
      </c>
      <c r="AH119" s="45">
        <v>3.34</v>
      </c>
      <c r="AI119" s="42">
        <v>5</v>
      </c>
      <c r="AJ119" s="70">
        <v>0</v>
      </c>
      <c r="AK119" s="69">
        <v>45444</v>
      </c>
      <c r="AL119" s="71" t="s">
        <v>158</v>
      </c>
      <c r="AM119" s="53" t="str">
        <f>VLOOKUP(A119,'[1]DANH SÁCH'!$B$8:$F$841,5,0)</f>
        <v>Điều dưỡng CĐ</v>
      </c>
      <c r="AN119" s="53"/>
      <c r="AO119" s="53" t="s">
        <v>365</v>
      </c>
      <c r="AP119" s="53">
        <v>2005</v>
      </c>
      <c r="AQ119" s="99" t="s">
        <v>113</v>
      </c>
      <c r="AR119" s="42">
        <f>VLOOKUP(A119,'[1]Chứng chỉ'!$B$8:$Q$1111,11,0)</f>
        <v>0</v>
      </c>
      <c r="AS119" s="42">
        <f>VLOOKUP(A119,'[1]Chứng chỉ'!$B$8:$Q$1111,12,0)</f>
        <v>0</v>
      </c>
      <c r="AT119" s="47">
        <f>VLOOKUP(A119,'[1]Chứng chỉ'!$B$8:$Q$1111,13,0)</f>
        <v>0</v>
      </c>
      <c r="AU119" s="42">
        <f>VLOOKUP(A119,'[1]Chứng chỉ'!$B$8:$Q$1111,14,0)</f>
        <v>0</v>
      </c>
      <c r="AV119" s="42">
        <f>VLOOKUP(A119,'[1]Chứng chỉ'!$B$8:$Q$1111,15,0)</f>
        <v>0</v>
      </c>
      <c r="AW119" s="42" t="str">
        <f>VLOOKUP(A119,'[1]Chứng chỉ'!$B$8:$Q$1111,16,0)</f>
        <v>Tin B</v>
      </c>
      <c r="AX119" s="42"/>
      <c r="AY119" s="57" t="s">
        <v>85</v>
      </c>
      <c r="AZ119" s="65"/>
      <c r="BA119" s="74" t="e">
        <f t="shared" si="55"/>
        <v>#REF!</v>
      </c>
      <c r="BB119" s="74" t="e">
        <f t="shared" si="56"/>
        <v>#REF!</v>
      </c>
      <c r="BC119" s="61" t="s">
        <v>449</v>
      </c>
      <c r="BD119" s="62"/>
    </row>
    <row r="120" spans="1:56" ht="51" x14ac:dyDescent="0.3">
      <c r="A120" s="41" t="s">
        <v>984</v>
      </c>
      <c r="B120" s="42">
        <f t="shared" si="0"/>
        <v>114</v>
      </c>
      <c r="C120" s="68" t="s">
        <v>985</v>
      </c>
      <c r="D120" s="41" t="s">
        <v>984</v>
      </c>
      <c r="E120" s="61">
        <v>1596007535</v>
      </c>
      <c r="F120" s="64"/>
      <c r="G120" s="49" t="s">
        <v>986</v>
      </c>
      <c r="H120" s="76">
        <v>25024</v>
      </c>
      <c r="I120" s="76"/>
      <c r="J120" s="66">
        <f t="shared" ca="1" si="57"/>
        <v>58</v>
      </c>
      <c r="K120" s="75" t="s">
        <v>987</v>
      </c>
      <c r="L120" s="41" t="s">
        <v>370</v>
      </c>
      <c r="M120" s="53" t="s">
        <v>67</v>
      </c>
      <c r="N120" s="66" t="s">
        <v>871</v>
      </c>
      <c r="O120" s="53"/>
      <c r="P120" s="49" t="s">
        <v>872</v>
      </c>
      <c r="Q120" s="49" t="s">
        <v>873</v>
      </c>
      <c r="R120" s="49"/>
      <c r="S120" s="49" t="s">
        <v>136</v>
      </c>
      <c r="T120" s="53" t="s">
        <v>97</v>
      </c>
      <c r="U120" s="53" t="s">
        <v>94</v>
      </c>
      <c r="V120" s="49" t="str">
        <f t="shared" si="54"/>
        <v>Phường Chi Lăng, Thành phố Lạng Sơn, Tỉnh Lạng Sơn</v>
      </c>
      <c r="W120" s="55" t="s">
        <v>526</v>
      </c>
      <c r="X120" s="41"/>
      <c r="Y120" s="41"/>
      <c r="Z120" s="41"/>
      <c r="AA120" s="68" t="str">
        <f>VLOOKUP(A120,'[1]DANH SÁCH'!$B$8:$AD$841,12,0)</f>
        <v>Trưởng khoa</v>
      </c>
      <c r="AB120" s="49" t="str">
        <f>VLOOKUP(A120,'[1]DANH SÁCH'!$B$8:$H$841,6,0)</f>
        <v>TĐ001</v>
      </c>
      <c r="AC120" s="69" t="str">
        <f>VLOOKUP(A120,'[1]DANH SÁCH'!$B$8:$J$841,9,0)</f>
        <v>Ngoại Thận - Tiết niệu</v>
      </c>
      <c r="AD120" s="69" t="str">
        <f>VLOOKUP(A120,'[1]DANH SÁCH'!$B$8:$AC$841,10,0)</f>
        <v>KP012</v>
      </c>
      <c r="AE120" s="69" t="str">
        <f>VLOOKUP(A120,'[1]DANH SÁCH'!$B$8:$AD$841,13,0)</f>
        <v>Viên chức</v>
      </c>
      <c r="AF120" s="41" t="s">
        <v>79</v>
      </c>
      <c r="AG120" s="42" t="str">
        <f>VLOOKUP(A120,'[1]DANH SÁCH'!$B$8:$H$841,7,0)</f>
        <v>Bác sĩ chính (hạng II)</v>
      </c>
      <c r="AH120" s="45">
        <v>5.42</v>
      </c>
      <c r="AI120" s="42">
        <v>4</v>
      </c>
      <c r="AJ120" s="70">
        <v>0</v>
      </c>
      <c r="AK120" s="69">
        <v>45352</v>
      </c>
      <c r="AL120" s="71" t="s">
        <v>80</v>
      </c>
      <c r="AM120" s="53" t="str">
        <f>VLOOKUP(A120,'[1]DANH SÁCH'!$B$8:$F$841,5,0)</f>
        <v>BSCKII</v>
      </c>
      <c r="AN120" s="53" t="s">
        <v>126</v>
      </c>
      <c r="AO120" s="53" t="s">
        <v>112</v>
      </c>
      <c r="AP120" s="53">
        <v>2015</v>
      </c>
      <c r="AQ120" s="72"/>
      <c r="AR120" s="42" t="s">
        <v>82</v>
      </c>
      <c r="AS120" s="42" t="s">
        <v>670</v>
      </c>
      <c r="AT120" s="47" t="s">
        <v>101</v>
      </c>
      <c r="AU120" s="42" t="str">
        <f>VLOOKUP(A120,'[1]Chứng chỉ'!$B$8:$Q$1111,14,0)</f>
        <v>Anh C</v>
      </c>
      <c r="AV120" s="42">
        <f>VLOOKUP(A120,'[1]Chứng chỉ'!$B$8:$Q$1111,15,0)</f>
        <v>0</v>
      </c>
      <c r="AW120" s="42" t="str">
        <f>VLOOKUP(A120,'[1]Chứng chỉ'!$B$8:$Q$1111,16,0)</f>
        <v>Tin B</v>
      </c>
      <c r="AX120" s="53"/>
      <c r="AY120" s="57" t="s">
        <v>87</v>
      </c>
      <c r="AZ120" s="65">
        <v>39169</v>
      </c>
      <c r="BA120" s="74" t="e">
        <f t="shared" si="55"/>
        <v>#REF!</v>
      </c>
      <c r="BB120" s="74" t="e">
        <f t="shared" si="56"/>
        <v>#REF!</v>
      </c>
      <c r="BC120" s="61" t="s">
        <v>449</v>
      </c>
      <c r="BD120" s="62"/>
    </row>
    <row r="121" spans="1:56" ht="61.2" x14ac:dyDescent="0.3">
      <c r="A121" s="41" t="s">
        <v>988</v>
      </c>
      <c r="B121" s="42">
        <f t="shared" si="0"/>
        <v>115</v>
      </c>
      <c r="C121" s="68" t="s">
        <v>989</v>
      </c>
      <c r="D121" s="41" t="s">
        <v>988</v>
      </c>
      <c r="E121" s="75">
        <v>2008000418</v>
      </c>
      <c r="F121" s="49"/>
      <c r="G121" s="49" t="s">
        <v>990</v>
      </c>
      <c r="H121" s="76">
        <v>30360</v>
      </c>
      <c r="I121" s="76"/>
      <c r="J121" s="66">
        <f t="shared" ca="1" si="57"/>
        <v>43</v>
      </c>
      <c r="K121" s="75" t="s">
        <v>991</v>
      </c>
      <c r="L121" s="41" t="s">
        <v>992</v>
      </c>
      <c r="M121" s="53" t="s">
        <v>67</v>
      </c>
      <c r="N121" s="66"/>
      <c r="O121" s="53"/>
      <c r="P121" s="49" t="s">
        <v>840</v>
      </c>
      <c r="Q121" s="49" t="s">
        <v>235</v>
      </c>
      <c r="R121" s="49"/>
      <c r="S121" s="49" t="s">
        <v>166</v>
      </c>
      <c r="T121" s="53" t="s">
        <v>97</v>
      </c>
      <c r="U121" s="53" t="s">
        <v>94</v>
      </c>
      <c r="V121" s="49" t="str">
        <f t="shared" si="54"/>
        <v>Phường Tam Thanh, Thành phố Lạng Sơn, Tỉnh Lạng Sơn</v>
      </c>
      <c r="W121" s="55" t="s">
        <v>993</v>
      </c>
      <c r="X121" s="41"/>
      <c r="Y121" s="41"/>
      <c r="Z121" s="41"/>
      <c r="AA121" s="68" t="str">
        <f>VLOOKUP(A121,'[1]DANH SÁCH'!$B$8:$AD$841,12,0)</f>
        <v>Phó trưởng khoa</v>
      </c>
      <c r="AB121" s="49" t="str">
        <f>VLOOKUP(A121,'[1]DANH SÁCH'!$B$8:$H$841,6,0)</f>
        <v>TĐ003</v>
      </c>
      <c r="AC121" s="69" t="str">
        <f>VLOOKUP(A121,'[1]DANH SÁCH'!$B$8:$J$841,9,0)</f>
        <v>Ngoại Thận - Tiết niệu</v>
      </c>
      <c r="AD121" s="69" t="str">
        <f>VLOOKUP(A121,'[1]DANH SÁCH'!$B$8:$AC$841,10,0)</f>
        <v>KP012</v>
      </c>
      <c r="AE121" s="69" t="str">
        <f>VLOOKUP(A121,'[1]DANH SÁCH'!$B$8:$AD$841,13,0)</f>
        <v>Viên chức</v>
      </c>
      <c r="AF121" s="41" t="s">
        <v>79</v>
      </c>
      <c r="AG121" s="42" t="str">
        <f>VLOOKUP(A121,'[1]DANH SÁCH'!$B$8:$H$841,7,0)</f>
        <v>Bác sĩ chính (hạng II)</v>
      </c>
      <c r="AH121" s="45">
        <v>4.74</v>
      </c>
      <c r="AI121" s="42">
        <v>2</v>
      </c>
      <c r="AJ121" s="70">
        <v>0</v>
      </c>
      <c r="AK121" s="69">
        <v>45809</v>
      </c>
      <c r="AL121" s="71" t="s">
        <v>80</v>
      </c>
      <c r="AM121" s="53" t="str">
        <f>VLOOKUP(A121,'[1]DANH SÁCH'!$B$8:$F$841,5,0)</f>
        <v>BSCKI</v>
      </c>
      <c r="AN121" s="53" t="s">
        <v>126</v>
      </c>
      <c r="AO121" s="53"/>
      <c r="AP121" s="53"/>
      <c r="AQ121" s="72"/>
      <c r="AR121" s="42">
        <f>VLOOKUP(A121,'[1]Chứng chỉ'!$B$8:$Q$1111,11,0)</f>
        <v>0</v>
      </c>
      <c r="AS121" s="42" t="s">
        <v>100</v>
      </c>
      <c r="AT121" s="47" t="s">
        <v>139</v>
      </c>
      <c r="AU121" s="42" t="str">
        <f>VLOOKUP(A121,'[1]Chứng chỉ'!$B$8:$Q$1111,14,0)</f>
        <v>Anh A2</v>
      </c>
      <c r="AV121" s="42" t="str">
        <f>VLOOKUP(A121,'[1]Chứng chỉ'!$B$8:$Q$1111,15,0)</f>
        <v>Cơ bản</v>
      </c>
      <c r="AW121" s="42" t="str">
        <f>VLOOKUP(A121,'[1]Chứng chỉ'!$B$8:$Q$1111,16,0)</f>
        <v>Cơ bản</v>
      </c>
      <c r="AX121" s="53"/>
      <c r="AY121" s="57" t="s">
        <v>87</v>
      </c>
      <c r="AZ121" s="65">
        <v>41461</v>
      </c>
      <c r="BA121" s="74" t="e">
        <f t="shared" si="55"/>
        <v>#REF!</v>
      </c>
      <c r="BB121" s="74" t="e">
        <f t="shared" si="56"/>
        <v>#REF!</v>
      </c>
      <c r="BC121" s="81">
        <v>43728</v>
      </c>
      <c r="BD121" s="47"/>
    </row>
    <row r="122" spans="1:56" ht="61.2" x14ac:dyDescent="0.3">
      <c r="A122" s="41" t="s">
        <v>994</v>
      </c>
      <c r="B122" s="42">
        <f t="shared" si="0"/>
        <v>116</v>
      </c>
      <c r="C122" s="68" t="s">
        <v>995</v>
      </c>
      <c r="D122" s="41" t="s">
        <v>994</v>
      </c>
      <c r="E122" s="61">
        <v>113043186</v>
      </c>
      <c r="F122" s="64"/>
      <c r="G122" s="49" t="s">
        <v>996</v>
      </c>
      <c r="H122" s="100">
        <v>31936</v>
      </c>
      <c r="I122" s="76"/>
      <c r="J122" s="66">
        <f t="shared" ca="1" si="57"/>
        <v>39</v>
      </c>
      <c r="K122" s="75" t="s">
        <v>997</v>
      </c>
      <c r="L122" s="41" t="s">
        <v>998</v>
      </c>
      <c r="M122" s="53" t="s">
        <v>67</v>
      </c>
      <c r="N122" s="66"/>
      <c r="O122" s="53"/>
      <c r="P122" s="49" t="s">
        <v>999</v>
      </c>
      <c r="Q122" s="49" t="s">
        <v>873</v>
      </c>
      <c r="R122" s="49"/>
      <c r="S122" s="49" t="s">
        <v>166</v>
      </c>
      <c r="T122" s="53" t="s">
        <v>97</v>
      </c>
      <c r="U122" s="53" t="s">
        <v>94</v>
      </c>
      <c r="V122" s="49" t="str">
        <f t="shared" si="54"/>
        <v>Phường Tam Thanh, Thành phố Lạng Sơn, Tỉnh Lạng Sơn</v>
      </c>
      <c r="W122" s="86" t="s">
        <v>1000</v>
      </c>
      <c r="X122" s="41"/>
      <c r="Y122" s="41"/>
      <c r="Z122" s="41"/>
      <c r="AA122" s="68">
        <f>VLOOKUP(A122,'[1]DANH SÁCH'!$B$8:$AD$841,12,0)</f>
        <v>0</v>
      </c>
      <c r="AB122" s="49" t="str">
        <f>VLOOKUP(A122,'[1]DANH SÁCH'!$B$8:$H$841,6,0)</f>
        <v>TĐ003</v>
      </c>
      <c r="AC122" s="69" t="str">
        <f>VLOOKUP(A122,'[1]DANH SÁCH'!$B$8:$J$841,9,0)</f>
        <v>Ngoại Thận - Tiết niệu</v>
      </c>
      <c r="AD122" s="69" t="str">
        <f>VLOOKUP(A122,'[1]DANH SÁCH'!$B$8:$AC$841,10,0)</f>
        <v>KP012</v>
      </c>
      <c r="AE122" s="69" t="str">
        <f>VLOOKUP(A122,'[1]DANH SÁCH'!$B$8:$AD$841,13,0)</f>
        <v>Viên chức</v>
      </c>
      <c r="AF122" s="41" t="s">
        <v>274</v>
      </c>
      <c r="AG122" s="42" t="str">
        <f>VLOOKUP(A122,'[1]DANH SÁCH'!$B$8:$H$841,7,0)</f>
        <v>Bác sĩ (hạng III)</v>
      </c>
      <c r="AH122" s="45">
        <v>3.66</v>
      </c>
      <c r="AI122" s="42">
        <v>5</v>
      </c>
      <c r="AJ122" s="70">
        <v>0</v>
      </c>
      <c r="AK122" s="69">
        <v>45597</v>
      </c>
      <c r="AL122" s="71" t="s">
        <v>80</v>
      </c>
      <c r="AM122" s="53" t="str">
        <f>VLOOKUP(A122,'[1]DANH SÁCH'!$B$8:$F$841,5,0)</f>
        <v>BSCKI</v>
      </c>
      <c r="AN122" s="53" t="s">
        <v>126</v>
      </c>
      <c r="AO122" s="53" t="s">
        <v>112</v>
      </c>
      <c r="AP122" s="53">
        <v>2012</v>
      </c>
      <c r="AQ122" s="72" t="s">
        <v>113</v>
      </c>
      <c r="AR122" s="42">
        <f>VLOOKUP(A122,'[1]Chứng chỉ'!$B$8:$Q$1111,11,0)</f>
        <v>0</v>
      </c>
      <c r="AS122" s="42" t="str">
        <f>VLOOKUP(A122,'[1]Chứng chỉ'!$B$8:$Q$1111,12,0)</f>
        <v>x</v>
      </c>
      <c r="AT122" s="47">
        <f>VLOOKUP(A122,'[1]Chứng chỉ'!$B$8:$Q$1111,13,0)</f>
        <v>0</v>
      </c>
      <c r="AU122" s="42" t="str">
        <f>VLOOKUP(A122,'[1]Chứng chỉ'!$B$8:$Q$1111,14,0)</f>
        <v>Anh B</v>
      </c>
      <c r="AV122" s="42">
        <f>VLOOKUP(A122,'[1]Chứng chỉ'!$B$8:$Q$1111,15,0)</f>
        <v>0</v>
      </c>
      <c r="AW122" s="42" t="str">
        <f>VLOOKUP(A122,'[1]Chứng chỉ'!$B$8:$Q$1111,16,0)</f>
        <v>CC Tin Sau ĐH</v>
      </c>
      <c r="AX122" s="53"/>
      <c r="AY122" s="57" t="s">
        <v>87</v>
      </c>
      <c r="AZ122" s="65">
        <v>43066</v>
      </c>
      <c r="BA122" s="74" t="e">
        <f t="shared" si="55"/>
        <v>#REF!</v>
      </c>
      <c r="BB122" s="74" t="e">
        <f t="shared" si="56"/>
        <v>#REF!</v>
      </c>
      <c r="BC122" s="61" t="s">
        <v>128</v>
      </c>
      <c r="BD122" s="62"/>
    </row>
    <row r="123" spans="1:56" ht="51" x14ac:dyDescent="0.3">
      <c r="A123" s="41" t="s">
        <v>1001</v>
      </c>
      <c r="B123" s="42">
        <f t="shared" si="0"/>
        <v>117</v>
      </c>
      <c r="C123" s="68" t="s">
        <v>1002</v>
      </c>
      <c r="D123" s="41" t="s">
        <v>1001</v>
      </c>
      <c r="E123" s="61">
        <v>2010000165</v>
      </c>
      <c r="F123" s="64"/>
      <c r="G123" s="49" t="s">
        <v>1003</v>
      </c>
      <c r="H123" s="76"/>
      <c r="I123" s="76">
        <v>32278</v>
      </c>
      <c r="J123" s="66">
        <f ca="1">INT(DATEDIF(I123,$J$2,"d")/365)</f>
        <v>38</v>
      </c>
      <c r="K123" s="75" t="s">
        <v>1004</v>
      </c>
      <c r="L123" s="41" t="s">
        <v>1005</v>
      </c>
      <c r="M123" s="53" t="s">
        <v>67</v>
      </c>
      <c r="N123" s="66"/>
      <c r="O123" s="85" t="s">
        <v>1006</v>
      </c>
      <c r="P123" s="49" t="s">
        <v>1007</v>
      </c>
      <c r="Q123" s="49" t="s">
        <v>1008</v>
      </c>
      <c r="R123" s="76"/>
      <c r="S123" s="76" t="s">
        <v>1009</v>
      </c>
      <c r="T123" s="53" t="s">
        <v>97</v>
      </c>
      <c r="U123" s="53" t="s">
        <v>94</v>
      </c>
      <c r="V123" s="49" t="str">
        <f t="shared" si="54"/>
        <v>Đường Đèo Giang, Thành phố Lạng Sơn, Tỉnh Lạng Sơn</v>
      </c>
      <c r="W123" s="55" t="s">
        <v>236</v>
      </c>
      <c r="X123" s="41"/>
      <c r="Y123" s="41"/>
      <c r="Z123" s="41"/>
      <c r="AA123" s="68" t="str">
        <f>VLOOKUP(A123,'[1]DANH SÁCH'!$B$8:$AD$841,12,0)</f>
        <v>Điều dưỡng trưởng</v>
      </c>
      <c r="AB123" s="49" t="str">
        <f>VLOOKUP(A123,'[1]DANH SÁCH'!$B$8:$H$841,6,0)</f>
        <v>TĐ011</v>
      </c>
      <c r="AC123" s="69" t="str">
        <f>VLOOKUP(A123,'[1]DANH SÁCH'!$B$8:$J$841,9,0)</f>
        <v>Ngoại Thận - Tiết niệu</v>
      </c>
      <c r="AD123" s="69" t="str">
        <f>VLOOKUP(A123,'[1]DANH SÁCH'!$B$8:$AC$841,10,0)</f>
        <v>KP012</v>
      </c>
      <c r="AE123" s="69" t="str">
        <f>VLOOKUP(A123,'[1]DANH SÁCH'!$B$8:$AD$841,13,0)</f>
        <v>Viên chức</v>
      </c>
      <c r="AF123" s="41" t="s">
        <v>147</v>
      </c>
      <c r="AG123" s="42" t="str">
        <f>VLOOKUP(A123,'[1]DANH SÁCH'!$B$8:$H$841,7,0)</f>
        <v>Điều dưỡng (hạng III)</v>
      </c>
      <c r="AH123" s="45">
        <v>3.66</v>
      </c>
      <c r="AI123" s="42">
        <v>5</v>
      </c>
      <c r="AJ123" s="70">
        <v>0</v>
      </c>
      <c r="AK123" s="69">
        <v>45383</v>
      </c>
      <c r="AL123" s="71" t="s">
        <v>80</v>
      </c>
      <c r="AM123" s="53" t="str">
        <f>VLOOKUP(A123,'[1]DANH SÁCH'!$B$8:$F$841,5,0)</f>
        <v>Điều dưỡng ĐH</v>
      </c>
      <c r="AN123" s="53"/>
      <c r="AO123" s="53" t="s">
        <v>159</v>
      </c>
      <c r="AP123" s="53">
        <v>2018</v>
      </c>
      <c r="AQ123" s="72" t="s">
        <v>113</v>
      </c>
      <c r="AR123" s="42">
        <f>VLOOKUP(A123,'[1]Chứng chỉ'!$B$8:$Q$1111,11,0)</f>
        <v>0</v>
      </c>
      <c r="AS123" s="42">
        <f>VLOOKUP(A123,'[1]Chứng chỉ'!$B$8:$Q$1111,12,0)</f>
        <v>0</v>
      </c>
      <c r="AT123" s="47" t="s">
        <v>139</v>
      </c>
      <c r="AU123" s="42">
        <f>VLOOKUP(A123,'[1]Chứng chỉ'!$B$8:$Q$1111,14,0)</f>
        <v>0</v>
      </c>
      <c r="AV123" s="42" t="str">
        <f>VLOOKUP(A123,'[1]Chứng chỉ'!$B$8:$Q$1111,15,0)</f>
        <v>Tày</v>
      </c>
      <c r="AW123" s="42" t="str">
        <f>VLOOKUP(A123,'[1]Chứng chỉ'!$B$8:$Q$1111,16,0)</f>
        <v>Cơ bản</v>
      </c>
      <c r="AX123" s="53"/>
      <c r="AY123" s="57" t="s">
        <v>87</v>
      </c>
      <c r="AZ123" s="65">
        <v>44326</v>
      </c>
      <c r="BA123" s="74" t="e">
        <f t="shared" si="55"/>
        <v>#REF!</v>
      </c>
      <c r="BB123" s="74" t="e">
        <f t="shared" si="56"/>
        <v>#REF!</v>
      </c>
      <c r="BC123" s="61" t="s">
        <v>128</v>
      </c>
      <c r="BD123" s="62"/>
    </row>
    <row r="124" spans="1:56" ht="51" x14ac:dyDescent="0.3">
      <c r="A124" s="41" t="s">
        <v>1010</v>
      </c>
      <c r="B124" s="42">
        <f t="shared" si="0"/>
        <v>118</v>
      </c>
      <c r="C124" s="68" t="s">
        <v>1011</v>
      </c>
      <c r="D124" s="41" t="s">
        <v>1010</v>
      </c>
      <c r="E124" s="61">
        <v>2011000005</v>
      </c>
      <c r="F124" s="64"/>
      <c r="G124" s="49" t="s">
        <v>1012</v>
      </c>
      <c r="H124" s="76">
        <v>29967</v>
      </c>
      <c r="I124" s="76"/>
      <c r="J124" s="66">
        <f t="shared" ref="J124:J125" ca="1" si="58">INT(DATEDIF(H124,$J$2,"d")/365)</f>
        <v>44</v>
      </c>
      <c r="K124" s="75" t="s">
        <v>1013</v>
      </c>
      <c r="L124" s="41" t="s">
        <v>1014</v>
      </c>
      <c r="M124" s="53" t="s">
        <v>67</v>
      </c>
      <c r="N124" s="66"/>
      <c r="O124" s="53" t="s">
        <v>1015</v>
      </c>
      <c r="P124" s="49" t="s">
        <v>282</v>
      </c>
      <c r="Q124" s="49" t="s">
        <v>94</v>
      </c>
      <c r="R124" s="49"/>
      <c r="S124" s="49" t="s">
        <v>1015</v>
      </c>
      <c r="T124" s="53" t="s">
        <v>282</v>
      </c>
      <c r="U124" s="53" t="s">
        <v>94</v>
      </c>
      <c r="V124" s="49" t="str">
        <f t="shared" si="54"/>
        <v>Xã Đô Lương, Huyện Hữu Lũng, Tỉnh Lạng Sơn</v>
      </c>
      <c r="W124" s="55" t="s">
        <v>224</v>
      </c>
      <c r="X124" s="41"/>
      <c r="Y124" s="41"/>
      <c r="Z124" s="41"/>
      <c r="AA124" s="68">
        <f>VLOOKUP(A124,'[1]DANH SÁCH'!$B$8:$AD$841,12,0)</f>
        <v>0</v>
      </c>
      <c r="AB124" s="49" t="str">
        <f>VLOOKUP(A124,'[1]DANH SÁCH'!$B$8:$H$841,6,0)</f>
        <v>TĐ012</v>
      </c>
      <c r="AC124" s="69" t="str">
        <f>VLOOKUP(A124,'[1]DANH SÁCH'!$B$8:$J$841,9,0)</f>
        <v>Ngoại Thận - Tiết niệu</v>
      </c>
      <c r="AD124" s="69" t="str">
        <f>VLOOKUP(A124,'[1]DANH SÁCH'!$B$8:$AC$841,10,0)</f>
        <v>KP012</v>
      </c>
      <c r="AE124" s="69" t="str">
        <f>VLOOKUP(A124,'[1]DANH SÁCH'!$B$8:$AD$841,13,0)</f>
        <v>Viên chức</v>
      </c>
      <c r="AF124" s="41" t="s">
        <v>157</v>
      </c>
      <c r="AG124" s="42" t="str">
        <f>VLOOKUP(A124,'[1]DANH SÁCH'!$B$8:$H$841,7,0)</f>
        <v>Điều dưỡng (hạng IV)</v>
      </c>
      <c r="AH124" s="45">
        <v>3.34</v>
      </c>
      <c r="AI124" s="42">
        <v>5</v>
      </c>
      <c r="AJ124" s="70">
        <v>0</v>
      </c>
      <c r="AK124" s="69">
        <v>45444</v>
      </c>
      <c r="AL124" s="71" t="s">
        <v>158</v>
      </c>
      <c r="AM124" s="53" t="str">
        <f>VLOOKUP(A124,'[1]DANH SÁCH'!$B$8:$F$841,5,0)</f>
        <v>Điều dưỡng CĐ</v>
      </c>
      <c r="AN124" s="53"/>
      <c r="AO124" s="53" t="s">
        <v>159</v>
      </c>
      <c r="AP124" s="53">
        <v>2015</v>
      </c>
      <c r="AQ124" s="72" t="s">
        <v>113</v>
      </c>
      <c r="AR124" s="42">
        <f>VLOOKUP(A124,'[1]Chứng chỉ'!$B$8:$Q$1111,11,0)</f>
        <v>0</v>
      </c>
      <c r="AS124" s="42">
        <f>VLOOKUP(A124,'[1]Chứng chỉ'!$B$8:$Q$1111,12,0)</f>
        <v>0</v>
      </c>
      <c r="AT124" s="47">
        <f>VLOOKUP(A124,'[1]Chứng chỉ'!$B$8:$Q$1111,13,0)</f>
        <v>0</v>
      </c>
      <c r="AU124" s="42">
        <f>VLOOKUP(A124,'[1]Chứng chỉ'!$B$8:$Q$1111,14,0)</f>
        <v>0</v>
      </c>
      <c r="AV124" s="42" t="str">
        <f>VLOOKUP(A124,'[1]Chứng chỉ'!$B$8:$Q$1111,15,0)</f>
        <v>Tày</v>
      </c>
      <c r="AW124" s="42" t="str">
        <f>VLOOKUP(A124,'[1]Chứng chỉ'!$B$8:$Q$1111,16,0)</f>
        <v>Tin B</v>
      </c>
      <c r="AX124" s="53"/>
      <c r="AY124" s="57" t="s">
        <v>127</v>
      </c>
      <c r="AZ124" s="65"/>
      <c r="BA124" s="74" t="e">
        <f t="shared" si="55"/>
        <v>#REF!</v>
      </c>
      <c r="BB124" s="74" t="e">
        <f t="shared" si="56"/>
        <v>#REF!</v>
      </c>
      <c r="BC124" s="41"/>
      <c r="BD124" s="64"/>
    </row>
    <row r="125" spans="1:56" ht="40.799999999999997" x14ac:dyDescent="0.3">
      <c r="A125" s="41" t="s">
        <v>1016</v>
      </c>
      <c r="B125" s="42">
        <f t="shared" si="0"/>
        <v>119</v>
      </c>
      <c r="C125" s="68" t="s">
        <v>1017</v>
      </c>
      <c r="D125" s="41" t="s">
        <v>1016</v>
      </c>
      <c r="E125" s="61">
        <v>1505002927</v>
      </c>
      <c r="F125" s="64"/>
      <c r="G125" s="49" t="s">
        <v>1018</v>
      </c>
      <c r="H125" s="76">
        <v>30456</v>
      </c>
      <c r="I125" s="76"/>
      <c r="J125" s="66">
        <f t="shared" ca="1" si="58"/>
        <v>43</v>
      </c>
      <c r="K125" s="75" t="s">
        <v>1019</v>
      </c>
      <c r="L125" s="41" t="s">
        <v>1020</v>
      </c>
      <c r="M125" s="53" t="s">
        <v>67</v>
      </c>
      <c r="N125" s="66" t="s">
        <v>1021</v>
      </c>
      <c r="O125" s="53" t="s">
        <v>1022</v>
      </c>
      <c r="P125" s="49" t="s">
        <v>93</v>
      </c>
      <c r="Q125" s="49" t="s">
        <v>94</v>
      </c>
      <c r="R125" s="49"/>
      <c r="S125" s="49"/>
      <c r="T125" s="53" t="s">
        <v>97</v>
      </c>
      <c r="U125" s="53" t="s">
        <v>94</v>
      </c>
      <c r="V125" s="49" t="str">
        <f t="shared" si="54"/>
        <v>, Thành phố Lạng Sơn, Tỉnh Lạng Sơn</v>
      </c>
      <c r="W125" s="55" t="s">
        <v>266</v>
      </c>
      <c r="X125" s="41"/>
      <c r="Y125" s="41"/>
      <c r="Z125" s="41"/>
      <c r="AA125" s="68">
        <f>VLOOKUP(A125,'[1]DANH SÁCH'!$B$8:$AD$841,12,0)</f>
        <v>0</v>
      </c>
      <c r="AB125" s="49" t="str">
        <f>VLOOKUP(A125,'[1]DANH SÁCH'!$B$8:$H$841,6,0)</f>
        <v>TĐ012</v>
      </c>
      <c r="AC125" s="69" t="str">
        <f>VLOOKUP(A125,'[1]DANH SÁCH'!$B$8:$J$841,9,0)</f>
        <v>Ngoại Thận - Tiết niệu</v>
      </c>
      <c r="AD125" s="69" t="str">
        <f>VLOOKUP(A125,'[1]DANH SÁCH'!$B$8:$AC$841,10,0)</f>
        <v>KP012</v>
      </c>
      <c r="AE125" s="69" t="str">
        <f>VLOOKUP(A125,'[1]DANH SÁCH'!$B$8:$AD$841,13,0)</f>
        <v>Viên chức</v>
      </c>
      <c r="AF125" s="41" t="s">
        <v>157</v>
      </c>
      <c r="AG125" s="42" t="str">
        <f>VLOOKUP(A125,'[1]DANH SÁCH'!$B$8:$H$841,7,0)</f>
        <v>Điều dưỡng (hạng IV)</v>
      </c>
      <c r="AH125" s="45">
        <v>3.96</v>
      </c>
      <c r="AI125" s="42">
        <v>7</v>
      </c>
      <c r="AJ125" s="70">
        <v>0</v>
      </c>
      <c r="AK125" s="69">
        <v>45536</v>
      </c>
      <c r="AL125" s="71" t="s">
        <v>158</v>
      </c>
      <c r="AM125" s="53" t="str">
        <f>VLOOKUP(A125,'[1]DANH SÁCH'!$B$8:$F$841,5,0)</f>
        <v>Điều dưỡng CĐ</v>
      </c>
      <c r="AN125" s="53"/>
      <c r="AO125" s="53" t="s">
        <v>175</v>
      </c>
      <c r="AP125" s="53">
        <v>2004</v>
      </c>
      <c r="AQ125" s="72" t="s">
        <v>113</v>
      </c>
      <c r="AR125" s="42">
        <f>VLOOKUP(A125,'[1]Chứng chỉ'!$B$8:$Q$1111,11,0)</f>
        <v>0</v>
      </c>
      <c r="AS125" s="42">
        <f>VLOOKUP(A125,'[1]Chứng chỉ'!$B$8:$Q$1111,12,0)</f>
        <v>0</v>
      </c>
      <c r="AT125" s="47">
        <f>VLOOKUP(A125,'[1]Chứng chỉ'!$B$8:$Q$1111,13,0)</f>
        <v>0</v>
      </c>
      <c r="AU125" s="42">
        <f>VLOOKUP(A125,'[1]Chứng chỉ'!$B$8:$Q$1111,14,0)</f>
        <v>0</v>
      </c>
      <c r="AV125" s="42">
        <f>VLOOKUP(A125,'[1]Chứng chỉ'!$B$8:$Q$1111,15,0)</f>
        <v>0</v>
      </c>
      <c r="AW125" s="42">
        <f>VLOOKUP(A125,'[1]Chứng chỉ'!$B$8:$Q$1111,16,0)</f>
        <v>0</v>
      </c>
      <c r="AX125" s="53"/>
      <c r="AY125" s="57" t="s">
        <v>85</v>
      </c>
      <c r="AZ125" s="65">
        <v>43353</v>
      </c>
      <c r="BA125" s="74" t="e">
        <f t="shared" si="55"/>
        <v>#REF!</v>
      </c>
      <c r="BB125" s="74" t="e">
        <f t="shared" si="56"/>
        <v>#REF!</v>
      </c>
      <c r="BC125" s="61" t="s">
        <v>128</v>
      </c>
      <c r="BD125" s="62"/>
    </row>
    <row r="126" spans="1:56" ht="51" x14ac:dyDescent="0.3">
      <c r="A126" s="41" t="s">
        <v>1023</v>
      </c>
      <c r="B126" s="42">
        <f t="shared" si="0"/>
        <v>120</v>
      </c>
      <c r="C126" s="68" t="s">
        <v>1024</v>
      </c>
      <c r="D126" s="41" t="s">
        <v>1023</v>
      </c>
      <c r="E126" s="61">
        <v>1503000311</v>
      </c>
      <c r="F126" s="64"/>
      <c r="G126" s="49" t="s">
        <v>1025</v>
      </c>
      <c r="H126" s="76"/>
      <c r="I126" s="76">
        <v>27280</v>
      </c>
      <c r="J126" s="66">
        <f t="shared" ref="J126:J127" ca="1" si="59">INT(DATEDIF(I126,$J$2,"d")/365)</f>
        <v>51</v>
      </c>
      <c r="K126" s="75" t="s">
        <v>1026</v>
      </c>
      <c r="L126" s="41" t="s">
        <v>1027</v>
      </c>
      <c r="M126" s="53" t="s">
        <v>67</v>
      </c>
      <c r="N126" s="66" t="s">
        <v>1028</v>
      </c>
      <c r="O126" s="53"/>
      <c r="P126" s="49" t="s">
        <v>93</v>
      </c>
      <c r="Q126" s="49" t="s">
        <v>94</v>
      </c>
      <c r="R126" s="49"/>
      <c r="S126" s="49" t="s">
        <v>214</v>
      </c>
      <c r="T126" s="53" t="s">
        <v>97</v>
      </c>
      <c r="U126" s="53" t="s">
        <v>94</v>
      </c>
      <c r="V126" s="49" t="str">
        <f t="shared" si="54"/>
        <v>Xã Hoàng Đồng, Thành phố Lạng Sơn, Tỉnh Lạng Sơn</v>
      </c>
      <c r="W126" s="55" t="s">
        <v>579</v>
      </c>
      <c r="X126" s="41"/>
      <c r="Y126" s="41"/>
      <c r="Z126" s="41"/>
      <c r="AA126" s="68">
        <f>VLOOKUP(A126,'[1]DANH SÁCH'!$B$8:$AD$841,12,0)</f>
        <v>0</v>
      </c>
      <c r="AB126" s="49" t="str">
        <f>VLOOKUP(A126,'[1]DANH SÁCH'!$B$8:$H$841,6,0)</f>
        <v>TĐ012</v>
      </c>
      <c r="AC126" s="69" t="str">
        <f>VLOOKUP(A126,'[1]DANH SÁCH'!$B$8:$J$841,9,0)</f>
        <v>Ngoại Thận - Tiết niệu</v>
      </c>
      <c r="AD126" s="69" t="str">
        <f>VLOOKUP(A126,'[1]DANH SÁCH'!$B$8:$AC$841,10,0)</f>
        <v>KP012</v>
      </c>
      <c r="AE126" s="69" t="str">
        <f>VLOOKUP(A126,'[1]DANH SÁCH'!$B$8:$AD$841,13,0)</f>
        <v>Viên chức</v>
      </c>
      <c r="AF126" s="41" t="s">
        <v>157</v>
      </c>
      <c r="AG126" s="42" t="str">
        <f>VLOOKUP(A126,'[1]DANH SÁCH'!$B$8:$H$841,7,0)</f>
        <v>Điều dưỡng (hạng IV)</v>
      </c>
      <c r="AH126" s="45">
        <v>3.65</v>
      </c>
      <c r="AI126" s="42">
        <v>6</v>
      </c>
      <c r="AJ126" s="70">
        <v>0</v>
      </c>
      <c r="AK126" s="69">
        <v>45413</v>
      </c>
      <c r="AL126" s="71" t="s">
        <v>158</v>
      </c>
      <c r="AM126" s="53" t="str">
        <f>VLOOKUP(A126,'[1]DANH SÁCH'!$B$8:$F$841,5,0)</f>
        <v>Điều dưỡng CĐ</v>
      </c>
      <c r="AN126" s="53"/>
      <c r="AO126" s="53" t="s">
        <v>175</v>
      </c>
      <c r="AP126" s="53">
        <v>2001</v>
      </c>
      <c r="AQ126" s="72" t="s">
        <v>113</v>
      </c>
      <c r="AR126" s="42">
        <f>VLOOKUP(A126,'[1]Chứng chỉ'!$B$8:$Q$1111,11,0)</f>
        <v>0</v>
      </c>
      <c r="AS126" s="42">
        <f>VLOOKUP(A126,'[1]Chứng chỉ'!$B$8:$Q$1111,12,0)</f>
        <v>0</v>
      </c>
      <c r="AT126" s="47">
        <f>VLOOKUP(A126,'[1]Chứng chỉ'!$B$8:$Q$1111,13,0)</f>
        <v>0</v>
      </c>
      <c r="AU126" s="42" t="str">
        <f>VLOOKUP(A126,'[1]Chứng chỉ'!$B$8:$Q$1111,14,0)</f>
        <v>Bậc 4</v>
      </c>
      <c r="AV126" s="42">
        <f>VLOOKUP(A126,'[1]Chứng chỉ'!$B$8:$Q$1111,15,0)</f>
        <v>0</v>
      </c>
      <c r="AW126" s="42" t="str">
        <f>VLOOKUP(A126,'[1]Chứng chỉ'!$B$8:$Q$1111,16,0)</f>
        <v>Cơ bản</v>
      </c>
      <c r="AX126" s="53"/>
      <c r="AY126" s="57" t="s">
        <v>85</v>
      </c>
      <c r="AZ126" s="65">
        <v>41607</v>
      </c>
      <c r="BA126" s="74" t="e">
        <f t="shared" si="55"/>
        <v>#REF!</v>
      </c>
      <c r="BB126" s="74" t="e">
        <f t="shared" si="56"/>
        <v>#REF!</v>
      </c>
      <c r="BC126" s="61" t="s">
        <v>359</v>
      </c>
      <c r="BD126" s="62"/>
    </row>
    <row r="127" spans="1:56" ht="51" x14ac:dyDescent="0.3">
      <c r="A127" s="41" t="s">
        <v>1029</v>
      </c>
      <c r="B127" s="42">
        <f t="shared" si="0"/>
        <v>121</v>
      </c>
      <c r="C127" s="68" t="s">
        <v>1030</v>
      </c>
      <c r="D127" s="41" t="s">
        <v>1029</v>
      </c>
      <c r="E127" s="61">
        <v>2009000916</v>
      </c>
      <c r="F127" s="64"/>
      <c r="G127" s="49" t="s">
        <v>1031</v>
      </c>
      <c r="H127" s="76"/>
      <c r="I127" s="76">
        <v>31898</v>
      </c>
      <c r="J127" s="66">
        <f t="shared" ca="1" si="59"/>
        <v>39</v>
      </c>
      <c r="K127" s="75" t="s">
        <v>1032</v>
      </c>
      <c r="L127" s="41" t="s">
        <v>1033</v>
      </c>
      <c r="M127" s="53" t="s">
        <v>67</v>
      </c>
      <c r="N127" s="66" t="s">
        <v>756</v>
      </c>
      <c r="O127" s="53" t="s">
        <v>174</v>
      </c>
      <c r="P127" s="49" t="s">
        <v>108</v>
      </c>
      <c r="Q127" s="49" t="s">
        <v>94</v>
      </c>
      <c r="R127" s="49"/>
      <c r="S127" s="49" t="s">
        <v>174</v>
      </c>
      <c r="T127" s="53" t="s">
        <v>97</v>
      </c>
      <c r="U127" s="53" t="s">
        <v>94</v>
      </c>
      <c r="V127" s="49" t="str">
        <f t="shared" si="54"/>
        <v>Xã Mai Pha, Thành phố Lạng Sơn, Tỉnh Lạng Sơn</v>
      </c>
      <c r="W127" s="55" t="s">
        <v>627</v>
      </c>
      <c r="X127" s="41"/>
      <c r="Y127" s="41"/>
      <c r="Z127" s="41"/>
      <c r="AA127" s="68" t="str">
        <f>VLOOKUP(A127,'[1]DANH SÁCH'!$B$8:$AD$841,12,0)</f>
        <v>Điều dưỡng trưởng</v>
      </c>
      <c r="AB127" s="49" t="str">
        <f>VLOOKUP(A127,'[1]DANH SÁCH'!$B$8:$H$841,6,0)</f>
        <v>TĐ011</v>
      </c>
      <c r="AC127" s="69" t="str">
        <f>VLOOKUP(A127,'[1]DANH SÁCH'!$B$8:$J$841,9,0)</f>
        <v>Ngoại Tiêu hóa</v>
      </c>
      <c r="AD127" s="69" t="str">
        <f>VLOOKUP(A127,'[1]DANH SÁCH'!$B$8:$AC$841,10,0)</f>
        <v>KP013</v>
      </c>
      <c r="AE127" s="69" t="str">
        <f>VLOOKUP(A127,'[1]DANH SÁCH'!$B$8:$AD$841,13,0)</f>
        <v>Viên chức</v>
      </c>
      <c r="AF127" s="41" t="s">
        <v>157</v>
      </c>
      <c r="AG127" s="42" t="str">
        <f>VLOOKUP(A127,'[1]DANH SÁCH'!$B$8:$H$841,7,0)</f>
        <v>Điều dưỡng (hạng III)</v>
      </c>
      <c r="AH127" s="45">
        <v>3.66</v>
      </c>
      <c r="AI127" s="42">
        <v>5</v>
      </c>
      <c r="AJ127" s="70">
        <v>0</v>
      </c>
      <c r="AK127" s="69">
        <v>45778</v>
      </c>
      <c r="AL127" s="71" t="s">
        <v>158</v>
      </c>
      <c r="AM127" s="53" t="str">
        <f>VLOOKUP(A127,'[1]DANH SÁCH'!$B$8:$F$841,5,0)</f>
        <v>Điều dưỡng ĐH</v>
      </c>
      <c r="AN127" s="53"/>
      <c r="AO127" s="53" t="s">
        <v>159</v>
      </c>
      <c r="AP127" s="53">
        <v>2007</v>
      </c>
      <c r="AQ127" s="72" t="s">
        <v>113</v>
      </c>
      <c r="AR127" s="42">
        <f>VLOOKUP(A127,'[1]Chứng chỉ'!$B$8:$Q$1111,11,0)</f>
        <v>0</v>
      </c>
      <c r="AS127" s="42">
        <f>VLOOKUP(A127,'[1]Chứng chỉ'!$B$8:$Q$1111,12,0)</f>
        <v>0</v>
      </c>
      <c r="AT127" s="47">
        <f>VLOOKUP(A127,'[1]Chứng chỉ'!$B$8:$Q$1111,13,0)</f>
        <v>0</v>
      </c>
      <c r="AU127" s="42">
        <f>VLOOKUP(A127,'[1]Chứng chỉ'!$B$8:$Q$1111,14,0)</f>
        <v>0</v>
      </c>
      <c r="AV127" s="42" t="str">
        <f>VLOOKUP(A127,'[1]Chứng chỉ'!$B$8:$Q$1111,15,0)</f>
        <v>Tày</v>
      </c>
      <c r="AW127" s="42" t="s">
        <v>1034</v>
      </c>
      <c r="AX127" s="53"/>
      <c r="AY127" s="57" t="s">
        <v>85</v>
      </c>
      <c r="AZ127" s="65"/>
      <c r="BA127" s="74" t="e">
        <f t="shared" si="55"/>
        <v>#REF!</v>
      </c>
      <c r="BB127" s="74" t="e">
        <f t="shared" si="56"/>
        <v>#REF!</v>
      </c>
      <c r="BC127" s="61" t="s">
        <v>128</v>
      </c>
      <c r="BD127" s="62"/>
    </row>
    <row r="128" spans="1:56" ht="61.2" x14ac:dyDescent="0.3">
      <c r="A128" s="41" t="s">
        <v>1035</v>
      </c>
      <c r="B128" s="42">
        <f t="shared" si="0"/>
        <v>122</v>
      </c>
      <c r="C128" s="68" t="s">
        <v>1036</v>
      </c>
      <c r="D128" s="41" t="s">
        <v>1035</v>
      </c>
      <c r="E128" s="61">
        <v>1505002938</v>
      </c>
      <c r="F128" s="64"/>
      <c r="G128" s="49" t="s">
        <v>1037</v>
      </c>
      <c r="H128" s="76">
        <v>29884</v>
      </c>
      <c r="I128" s="76"/>
      <c r="J128" s="66">
        <f t="shared" ref="J128:J131" ca="1" si="60">INT(DATEDIF(H128,$J$2,"d")/365)</f>
        <v>44</v>
      </c>
      <c r="K128" s="75" t="s">
        <v>1038</v>
      </c>
      <c r="L128" s="41" t="s">
        <v>1039</v>
      </c>
      <c r="M128" s="53" t="s">
        <v>67</v>
      </c>
      <c r="N128" s="66" t="s">
        <v>1040</v>
      </c>
      <c r="O128" s="53" t="s">
        <v>1041</v>
      </c>
      <c r="P128" s="49" t="s">
        <v>155</v>
      </c>
      <c r="Q128" s="49" t="s">
        <v>94</v>
      </c>
      <c r="R128" s="49"/>
      <c r="S128" s="49" t="s">
        <v>124</v>
      </c>
      <c r="T128" s="53" t="s">
        <v>97</v>
      </c>
      <c r="U128" s="53" t="s">
        <v>94</v>
      </c>
      <c r="V128" s="49" t="str">
        <f t="shared" si="54"/>
        <v>Phường Đông Kinh, Thành phố Lạng Sơn, Tỉnh Lạng Sơn</v>
      </c>
      <c r="W128" s="55" t="s">
        <v>266</v>
      </c>
      <c r="X128" s="41"/>
      <c r="Y128" s="41"/>
      <c r="Z128" s="41"/>
      <c r="AA128" s="68">
        <f>VLOOKUP(A128,'[1]DANH SÁCH'!$B$8:$AD$841,12,0)</f>
        <v>0</v>
      </c>
      <c r="AB128" s="49" t="str">
        <f>VLOOKUP(A128,'[1]DANH SÁCH'!$B$8:$H$841,6,0)</f>
        <v>TĐ001</v>
      </c>
      <c r="AC128" s="69" t="str">
        <f>VLOOKUP(A128,'[1]DANH SÁCH'!$B$8:$J$841,9,0)</f>
        <v>Ngoại Tiêu hóa</v>
      </c>
      <c r="AD128" s="69" t="str">
        <f>VLOOKUP(A128,'[1]DANH SÁCH'!$B$8:$AC$841,10,0)</f>
        <v>KP013</v>
      </c>
      <c r="AE128" s="69" t="str">
        <f>VLOOKUP(A128,'[1]DANH SÁCH'!$B$8:$AD$841,13,0)</f>
        <v>Viên chức</v>
      </c>
      <c r="AF128" s="41" t="s">
        <v>274</v>
      </c>
      <c r="AG128" s="42" t="str">
        <f>VLOOKUP(A128,'[1]DANH SÁCH'!$B$8:$H$841,7,0)</f>
        <v>Bác sĩ chính (hạng II)</v>
      </c>
      <c r="AH128" s="45">
        <v>4.4000000000000004</v>
      </c>
      <c r="AI128" s="42">
        <v>1</v>
      </c>
      <c r="AJ128" s="70">
        <v>0</v>
      </c>
      <c r="AK128" s="69">
        <v>45261</v>
      </c>
      <c r="AL128" s="71" t="s">
        <v>80</v>
      </c>
      <c r="AM128" s="53" t="str">
        <f>VLOOKUP(A128,'[1]DANH SÁCH'!$B$8:$F$841,5,0)</f>
        <v>BSCKII</v>
      </c>
      <c r="AN128" s="53" t="s">
        <v>126</v>
      </c>
      <c r="AO128" s="53" t="s">
        <v>112</v>
      </c>
      <c r="AP128" s="53">
        <v>2018</v>
      </c>
      <c r="AQ128" s="72" t="s">
        <v>113</v>
      </c>
      <c r="AR128" s="42" t="s">
        <v>82</v>
      </c>
      <c r="AS128" s="42" t="s">
        <v>100</v>
      </c>
      <c r="AT128" s="47">
        <f>VLOOKUP(A128,'[1]Chứng chỉ'!$B$8:$Q$1111,13,0)</f>
        <v>0</v>
      </c>
      <c r="AU128" s="42">
        <f>VLOOKUP(A128,'[1]Chứng chỉ'!$B$8:$Q$1111,14,0)</f>
        <v>0</v>
      </c>
      <c r="AV128" s="42">
        <f>VLOOKUP(A128,'[1]Chứng chỉ'!$B$8:$Q$1111,15,0)</f>
        <v>0</v>
      </c>
      <c r="AW128" s="42">
        <f>VLOOKUP(A128,'[1]Chứng chỉ'!$B$8:$Q$1111,16,0)</f>
        <v>0</v>
      </c>
      <c r="AX128" s="53"/>
      <c r="AY128" s="57" t="s">
        <v>127</v>
      </c>
      <c r="AZ128" s="65">
        <v>40555</v>
      </c>
      <c r="BA128" s="74" t="e">
        <f t="shared" si="55"/>
        <v>#REF!</v>
      </c>
      <c r="BB128" s="74" t="e">
        <f t="shared" si="56"/>
        <v>#REF!</v>
      </c>
      <c r="BC128" s="41"/>
      <c r="BD128" s="64"/>
    </row>
    <row r="129" spans="1:56" ht="61.2" x14ac:dyDescent="0.3">
      <c r="A129" s="41" t="s">
        <v>1042</v>
      </c>
      <c r="B129" s="42">
        <f t="shared" si="0"/>
        <v>123</v>
      </c>
      <c r="C129" s="68" t="s">
        <v>1043</v>
      </c>
      <c r="D129" s="41" t="s">
        <v>1042</v>
      </c>
      <c r="E129" s="61">
        <v>1507000019</v>
      </c>
      <c r="F129" s="64"/>
      <c r="G129" s="49" t="s">
        <v>1044</v>
      </c>
      <c r="H129" s="76">
        <v>28217</v>
      </c>
      <c r="I129" s="76"/>
      <c r="J129" s="66">
        <f t="shared" ca="1" si="60"/>
        <v>49</v>
      </c>
      <c r="K129" s="75" t="s">
        <v>1045</v>
      </c>
      <c r="L129" s="41" t="s">
        <v>1046</v>
      </c>
      <c r="M129" s="53" t="s">
        <v>67</v>
      </c>
      <c r="N129" s="66" t="s">
        <v>1047</v>
      </c>
      <c r="O129" s="53"/>
      <c r="P129" s="49" t="s">
        <v>1048</v>
      </c>
      <c r="Q129" s="49" t="s">
        <v>135</v>
      </c>
      <c r="R129" s="49"/>
      <c r="S129" s="49" t="s">
        <v>166</v>
      </c>
      <c r="T129" s="53" t="s">
        <v>97</v>
      </c>
      <c r="U129" s="53" t="s">
        <v>94</v>
      </c>
      <c r="V129" s="49" t="str">
        <f t="shared" si="54"/>
        <v>Phường Tam Thanh, Thành phố Lạng Sơn, Tỉnh Lạng Sơn</v>
      </c>
      <c r="W129" s="55" t="s">
        <v>1049</v>
      </c>
      <c r="X129" s="41"/>
      <c r="Y129" s="41"/>
      <c r="Z129" s="41"/>
      <c r="AA129" s="68" t="str">
        <f>VLOOKUP(A129,'[1]DANH SÁCH'!$B$8:$AD$841,12,0)</f>
        <v>Phó trưởng khoa</v>
      </c>
      <c r="AB129" s="49" t="str">
        <f>VLOOKUP(A129,'[1]DANH SÁCH'!$B$8:$H$841,6,0)</f>
        <v>TĐ003</v>
      </c>
      <c r="AC129" s="69" t="str">
        <f>VLOOKUP(A129,'[1]DANH SÁCH'!$B$8:$J$841,9,0)</f>
        <v>Ngoại Tiêu hóa</v>
      </c>
      <c r="AD129" s="69" t="str">
        <f>VLOOKUP(A129,'[1]DANH SÁCH'!$B$8:$AC$841,10,0)</f>
        <v>KP013</v>
      </c>
      <c r="AE129" s="69" t="str">
        <f>VLOOKUP(A129,'[1]DANH SÁCH'!$B$8:$AD$841,13,0)</f>
        <v>Viên chức</v>
      </c>
      <c r="AF129" s="41" t="s">
        <v>79</v>
      </c>
      <c r="AG129" s="42" t="str">
        <f>VLOOKUP(A129,'[1]DANH SÁCH'!$B$8:$H$841,7,0)</f>
        <v>Bác sĩ chính (hạng II)</v>
      </c>
      <c r="AH129" s="45">
        <v>4.74</v>
      </c>
      <c r="AI129" s="42">
        <v>2</v>
      </c>
      <c r="AJ129" s="70">
        <v>0</v>
      </c>
      <c r="AK129" s="69">
        <v>45992</v>
      </c>
      <c r="AL129" s="71" t="s">
        <v>80</v>
      </c>
      <c r="AM129" s="53" t="str">
        <f>VLOOKUP(A129,'[1]DANH SÁCH'!$B$8:$F$841,5,0)</f>
        <v>BSCKI</v>
      </c>
      <c r="AN129" s="53" t="s">
        <v>126</v>
      </c>
      <c r="AO129" s="53"/>
      <c r="AP129" s="53"/>
      <c r="AQ129" s="72" t="s">
        <v>113</v>
      </c>
      <c r="AR129" s="42">
        <f>VLOOKUP(A129,'[1]Chứng chỉ'!$B$8:$Q$1111,11,0)</f>
        <v>0</v>
      </c>
      <c r="AS129" s="42" t="str">
        <f>VLOOKUP(A129,'[1]Chứng chỉ'!$B$8:$Q$1111,12,0)</f>
        <v>x</v>
      </c>
      <c r="AT129" s="47" t="s">
        <v>139</v>
      </c>
      <c r="AU129" s="42">
        <f>VLOOKUP(A129,'[1]Chứng chỉ'!$B$8:$Q$1111,14,0)</f>
        <v>0</v>
      </c>
      <c r="AV129" s="42">
        <f>VLOOKUP(A129,'[1]Chứng chỉ'!$B$8:$Q$1111,15,0)</f>
        <v>0</v>
      </c>
      <c r="AW129" s="42">
        <f>VLOOKUP(A129,'[1]Chứng chỉ'!$B$8:$Q$1111,16,0)</f>
        <v>0</v>
      </c>
      <c r="AX129" s="53"/>
      <c r="AY129" s="57" t="s">
        <v>87</v>
      </c>
      <c r="AZ129" s="65">
        <v>41004</v>
      </c>
      <c r="BA129" s="74" t="e">
        <f t="shared" si="55"/>
        <v>#REF!</v>
      </c>
      <c r="BB129" s="74" t="e">
        <f t="shared" si="56"/>
        <v>#REF!</v>
      </c>
      <c r="BC129" s="61" t="s">
        <v>128</v>
      </c>
      <c r="BD129" s="62"/>
    </row>
    <row r="130" spans="1:56" ht="51" x14ac:dyDescent="0.3">
      <c r="A130" s="41" t="s">
        <v>1050</v>
      </c>
      <c r="B130" s="42">
        <f t="shared" si="0"/>
        <v>124</v>
      </c>
      <c r="C130" s="68" t="s">
        <v>1051</v>
      </c>
      <c r="D130" s="41" t="s">
        <v>1050</v>
      </c>
      <c r="E130" s="61" t="s">
        <v>1052</v>
      </c>
      <c r="F130" s="64"/>
      <c r="G130" s="49" t="s">
        <v>1053</v>
      </c>
      <c r="H130" s="118" t="s">
        <v>1054</v>
      </c>
      <c r="I130" s="100"/>
      <c r="J130" s="66">
        <f t="shared" ca="1" si="60"/>
        <v>47</v>
      </c>
      <c r="K130" s="75" t="s">
        <v>1055</v>
      </c>
      <c r="L130" s="41" t="s">
        <v>1056</v>
      </c>
      <c r="M130" s="53" t="s">
        <v>67</v>
      </c>
      <c r="N130" s="66"/>
      <c r="O130" s="53"/>
      <c r="P130" s="49" t="s">
        <v>1057</v>
      </c>
      <c r="Q130" s="49" t="s">
        <v>1058</v>
      </c>
      <c r="R130" s="49"/>
      <c r="S130" s="49"/>
      <c r="T130" s="53"/>
      <c r="U130" s="53"/>
      <c r="V130" s="49" t="s">
        <v>1059</v>
      </c>
      <c r="W130" s="86" t="s">
        <v>1060</v>
      </c>
      <c r="X130" s="41"/>
      <c r="Y130" s="41"/>
      <c r="Z130" s="41"/>
      <c r="AA130" s="68">
        <f>VLOOKUP(A130,'[1]DANH SÁCH'!$B$8:$AD$841,12,0)</f>
        <v>0</v>
      </c>
      <c r="AB130" s="49" t="str">
        <f>VLOOKUP(A130,'[1]DANH SÁCH'!$B$8:$H$841,6,0)</f>
        <v>TĐ001</v>
      </c>
      <c r="AC130" s="69" t="str">
        <f>VLOOKUP(A130,'[1]DANH SÁCH'!$B$8:$J$841,9,0)</f>
        <v>Ngoại Tiêu hóa</v>
      </c>
      <c r="AD130" s="69" t="str">
        <f>VLOOKUP(A130,'[1]DANH SÁCH'!$B$8:$AC$841,10,0)</f>
        <v>KP013</v>
      </c>
      <c r="AE130" s="69" t="str">
        <f>VLOOKUP(A130,'[1]DANH SÁCH'!$B$8:$AD$841,13,0)</f>
        <v>Viên chức</v>
      </c>
      <c r="AF130" s="41" t="s">
        <v>79</v>
      </c>
      <c r="AG130" s="42" t="str">
        <f>VLOOKUP(A130,'[1]DANH SÁCH'!$B$8:$H$841,7,0)</f>
        <v>Bác sĩ chính (hạng II)</v>
      </c>
      <c r="AH130" s="45">
        <v>4.74</v>
      </c>
      <c r="AI130" s="42">
        <v>2</v>
      </c>
      <c r="AJ130" s="70">
        <v>0</v>
      </c>
      <c r="AK130" s="69">
        <v>45992</v>
      </c>
      <c r="AL130" s="71" t="s">
        <v>80</v>
      </c>
      <c r="AM130" s="53" t="str">
        <f>VLOOKUP(A130,'[1]DANH SÁCH'!$B$8:$F$841,5,0)</f>
        <v>BSCKII</v>
      </c>
      <c r="AN130" s="53" t="s">
        <v>126</v>
      </c>
      <c r="AO130" s="53"/>
      <c r="AP130" s="53"/>
      <c r="AQ130" s="72"/>
      <c r="AR130" s="42">
        <f>VLOOKUP(A130,'[1]Chứng chỉ'!$B$8:$Q$1111,11,0)</f>
        <v>0</v>
      </c>
      <c r="AS130" s="42">
        <f>VLOOKUP(A130,'[1]Chứng chỉ'!$B$8:$Q$1111,12,0)</f>
        <v>0</v>
      </c>
      <c r="AT130" s="47">
        <f>VLOOKUP(A130,'[1]Chứng chỉ'!$B$8:$Q$1111,13,0)</f>
        <v>0</v>
      </c>
      <c r="AU130" s="42">
        <f>VLOOKUP(A130,'[1]Chứng chỉ'!$B$8:$Q$1111,14,0)</f>
        <v>0</v>
      </c>
      <c r="AV130" s="42" t="str">
        <f>VLOOKUP(A130,'[1]Chứng chỉ'!$B$8:$Q$1111,15,0)</f>
        <v>Tày</v>
      </c>
      <c r="AW130" s="42" t="str">
        <f>VLOOKUP(A130,'[1]Chứng chỉ'!$B$8:$Q$1111,16,0)</f>
        <v>Tin B</v>
      </c>
      <c r="AX130" s="53"/>
      <c r="AY130" s="57" t="s">
        <v>87</v>
      </c>
      <c r="AZ130" s="65">
        <v>40235</v>
      </c>
      <c r="BA130" s="74" t="e">
        <f t="shared" si="55"/>
        <v>#REF!</v>
      </c>
      <c r="BB130" s="74" t="e">
        <f t="shared" si="56"/>
        <v>#REF!</v>
      </c>
      <c r="BC130" s="61" t="s">
        <v>128</v>
      </c>
      <c r="BD130" s="62"/>
    </row>
    <row r="131" spans="1:56" ht="40.799999999999997" x14ac:dyDescent="0.3">
      <c r="A131" s="46" t="s">
        <v>1061</v>
      </c>
      <c r="B131" s="42">
        <f t="shared" si="0"/>
        <v>125</v>
      </c>
      <c r="C131" s="93" t="s">
        <v>1062</v>
      </c>
      <c r="D131" s="46" t="s">
        <v>1061</v>
      </c>
      <c r="E131" s="61" t="s">
        <v>1063</v>
      </c>
      <c r="F131" s="64"/>
      <c r="G131" s="49" t="s">
        <v>1064</v>
      </c>
      <c r="H131" s="46" t="s">
        <v>1065</v>
      </c>
      <c r="I131" s="101"/>
      <c r="J131" s="66">
        <f t="shared" ca="1" si="60"/>
        <v>33</v>
      </c>
      <c r="K131" s="75" t="s">
        <v>1066</v>
      </c>
      <c r="L131" s="102" t="s">
        <v>1067</v>
      </c>
      <c r="M131" s="53" t="s">
        <v>67</v>
      </c>
      <c r="N131" s="52" t="s">
        <v>371</v>
      </c>
      <c r="O131" s="56"/>
      <c r="P131" s="47" t="s">
        <v>1068</v>
      </c>
      <c r="Q131" s="47" t="s">
        <v>1069</v>
      </c>
      <c r="R131" s="92" t="s">
        <v>336</v>
      </c>
      <c r="S131" s="47"/>
      <c r="T131" s="56"/>
      <c r="U131" s="56"/>
      <c r="V131" s="92" t="s">
        <v>336</v>
      </c>
      <c r="W131" s="104" t="s">
        <v>384</v>
      </c>
      <c r="X131" s="46"/>
      <c r="Y131" s="92">
        <v>569</v>
      </c>
      <c r="Z131" s="92" t="s">
        <v>386</v>
      </c>
      <c r="AA131" s="68">
        <f>VLOOKUP(A131,'[1]DANH SÁCH'!$B$8:$AD$841,12,0)</f>
        <v>0</v>
      </c>
      <c r="AB131" s="49" t="str">
        <f>VLOOKUP(A131,'[1]DANH SÁCH'!$B$8:$H$841,6,0)</f>
        <v>TĐ003</v>
      </c>
      <c r="AC131" s="69" t="str">
        <f>VLOOKUP(A131,'[1]DANH SÁCH'!$B$8:$J$841,9,0)</f>
        <v>Ngoại Tiêu hóa</v>
      </c>
      <c r="AD131" s="69" t="str">
        <f>VLOOKUP(A131,'[1]DANH SÁCH'!$B$8:$AC$841,10,0)</f>
        <v>KP013</v>
      </c>
      <c r="AE131" s="69" t="str">
        <f>VLOOKUP(A131,'[1]DANH SÁCH'!$B$8:$AD$841,13,0)</f>
        <v>Viên chức</v>
      </c>
      <c r="AF131" s="41" t="s">
        <v>274</v>
      </c>
      <c r="AG131" s="92" t="s">
        <v>296</v>
      </c>
      <c r="AH131" s="45">
        <v>3</v>
      </c>
      <c r="AI131" s="42">
        <v>3</v>
      </c>
      <c r="AJ131" s="70">
        <v>0</v>
      </c>
      <c r="AK131" s="69">
        <v>45474</v>
      </c>
      <c r="AL131" s="71" t="s">
        <v>80</v>
      </c>
      <c r="AM131" s="53" t="str">
        <f>VLOOKUP(A131,'[1]DANH SÁCH'!$B$8:$F$841,5,0)</f>
        <v>BSCKI</v>
      </c>
      <c r="AN131" s="53" t="s">
        <v>372</v>
      </c>
      <c r="AO131" s="53" t="s">
        <v>1070</v>
      </c>
      <c r="AP131" s="53">
        <v>2017</v>
      </c>
      <c r="AQ131" s="72" t="s">
        <v>113</v>
      </c>
      <c r="AR131" s="42">
        <f>VLOOKUP(A131,'[1]Chứng chỉ'!$B$8:$Q$1111,11,0)</f>
        <v>0</v>
      </c>
      <c r="AS131" s="42">
        <f>VLOOKUP(A131,'[1]Chứng chỉ'!$B$8:$Q$1111,12,0)</f>
        <v>0</v>
      </c>
      <c r="AT131" s="47" t="s">
        <v>139</v>
      </c>
      <c r="AU131" s="42">
        <f>VLOOKUP(A131,'[1]Chứng chỉ'!$B$8:$Q$1111,14,0)</f>
        <v>0</v>
      </c>
      <c r="AV131" s="42">
        <f>VLOOKUP(A131,'[1]Chứng chỉ'!$B$8:$Q$1111,15,0)</f>
        <v>0</v>
      </c>
      <c r="AW131" s="42">
        <f>VLOOKUP(A131,'[1]Chứng chỉ'!$B$8:$Q$1111,16,0)</f>
        <v>0</v>
      </c>
      <c r="AX131" s="56"/>
      <c r="AY131" s="57" t="s">
        <v>87</v>
      </c>
      <c r="AZ131" s="65"/>
      <c r="BA131" s="74"/>
      <c r="BB131" s="74"/>
      <c r="BC131" s="81"/>
      <c r="BD131" s="47"/>
    </row>
    <row r="132" spans="1:56" ht="51" x14ac:dyDescent="0.3">
      <c r="A132" s="41" t="s">
        <v>1071</v>
      </c>
      <c r="B132" s="42">
        <f t="shared" si="0"/>
        <v>126</v>
      </c>
      <c r="C132" s="68" t="s">
        <v>1072</v>
      </c>
      <c r="D132" s="41" t="s">
        <v>1071</v>
      </c>
      <c r="E132" s="61">
        <v>1507000926</v>
      </c>
      <c r="F132" s="64"/>
      <c r="G132" s="49" t="s">
        <v>1073</v>
      </c>
      <c r="H132" s="76"/>
      <c r="I132" s="76">
        <v>30953</v>
      </c>
      <c r="J132" s="66">
        <f ca="1">INT(DATEDIF(I132,$J$2,"d")/365)</f>
        <v>41</v>
      </c>
      <c r="K132" s="75" t="s">
        <v>1074</v>
      </c>
      <c r="L132" s="41" t="s">
        <v>437</v>
      </c>
      <c r="M132" s="53" t="s">
        <v>67</v>
      </c>
      <c r="N132" s="66"/>
      <c r="O132" s="53" t="s">
        <v>174</v>
      </c>
      <c r="P132" s="49" t="s">
        <v>93</v>
      </c>
      <c r="Q132" s="49" t="s">
        <v>94</v>
      </c>
      <c r="R132" s="49" t="s">
        <v>1075</v>
      </c>
      <c r="S132" s="49" t="s">
        <v>174</v>
      </c>
      <c r="T132" s="53" t="s">
        <v>97</v>
      </c>
      <c r="U132" s="53" t="s">
        <v>94</v>
      </c>
      <c r="V132" s="49" t="str">
        <f t="shared" ref="V132:V138" si="61">S132&amp;", "&amp;T132&amp;", "&amp;U132</f>
        <v>Xã Mai Pha, Thành phố Lạng Sơn, Tỉnh Lạng Sơn</v>
      </c>
      <c r="W132" s="86" t="s">
        <v>411</v>
      </c>
      <c r="X132" s="41"/>
      <c r="Y132" s="41"/>
      <c r="Z132" s="41"/>
      <c r="AA132" s="68">
        <f>VLOOKUP(A132,'[1]DANH SÁCH'!$B$8:$AD$841,12,0)</f>
        <v>0</v>
      </c>
      <c r="AB132" s="49" t="str">
        <f>VLOOKUP(A132,'[1]DANH SÁCH'!$B$8:$H$841,6,0)</f>
        <v>TĐ012</v>
      </c>
      <c r="AC132" s="69" t="str">
        <f>VLOOKUP(A132,'[1]DANH SÁCH'!$B$8:$J$841,9,0)</f>
        <v>Ngoại Tiêu hóa</v>
      </c>
      <c r="AD132" s="69" t="str">
        <f>VLOOKUP(A132,'[1]DANH SÁCH'!$B$8:$AC$841,10,0)</f>
        <v>KP013</v>
      </c>
      <c r="AE132" s="69" t="str">
        <f>VLOOKUP(A132,'[1]DANH SÁCH'!$B$8:$AD$841,13,0)</f>
        <v>Viên chức</v>
      </c>
      <c r="AF132" s="41" t="s">
        <v>157</v>
      </c>
      <c r="AG132" s="42" t="str">
        <f>VLOOKUP(A132,'[1]DANH SÁCH'!$B$8:$H$841,7,0)</f>
        <v>Điều dưỡng (hạng IV)</v>
      </c>
      <c r="AH132" s="45">
        <v>3.96</v>
      </c>
      <c r="AI132" s="42">
        <v>7</v>
      </c>
      <c r="AJ132" s="70">
        <v>0</v>
      </c>
      <c r="AK132" s="69">
        <v>45962</v>
      </c>
      <c r="AL132" s="71" t="s">
        <v>158</v>
      </c>
      <c r="AM132" s="53" t="str">
        <f>VLOOKUP(A132,'[1]DANH SÁCH'!$B$8:$F$841,5,0)</f>
        <v>Điều dưỡng CĐ</v>
      </c>
      <c r="AN132" s="53"/>
      <c r="AO132" s="53" t="s">
        <v>159</v>
      </c>
      <c r="AP132" s="53">
        <v>2006</v>
      </c>
      <c r="AQ132" s="72" t="s">
        <v>113</v>
      </c>
      <c r="AR132" s="42">
        <f>VLOOKUP(A132,'[1]Chứng chỉ'!$B$8:$Q$1111,11,0)</f>
        <v>0</v>
      </c>
      <c r="AS132" s="42">
        <f>VLOOKUP(A132,'[1]Chứng chỉ'!$B$8:$Q$1111,12,0)</f>
        <v>0</v>
      </c>
      <c r="AT132" s="47">
        <f>VLOOKUP(A132,'[1]Chứng chỉ'!$B$8:$Q$1111,13,0)</f>
        <v>0</v>
      </c>
      <c r="AU132" s="42">
        <f>VLOOKUP(A132,'[1]Chứng chỉ'!$B$8:$Q$1111,14,0)</f>
        <v>0</v>
      </c>
      <c r="AV132" s="42">
        <f>VLOOKUP(A132,'[1]Chứng chỉ'!$B$8:$Q$1111,15,0)</f>
        <v>0</v>
      </c>
      <c r="AW132" s="42" t="str">
        <f>VLOOKUP(A132,'[1]Chứng chỉ'!$B$8:$Q$1111,16,0)</f>
        <v>Cơ bản</v>
      </c>
      <c r="AX132" s="53"/>
      <c r="AY132" s="57" t="s">
        <v>85</v>
      </c>
      <c r="AZ132" s="65">
        <v>40115</v>
      </c>
      <c r="BA132" s="74" t="e">
        <f t="shared" ref="BA132:BA138" si="62">VLOOKUP(A132,#REF!,4,0)</f>
        <v>#REF!</v>
      </c>
      <c r="BB132" s="74" t="e">
        <f t="shared" ref="BB132:BB138" si="63">VLOOKUP(A132,#REF!,5,0)</f>
        <v>#REF!</v>
      </c>
      <c r="BC132" s="61" t="s">
        <v>128</v>
      </c>
      <c r="BD132" s="62"/>
    </row>
    <row r="133" spans="1:56" ht="61.2" x14ac:dyDescent="0.3">
      <c r="A133" s="41" t="s">
        <v>1076</v>
      </c>
      <c r="B133" s="42">
        <f t="shared" si="0"/>
        <v>127</v>
      </c>
      <c r="C133" s="68" t="s">
        <v>1077</v>
      </c>
      <c r="D133" s="41" t="s">
        <v>1076</v>
      </c>
      <c r="E133" s="61">
        <v>1505002946</v>
      </c>
      <c r="F133" s="64"/>
      <c r="G133" s="49" t="s">
        <v>1078</v>
      </c>
      <c r="H133" s="76">
        <v>30440</v>
      </c>
      <c r="I133" s="76"/>
      <c r="J133" s="66">
        <f t="shared" ref="J133:J134" ca="1" si="64">INT(DATEDIF(H133,$J$2,"d")/365)</f>
        <v>43</v>
      </c>
      <c r="K133" s="75" t="s">
        <v>1079</v>
      </c>
      <c r="L133" s="41" t="s">
        <v>1080</v>
      </c>
      <c r="M133" s="53" t="s">
        <v>67</v>
      </c>
      <c r="N133" s="66" t="s">
        <v>497</v>
      </c>
      <c r="O133" s="53" t="s">
        <v>1081</v>
      </c>
      <c r="P133" s="49" t="s">
        <v>222</v>
      </c>
      <c r="Q133" s="49" t="s">
        <v>94</v>
      </c>
      <c r="R133" s="49"/>
      <c r="S133" s="49" t="s">
        <v>166</v>
      </c>
      <c r="T133" s="53" t="s">
        <v>97</v>
      </c>
      <c r="U133" s="53" t="s">
        <v>94</v>
      </c>
      <c r="V133" s="49" t="str">
        <f t="shared" si="61"/>
        <v>Phường Tam Thanh, Thành phố Lạng Sơn, Tỉnh Lạng Sơn</v>
      </c>
      <c r="W133" s="55" t="s">
        <v>167</v>
      </c>
      <c r="X133" s="41"/>
      <c r="Y133" s="41"/>
      <c r="Z133" s="41"/>
      <c r="AA133" s="68">
        <f>VLOOKUP(A133,'[1]DANH SÁCH'!$B$8:$AD$841,12,0)</f>
        <v>0</v>
      </c>
      <c r="AB133" s="49" t="str">
        <f>VLOOKUP(A133,'[1]DANH SÁCH'!$B$8:$H$841,6,0)</f>
        <v>TĐ012</v>
      </c>
      <c r="AC133" s="69" t="str">
        <f>VLOOKUP(A133,'[1]DANH SÁCH'!$B$8:$J$841,9,0)</f>
        <v>KSNK</v>
      </c>
      <c r="AD133" s="69" t="str">
        <f>VLOOKUP(A133,'[1]DANH SÁCH'!$B$8:$AC$841,10,0)</f>
        <v>KP036</v>
      </c>
      <c r="AE133" s="69" t="str">
        <f>VLOOKUP(A133,'[1]DANH SÁCH'!$B$8:$AD$841,13,0)</f>
        <v>Viên chức</v>
      </c>
      <c r="AF133" s="41" t="s">
        <v>157</v>
      </c>
      <c r="AG133" s="42" t="str">
        <f>VLOOKUP(A133,'[1]DANH SÁCH'!$B$8:$H$841,7,0)</f>
        <v>Điều dưỡng (hạng IV)</v>
      </c>
      <c r="AH133" s="45">
        <v>3.65</v>
      </c>
      <c r="AI133" s="42">
        <v>6</v>
      </c>
      <c r="AJ133" s="70">
        <v>0</v>
      </c>
      <c r="AK133" s="69">
        <v>45078</v>
      </c>
      <c r="AL133" s="71" t="s">
        <v>101</v>
      </c>
      <c r="AM133" s="53" t="str">
        <f>VLOOKUP(A133,'[1]DANH SÁCH'!$B$8:$F$841,5,0)</f>
        <v>Điều dưỡng CĐ</v>
      </c>
      <c r="AN133" s="53"/>
      <c r="AO133" s="53" t="s">
        <v>175</v>
      </c>
      <c r="AP133" s="53">
        <v>2004</v>
      </c>
      <c r="AQ133" s="72" t="s">
        <v>113</v>
      </c>
      <c r="AR133" s="42">
        <f>VLOOKUP(A133,'[1]Chứng chỉ'!$B$8:$Q$1111,11,0)</f>
        <v>0</v>
      </c>
      <c r="AS133" s="42">
        <f>VLOOKUP(A133,'[1]Chứng chỉ'!$B$8:$Q$1111,12,0)</f>
        <v>0</v>
      </c>
      <c r="AT133" s="47">
        <f>VLOOKUP(A133,'[1]Chứng chỉ'!$B$8:$Q$1111,13,0)</f>
        <v>0</v>
      </c>
      <c r="AU133" s="42">
        <f>VLOOKUP(A133,'[1]Chứng chỉ'!$B$8:$Q$1111,14,0)</f>
        <v>0</v>
      </c>
      <c r="AV133" s="42">
        <f>VLOOKUP(A133,'[1]Chứng chỉ'!$B$8:$Q$1111,15,0)</f>
        <v>0</v>
      </c>
      <c r="AW133" s="42">
        <f>VLOOKUP(A133,'[1]Chứng chỉ'!$B$8:$Q$1111,16,0)</f>
        <v>0</v>
      </c>
      <c r="AX133" s="53"/>
      <c r="AY133" s="57" t="s">
        <v>127</v>
      </c>
      <c r="AZ133" s="65"/>
      <c r="BA133" s="74" t="e">
        <f t="shared" si="62"/>
        <v>#REF!</v>
      </c>
      <c r="BB133" s="74" t="e">
        <f t="shared" si="63"/>
        <v>#REF!</v>
      </c>
      <c r="BC133" s="41"/>
      <c r="BD133" s="64"/>
    </row>
    <row r="134" spans="1:56" ht="51" x14ac:dyDescent="0.3">
      <c r="A134" s="41" t="s">
        <v>1082</v>
      </c>
      <c r="B134" s="42">
        <f t="shared" si="0"/>
        <v>128</v>
      </c>
      <c r="C134" s="68" t="s">
        <v>1083</v>
      </c>
      <c r="D134" s="41" t="s">
        <v>1082</v>
      </c>
      <c r="E134" s="61">
        <v>1506002918</v>
      </c>
      <c r="F134" s="64"/>
      <c r="G134" s="49" t="s">
        <v>1084</v>
      </c>
      <c r="H134" s="76">
        <v>30664</v>
      </c>
      <c r="I134" s="76"/>
      <c r="J134" s="66">
        <f t="shared" ca="1" si="64"/>
        <v>42</v>
      </c>
      <c r="K134" s="75" t="s">
        <v>1085</v>
      </c>
      <c r="L134" s="41" t="s">
        <v>1086</v>
      </c>
      <c r="M134" s="53" t="s">
        <v>67</v>
      </c>
      <c r="N134" s="66" t="s">
        <v>1087</v>
      </c>
      <c r="O134" s="53" t="s">
        <v>1081</v>
      </c>
      <c r="P134" s="49" t="s">
        <v>222</v>
      </c>
      <c r="Q134" s="49" t="s">
        <v>94</v>
      </c>
      <c r="R134" s="49"/>
      <c r="S134" s="49"/>
      <c r="T134" s="53" t="s">
        <v>97</v>
      </c>
      <c r="U134" s="53" t="s">
        <v>94</v>
      </c>
      <c r="V134" s="49" t="str">
        <f t="shared" si="61"/>
        <v>, Thành phố Lạng Sơn, Tỉnh Lạng Sơn</v>
      </c>
      <c r="W134" s="55" t="s">
        <v>579</v>
      </c>
      <c r="X134" s="41"/>
      <c r="Y134" s="41"/>
      <c r="Z134" s="41"/>
      <c r="AA134" s="68">
        <f>VLOOKUP(A134,'[1]DANH SÁCH'!$B$8:$AD$841,12,0)</f>
        <v>0</v>
      </c>
      <c r="AB134" s="49" t="str">
        <f>VLOOKUP(A134,'[1]DANH SÁCH'!$B$8:$H$841,6,0)</f>
        <v>TĐ011</v>
      </c>
      <c r="AC134" s="69" t="str">
        <f>VLOOKUP(A134,'[1]DANH SÁCH'!$B$8:$J$841,9,0)</f>
        <v>Ngoại Tiêu hóa</v>
      </c>
      <c r="AD134" s="69" t="str">
        <f>VLOOKUP(A134,'[1]DANH SÁCH'!$B$8:$AC$841,10,0)</f>
        <v>KP013</v>
      </c>
      <c r="AE134" s="69" t="str">
        <f>VLOOKUP(A134,'[1]DANH SÁCH'!$B$8:$AD$841,13,0)</f>
        <v>Viên chức</v>
      </c>
      <c r="AF134" s="41" t="s">
        <v>147</v>
      </c>
      <c r="AG134" s="42" t="str">
        <f>VLOOKUP(A134,'[1]DANH SÁCH'!$B$8:$H$841,7,0)</f>
        <v>Điều dưỡng (hạng III)</v>
      </c>
      <c r="AH134" s="45">
        <v>3.99</v>
      </c>
      <c r="AI134" s="42">
        <v>6</v>
      </c>
      <c r="AJ134" s="70">
        <v>0</v>
      </c>
      <c r="AK134" s="69">
        <v>45962</v>
      </c>
      <c r="AL134" s="71" t="s">
        <v>80</v>
      </c>
      <c r="AM134" s="53" t="str">
        <f>VLOOKUP(A134,'[1]DANH SÁCH'!$B$8:$F$841,5,0)</f>
        <v>Điều dưỡng ĐH</v>
      </c>
      <c r="AN134" s="53"/>
      <c r="AO134" s="53" t="s">
        <v>175</v>
      </c>
      <c r="AP134" s="53">
        <v>2005</v>
      </c>
      <c r="AQ134" s="72" t="s">
        <v>113</v>
      </c>
      <c r="AR134" s="42">
        <f>VLOOKUP(A134,'[1]Chứng chỉ'!$B$8:$Q$1111,11,0)</f>
        <v>0</v>
      </c>
      <c r="AS134" s="42">
        <f>VLOOKUP(A134,'[1]Chứng chỉ'!$B$8:$Q$1111,12,0)</f>
        <v>0</v>
      </c>
      <c r="AT134" s="47">
        <f>VLOOKUP(A134,'[1]Chứng chỉ'!$B$8:$Q$1111,13,0)</f>
        <v>0</v>
      </c>
      <c r="AU134" s="42" t="str">
        <f>VLOOKUP(A134,'[1]Chứng chỉ'!$B$8:$Q$1111,14,0)</f>
        <v>Anh C</v>
      </c>
      <c r="AV134" s="42" t="str">
        <f>VLOOKUP(A134,'[1]Chứng chỉ'!$B$8:$Q$1111,15,0)</f>
        <v>Tày</v>
      </c>
      <c r="AW134" s="42" t="str">
        <f>VLOOKUP(A134,'[1]Chứng chỉ'!$B$8:$Q$1111,16,0)</f>
        <v>Cơ bản</v>
      </c>
      <c r="AX134" s="53"/>
      <c r="AY134" s="57" t="s">
        <v>85</v>
      </c>
      <c r="AZ134" s="65"/>
      <c r="BA134" s="74" t="e">
        <f t="shared" si="62"/>
        <v>#REF!</v>
      </c>
      <c r="BB134" s="74" t="e">
        <f t="shared" si="63"/>
        <v>#REF!</v>
      </c>
      <c r="BC134" s="61" t="s">
        <v>128</v>
      </c>
      <c r="BD134" s="62"/>
    </row>
    <row r="135" spans="1:56" ht="51" x14ac:dyDescent="0.3">
      <c r="A135" s="41" t="s">
        <v>1088</v>
      </c>
      <c r="B135" s="42">
        <f t="shared" si="0"/>
        <v>129</v>
      </c>
      <c r="C135" s="68" t="s">
        <v>1089</v>
      </c>
      <c r="D135" s="41" t="s">
        <v>1088</v>
      </c>
      <c r="E135" s="61">
        <v>2010002407</v>
      </c>
      <c r="F135" s="64"/>
      <c r="G135" s="49" t="s">
        <v>1090</v>
      </c>
      <c r="H135" s="76"/>
      <c r="I135" s="76">
        <v>31686</v>
      </c>
      <c r="J135" s="66">
        <f ca="1">INT(DATEDIF(I135,$J$2,"d")/365)</f>
        <v>39</v>
      </c>
      <c r="K135" s="83" t="s">
        <v>1091</v>
      </c>
      <c r="L135" s="41" t="s">
        <v>1092</v>
      </c>
      <c r="M135" s="53" t="s">
        <v>67</v>
      </c>
      <c r="N135" s="66"/>
      <c r="O135" s="85"/>
      <c r="P135" s="76" t="s">
        <v>145</v>
      </c>
      <c r="Q135" s="49" t="s">
        <v>94</v>
      </c>
      <c r="R135" s="49"/>
      <c r="S135" s="76" t="s">
        <v>329</v>
      </c>
      <c r="T135" s="76" t="s">
        <v>145</v>
      </c>
      <c r="U135" s="49" t="s">
        <v>94</v>
      </c>
      <c r="V135" s="49" t="str">
        <f t="shared" si="61"/>
        <v>Xã Hoàng Văn Thụ, Huyện Văn Lãng, Tỉnh Lạng Sơn</v>
      </c>
      <c r="W135" s="55" t="s">
        <v>461</v>
      </c>
      <c r="X135" s="41"/>
      <c r="Y135" s="41"/>
      <c r="Z135" s="41"/>
      <c r="AA135" s="68">
        <f>VLOOKUP(A135,'[1]DANH SÁCH'!$B$8:$AD$841,12,0)</f>
        <v>0</v>
      </c>
      <c r="AB135" s="49" t="str">
        <f>VLOOKUP(A135,'[1]DANH SÁCH'!$B$8:$H$841,6,0)</f>
        <v>TĐ012</v>
      </c>
      <c r="AC135" s="69" t="str">
        <f>VLOOKUP(A135,'[1]DANH SÁCH'!$B$8:$J$841,9,0)</f>
        <v>Mắt</v>
      </c>
      <c r="AD135" s="69" t="str">
        <f>VLOOKUP(A135,'[1]DANH SÁCH'!$B$8:$AC$841,10,0)</f>
        <v>KP023</v>
      </c>
      <c r="AE135" s="69" t="str">
        <f>VLOOKUP(A135,'[1]DANH SÁCH'!$B$8:$AD$841,13,0)</f>
        <v>Viên chức</v>
      </c>
      <c r="AF135" s="41" t="s">
        <v>157</v>
      </c>
      <c r="AG135" s="42" t="str">
        <f>VLOOKUP(A135,'[1]DANH SÁCH'!$B$8:$H$841,7,0)</f>
        <v>Điều dưỡng (hạng IV)</v>
      </c>
      <c r="AH135" s="45">
        <v>3.34</v>
      </c>
      <c r="AI135" s="42">
        <v>5</v>
      </c>
      <c r="AJ135" s="70">
        <v>0</v>
      </c>
      <c r="AK135" s="69">
        <v>45474</v>
      </c>
      <c r="AL135" s="71" t="s">
        <v>158</v>
      </c>
      <c r="AM135" s="53" t="str">
        <f>VLOOKUP(A135,'[1]DANH SÁCH'!$B$8:$F$841,5,0)</f>
        <v>Điều dưỡng CĐ</v>
      </c>
      <c r="AN135" s="53"/>
      <c r="AO135" s="53" t="s">
        <v>1093</v>
      </c>
      <c r="AP135" s="53">
        <v>2008</v>
      </c>
      <c r="AQ135" s="72" t="s">
        <v>113</v>
      </c>
      <c r="AR135" s="42">
        <f>VLOOKUP(A135,'[1]Chứng chỉ'!$B$8:$Q$1111,11,0)</f>
        <v>0</v>
      </c>
      <c r="AS135" s="42">
        <f>VLOOKUP(A135,'[1]Chứng chỉ'!$B$8:$Q$1111,12,0)</f>
        <v>0</v>
      </c>
      <c r="AT135" s="47">
        <f>VLOOKUP(A135,'[1]Chứng chỉ'!$B$8:$Q$1111,13,0)</f>
        <v>0</v>
      </c>
      <c r="AU135" s="42">
        <f>VLOOKUP(A135,'[1]Chứng chỉ'!$B$8:$Q$1111,14,0)</f>
        <v>0</v>
      </c>
      <c r="AV135" s="42">
        <f>VLOOKUP(A135,'[1]Chứng chỉ'!$B$8:$Q$1111,15,0)</f>
        <v>0</v>
      </c>
      <c r="AW135" s="42" t="str">
        <f>VLOOKUP(A135,'[1]Chứng chỉ'!$B$8:$Q$1111,16,0)</f>
        <v>Tin A</v>
      </c>
      <c r="AX135" s="42"/>
      <c r="AY135" s="57" t="s">
        <v>85</v>
      </c>
      <c r="AZ135" s="65"/>
      <c r="BA135" s="74" t="e">
        <f t="shared" si="62"/>
        <v>#REF!</v>
      </c>
      <c r="BB135" s="74" t="e">
        <f t="shared" si="63"/>
        <v>#REF!</v>
      </c>
      <c r="BC135" s="41" t="s">
        <v>128</v>
      </c>
      <c r="BD135" s="64"/>
    </row>
    <row r="136" spans="1:56" ht="61.2" x14ac:dyDescent="0.3">
      <c r="A136" s="41" t="s">
        <v>1094</v>
      </c>
      <c r="B136" s="42">
        <f t="shared" si="0"/>
        <v>130</v>
      </c>
      <c r="C136" s="68" t="s">
        <v>1095</v>
      </c>
      <c r="D136" s="41" t="s">
        <v>1094</v>
      </c>
      <c r="E136" s="61">
        <v>1596007536</v>
      </c>
      <c r="F136" s="64"/>
      <c r="G136" s="49" t="s">
        <v>1096</v>
      </c>
      <c r="H136" s="76">
        <v>24906</v>
      </c>
      <c r="I136" s="76"/>
      <c r="J136" s="66">
        <f t="shared" ref="J136:J139" ca="1" si="65">INT(DATEDIF(H136,$J$2,"d")/365)</f>
        <v>58</v>
      </c>
      <c r="K136" s="75" t="s">
        <v>1097</v>
      </c>
      <c r="L136" s="83" t="s">
        <v>1098</v>
      </c>
      <c r="M136" s="53" t="s">
        <v>67</v>
      </c>
      <c r="N136" s="66" t="s">
        <v>1099</v>
      </c>
      <c r="O136" s="53" t="s">
        <v>1100</v>
      </c>
      <c r="P136" s="49" t="s">
        <v>1101</v>
      </c>
      <c r="Q136" s="49" t="s">
        <v>733</v>
      </c>
      <c r="R136" s="49" t="s">
        <v>1102</v>
      </c>
      <c r="S136" s="49" t="s">
        <v>124</v>
      </c>
      <c r="T136" s="49" t="s">
        <v>97</v>
      </c>
      <c r="U136" s="49" t="s">
        <v>94</v>
      </c>
      <c r="V136" s="49" t="str">
        <f t="shared" si="61"/>
        <v>Phường Đông Kinh, Thành phố Lạng Sơn, Tỉnh Lạng Sơn</v>
      </c>
      <c r="W136" s="55" t="s">
        <v>1103</v>
      </c>
      <c r="X136" s="41"/>
      <c r="Y136" s="41"/>
      <c r="Z136" s="41"/>
      <c r="AA136" s="68" t="str">
        <f>VLOOKUP(A136,'[1]DANH SÁCH'!$B$8:$AD$841,12,0)</f>
        <v>Trưởng khoa</v>
      </c>
      <c r="AB136" s="49" t="str">
        <f>VLOOKUP(A136,'[1]DANH SÁCH'!$B$8:$H$841,6,0)</f>
        <v>TĐ001</v>
      </c>
      <c r="AC136" s="69" t="str">
        <f>VLOOKUP(A136,'[1]DANH SÁCH'!$B$8:$J$841,9,0)</f>
        <v>Chấn thương - Bỏng</v>
      </c>
      <c r="AD136" s="69" t="str">
        <f>VLOOKUP(A136,'[1]DANH SÁCH'!$B$8:$AC$841,10,0)</f>
        <v>KP014</v>
      </c>
      <c r="AE136" s="69" t="str">
        <f>VLOOKUP(A136,'[1]DANH SÁCH'!$B$8:$AD$841,13,0)</f>
        <v>Viên chức</v>
      </c>
      <c r="AF136" s="41" t="s">
        <v>79</v>
      </c>
      <c r="AG136" s="42" t="str">
        <f>VLOOKUP(A136,'[1]DANH SÁCH'!$B$8:$H$841,7,0)</f>
        <v>Bác sĩ chính (hạng II)</v>
      </c>
      <c r="AH136" s="45">
        <v>5.76</v>
      </c>
      <c r="AI136" s="42">
        <v>5</v>
      </c>
      <c r="AJ136" s="70">
        <v>0</v>
      </c>
      <c r="AK136" s="69">
        <v>45627</v>
      </c>
      <c r="AL136" s="71" t="s">
        <v>80</v>
      </c>
      <c r="AM136" s="53" t="str">
        <f>VLOOKUP(A136,'[1]DANH SÁCH'!$B$8:$F$841,5,0)</f>
        <v>BSCKII</v>
      </c>
      <c r="AN136" s="53" t="s">
        <v>126</v>
      </c>
      <c r="AO136" s="53" t="s">
        <v>112</v>
      </c>
      <c r="AP136" s="53"/>
      <c r="AQ136" s="99" t="s">
        <v>113</v>
      </c>
      <c r="AR136" s="42" t="s">
        <v>82</v>
      </c>
      <c r="AS136" s="42">
        <f>VLOOKUP(A136,'[1]Chứng chỉ'!$B$8:$Q$1111,12,0)</f>
        <v>0</v>
      </c>
      <c r="AT136" s="47" t="s">
        <v>139</v>
      </c>
      <c r="AU136" s="42" t="str">
        <f>VLOOKUP(A136,'[1]Chứng chỉ'!$B$8:$Q$1111,14,0)</f>
        <v>x</v>
      </c>
      <c r="AV136" s="42" t="str">
        <f>VLOOKUP(A136,'[1]Chứng chỉ'!$B$8:$Q$1111,15,0)</f>
        <v>x</v>
      </c>
      <c r="AW136" s="42" t="str">
        <f>VLOOKUP(A136,'[1]Chứng chỉ'!$B$8:$Q$1111,16,0)</f>
        <v>x</v>
      </c>
      <c r="AX136" s="42"/>
      <c r="AY136" s="57" t="s">
        <v>85</v>
      </c>
      <c r="AZ136" s="65">
        <v>39169</v>
      </c>
      <c r="BA136" s="74" t="e">
        <f t="shared" si="62"/>
        <v>#REF!</v>
      </c>
      <c r="BB136" s="74" t="e">
        <f t="shared" si="63"/>
        <v>#REF!</v>
      </c>
      <c r="BC136" s="79" t="s">
        <v>114</v>
      </c>
      <c r="BD136" s="64"/>
    </row>
    <row r="137" spans="1:56" ht="51" x14ac:dyDescent="0.3">
      <c r="A137" s="41" t="s">
        <v>1104</v>
      </c>
      <c r="B137" s="42">
        <f t="shared" si="0"/>
        <v>131</v>
      </c>
      <c r="C137" s="68" t="s">
        <v>1105</v>
      </c>
      <c r="D137" s="41" t="s">
        <v>1104</v>
      </c>
      <c r="E137" s="61">
        <v>1505002490</v>
      </c>
      <c r="F137" s="64"/>
      <c r="G137" s="49" t="s">
        <v>1106</v>
      </c>
      <c r="H137" s="76">
        <v>29403</v>
      </c>
      <c r="I137" s="76"/>
      <c r="J137" s="66">
        <f t="shared" ca="1" si="65"/>
        <v>46</v>
      </c>
      <c r="K137" s="75" t="s">
        <v>1107</v>
      </c>
      <c r="L137" s="83" t="s">
        <v>255</v>
      </c>
      <c r="M137" s="53" t="s">
        <v>67</v>
      </c>
      <c r="N137" s="66" t="s">
        <v>94</v>
      </c>
      <c r="O137" s="53" t="s">
        <v>1108</v>
      </c>
      <c r="P137" s="49" t="s">
        <v>222</v>
      </c>
      <c r="Q137" s="49" t="s">
        <v>94</v>
      </c>
      <c r="R137" s="49"/>
      <c r="S137" s="49" t="s">
        <v>174</v>
      </c>
      <c r="T137" s="49" t="s">
        <v>97</v>
      </c>
      <c r="U137" s="49" t="s">
        <v>94</v>
      </c>
      <c r="V137" s="49" t="str">
        <f t="shared" si="61"/>
        <v>Xã Mai Pha, Thành phố Lạng Sơn, Tỉnh Lạng Sơn</v>
      </c>
      <c r="W137" s="55" t="s">
        <v>724</v>
      </c>
      <c r="X137" s="41"/>
      <c r="Y137" s="41"/>
      <c r="Z137" s="41"/>
      <c r="AA137" s="68" t="str">
        <f>VLOOKUP(A137,'[1]DANH SÁCH'!$B$8:$AD$841,12,0)</f>
        <v>Phó trưởng khoa</v>
      </c>
      <c r="AB137" s="49" t="str">
        <f>VLOOKUP(A137,'[1]DANH SÁCH'!$B$8:$H$841,6,0)</f>
        <v>TĐ001</v>
      </c>
      <c r="AC137" s="69" t="str">
        <f>VLOOKUP(A137,'[1]DANH SÁCH'!$B$8:$J$841,9,0)</f>
        <v>Chấn thương - Bỏng</v>
      </c>
      <c r="AD137" s="69" t="str">
        <f>VLOOKUP(A137,'[1]DANH SÁCH'!$B$8:$AC$841,10,0)</f>
        <v>KP014</v>
      </c>
      <c r="AE137" s="69" t="str">
        <f>VLOOKUP(A137,'[1]DANH SÁCH'!$B$8:$AD$841,13,0)</f>
        <v>Viên chức</v>
      </c>
      <c r="AF137" s="41" t="s">
        <v>79</v>
      </c>
      <c r="AG137" s="42" t="str">
        <f>VLOOKUP(A137,'[1]DANH SÁCH'!$B$8:$H$841,7,0)</f>
        <v>Bác sĩ chính (hạng II)</v>
      </c>
      <c r="AH137" s="45">
        <v>4.74</v>
      </c>
      <c r="AI137" s="42">
        <v>2</v>
      </c>
      <c r="AJ137" s="70">
        <v>0</v>
      </c>
      <c r="AK137" s="69">
        <v>45809</v>
      </c>
      <c r="AL137" s="71" t="s">
        <v>80</v>
      </c>
      <c r="AM137" s="53" t="str">
        <f>VLOOKUP(A137,'[1]DANH SÁCH'!$B$8:$F$841,5,0)</f>
        <v>BSCKII</v>
      </c>
      <c r="AN137" s="53" t="s">
        <v>126</v>
      </c>
      <c r="AO137" s="53" t="s">
        <v>1109</v>
      </c>
      <c r="AP137" s="53"/>
      <c r="AQ137" s="72"/>
      <c r="AR137" s="42">
        <f>VLOOKUP(A137,'[1]Chứng chỉ'!$B$8:$Q$1111,11,0)</f>
        <v>0</v>
      </c>
      <c r="AS137" s="42" t="s">
        <v>100</v>
      </c>
      <c r="AT137" s="47" t="s">
        <v>139</v>
      </c>
      <c r="AU137" s="42" t="str">
        <f>VLOOKUP(A137,'[1]Chứng chỉ'!$B$8:$Q$1111,14,0)</f>
        <v>x</v>
      </c>
      <c r="AV137" s="42" t="str">
        <f>VLOOKUP(A137,'[1]Chứng chỉ'!$B$8:$Q$1111,15,0)</f>
        <v>x</v>
      </c>
      <c r="AW137" s="42" t="str">
        <f>VLOOKUP(A137,'[1]Chứng chỉ'!$B$8:$Q$1111,16,0)</f>
        <v>x</v>
      </c>
      <c r="AX137" s="42"/>
      <c r="AY137" s="57" t="s">
        <v>127</v>
      </c>
      <c r="AZ137" s="65">
        <v>40180</v>
      </c>
      <c r="BA137" s="74" t="e">
        <f t="shared" si="62"/>
        <v>#REF!</v>
      </c>
      <c r="BB137" s="74" t="e">
        <f t="shared" si="63"/>
        <v>#REF!</v>
      </c>
      <c r="BC137" s="61"/>
      <c r="BD137" s="62"/>
    </row>
    <row r="138" spans="1:56" ht="40.799999999999997" x14ac:dyDescent="0.3">
      <c r="A138" s="46" t="s">
        <v>1110</v>
      </c>
      <c r="B138" s="42">
        <f t="shared" si="0"/>
        <v>132</v>
      </c>
      <c r="C138" s="63" t="s">
        <v>1111</v>
      </c>
      <c r="D138" s="46" t="s">
        <v>1110</v>
      </c>
      <c r="E138" s="61" t="s">
        <v>1112</v>
      </c>
      <c r="F138" s="64"/>
      <c r="G138" s="49" t="s">
        <v>1113</v>
      </c>
      <c r="H138" s="65">
        <v>26096</v>
      </c>
      <c r="I138" s="47"/>
      <c r="J138" s="66">
        <f t="shared" ca="1" si="65"/>
        <v>55</v>
      </c>
      <c r="K138" s="75" t="s">
        <v>1114</v>
      </c>
      <c r="L138" s="119" t="s">
        <v>1115</v>
      </c>
      <c r="M138" s="53" t="s">
        <v>67</v>
      </c>
      <c r="N138" s="66" t="s">
        <v>94</v>
      </c>
      <c r="O138" s="56" t="s">
        <v>1116</v>
      </c>
      <c r="P138" s="47" t="s">
        <v>1116</v>
      </c>
      <c r="Q138" s="47" t="s">
        <v>71</v>
      </c>
      <c r="R138" s="47"/>
      <c r="S138" s="47" t="s">
        <v>1117</v>
      </c>
      <c r="T138" s="47" t="s">
        <v>71</v>
      </c>
      <c r="U138" s="47" t="s">
        <v>71</v>
      </c>
      <c r="V138" s="49" t="str">
        <f t="shared" si="61"/>
        <v>Đông Kinh, Lạng Sơn, Lạng Sơn</v>
      </c>
      <c r="W138" s="67" t="s">
        <v>1118</v>
      </c>
      <c r="X138" s="46"/>
      <c r="Y138" s="46"/>
      <c r="Z138" s="46"/>
      <c r="AA138" s="68">
        <f>VLOOKUP(A138,'[1]DANH SÁCH'!$B$8:$AD$841,12,0)</f>
        <v>0</v>
      </c>
      <c r="AB138" s="49" t="str">
        <f>VLOOKUP(A138,'[1]DANH SÁCH'!$B$8:$H$841,6,0)</f>
        <v>TĐ004</v>
      </c>
      <c r="AC138" s="69" t="str">
        <f>VLOOKUP(A138,'[1]DANH SÁCH'!$B$8:$J$841,9,0)</f>
        <v>Chấn thương - Bỏng</v>
      </c>
      <c r="AD138" s="69" t="str">
        <f>VLOOKUP(A138,'[1]DANH SÁCH'!$B$8:$AC$841,10,0)</f>
        <v>KP014</v>
      </c>
      <c r="AE138" s="69" t="str">
        <f>VLOOKUP(A138,'[1]DANH SÁCH'!$B$8:$AD$841,13,0)</f>
        <v>Viên chức</v>
      </c>
      <c r="AF138" s="41" t="s">
        <v>79</v>
      </c>
      <c r="AG138" s="42" t="str">
        <f>VLOOKUP(A138,'[1]DANH SÁCH'!$B$8:$H$841,7,0)</f>
        <v>Bác sĩ chính (hạng II)</v>
      </c>
      <c r="AH138" s="45">
        <v>5.76</v>
      </c>
      <c r="AI138" s="42">
        <v>5</v>
      </c>
      <c r="AJ138" s="70">
        <v>0</v>
      </c>
      <c r="AK138" s="69">
        <v>45627</v>
      </c>
      <c r="AL138" s="71" t="s">
        <v>80</v>
      </c>
      <c r="AM138" s="53" t="str">
        <f>VLOOKUP(A138,'[1]DANH SÁCH'!$B$8:$F$841,5,0)</f>
        <v>Thạc sỹ</v>
      </c>
      <c r="AN138" s="53" t="s">
        <v>126</v>
      </c>
      <c r="AO138" s="53" t="s">
        <v>1109</v>
      </c>
      <c r="AP138" s="53">
        <v>2008</v>
      </c>
      <c r="AQ138" s="99" t="s">
        <v>113</v>
      </c>
      <c r="AR138" s="42" t="s">
        <v>82</v>
      </c>
      <c r="AS138" s="42" t="str">
        <f>VLOOKUP(A138,'[1]Chứng chỉ'!$B$8:$Q$1111,12,0)</f>
        <v>x</v>
      </c>
      <c r="AT138" s="47" t="s">
        <v>139</v>
      </c>
      <c r="AU138" s="42" t="str">
        <f>VLOOKUP(A138,'[1]Chứng chỉ'!$B$8:$Q$1111,14,0)</f>
        <v>Anh B</v>
      </c>
      <c r="AV138" s="42" t="str">
        <f>VLOOKUP(A138,'[1]Chứng chỉ'!$B$8:$Q$1111,15,0)</f>
        <v>Tày</v>
      </c>
      <c r="AW138" s="42" t="str">
        <f>VLOOKUP(A138,'[1]Chứng chỉ'!$B$8:$Q$1111,16,0)</f>
        <v>Cơ bản</v>
      </c>
      <c r="AX138" s="47"/>
      <c r="AY138" s="73" t="s">
        <v>127</v>
      </c>
      <c r="AZ138" s="65">
        <v>39260</v>
      </c>
      <c r="BA138" s="74" t="e">
        <f t="shared" si="62"/>
        <v>#REF!</v>
      </c>
      <c r="BB138" s="74" t="e">
        <f t="shared" si="63"/>
        <v>#REF!</v>
      </c>
      <c r="BC138" s="61"/>
      <c r="BD138" s="64"/>
    </row>
    <row r="139" spans="1:56" ht="40.799999999999997" x14ac:dyDescent="0.3">
      <c r="A139" s="46" t="s">
        <v>1119</v>
      </c>
      <c r="B139" s="42">
        <f t="shared" si="0"/>
        <v>133</v>
      </c>
      <c r="C139" s="93" t="s">
        <v>1120</v>
      </c>
      <c r="D139" s="46" t="s">
        <v>1119</v>
      </c>
      <c r="E139" s="61" t="s">
        <v>1121</v>
      </c>
      <c r="F139" s="64"/>
      <c r="G139" s="49" t="s">
        <v>1122</v>
      </c>
      <c r="H139" s="46" t="s">
        <v>1123</v>
      </c>
      <c r="I139" s="101"/>
      <c r="J139" s="66">
        <f t="shared" ca="1" si="65"/>
        <v>37</v>
      </c>
      <c r="K139" s="75" t="s">
        <v>1124</v>
      </c>
      <c r="L139" s="120" t="s">
        <v>1125</v>
      </c>
      <c r="M139" s="53" t="s">
        <v>67</v>
      </c>
      <c r="N139" s="52" t="s">
        <v>1126</v>
      </c>
      <c r="O139" s="56" t="s">
        <v>1127</v>
      </c>
      <c r="P139" s="47" t="s">
        <v>758</v>
      </c>
      <c r="Q139" s="47" t="s">
        <v>71</v>
      </c>
      <c r="R139" s="121" t="s">
        <v>1128</v>
      </c>
      <c r="S139" s="47"/>
      <c r="T139" s="47"/>
      <c r="U139" s="47"/>
      <c r="V139" s="121" t="s">
        <v>1128</v>
      </c>
      <c r="W139" s="104" t="s">
        <v>384</v>
      </c>
      <c r="X139" s="46" t="s">
        <v>1129</v>
      </c>
      <c r="Y139" s="122">
        <v>573</v>
      </c>
      <c r="Z139" s="122" t="s">
        <v>386</v>
      </c>
      <c r="AA139" s="68">
        <f>VLOOKUP(A139,'[1]DANH SÁCH'!$B$8:$AD$841,12,0)</f>
        <v>0</v>
      </c>
      <c r="AB139" s="49" t="str">
        <f>VLOOKUP(A139,'[1]DANH SÁCH'!$B$8:$H$841,6,0)</f>
        <v>TĐ003</v>
      </c>
      <c r="AC139" s="69" t="str">
        <f>VLOOKUP(A139,'[1]DANH SÁCH'!$B$8:$J$841,9,0)</f>
        <v>Chấn thương - Bỏng</v>
      </c>
      <c r="AD139" s="69" t="str">
        <f>VLOOKUP(A139,'[1]DANH SÁCH'!$B$8:$AC$841,10,0)</f>
        <v>KP014</v>
      </c>
      <c r="AE139" s="69" t="str">
        <f>VLOOKUP(A139,'[1]DANH SÁCH'!$B$8:$AD$841,13,0)</f>
        <v>Viên chức</v>
      </c>
      <c r="AF139" s="41" t="s">
        <v>274</v>
      </c>
      <c r="AG139" s="122" t="s">
        <v>296</v>
      </c>
      <c r="AH139" s="45">
        <v>3</v>
      </c>
      <c r="AI139" s="42">
        <v>3</v>
      </c>
      <c r="AJ139" s="70">
        <v>0</v>
      </c>
      <c r="AK139" s="69">
        <v>45474</v>
      </c>
      <c r="AL139" s="71" t="s">
        <v>80</v>
      </c>
      <c r="AM139" s="53" t="str">
        <f>VLOOKUP(A139,'[1]DANH SÁCH'!$B$8:$F$841,5,0)</f>
        <v>BSCKI</v>
      </c>
      <c r="AN139" s="53" t="s">
        <v>372</v>
      </c>
      <c r="AO139" s="53" t="s">
        <v>1130</v>
      </c>
      <c r="AP139" s="53">
        <v>2017</v>
      </c>
      <c r="AQ139" s="72" t="s">
        <v>113</v>
      </c>
      <c r="AR139" s="42">
        <f>VLOOKUP(A139,'[1]Chứng chỉ'!$B$8:$Q$1111,11,0)</f>
        <v>0</v>
      </c>
      <c r="AS139" s="42">
        <f>VLOOKUP(A139,'[1]Chứng chỉ'!$B$8:$Q$1111,12,0)</f>
        <v>0</v>
      </c>
      <c r="AT139" s="47" t="str">
        <f>VLOOKUP(A139,'[1]Chứng chỉ'!$B$8:$Q$1111,13,0)</f>
        <v>Sơ cấp</v>
      </c>
      <c r="AU139" s="42" t="str">
        <f>VLOOKUP(A139,'[1]Chứng chỉ'!$B$8:$Q$1111,14,0)</f>
        <v>Anh B</v>
      </c>
      <c r="AV139" s="42">
        <f>VLOOKUP(A139,'[1]Chứng chỉ'!$B$8:$Q$1111,15,0)</f>
        <v>0</v>
      </c>
      <c r="AW139" s="42" t="str">
        <f>VLOOKUP(A139,'[1]Chứng chỉ'!$B$8:$Q$1111,16,0)</f>
        <v>Tin B</v>
      </c>
      <c r="AX139" s="47"/>
      <c r="AY139" s="73" t="s">
        <v>87</v>
      </c>
      <c r="AZ139" s="65"/>
      <c r="BA139" s="74"/>
      <c r="BB139" s="74"/>
      <c r="BC139" s="41"/>
      <c r="BD139" s="42"/>
    </row>
    <row r="140" spans="1:56" ht="51" x14ac:dyDescent="0.3">
      <c r="A140" s="41" t="s">
        <v>1131</v>
      </c>
      <c r="B140" s="42">
        <f t="shared" si="0"/>
        <v>134</v>
      </c>
      <c r="C140" s="44" t="s">
        <v>1132</v>
      </c>
      <c r="D140" s="41" t="s">
        <v>1131</v>
      </c>
      <c r="E140" s="61">
        <v>2016000980</v>
      </c>
      <c r="F140" s="64"/>
      <c r="G140" s="49" t="s">
        <v>1133</v>
      </c>
      <c r="H140" s="87"/>
      <c r="I140" s="41" t="s">
        <v>1134</v>
      </c>
      <c r="J140" s="66">
        <f t="shared" ref="J140:J141" ca="1" si="66">INT(DATEDIF(I140,$J$2,"d")/365)</f>
        <v>37</v>
      </c>
      <c r="K140" s="75" t="s">
        <v>1135</v>
      </c>
      <c r="L140" s="83" t="s">
        <v>1136</v>
      </c>
      <c r="M140" s="53" t="s">
        <v>67</v>
      </c>
      <c r="N140" s="66" t="s">
        <v>94</v>
      </c>
      <c r="O140" s="88" t="s">
        <v>1022</v>
      </c>
      <c r="P140" s="87" t="s">
        <v>93</v>
      </c>
      <c r="Q140" s="87" t="s">
        <v>94</v>
      </c>
      <c r="R140" s="87"/>
      <c r="S140" s="47" t="s">
        <v>166</v>
      </c>
      <c r="T140" s="47" t="s">
        <v>97</v>
      </c>
      <c r="U140" s="47" t="s">
        <v>71</v>
      </c>
      <c r="V140" s="49" t="str">
        <f t="shared" ref="V140:V146" si="67">S140&amp;", "&amp;T140&amp;", "&amp;U140</f>
        <v>Phường Tam Thanh, Thành phố Lạng Sơn, Lạng Sơn</v>
      </c>
      <c r="W140" s="89" t="s">
        <v>491</v>
      </c>
      <c r="X140" s="43"/>
      <c r="Y140" s="43"/>
      <c r="Z140" s="43"/>
      <c r="AA140" s="68">
        <f>VLOOKUP(A140,'[1]DANH SÁCH'!$B$8:$AD$841,12,0)</f>
        <v>0</v>
      </c>
      <c r="AB140" s="49" t="str">
        <f>VLOOKUP(A140,'[1]DANH SÁCH'!$B$8:$H$841,6,0)</f>
        <v>TĐ003</v>
      </c>
      <c r="AC140" s="69" t="str">
        <f>VLOOKUP(A140,'[1]DANH SÁCH'!$B$8:$J$841,9,0)</f>
        <v>Chấn thương - Bỏng</v>
      </c>
      <c r="AD140" s="69" t="str">
        <f>VLOOKUP(A140,'[1]DANH SÁCH'!$B$8:$AC$841,10,0)</f>
        <v>KP014</v>
      </c>
      <c r="AE140" s="69" t="str">
        <f>VLOOKUP(A140,'[1]DANH SÁCH'!$B$8:$AD$841,13,0)</f>
        <v>Viên chức</v>
      </c>
      <c r="AF140" s="41" t="s">
        <v>274</v>
      </c>
      <c r="AG140" s="42" t="str">
        <f>VLOOKUP(A140,'[1]DANH SÁCH'!$B$8:$H$841,7,0)</f>
        <v>Bác sĩ (hạng III)</v>
      </c>
      <c r="AH140" s="45">
        <v>3.33</v>
      </c>
      <c r="AI140" s="42">
        <v>4</v>
      </c>
      <c r="AJ140" s="70">
        <v>0</v>
      </c>
      <c r="AK140" s="69">
        <v>45768</v>
      </c>
      <c r="AL140" s="71" t="s">
        <v>80</v>
      </c>
      <c r="AM140" s="53" t="str">
        <f>VLOOKUP(A140,'[1]DANH SÁCH'!$B$8:$F$841,5,0)</f>
        <v>BSCKI</v>
      </c>
      <c r="AN140" s="53" t="s">
        <v>1137</v>
      </c>
      <c r="AO140" s="53" t="s">
        <v>1138</v>
      </c>
      <c r="AP140" s="53">
        <v>2015</v>
      </c>
      <c r="AQ140" s="99" t="s">
        <v>113</v>
      </c>
      <c r="AR140" s="42">
        <f>VLOOKUP(A140,'[1]Chứng chỉ'!$B$8:$Q$1111,11,0)</f>
        <v>0</v>
      </c>
      <c r="AS140" s="42">
        <f>VLOOKUP(A140,'[1]Chứng chỉ'!$B$8:$Q$1111,12,0)</f>
        <v>0</v>
      </c>
      <c r="AT140" s="47" t="s">
        <v>139</v>
      </c>
      <c r="AU140" s="42" t="str">
        <f>VLOOKUP(A140,'[1]Chứng chỉ'!$B$8:$Q$1111,14,0)</f>
        <v>Anh B</v>
      </c>
      <c r="AV140" s="42">
        <f>VLOOKUP(A140,'[1]Chứng chỉ'!$B$8:$Q$1111,15,0)</f>
        <v>0</v>
      </c>
      <c r="AW140" s="42" t="str">
        <f>VLOOKUP(A140,'[1]Chứng chỉ'!$B$8:$Q$1111,16,0)</f>
        <v>Cơ bản</v>
      </c>
      <c r="AX140" s="42"/>
      <c r="AY140" s="57" t="s">
        <v>85</v>
      </c>
      <c r="AZ140" s="65"/>
      <c r="BA140" s="74" t="e">
        <f t="shared" ref="BA140:BA146" si="68">VLOOKUP(A140,#REF!,4,0)</f>
        <v>#REF!</v>
      </c>
      <c r="BB140" s="74" t="e">
        <f t="shared" ref="BB140:BB146" si="69">VLOOKUP(A140,#REF!,5,0)</f>
        <v>#REF!</v>
      </c>
      <c r="BC140" s="41"/>
      <c r="BD140" s="64"/>
    </row>
    <row r="141" spans="1:56" ht="61.2" x14ac:dyDescent="0.3">
      <c r="A141" s="41" t="s">
        <v>1139</v>
      </c>
      <c r="B141" s="42">
        <f t="shared" si="0"/>
        <v>135</v>
      </c>
      <c r="C141" s="68" t="s">
        <v>1140</v>
      </c>
      <c r="D141" s="41" t="s">
        <v>1139</v>
      </c>
      <c r="E141" s="61">
        <v>1500002056</v>
      </c>
      <c r="F141" s="64"/>
      <c r="G141" s="49" t="s">
        <v>1141</v>
      </c>
      <c r="H141" s="76"/>
      <c r="I141" s="76">
        <v>27373</v>
      </c>
      <c r="J141" s="66">
        <f t="shared" ca="1" si="66"/>
        <v>51</v>
      </c>
      <c r="K141" s="75" t="s">
        <v>1142</v>
      </c>
      <c r="L141" s="83" t="s">
        <v>1143</v>
      </c>
      <c r="M141" s="53" t="s">
        <v>67</v>
      </c>
      <c r="N141" s="66" t="s">
        <v>733</v>
      </c>
      <c r="O141" s="85" t="s">
        <v>1144</v>
      </c>
      <c r="P141" s="76" t="s">
        <v>1145</v>
      </c>
      <c r="Q141" s="76" t="s">
        <v>733</v>
      </c>
      <c r="R141" s="49"/>
      <c r="S141" s="76" t="s">
        <v>96</v>
      </c>
      <c r="T141" s="76" t="s">
        <v>97</v>
      </c>
      <c r="U141" s="76" t="s">
        <v>94</v>
      </c>
      <c r="V141" s="49" t="str">
        <f t="shared" si="67"/>
        <v>Phường Hoàng Văn Thụ, Thành phố Lạng Sơn, Tỉnh Lạng Sơn</v>
      </c>
      <c r="W141" s="55" t="s">
        <v>1146</v>
      </c>
      <c r="X141" s="41"/>
      <c r="Y141" s="41"/>
      <c r="Z141" s="41"/>
      <c r="AA141" s="68" t="str">
        <f>VLOOKUP(A141,'[1]DANH SÁCH'!$B$8:$AD$841,12,0)</f>
        <v>Trưởng phòng</v>
      </c>
      <c r="AB141" s="49" t="e">
        <f>VLOOKUP(A141,'[1]DANH SÁCH'!$B$8:$H$841,6,0)</f>
        <v>#N/A</v>
      </c>
      <c r="AC141" s="69" t="str">
        <f>VLOOKUP(A141,'[1]DANH SÁCH'!$B$8:$J$841,9,0)</f>
        <v>Điều dưỡng</v>
      </c>
      <c r="AD141" s="69" t="str">
        <f>VLOOKUP(A141,'[1]DANH SÁCH'!$B$8:$AC$841,10,0)</f>
        <v>KP037</v>
      </c>
      <c r="AE141" s="69" t="str">
        <f>VLOOKUP(A141,'[1]DANH SÁCH'!$B$8:$AD$841,13,0)</f>
        <v>Viên chức</v>
      </c>
      <c r="AF141" s="41" t="s">
        <v>147</v>
      </c>
      <c r="AG141" s="42" t="str">
        <f>VLOOKUP(A141,'[1]DANH SÁCH'!$B$8:$H$841,7,0)</f>
        <v>Điều dưỡng (hạng III)</v>
      </c>
      <c r="AH141" s="45">
        <v>4.9800000000000004</v>
      </c>
      <c r="AI141" s="42">
        <v>9</v>
      </c>
      <c r="AJ141" s="70">
        <v>0</v>
      </c>
      <c r="AK141" s="69">
        <v>45658</v>
      </c>
      <c r="AL141" s="71" t="s">
        <v>80</v>
      </c>
      <c r="AM141" s="53" t="str">
        <f>VLOOKUP(A141,'[1]DANH SÁCH'!$B$8:$F$841,5,0)</f>
        <v>ĐDCKI</v>
      </c>
      <c r="AN141" s="53" t="s">
        <v>1147</v>
      </c>
      <c r="AO141" s="53" t="s">
        <v>1148</v>
      </c>
      <c r="AP141" s="123" t="s">
        <v>1149</v>
      </c>
      <c r="AQ141" s="99" t="s">
        <v>113</v>
      </c>
      <c r="AR141" s="42" t="s">
        <v>82</v>
      </c>
      <c r="AS141" s="42" t="s">
        <v>100</v>
      </c>
      <c r="AT141" s="47" t="s">
        <v>101</v>
      </c>
      <c r="AU141" s="42" t="str">
        <f>VLOOKUP(A141,'[1]Chứng chỉ'!$B$8:$Q$1111,14,0)</f>
        <v>Anh B</v>
      </c>
      <c r="AV141" s="42" t="str">
        <f>VLOOKUP(A141,'[1]Chứng chỉ'!$B$8:$Q$1111,15,0)</f>
        <v>Tày</v>
      </c>
      <c r="AW141" s="42" t="str">
        <f>VLOOKUP(A141,'[1]Chứng chỉ'!$B$8:$Q$1111,16,0)</f>
        <v>Cơ bản</v>
      </c>
      <c r="AX141" s="42"/>
      <c r="AY141" s="57" t="s">
        <v>87</v>
      </c>
      <c r="AZ141" s="65">
        <v>37435</v>
      </c>
      <c r="BA141" s="74" t="e">
        <f t="shared" si="68"/>
        <v>#REF!</v>
      </c>
      <c r="BB141" s="74" t="e">
        <f t="shared" si="69"/>
        <v>#REF!</v>
      </c>
      <c r="BC141" s="41"/>
      <c r="BD141" s="64"/>
    </row>
    <row r="142" spans="1:56" ht="61.2" x14ac:dyDescent="0.3">
      <c r="A142" s="41" t="s">
        <v>1150</v>
      </c>
      <c r="B142" s="42">
        <f t="shared" si="0"/>
        <v>136</v>
      </c>
      <c r="C142" s="68" t="s">
        <v>1151</v>
      </c>
      <c r="D142" s="41" t="s">
        <v>1150</v>
      </c>
      <c r="E142" s="61">
        <v>2010000134</v>
      </c>
      <c r="F142" s="64"/>
      <c r="G142" s="49" t="s">
        <v>1152</v>
      </c>
      <c r="H142" s="76">
        <v>31476</v>
      </c>
      <c r="I142" s="76"/>
      <c r="J142" s="66">
        <f ca="1">INT(DATEDIF(H142,$J$2,"d")/365)</f>
        <v>40</v>
      </c>
      <c r="K142" s="75" t="s">
        <v>1153</v>
      </c>
      <c r="L142" s="83" t="s">
        <v>1154</v>
      </c>
      <c r="M142" s="53" t="s">
        <v>67</v>
      </c>
      <c r="N142" s="66" t="s">
        <v>94</v>
      </c>
      <c r="O142" s="53" t="s">
        <v>1155</v>
      </c>
      <c r="P142" s="49" t="s">
        <v>93</v>
      </c>
      <c r="Q142" s="49" t="s">
        <v>94</v>
      </c>
      <c r="R142" s="49" t="s">
        <v>1156</v>
      </c>
      <c r="S142" s="49" t="s">
        <v>124</v>
      </c>
      <c r="T142" s="49" t="s">
        <v>97</v>
      </c>
      <c r="U142" s="49" t="s">
        <v>94</v>
      </c>
      <c r="V142" s="49" t="str">
        <f t="shared" si="67"/>
        <v>Phường Đông Kinh, Thành phố Lạng Sơn, Tỉnh Lạng Sơn</v>
      </c>
      <c r="W142" s="55" t="s">
        <v>236</v>
      </c>
      <c r="X142" s="41"/>
      <c r="Y142" s="41"/>
      <c r="Z142" s="41"/>
      <c r="AA142" s="68">
        <f>VLOOKUP(A142,'[1]DANH SÁCH'!$B$8:$AD$841,12,0)</f>
        <v>0</v>
      </c>
      <c r="AB142" s="49" t="str">
        <f>VLOOKUP(A142,'[1]DANH SÁCH'!$B$8:$H$841,6,0)</f>
        <v>TĐ012</v>
      </c>
      <c r="AC142" s="69" t="str">
        <f>VLOOKUP(A142,'[1]DANH SÁCH'!$B$8:$J$841,9,0)</f>
        <v>Chấn thương - Bỏng</v>
      </c>
      <c r="AD142" s="69" t="str">
        <f>VLOOKUP(A142,'[1]DANH SÁCH'!$B$8:$AC$841,10,0)</f>
        <v>KP014</v>
      </c>
      <c r="AE142" s="69" t="str">
        <f>VLOOKUP(A142,'[1]DANH SÁCH'!$B$8:$AD$841,13,0)</f>
        <v>Viên chức</v>
      </c>
      <c r="AF142" s="41" t="s">
        <v>157</v>
      </c>
      <c r="AG142" s="42" t="str">
        <f>VLOOKUP(A142,'[1]DANH SÁCH'!$B$8:$H$841,7,0)</f>
        <v>Điều dưỡng (hạng IV)</v>
      </c>
      <c r="AH142" s="45">
        <v>3.34</v>
      </c>
      <c r="AI142" s="42">
        <v>5</v>
      </c>
      <c r="AJ142" s="70">
        <v>0</v>
      </c>
      <c r="AK142" s="69">
        <v>44927</v>
      </c>
      <c r="AL142" s="71" t="s">
        <v>158</v>
      </c>
      <c r="AM142" s="53" t="str">
        <f>VLOOKUP(A142,'[1]DANH SÁCH'!$B$8:$F$841,5,0)</f>
        <v>Điều dưỡng CĐ</v>
      </c>
      <c r="AN142" s="53"/>
      <c r="AO142" s="53" t="s">
        <v>1093</v>
      </c>
      <c r="AP142" s="53">
        <v>2007</v>
      </c>
      <c r="AQ142" s="99" t="s">
        <v>113</v>
      </c>
      <c r="AR142" s="42">
        <f>VLOOKUP(A142,'[1]Chứng chỉ'!$B$8:$Q$1111,11,0)</f>
        <v>0</v>
      </c>
      <c r="AS142" s="42">
        <f>VLOOKUP(A142,'[1]Chứng chỉ'!$B$8:$Q$1111,12,0)</f>
        <v>0</v>
      </c>
      <c r="AT142" s="47" t="s">
        <v>139</v>
      </c>
      <c r="AU142" s="42" t="str">
        <f>VLOOKUP(A142,'[1]Chứng chỉ'!$B$8:$Q$1111,14,0)</f>
        <v>Anh B</v>
      </c>
      <c r="AV142" s="42">
        <f>VLOOKUP(A142,'[1]Chứng chỉ'!$B$8:$Q$1111,15,0)</f>
        <v>0</v>
      </c>
      <c r="AW142" s="42" t="str">
        <f>VLOOKUP(A142,'[1]Chứng chỉ'!$B$8:$Q$1111,16,0)</f>
        <v>Tin B</v>
      </c>
      <c r="AX142" s="53"/>
      <c r="AY142" s="57" t="s">
        <v>85</v>
      </c>
      <c r="AZ142" s="65"/>
      <c r="BA142" s="74" t="e">
        <f t="shared" si="68"/>
        <v>#REF!</v>
      </c>
      <c r="BB142" s="74" t="e">
        <f t="shared" si="69"/>
        <v>#REF!</v>
      </c>
      <c r="BC142" s="79" t="s">
        <v>1157</v>
      </c>
      <c r="BD142" s="64"/>
    </row>
    <row r="143" spans="1:56" ht="40.799999999999997" x14ac:dyDescent="0.3">
      <c r="A143" s="41" t="s">
        <v>1158</v>
      </c>
      <c r="B143" s="42">
        <f t="shared" si="0"/>
        <v>137</v>
      </c>
      <c r="C143" s="68" t="s">
        <v>1159</v>
      </c>
      <c r="D143" s="41" t="s">
        <v>1158</v>
      </c>
      <c r="E143" s="61">
        <v>2009000936</v>
      </c>
      <c r="F143" s="64"/>
      <c r="G143" s="49" t="s">
        <v>1160</v>
      </c>
      <c r="H143" s="76"/>
      <c r="I143" s="76">
        <v>31606</v>
      </c>
      <c r="J143" s="66">
        <f ca="1">INT(DATEDIF(I143,$J$2,"d")/365)</f>
        <v>40</v>
      </c>
      <c r="K143" s="75" t="s">
        <v>1161</v>
      </c>
      <c r="L143" s="83" t="s">
        <v>1162</v>
      </c>
      <c r="M143" s="53" t="s">
        <v>67</v>
      </c>
      <c r="N143" s="66" t="s">
        <v>94</v>
      </c>
      <c r="O143" s="53" t="s">
        <v>585</v>
      </c>
      <c r="P143" s="49" t="s">
        <v>93</v>
      </c>
      <c r="Q143" s="49" t="s">
        <v>94</v>
      </c>
      <c r="R143" s="49"/>
      <c r="S143" s="49" t="s">
        <v>585</v>
      </c>
      <c r="T143" s="49" t="s">
        <v>93</v>
      </c>
      <c r="U143" s="49" t="s">
        <v>94</v>
      </c>
      <c r="V143" s="49" t="str">
        <f t="shared" si="67"/>
        <v>Xã Vũ Lễ, Huyện Bắc Sơn, Tỉnh Lạng Sơn</v>
      </c>
      <c r="W143" s="55" t="s">
        <v>98</v>
      </c>
      <c r="X143" s="41"/>
      <c r="Y143" s="41"/>
      <c r="Z143" s="41"/>
      <c r="AA143" s="68" t="str">
        <f>VLOOKUP(A143,'[1]DANH SÁCH'!$B$8:$AD$841,12,0)</f>
        <v>Điều dưỡng trưởng</v>
      </c>
      <c r="AB143" s="49" t="str">
        <f>VLOOKUP(A143,'[1]DANH SÁCH'!$B$8:$H$841,6,0)</f>
        <v>TĐ011</v>
      </c>
      <c r="AC143" s="69" t="str">
        <f>VLOOKUP(A143,'[1]DANH SÁCH'!$B$8:$J$841,9,0)</f>
        <v>Nội Thận-TN-LM</v>
      </c>
      <c r="AD143" s="69" t="str">
        <f>VLOOKUP(A143,'[1]DANH SÁCH'!$B$8:$AC$841,10,0)</f>
        <v>KP009</v>
      </c>
      <c r="AE143" s="69" t="str">
        <f>VLOOKUP(A143,'[1]DANH SÁCH'!$B$8:$AD$841,13,0)</f>
        <v>Viên chức</v>
      </c>
      <c r="AF143" s="41" t="s">
        <v>157</v>
      </c>
      <c r="AG143" s="42" t="str">
        <f>VLOOKUP(A143,'[1]DANH SÁCH'!$B$8:$H$841,7,0)</f>
        <v>Điều dưỡng (hạng III)</v>
      </c>
      <c r="AH143" s="45">
        <v>3.66</v>
      </c>
      <c r="AI143" s="42">
        <v>5</v>
      </c>
      <c r="AJ143" s="70">
        <v>0</v>
      </c>
      <c r="AK143" s="69">
        <v>45627</v>
      </c>
      <c r="AL143" s="71" t="s">
        <v>158</v>
      </c>
      <c r="AM143" s="53" t="str">
        <f>VLOOKUP(A143,'[1]DANH SÁCH'!$B$8:$F$841,5,0)</f>
        <v>Điều dưỡng ĐH</v>
      </c>
      <c r="AN143" s="53"/>
      <c r="AO143" s="53" t="s">
        <v>1093</v>
      </c>
      <c r="AP143" s="53">
        <v>2007</v>
      </c>
      <c r="AQ143" s="99" t="s">
        <v>113</v>
      </c>
      <c r="AR143" s="42">
        <f>VLOOKUP(A143,'[1]Chứng chỉ'!$B$8:$Q$1111,11,0)</f>
        <v>0</v>
      </c>
      <c r="AS143" s="42">
        <f>VLOOKUP(A143,'[1]Chứng chỉ'!$B$8:$Q$1111,12,0)</f>
        <v>0</v>
      </c>
      <c r="AT143" s="47" t="str">
        <f>VLOOKUP(A143,'[1]Chứng chỉ'!$B$8:$Q$1111,13,0)</f>
        <v>Sơ cấp</v>
      </c>
      <c r="AU143" s="42" t="str">
        <f>VLOOKUP(A143,'[1]Chứng chỉ'!$B$8:$Q$1111,14,0)</f>
        <v>Anh B1; dân tộc</v>
      </c>
      <c r="AV143" s="42">
        <f>VLOOKUP(A143,'[1]Chứng chỉ'!$B$8:$Q$1111,15,0)</f>
        <v>0</v>
      </c>
      <c r="AW143" s="42" t="str">
        <f>VLOOKUP(A143,'[1]Chứng chỉ'!$B$8:$Q$1111,16,0)</f>
        <v>Cơ bản</v>
      </c>
      <c r="AX143" s="42"/>
      <c r="AY143" s="57" t="s">
        <v>127</v>
      </c>
      <c r="AZ143" s="65"/>
      <c r="BA143" s="74" t="e">
        <f t="shared" si="68"/>
        <v>#REF!</v>
      </c>
      <c r="BB143" s="74" t="e">
        <f t="shared" si="69"/>
        <v>#REF!</v>
      </c>
      <c r="BC143" s="79" t="s">
        <v>1163</v>
      </c>
      <c r="BD143" s="64"/>
    </row>
    <row r="144" spans="1:56" ht="51" x14ac:dyDescent="0.3">
      <c r="A144" s="41" t="s">
        <v>1164</v>
      </c>
      <c r="B144" s="42">
        <f t="shared" si="0"/>
        <v>138</v>
      </c>
      <c r="C144" s="68" t="s">
        <v>1165</v>
      </c>
      <c r="D144" s="41" t="s">
        <v>1164</v>
      </c>
      <c r="E144" s="61">
        <v>2010000160</v>
      </c>
      <c r="F144" s="64"/>
      <c r="G144" s="49" t="s">
        <v>1166</v>
      </c>
      <c r="H144" s="76">
        <v>31995</v>
      </c>
      <c r="I144" s="76"/>
      <c r="J144" s="66">
        <f ca="1">INT(DATEDIF(H144,$J$2,"d")/365)</f>
        <v>39</v>
      </c>
      <c r="K144" s="75" t="s">
        <v>1167</v>
      </c>
      <c r="L144" s="83" t="s">
        <v>1168</v>
      </c>
      <c r="M144" s="53" t="s">
        <v>67</v>
      </c>
      <c r="N144" s="66" t="s">
        <v>94</v>
      </c>
      <c r="O144" s="53" t="s">
        <v>1169</v>
      </c>
      <c r="P144" s="49" t="s">
        <v>1170</v>
      </c>
      <c r="Q144" s="49" t="s">
        <v>544</v>
      </c>
      <c r="R144" s="49"/>
      <c r="S144" s="49" t="s">
        <v>1171</v>
      </c>
      <c r="T144" s="49" t="s">
        <v>282</v>
      </c>
      <c r="U144" s="49" t="s">
        <v>94</v>
      </c>
      <c r="V144" s="49" t="str">
        <f t="shared" si="67"/>
        <v>Xã Minh Tiến, Huyện Hữu Lũng, Tỉnh Lạng Sơn</v>
      </c>
      <c r="W144" s="55" t="s">
        <v>236</v>
      </c>
      <c r="X144" s="41"/>
      <c r="Y144" s="41"/>
      <c r="Z144" s="41"/>
      <c r="AA144" s="68">
        <f>VLOOKUP(A144,'[1]DANH SÁCH'!$B$8:$AD$841,12,0)</f>
        <v>0</v>
      </c>
      <c r="AB144" s="49" t="str">
        <f>VLOOKUP(A144,'[1]DANH SÁCH'!$B$8:$H$841,6,0)</f>
        <v>TĐ011</v>
      </c>
      <c r="AC144" s="69" t="str">
        <f>VLOOKUP(A144,'[1]DANH SÁCH'!$B$8:$J$841,9,0)</f>
        <v>Chấn thương - Bỏng</v>
      </c>
      <c r="AD144" s="69" t="str">
        <f>VLOOKUP(A144,'[1]DANH SÁCH'!$B$8:$AC$841,10,0)</f>
        <v>KP014</v>
      </c>
      <c r="AE144" s="69" t="str">
        <f>VLOOKUP(A144,'[1]DANH SÁCH'!$B$8:$AD$841,13,0)</f>
        <v>Viên chức</v>
      </c>
      <c r="AF144" s="41" t="s">
        <v>157</v>
      </c>
      <c r="AG144" s="42" t="str">
        <f>VLOOKUP(A144,'[1]DANH SÁCH'!$B$8:$H$841,7,0)</f>
        <v>Điều dưỡng (hạng III)</v>
      </c>
      <c r="AH144" s="45">
        <v>3.66</v>
      </c>
      <c r="AI144" s="42">
        <v>5</v>
      </c>
      <c r="AJ144" s="70">
        <v>0</v>
      </c>
      <c r="AK144" s="69">
        <v>45778</v>
      </c>
      <c r="AL144" s="71" t="s">
        <v>158</v>
      </c>
      <c r="AM144" s="53" t="str">
        <f>VLOOKUP(A144,'[1]DANH SÁCH'!$B$8:$F$841,5,0)</f>
        <v>Điều dưỡng ĐH</v>
      </c>
      <c r="AN144" s="53"/>
      <c r="AO144" s="53" t="s">
        <v>1172</v>
      </c>
      <c r="AP144" s="53">
        <v>2008</v>
      </c>
      <c r="AQ144" s="99" t="s">
        <v>113</v>
      </c>
      <c r="AR144" s="42">
        <f>VLOOKUP(A144,'[1]Chứng chỉ'!$B$8:$Q$1111,11,0)</f>
        <v>0</v>
      </c>
      <c r="AS144" s="42">
        <f>VLOOKUP(A144,'[1]Chứng chỉ'!$B$8:$Q$1111,12,0)</f>
        <v>0</v>
      </c>
      <c r="AT144" s="47" t="s">
        <v>139</v>
      </c>
      <c r="AU144" s="42" t="str">
        <f>VLOOKUP(A144,'[1]Chứng chỉ'!$B$8:$Q$1111,14,0)</f>
        <v>Anh B</v>
      </c>
      <c r="AV144" s="42">
        <f>VLOOKUP(A144,'[1]Chứng chỉ'!$B$8:$Q$1111,15,0)</f>
        <v>0</v>
      </c>
      <c r="AW144" s="42" t="str">
        <f>VLOOKUP(A144,'[1]Chứng chỉ'!$B$8:$Q$1111,16,0)</f>
        <v>Cơ bản</v>
      </c>
      <c r="AX144" s="42"/>
      <c r="AY144" s="57" t="s">
        <v>127</v>
      </c>
      <c r="AZ144" s="65"/>
      <c r="BA144" s="74" t="e">
        <f t="shared" si="68"/>
        <v>#REF!</v>
      </c>
      <c r="BB144" s="74" t="e">
        <f t="shared" si="69"/>
        <v>#REF!</v>
      </c>
      <c r="BC144" s="79" t="s">
        <v>1157</v>
      </c>
      <c r="BD144" s="64"/>
    </row>
    <row r="145" spans="1:56" ht="51" x14ac:dyDescent="0.3">
      <c r="A145" s="41" t="s">
        <v>1173</v>
      </c>
      <c r="B145" s="42">
        <f t="shared" si="0"/>
        <v>139</v>
      </c>
      <c r="C145" s="68" t="s">
        <v>1174</v>
      </c>
      <c r="D145" s="41" t="s">
        <v>1173</v>
      </c>
      <c r="E145" s="61">
        <v>2009000169</v>
      </c>
      <c r="F145" s="64"/>
      <c r="G145" s="49" t="s">
        <v>1175</v>
      </c>
      <c r="H145" s="76"/>
      <c r="I145" s="76">
        <v>31583</v>
      </c>
      <c r="J145" s="66">
        <f t="shared" ref="J145:J146" ca="1" si="70">INT(DATEDIF(I145,$J$2,"d")/365)</f>
        <v>40</v>
      </c>
      <c r="K145" s="75" t="s">
        <v>1176</v>
      </c>
      <c r="L145" s="83" t="s">
        <v>1177</v>
      </c>
      <c r="M145" s="53" t="s">
        <v>67</v>
      </c>
      <c r="N145" s="66" t="s">
        <v>94</v>
      </c>
      <c r="O145" s="53" t="s">
        <v>1178</v>
      </c>
      <c r="P145" s="49" t="s">
        <v>145</v>
      </c>
      <c r="Q145" s="49" t="s">
        <v>94</v>
      </c>
      <c r="R145" s="49"/>
      <c r="S145" s="49" t="s">
        <v>136</v>
      </c>
      <c r="T145" s="49" t="s">
        <v>97</v>
      </c>
      <c r="U145" s="49" t="s">
        <v>94</v>
      </c>
      <c r="V145" s="49" t="str">
        <f t="shared" si="67"/>
        <v>Phường Chi Lăng, Thành phố Lạng Sơn, Tỉnh Lạng Sơn</v>
      </c>
      <c r="W145" s="55" t="s">
        <v>98</v>
      </c>
      <c r="X145" s="41"/>
      <c r="Y145" s="41"/>
      <c r="Z145" s="41"/>
      <c r="AA145" s="68">
        <f>VLOOKUP(A145,'[1]DANH SÁCH'!$B$8:$AD$841,12,0)</f>
        <v>0</v>
      </c>
      <c r="AB145" s="49" t="str">
        <f>VLOOKUP(A145,'[1]DANH SÁCH'!$B$8:$H$841,6,0)</f>
        <v>TĐ012</v>
      </c>
      <c r="AC145" s="69" t="str">
        <f>VLOOKUP(A145,'[1]DANH SÁCH'!$B$8:$J$841,9,0)</f>
        <v>Chấn thương - Bỏng</v>
      </c>
      <c r="AD145" s="69" t="str">
        <f>VLOOKUP(A145,'[1]DANH SÁCH'!$B$8:$AC$841,10,0)</f>
        <v>KP014</v>
      </c>
      <c r="AE145" s="69" t="str">
        <f>VLOOKUP(A145,'[1]DANH SÁCH'!$B$8:$AD$841,13,0)</f>
        <v>Viên chức</v>
      </c>
      <c r="AF145" s="41" t="s">
        <v>157</v>
      </c>
      <c r="AG145" s="42" t="str">
        <f>VLOOKUP(A145,'[1]DANH SÁCH'!$B$8:$H$841,7,0)</f>
        <v>Điều dưỡng (hạng IV)</v>
      </c>
      <c r="AH145" s="45">
        <v>3.65</v>
      </c>
      <c r="AI145" s="42">
        <v>6</v>
      </c>
      <c r="AJ145" s="70">
        <v>0</v>
      </c>
      <c r="AK145" s="69">
        <v>45809</v>
      </c>
      <c r="AL145" s="71" t="s">
        <v>158</v>
      </c>
      <c r="AM145" s="53" t="str">
        <f>VLOOKUP(A145,'[1]DANH SÁCH'!$B$8:$F$841,5,0)</f>
        <v>Điều dưỡng CĐ</v>
      </c>
      <c r="AN145" s="53"/>
      <c r="AO145" s="53" t="s">
        <v>1093</v>
      </c>
      <c r="AP145" s="53">
        <v>2007</v>
      </c>
      <c r="AQ145" s="99" t="s">
        <v>113</v>
      </c>
      <c r="AR145" s="42">
        <f>VLOOKUP(A145,'[1]Chứng chỉ'!$B$8:$Q$1111,11,0)</f>
        <v>0</v>
      </c>
      <c r="AS145" s="42">
        <f>VLOOKUP(A145,'[1]Chứng chỉ'!$B$8:$Q$1111,12,0)</f>
        <v>0</v>
      </c>
      <c r="AT145" s="47">
        <f>VLOOKUP(A145,'[1]Chứng chỉ'!$B$8:$Q$1111,13,0)</f>
        <v>0</v>
      </c>
      <c r="AU145" s="42" t="str">
        <f>VLOOKUP(A145,'[1]Chứng chỉ'!$B$8:$Q$1111,14,0)</f>
        <v>x</v>
      </c>
      <c r="AV145" s="42">
        <f>VLOOKUP(A145,'[1]Chứng chỉ'!$B$8:$Q$1111,15,0)</f>
        <v>0</v>
      </c>
      <c r="AW145" s="42" t="str">
        <f>VLOOKUP(A145,'[1]Chứng chỉ'!$B$8:$Q$1111,16,0)</f>
        <v>x</v>
      </c>
      <c r="AX145" s="42"/>
      <c r="AY145" s="57" t="s">
        <v>85</v>
      </c>
      <c r="AZ145" s="65"/>
      <c r="BA145" s="74" t="e">
        <f t="shared" si="68"/>
        <v>#REF!</v>
      </c>
      <c r="BB145" s="74" t="e">
        <f t="shared" si="69"/>
        <v>#REF!</v>
      </c>
      <c r="BC145" s="79" t="s">
        <v>1179</v>
      </c>
      <c r="BD145" s="64"/>
    </row>
    <row r="146" spans="1:56" ht="51" x14ac:dyDescent="0.3">
      <c r="A146" s="41" t="s">
        <v>1180</v>
      </c>
      <c r="B146" s="42">
        <f t="shared" si="0"/>
        <v>140</v>
      </c>
      <c r="C146" s="68" t="s">
        <v>1181</v>
      </c>
      <c r="D146" s="41" t="s">
        <v>1180</v>
      </c>
      <c r="E146" s="61">
        <v>2011000013</v>
      </c>
      <c r="F146" s="64"/>
      <c r="G146" s="49" t="s">
        <v>1182</v>
      </c>
      <c r="H146" s="76"/>
      <c r="I146" s="76">
        <v>31825</v>
      </c>
      <c r="J146" s="66">
        <f t="shared" ca="1" si="70"/>
        <v>39</v>
      </c>
      <c r="K146" s="75" t="s">
        <v>1183</v>
      </c>
      <c r="L146" s="83" t="s">
        <v>1184</v>
      </c>
      <c r="M146" s="53" t="s">
        <v>67</v>
      </c>
      <c r="N146" s="66" t="s">
        <v>94</v>
      </c>
      <c r="O146" s="53" t="s">
        <v>1185</v>
      </c>
      <c r="P146" s="49" t="s">
        <v>195</v>
      </c>
      <c r="Q146" s="49" t="s">
        <v>94</v>
      </c>
      <c r="R146" s="49"/>
      <c r="S146" s="49" t="s">
        <v>1185</v>
      </c>
      <c r="T146" s="49" t="s">
        <v>195</v>
      </c>
      <c r="U146" s="49" t="s">
        <v>94</v>
      </c>
      <c r="V146" s="49" t="str">
        <f t="shared" si="67"/>
        <v>Xã Quốc Việt, Huyện Tràng Định, Tỉnh Lạng Sơn</v>
      </c>
      <c r="W146" s="55" t="s">
        <v>224</v>
      </c>
      <c r="X146" s="41"/>
      <c r="Y146" s="41"/>
      <c r="Z146" s="41"/>
      <c r="AA146" s="68">
        <f>VLOOKUP(A146,'[1]DANH SÁCH'!$B$8:$AD$841,12,0)</f>
        <v>0</v>
      </c>
      <c r="AB146" s="49" t="str">
        <f>VLOOKUP(A146,'[1]DANH SÁCH'!$B$8:$H$841,6,0)</f>
        <v>TĐ012</v>
      </c>
      <c r="AC146" s="69" t="str">
        <f>VLOOKUP(A146,'[1]DANH SÁCH'!$B$8:$J$841,9,0)</f>
        <v>Chấn thương - Bỏng</v>
      </c>
      <c r="AD146" s="69" t="str">
        <f>VLOOKUP(A146,'[1]DANH SÁCH'!$B$8:$AC$841,10,0)</f>
        <v>KP014</v>
      </c>
      <c r="AE146" s="69" t="str">
        <f>VLOOKUP(A146,'[1]DANH SÁCH'!$B$8:$AD$841,13,0)</f>
        <v>Viên chức</v>
      </c>
      <c r="AF146" s="41" t="s">
        <v>157</v>
      </c>
      <c r="AG146" s="42" t="str">
        <f>VLOOKUP(A146,'[1]DANH SÁCH'!$B$8:$H$841,7,0)</f>
        <v>Điều dưỡng (hạng IV)</v>
      </c>
      <c r="AH146" s="45">
        <v>3.34</v>
      </c>
      <c r="AI146" s="42">
        <v>5</v>
      </c>
      <c r="AJ146" s="70">
        <v>0</v>
      </c>
      <c r="AK146" s="69">
        <v>44927</v>
      </c>
      <c r="AL146" s="71" t="s">
        <v>158</v>
      </c>
      <c r="AM146" s="53" t="str">
        <f>VLOOKUP(A146,'[1]DANH SÁCH'!$B$8:$F$841,5,0)</f>
        <v>Điều dưỡng CĐ</v>
      </c>
      <c r="AN146" s="53"/>
      <c r="AO146" s="53" t="s">
        <v>1093</v>
      </c>
      <c r="AP146" s="53">
        <v>2008</v>
      </c>
      <c r="AQ146" s="99" t="s">
        <v>113</v>
      </c>
      <c r="AR146" s="42">
        <f>VLOOKUP(A146,'[1]Chứng chỉ'!$B$8:$Q$1111,11,0)</f>
        <v>0</v>
      </c>
      <c r="AS146" s="42">
        <f>VLOOKUP(A146,'[1]Chứng chỉ'!$B$8:$Q$1111,12,0)</f>
        <v>0</v>
      </c>
      <c r="AT146" s="47">
        <f>VLOOKUP(A146,'[1]Chứng chỉ'!$B$8:$Q$1111,13,0)</f>
        <v>0</v>
      </c>
      <c r="AU146" s="42" t="str">
        <f>VLOOKUP(A146,'[1]Chứng chỉ'!$B$8:$Q$1111,14,0)</f>
        <v>Anh B</v>
      </c>
      <c r="AV146" s="42" t="str">
        <f>VLOOKUP(A146,'[1]Chứng chỉ'!$B$8:$Q$1111,15,0)</f>
        <v>Tày</v>
      </c>
      <c r="AW146" s="42" t="str">
        <f>VLOOKUP(A146,'[1]Chứng chỉ'!$B$8:$Q$1111,16,0)</f>
        <v>Cơ bản</v>
      </c>
      <c r="AX146" s="53"/>
      <c r="AY146" s="57" t="s">
        <v>85</v>
      </c>
      <c r="AZ146" s="65"/>
      <c r="BA146" s="74" t="e">
        <f t="shared" si="68"/>
        <v>#REF!</v>
      </c>
      <c r="BB146" s="74" t="e">
        <f t="shared" si="69"/>
        <v>#REF!</v>
      </c>
      <c r="BC146" s="79" t="s">
        <v>114</v>
      </c>
      <c r="BD146" s="64"/>
    </row>
    <row r="147" spans="1:56" ht="40.799999999999997" x14ac:dyDescent="0.3">
      <c r="A147" s="46" t="s">
        <v>1186</v>
      </c>
      <c r="B147" s="42">
        <f t="shared" si="0"/>
        <v>141</v>
      </c>
      <c r="C147" s="93" t="s">
        <v>1187</v>
      </c>
      <c r="D147" s="46" t="s">
        <v>1186</v>
      </c>
      <c r="E147" s="61" t="s">
        <v>1188</v>
      </c>
      <c r="F147" s="64"/>
      <c r="G147" s="49" t="s">
        <v>1189</v>
      </c>
      <c r="H147" s="46" t="s">
        <v>1190</v>
      </c>
      <c r="I147" s="101"/>
      <c r="J147" s="66">
        <f t="shared" ref="J147:J153" ca="1" si="71">INT(DATEDIF(H147,$J$2,"d")/365)</f>
        <v>34</v>
      </c>
      <c r="K147" s="75" t="s">
        <v>1191</v>
      </c>
      <c r="L147" s="120" t="s">
        <v>1192</v>
      </c>
      <c r="M147" s="53" t="s">
        <v>67</v>
      </c>
      <c r="N147" s="52" t="s">
        <v>94</v>
      </c>
      <c r="O147" s="56" t="s">
        <v>184</v>
      </c>
      <c r="P147" s="47" t="s">
        <v>1193</v>
      </c>
      <c r="Q147" s="47" t="s">
        <v>71</v>
      </c>
      <c r="R147" s="122" t="s">
        <v>1194</v>
      </c>
      <c r="S147" s="47" t="s">
        <v>184</v>
      </c>
      <c r="T147" s="47" t="s">
        <v>182</v>
      </c>
      <c r="U147" s="47" t="s">
        <v>94</v>
      </c>
      <c r="V147" s="122" t="s">
        <v>1195</v>
      </c>
      <c r="W147" s="104" t="s">
        <v>384</v>
      </c>
      <c r="X147" s="46"/>
      <c r="Y147" s="122">
        <v>571</v>
      </c>
      <c r="Z147" s="122" t="s">
        <v>386</v>
      </c>
      <c r="AA147" s="68">
        <f>VLOOKUP(A147,'[1]DANH SÁCH'!$B$8:$AD$841,12,0)</f>
        <v>0</v>
      </c>
      <c r="AB147" s="49" t="str">
        <f>VLOOKUP(A147,'[1]DANH SÁCH'!$B$8:$H$841,6,0)</f>
        <v>TĐ005</v>
      </c>
      <c r="AC147" s="69" t="str">
        <f>VLOOKUP(A147,'[1]DANH SÁCH'!$B$8:$J$841,9,0)</f>
        <v>Chấn thương - Bỏng</v>
      </c>
      <c r="AD147" s="69" t="str">
        <f>VLOOKUP(A147,'[1]DANH SÁCH'!$B$8:$AC$841,10,0)</f>
        <v>KP014</v>
      </c>
      <c r="AE147" s="69" t="str">
        <f>VLOOKUP(A147,'[1]DANH SÁCH'!$B$8:$AD$841,13,0)</f>
        <v>Viên chức</v>
      </c>
      <c r="AF147" s="41" t="s">
        <v>274</v>
      </c>
      <c r="AG147" s="122" t="s">
        <v>296</v>
      </c>
      <c r="AH147" s="45">
        <v>3</v>
      </c>
      <c r="AI147" s="42">
        <v>3</v>
      </c>
      <c r="AJ147" s="70">
        <v>0</v>
      </c>
      <c r="AK147" s="69">
        <v>45658</v>
      </c>
      <c r="AL147" s="71" t="s">
        <v>80</v>
      </c>
      <c r="AM147" s="53" t="str">
        <f>VLOOKUP(A147,'[1]DANH SÁCH'!$B$8:$F$841,5,0)</f>
        <v>Bác sĩ</v>
      </c>
      <c r="AN147" s="53" t="s">
        <v>1196</v>
      </c>
      <c r="AO147" s="53" t="s">
        <v>1197</v>
      </c>
      <c r="AP147" s="53">
        <v>2017</v>
      </c>
      <c r="AQ147" s="99" t="s">
        <v>113</v>
      </c>
      <c r="AR147" s="42">
        <f>VLOOKUP(A147,'[1]Chứng chỉ'!$B$8:$Q$1111,11,0)</f>
        <v>0</v>
      </c>
      <c r="AS147" s="42">
        <f>VLOOKUP(A147,'[1]Chứng chỉ'!$B$8:$Q$1111,12,0)</f>
        <v>0</v>
      </c>
      <c r="AT147" s="47">
        <f>VLOOKUP(A147,'[1]Chứng chỉ'!$B$8:$Q$1111,13,0)</f>
        <v>0</v>
      </c>
      <c r="AU147" s="42">
        <f>VLOOKUP(A147,'[1]Chứng chỉ'!$B$8:$Q$1111,14,0)</f>
        <v>0</v>
      </c>
      <c r="AV147" s="42">
        <f>VLOOKUP(A147,'[1]Chứng chỉ'!$B$8:$Q$1111,15,0)</f>
        <v>0</v>
      </c>
      <c r="AW147" s="42">
        <f>VLOOKUP(A147,'[1]Chứng chỉ'!$B$8:$Q$1111,16,0)</f>
        <v>0</v>
      </c>
      <c r="AX147" s="47"/>
      <c r="AY147" s="73" t="s">
        <v>85</v>
      </c>
      <c r="AZ147" s="65"/>
      <c r="BA147" s="74"/>
      <c r="BB147" s="74"/>
      <c r="BC147" s="79" t="s">
        <v>114</v>
      </c>
      <c r="BD147" s="64"/>
    </row>
    <row r="148" spans="1:56" ht="51" x14ac:dyDescent="0.3">
      <c r="A148" s="46" t="s">
        <v>1198</v>
      </c>
      <c r="B148" s="42">
        <f t="shared" si="0"/>
        <v>142</v>
      </c>
      <c r="C148" s="63" t="s">
        <v>1199</v>
      </c>
      <c r="D148" s="46" t="s">
        <v>1198</v>
      </c>
      <c r="E148" s="61" t="s">
        <v>1200</v>
      </c>
      <c r="F148" s="64"/>
      <c r="G148" s="49" t="s">
        <v>1201</v>
      </c>
      <c r="H148" s="65">
        <v>32991</v>
      </c>
      <c r="I148" s="47"/>
      <c r="J148" s="66">
        <f t="shared" ca="1" si="71"/>
        <v>36</v>
      </c>
      <c r="K148" s="75" t="s">
        <v>1202</v>
      </c>
      <c r="L148" s="46" t="s">
        <v>1203</v>
      </c>
      <c r="M148" s="53" t="s">
        <v>67</v>
      </c>
      <c r="N148" s="66" t="s">
        <v>94</v>
      </c>
      <c r="O148" s="56" t="s">
        <v>1204</v>
      </c>
      <c r="P148" s="47" t="s">
        <v>1205</v>
      </c>
      <c r="Q148" s="47" t="s">
        <v>1206</v>
      </c>
      <c r="R148" s="47" t="s">
        <v>1207</v>
      </c>
      <c r="S148" s="47" t="s">
        <v>166</v>
      </c>
      <c r="T148" s="47" t="s">
        <v>97</v>
      </c>
      <c r="U148" s="47" t="s">
        <v>71</v>
      </c>
      <c r="V148" s="49" t="str">
        <f t="shared" ref="V148:V168" si="72">S148&amp;", "&amp;T148&amp;", "&amp;U148</f>
        <v>Phường Tam Thanh, Thành phố Lạng Sơn, Lạng Sơn</v>
      </c>
      <c r="W148" s="67" t="s">
        <v>1208</v>
      </c>
      <c r="X148" s="46"/>
      <c r="Y148" s="46"/>
      <c r="Z148" s="46"/>
      <c r="AA148" s="68">
        <f>VLOOKUP(A148,'[1]DANH SÁCH'!$B$8:$AD$841,12,0)</f>
        <v>0</v>
      </c>
      <c r="AB148" s="49" t="str">
        <f>VLOOKUP(A148,'[1]DANH SÁCH'!$B$8:$H$841,6,0)</f>
        <v>TĐ003</v>
      </c>
      <c r="AC148" s="69" t="str">
        <f>VLOOKUP(A148,'[1]DANH SÁCH'!$B$8:$J$841,9,0)</f>
        <v>Chấn thương - Bỏng</v>
      </c>
      <c r="AD148" s="69" t="str">
        <f>VLOOKUP(A148,'[1]DANH SÁCH'!$B$8:$AC$841,10,0)</f>
        <v>KP014</v>
      </c>
      <c r="AE148" s="69" t="str">
        <f>VLOOKUP(A148,'[1]DANH SÁCH'!$B$8:$AD$841,13,0)</f>
        <v>Viên chức</v>
      </c>
      <c r="AF148" s="41" t="s">
        <v>274</v>
      </c>
      <c r="AG148" s="42" t="str">
        <f>VLOOKUP(A148,'[1]DANH SÁCH'!$B$8:$H$841,7,0)</f>
        <v>Bác sĩ (hạng III)</v>
      </c>
      <c r="AH148" s="45">
        <v>3</v>
      </c>
      <c r="AI148" s="42">
        <v>3</v>
      </c>
      <c r="AJ148" s="70">
        <v>0</v>
      </c>
      <c r="AK148" s="69">
        <v>45246</v>
      </c>
      <c r="AL148" s="71" t="s">
        <v>80</v>
      </c>
      <c r="AM148" s="53" t="str">
        <f>VLOOKUP(A148,'[1]DANH SÁCH'!$B$8:$F$841,5,0)</f>
        <v>BSCKI</v>
      </c>
      <c r="AN148" s="53" t="s">
        <v>372</v>
      </c>
      <c r="AO148" s="53" t="s">
        <v>1138</v>
      </c>
      <c r="AP148" s="53">
        <v>2016</v>
      </c>
      <c r="AQ148" s="99" t="s">
        <v>113</v>
      </c>
      <c r="AR148" s="42">
        <f>VLOOKUP(A148,'[1]Chứng chỉ'!$B$8:$Q$1111,11,0)</f>
        <v>0</v>
      </c>
      <c r="AS148" s="42">
        <f>VLOOKUP(A148,'[1]Chứng chỉ'!$B$8:$Q$1111,12,0)</f>
        <v>0</v>
      </c>
      <c r="AT148" s="47" t="s">
        <v>139</v>
      </c>
      <c r="AU148" s="42" t="str">
        <f>VLOOKUP(A148,'[1]Chứng chỉ'!$B$8:$Q$1111,14,0)</f>
        <v>Anh B</v>
      </c>
      <c r="AV148" s="42">
        <f>VLOOKUP(A148,'[1]Chứng chỉ'!$B$8:$Q$1111,15,0)</f>
        <v>0</v>
      </c>
      <c r="AW148" s="42" t="str">
        <f>VLOOKUP(A148,'[1]Chứng chỉ'!$B$8:$Q$1111,16,0)</f>
        <v>Tin B</v>
      </c>
      <c r="AX148" s="47"/>
      <c r="AY148" s="73" t="s">
        <v>87</v>
      </c>
      <c r="AZ148" s="65"/>
      <c r="BA148" s="74" t="e">
        <f t="shared" ref="BA148:BA153" si="73">VLOOKUP(A148,#REF!,4,0)</f>
        <v>#REF!</v>
      </c>
      <c r="BB148" s="74" t="e">
        <f t="shared" ref="BB148:BB153" si="74">VLOOKUP(A148,#REF!,5,0)</f>
        <v>#REF!</v>
      </c>
      <c r="BC148" s="41"/>
      <c r="BD148" s="64"/>
    </row>
    <row r="149" spans="1:56" ht="61.2" x14ac:dyDescent="0.3">
      <c r="A149" s="41" t="s">
        <v>1209</v>
      </c>
      <c r="B149" s="42">
        <f t="shared" si="0"/>
        <v>143</v>
      </c>
      <c r="C149" s="68" t="s">
        <v>1210</v>
      </c>
      <c r="D149" s="41" t="s">
        <v>1209</v>
      </c>
      <c r="E149" s="61">
        <v>1500002051</v>
      </c>
      <c r="F149" s="64"/>
      <c r="G149" s="49" t="s">
        <v>1211</v>
      </c>
      <c r="H149" s="76">
        <v>26285</v>
      </c>
      <c r="I149" s="76"/>
      <c r="J149" s="66">
        <f t="shared" ca="1" si="71"/>
        <v>54</v>
      </c>
      <c r="K149" s="75" t="s">
        <v>1212</v>
      </c>
      <c r="L149" s="83" t="s">
        <v>1213</v>
      </c>
      <c r="M149" s="53" t="s">
        <v>67</v>
      </c>
      <c r="N149" s="66" t="s">
        <v>94</v>
      </c>
      <c r="O149" s="85" t="s">
        <v>758</v>
      </c>
      <c r="P149" s="49" t="s">
        <v>93</v>
      </c>
      <c r="Q149" s="76" t="s">
        <v>94</v>
      </c>
      <c r="R149" s="49"/>
      <c r="S149" s="76" t="s">
        <v>96</v>
      </c>
      <c r="T149" s="76" t="s">
        <v>97</v>
      </c>
      <c r="U149" s="76" t="s">
        <v>94</v>
      </c>
      <c r="V149" s="49" t="str">
        <f t="shared" si="72"/>
        <v>Phường Hoàng Văn Thụ, Thành phố Lạng Sơn, Tỉnh Lạng Sơn</v>
      </c>
      <c r="W149" s="55" t="s">
        <v>1214</v>
      </c>
      <c r="X149" s="41"/>
      <c r="Y149" s="41"/>
      <c r="Z149" s="41"/>
      <c r="AA149" s="68" t="str">
        <f>VLOOKUP(A149,'[1]DANH SÁCH'!$B$8:$AD$841,12,0)</f>
        <v>Trưởng khoa</v>
      </c>
      <c r="AB149" s="49" t="str">
        <f>VLOOKUP(A149,'[1]DANH SÁCH'!$B$8:$H$841,6,0)</f>
        <v>TĐ001</v>
      </c>
      <c r="AC149" s="69" t="str">
        <f>VLOOKUP(A149,'[1]DANH SÁCH'!$B$8:$J$841,9,0)</f>
        <v>Ngoại TK-LN</v>
      </c>
      <c r="AD149" s="69" t="str">
        <f>VLOOKUP(A149,'[1]DANH SÁCH'!$B$8:$AC$841,10,0)</f>
        <v>KP015</v>
      </c>
      <c r="AE149" s="69" t="str">
        <f>VLOOKUP(A149,'[1]DANH SÁCH'!$B$8:$AD$841,13,0)</f>
        <v>Viên chức</v>
      </c>
      <c r="AF149" s="41" t="s">
        <v>79</v>
      </c>
      <c r="AG149" s="42" t="str">
        <f>VLOOKUP(A149,'[1]DANH SÁCH'!$B$8:$H$841,7,0)</f>
        <v>Bác sĩ chính (hạng II)</v>
      </c>
      <c r="AH149" s="45">
        <v>5.42</v>
      </c>
      <c r="AI149" s="42">
        <v>4</v>
      </c>
      <c r="AJ149" s="70">
        <v>0</v>
      </c>
      <c r="AK149" s="69">
        <v>45383</v>
      </c>
      <c r="AL149" s="71" t="s">
        <v>80</v>
      </c>
      <c r="AM149" s="53" t="str">
        <f>VLOOKUP(A149,'[1]DANH SÁCH'!$B$8:$F$841,5,0)</f>
        <v>BSCKII</v>
      </c>
      <c r="AN149" s="53" t="s">
        <v>1215</v>
      </c>
      <c r="AO149" s="53"/>
      <c r="AP149" s="53"/>
      <c r="AQ149" s="99" t="s">
        <v>113</v>
      </c>
      <c r="AR149" s="42" t="s">
        <v>82</v>
      </c>
      <c r="AS149" s="42" t="str">
        <f>VLOOKUP(A149,'[1]Chứng chỉ'!$B$8:$Q$1111,12,0)</f>
        <v>x</v>
      </c>
      <c r="AT149" s="47" t="s">
        <v>139</v>
      </c>
      <c r="AU149" s="42">
        <f>VLOOKUP(A149,'[1]Chứng chỉ'!$B$8:$Q$1111,14,0)</f>
        <v>0</v>
      </c>
      <c r="AV149" s="42">
        <f>VLOOKUP(A149,'[1]Chứng chỉ'!$B$8:$Q$1111,15,0)</f>
        <v>0</v>
      </c>
      <c r="AW149" s="42">
        <f>VLOOKUP(A149,'[1]Chứng chỉ'!$B$8:$Q$1111,16,0)</f>
        <v>0</v>
      </c>
      <c r="AX149" s="42"/>
      <c r="AY149" s="57" t="s">
        <v>85</v>
      </c>
      <c r="AZ149" s="65">
        <v>37512</v>
      </c>
      <c r="BA149" s="74" t="e">
        <f t="shared" si="73"/>
        <v>#REF!</v>
      </c>
      <c r="BB149" s="74" t="e">
        <f t="shared" si="74"/>
        <v>#REF!</v>
      </c>
      <c r="BC149" s="79" t="s">
        <v>351</v>
      </c>
      <c r="BD149" s="64"/>
    </row>
    <row r="150" spans="1:56" ht="61.2" x14ac:dyDescent="0.3">
      <c r="A150" s="41" t="s">
        <v>1216</v>
      </c>
      <c r="B150" s="42">
        <f t="shared" si="0"/>
        <v>144</v>
      </c>
      <c r="C150" s="68" t="s">
        <v>1217</v>
      </c>
      <c r="D150" s="41" t="s">
        <v>1216</v>
      </c>
      <c r="E150" s="61">
        <v>2011001573</v>
      </c>
      <c r="F150" s="64"/>
      <c r="G150" s="49" t="s">
        <v>1218</v>
      </c>
      <c r="H150" s="76">
        <v>31459</v>
      </c>
      <c r="I150" s="76"/>
      <c r="J150" s="66">
        <f t="shared" ca="1" si="71"/>
        <v>40</v>
      </c>
      <c r="K150" s="75" t="s">
        <v>1219</v>
      </c>
      <c r="L150" s="83" t="s">
        <v>1220</v>
      </c>
      <c r="M150" s="53" t="s">
        <v>67</v>
      </c>
      <c r="N150" s="66" t="s">
        <v>94</v>
      </c>
      <c r="O150" s="85" t="s">
        <v>1185</v>
      </c>
      <c r="P150" s="49" t="s">
        <v>195</v>
      </c>
      <c r="Q150" s="76" t="s">
        <v>94</v>
      </c>
      <c r="R150" s="49" t="s">
        <v>1221</v>
      </c>
      <c r="S150" s="76" t="s">
        <v>96</v>
      </c>
      <c r="T150" s="76" t="s">
        <v>97</v>
      </c>
      <c r="U150" s="76" t="s">
        <v>94</v>
      </c>
      <c r="V150" s="49" t="str">
        <f t="shared" si="72"/>
        <v>Phường Hoàng Văn Thụ, Thành phố Lạng Sơn, Tỉnh Lạng Sơn</v>
      </c>
      <c r="W150" s="55" t="s">
        <v>315</v>
      </c>
      <c r="X150" s="41"/>
      <c r="Y150" s="41"/>
      <c r="Z150" s="41"/>
      <c r="AA150" s="68" t="str">
        <f>VLOOKUP(A150,'[1]DANH SÁCH'!$B$8:$AD$841,12,0)</f>
        <v>Phó trưởng khoa</v>
      </c>
      <c r="AB150" s="49" t="str">
        <f>VLOOKUP(A150,'[1]DANH SÁCH'!$B$8:$H$841,6,0)</f>
        <v>TĐ003</v>
      </c>
      <c r="AC150" s="69" t="str">
        <f>VLOOKUP(A150,'[1]DANH SÁCH'!$B$8:$J$841,9,0)</f>
        <v>Ngoại TK-LN</v>
      </c>
      <c r="AD150" s="69" t="str">
        <f>VLOOKUP(A150,'[1]DANH SÁCH'!$B$8:$AC$841,10,0)</f>
        <v>KP015</v>
      </c>
      <c r="AE150" s="69" t="str">
        <f>VLOOKUP(A150,'[1]DANH SÁCH'!$B$8:$AD$841,13,0)</f>
        <v>Viên chức</v>
      </c>
      <c r="AF150" s="41" t="s">
        <v>274</v>
      </c>
      <c r="AG150" s="42" t="str">
        <f>VLOOKUP(A150,'[1]DANH SÁCH'!$B$8:$H$841,7,0)</f>
        <v>Bác sĩ chính (hạng II)</v>
      </c>
      <c r="AH150" s="45">
        <v>4.4000000000000004</v>
      </c>
      <c r="AI150" s="42">
        <v>1</v>
      </c>
      <c r="AJ150" s="70">
        <v>0</v>
      </c>
      <c r="AK150" s="69">
        <v>45809</v>
      </c>
      <c r="AL150" s="71" t="s">
        <v>80</v>
      </c>
      <c r="AM150" s="53" t="str">
        <f>VLOOKUP(A150,'[1]DANH SÁCH'!$B$8:$F$841,5,0)</f>
        <v>BSCKI</v>
      </c>
      <c r="AN150" s="53" t="s">
        <v>126</v>
      </c>
      <c r="AO150" s="53" t="s">
        <v>112</v>
      </c>
      <c r="AP150" s="53">
        <v>2018</v>
      </c>
      <c r="AQ150" s="99" t="s">
        <v>113</v>
      </c>
      <c r="AR150" s="42">
        <f>VLOOKUP(A150,'[1]Chứng chỉ'!$B$8:$Q$1111,11,0)</f>
        <v>0</v>
      </c>
      <c r="AS150" s="42" t="s">
        <v>100</v>
      </c>
      <c r="AT150" s="47" t="s">
        <v>139</v>
      </c>
      <c r="AU150" s="42">
        <f>VLOOKUP(A150,'[1]Chứng chỉ'!$B$8:$Q$1111,14,0)</f>
        <v>0</v>
      </c>
      <c r="AV150" s="42">
        <f>VLOOKUP(A150,'[1]Chứng chỉ'!$B$8:$Q$1111,15,0)</f>
        <v>0</v>
      </c>
      <c r="AW150" s="42">
        <f>VLOOKUP(A150,'[1]Chứng chỉ'!$B$8:$Q$1111,16,0)</f>
        <v>0</v>
      </c>
      <c r="AX150" s="42"/>
      <c r="AY150" s="57" t="s">
        <v>85</v>
      </c>
      <c r="AZ150" s="65">
        <v>43574</v>
      </c>
      <c r="BA150" s="74" t="e">
        <f t="shared" si="73"/>
        <v>#REF!</v>
      </c>
      <c r="BB150" s="74" t="e">
        <f t="shared" si="74"/>
        <v>#REF!</v>
      </c>
      <c r="BC150" s="79" t="s">
        <v>114</v>
      </c>
      <c r="BD150" s="64"/>
    </row>
    <row r="151" spans="1:56" ht="61.2" x14ac:dyDescent="0.3">
      <c r="A151" s="41" t="s">
        <v>1222</v>
      </c>
      <c r="B151" s="42">
        <f t="shared" si="0"/>
        <v>145</v>
      </c>
      <c r="C151" s="68" t="s">
        <v>1223</v>
      </c>
      <c r="D151" s="41" t="s">
        <v>1222</v>
      </c>
      <c r="E151" s="61">
        <v>2008000224</v>
      </c>
      <c r="F151" s="64"/>
      <c r="G151" s="49" t="s">
        <v>1224</v>
      </c>
      <c r="H151" s="124" t="s">
        <v>1225</v>
      </c>
      <c r="I151" s="76"/>
      <c r="J151" s="66">
        <f t="shared" ca="1" si="71"/>
        <v>49</v>
      </c>
      <c r="K151" s="75" t="s">
        <v>1226</v>
      </c>
      <c r="L151" s="41" t="s">
        <v>1227</v>
      </c>
      <c r="M151" s="53" t="s">
        <v>67</v>
      </c>
      <c r="N151" s="66"/>
      <c r="O151" s="53" t="s">
        <v>1228</v>
      </c>
      <c r="P151" s="49" t="s">
        <v>758</v>
      </c>
      <c r="Q151" s="49" t="s">
        <v>71</v>
      </c>
      <c r="R151" s="49"/>
      <c r="S151" s="49" t="s">
        <v>166</v>
      </c>
      <c r="T151" s="53" t="s">
        <v>97</v>
      </c>
      <c r="U151" s="53" t="s">
        <v>94</v>
      </c>
      <c r="V151" s="49" t="str">
        <f t="shared" si="72"/>
        <v>Phường Tam Thanh, Thành phố Lạng Sơn, Tỉnh Lạng Sơn</v>
      </c>
      <c r="W151" s="86" t="s">
        <v>1229</v>
      </c>
      <c r="X151" s="41"/>
      <c r="Y151" s="41"/>
      <c r="Z151" s="41"/>
      <c r="AA151" s="68" t="str">
        <f>VLOOKUP(A151,'[1]DANH SÁCH'!$B$8:$AD$841,12,0)</f>
        <v>Trưởng phòng</v>
      </c>
      <c r="AB151" s="49" t="str">
        <f>VLOOKUP(A151,'[1]DANH SÁCH'!$B$8:$H$841,6,0)</f>
        <v>TĐ004</v>
      </c>
      <c r="AC151" s="69" t="str">
        <f>VLOOKUP(A151,'[1]DANH SÁCH'!$B$8:$J$841,9,0)</f>
        <v>QLCL</v>
      </c>
      <c r="AD151" s="69" t="str">
        <f>VLOOKUP(A151,'[1]DANH SÁCH'!$B$8:$AC$841,10,0)</f>
        <v>KP044</v>
      </c>
      <c r="AE151" s="69" t="str">
        <f>VLOOKUP(A151,'[1]DANH SÁCH'!$B$8:$AD$841,13,0)</f>
        <v>Viên chức</v>
      </c>
      <c r="AF151" s="41" t="s">
        <v>79</v>
      </c>
      <c r="AG151" s="42" t="str">
        <f>VLOOKUP(A151,'[1]DANH SÁCH'!$B$8:$H$841,7,0)</f>
        <v>Bác sĩ chính (hạng II)</v>
      </c>
      <c r="AH151" s="45">
        <v>4.74</v>
      </c>
      <c r="AI151" s="42">
        <v>2</v>
      </c>
      <c r="AJ151" s="70">
        <v>0</v>
      </c>
      <c r="AK151" s="69">
        <v>45809</v>
      </c>
      <c r="AL151" s="71" t="s">
        <v>80</v>
      </c>
      <c r="AM151" s="53" t="str">
        <f>VLOOKUP(A151,'[1]DANH SÁCH'!$B$8:$F$841,5,0)</f>
        <v>Thạc sỹ</v>
      </c>
      <c r="AN151" s="53" t="s">
        <v>126</v>
      </c>
      <c r="AO151" s="53" t="s">
        <v>641</v>
      </c>
      <c r="AP151" s="53">
        <v>2015</v>
      </c>
      <c r="AQ151" s="72"/>
      <c r="AR151" s="42">
        <f>VLOOKUP(A151,'[1]Chứng chỉ'!$B$8:$Q$1111,11,0)</f>
        <v>0</v>
      </c>
      <c r="AS151" s="42" t="str">
        <f>VLOOKUP(A151,'[1]Chứng chỉ'!$B$8:$Q$1111,12,0)</f>
        <v>x</v>
      </c>
      <c r="AT151" s="47" t="s">
        <v>139</v>
      </c>
      <c r="AU151" s="42" t="s">
        <v>1230</v>
      </c>
      <c r="AV151" s="42" t="str">
        <f>VLOOKUP(A151,'[1]Chứng chỉ'!$B$8:$Q$1111,15,0)</f>
        <v>Tày</v>
      </c>
      <c r="AW151" s="42" t="s">
        <v>1231</v>
      </c>
      <c r="AX151" s="53"/>
      <c r="AY151" s="57" t="s">
        <v>298</v>
      </c>
      <c r="AZ151" s="65">
        <v>38637</v>
      </c>
      <c r="BA151" s="74" t="e">
        <f t="shared" si="73"/>
        <v>#REF!</v>
      </c>
      <c r="BB151" s="74" t="e">
        <f t="shared" si="74"/>
        <v>#REF!</v>
      </c>
      <c r="BC151" s="41" t="s">
        <v>449</v>
      </c>
      <c r="BD151" s="64"/>
    </row>
    <row r="152" spans="1:56" ht="51" x14ac:dyDescent="0.3">
      <c r="A152" s="41" t="s">
        <v>1232</v>
      </c>
      <c r="B152" s="42">
        <f t="shared" si="0"/>
        <v>146</v>
      </c>
      <c r="C152" s="68" t="s">
        <v>1233</v>
      </c>
      <c r="D152" s="41" t="s">
        <v>1232</v>
      </c>
      <c r="E152" s="61">
        <v>1506002915</v>
      </c>
      <c r="F152" s="64"/>
      <c r="G152" s="49" t="s">
        <v>1234</v>
      </c>
      <c r="H152" s="76">
        <v>29978</v>
      </c>
      <c r="I152" s="76"/>
      <c r="J152" s="66">
        <f t="shared" ca="1" si="71"/>
        <v>44</v>
      </c>
      <c r="K152" s="75" t="s">
        <v>1235</v>
      </c>
      <c r="L152" s="41" t="s">
        <v>1236</v>
      </c>
      <c r="M152" s="53" t="s">
        <v>67</v>
      </c>
      <c r="N152" s="66" t="s">
        <v>1237</v>
      </c>
      <c r="O152" s="53" t="s">
        <v>1238</v>
      </c>
      <c r="P152" s="49" t="s">
        <v>282</v>
      </c>
      <c r="Q152" s="49" t="s">
        <v>94</v>
      </c>
      <c r="R152" s="49"/>
      <c r="S152" s="49" t="s">
        <v>460</v>
      </c>
      <c r="T152" s="53" t="s">
        <v>108</v>
      </c>
      <c r="U152" s="53" t="s">
        <v>94</v>
      </c>
      <c r="V152" s="49" t="str">
        <f t="shared" si="72"/>
        <v>Thị trấn Cao Lộc, Huyện Cao Lộc, Tỉnh Lạng Sơn</v>
      </c>
      <c r="W152" s="55" t="s">
        <v>579</v>
      </c>
      <c r="X152" s="41"/>
      <c r="Y152" s="41"/>
      <c r="Z152" s="41"/>
      <c r="AA152" s="68" t="str">
        <f>VLOOKUP(A152,'[1]DANH SÁCH'!$B$8:$AD$841,12,0)</f>
        <v>Điều dưỡng trưởng</v>
      </c>
      <c r="AB152" s="49" t="str">
        <f>VLOOKUP(A152,'[1]DANH SÁCH'!$B$8:$H$841,6,0)</f>
        <v>TĐ011</v>
      </c>
      <c r="AC152" s="69" t="str">
        <f>VLOOKUP(A152,'[1]DANH SÁCH'!$B$8:$J$841,9,0)</f>
        <v>Ngoại TK-LN</v>
      </c>
      <c r="AD152" s="69" t="str">
        <f>VLOOKUP(A152,'[1]DANH SÁCH'!$B$8:$AC$841,10,0)</f>
        <v>KP015</v>
      </c>
      <c r="AE152" s="69" t="str">
        <f>VLOOKUP(A152,'[1]DANH SÁCH'!$B$8:$AD$841,13,0)</f>
        <v>Viên chức</v>
      </c>
      <c r="AF152" s="41" t="s">
        <v>147</v>
      </c>
      <c r="AG152" s="42" t="str">
        <f>VLOOKUP(A152,'[1]DANH SÁCH'!$B$8:$H$841,7,0)</f>
        <v>Điều dưỡng (hạng III)</v>
      </c>
      <c r="AH152" s="45">
        <v>3.99</v>
      </c>
      <c r="AI152" s="42">
        <v>6</v>
      </c>
      <c r="AJ152" s="70">
        <v>0</v>
      </c>
      <c r="AK152" s="69">
        <v>45689</v>
      </c>
      <c r="AL152" s="71" t="s">
        <v>80</v>
      </c>
      <c r="AM152" s="53" t="str">
        <f>VLOOKUP(A152,'[1]DANH SÁCH'!$B$8:$F$841,5,0)</f>
        <v>Điều dưỡng ĐH</v>
      </c>
      <c r="AN152" s="53"/>
      <c r="AO152" s="53" t="s">
        <v>297</v>
      </c>
      <c r="AP152" s="53">
        <v>2014</v>
      </c>
      <c r="AQ152" s="72" t="s">
        <v>113</v>
      </c>
      <c r="AR152" s="42">
        <f>VLOOKUP(A152,'[1]Chứng chỉ'!$B$8:$Q$1111,11,0)</f>
        <v>0</v>
      </c>
      <c r="AS152" s="42">
        <f>VLOOKUP(A152,'[1]Chứng chỉ'!$B$8:$Q$1111,12,0)</f>
        <v>0</v>
      </c>
      <c r="AT152" s="47" t="s">
        <v>139</v>
      </c>
      <c r="AU152" s="42">
        <f>VLOOKUP(A152,'[1]Chứng chỉ'!$B$8:$Q$1111,14,0)</f>
        <v>0</v>
      </c>
      <c r="AV152" s="42">
        <f>VLOOKUP(A152,'[1]Chứng chỉ'!$B$8:$Q$1111,15,0)</f>
        <v>0</v>
      </c>
      <c r="AW152" s="42">
        <f>VLOOKUP(A152,'[1]Chứng chỉ'!$B$8:$Q$1111,16,0)</f>
        <v>0</v>
      </c>
      <c r="AX152" s="53"/>
      <c r="AY152" s="57" t="s">
        <v>127</v>
      </c>
      <c r="AZ152" s="65">
        <v>41461</v>
      </c>
      <c r="BA152" s="74" t="e">
        <f t="shared" si="73"/>
        <v>#REF!</v>
      </c>
      <c r="BB152" s="74" t="e">
        <f t="shared" si="74"/>
        <v>#REF!</v>
      </c>
      <c r="BC152" s="41" t="s">
        <v>449</v>
      </c>
      <c r="BD152" s="64"/>
    </row>
    <row r="153" spans="1:56" ht="61.2" x14ac:dyDescent="0.3">
      <c r="A153" s="41" t="s">
        <v>1239</v>
      </c>
      <c r="B153" s="42">
        <f t="shared" si="0"/>
        <v>147</v>
      </c>
      <c r="C153" s="68" t="s">
        <v>1240</v>
      </c>
      <c r="D153" s="41" t="s">
        <v>1239</v>
      </c>
      <c r="E153" s="61">
        <v>1596007580</v>
      </c>
      <c r="F153" s="64"/>
      <c r="G153" s="49" t="s">
        <v>1241</v>
      </c>
      <c r="H153" s="76">
        <v>24039</v>
      </c>
      <c r="I153" s="76"/>
      <c r="J153" s="66">
        <f t="shared" ca="1" si="71"/>
        <v>60</v>
      </c>
      <c r="K153" s="75" t="s">
        <v>1242</v>
      </c>
      <c r="L153" s="41" t="s">
        <v>1243</v>
      </c>
      <c r="M153" s="53" t="s">
        <v>67</v>
      </c>
      <c r="N153" s="66"/>
      <c r="O153" s="53"/>
      <c r="P153" s="49" t="s">
        <v>1244</v>
      </c>
      <c r="Q153" s="49" t="s">
        <v>235</v>
      </c>
      <c r="R153" s="49"/>
      <c r="S153" s="49" t="s">
        <v>166</v>
      </c>
      <c r="T153" s="49" t="s">
        <v>97</v>
      </c>
      <c r="U153" s="49" t="s">
        <v>94</v>
      </c>
      <c r="V153" s="49" t="str">
        <f t="shared" si="72"/>
        <v>Phường Tam Thanh, Thành phố Lạng Sơn, Tỉnh Lạng Sơn</v>
      </c>
      <c r="W153" s="55" t="s">
        <v>1245</v>
      </c>
      <c r="X153" s="41"/>
      <c r="Y153" s="41"/>
      <c r="Z153" s="41"/>
      <c r="AA153" s="68">
        <f>VLOOKUP(A153,'[1]DANH SÁCH'!$B$8:$AD$841,12,0)</f>
        <v>0</v>
      </c>
      <c r="AB153" s="49" t="str">
        <f>VLOOKUP(A153,'[1]DANH SÁCH'!$B$8:$H$841,6,0)</f>
        <v>TĐ011</v>
      </c>
      <c r="AC153" s="69" t="str">
        <f>VLOOKUP(A153,'[1]DANH SÁCH'!$B$8:$J$841,9,0)</f>
        <v>Ngoại TK-LN</v>
      </c>
      <c r="AD153" s="69" t="str">
        <f>VLOOKUP(A153,'[1]DANH SÁCH'!$B$8:$AC$841,10,0)</f>
        <v>KP015</v>
      </c>
      <c r="AE153" s="69" t="str">
        <f>VLOOKUP(A153,'[1]DANH SÁCH'!$B$8:$AD$841,13,0)</f>
        <v>Viên chức</v>
      </c>
      <c r="AF153" s="41" t="s">
        <v>147</v>
      </c>
      <c r="AG153" s="42" t="str">
        <f>VLOOKUP(A153,'[1]DANH SÁCH'!$B$8:$H$841,7,0)</f>
        <v>Điều dưỡng (hạng III)</v>
      </c>
      <c r="AH153" s="45">
        <v>4.9800000000000004</v>
      </c>
      <c r="AI153" s="42">
        <v>9</v>
      </c>
      <c r="AJ153" s="70">
        <v>7.0000000000000007E-2</v>
      </c>
      <c r="AK153" s="69">
        <v>45992</v>
      </c>
      <c r="AL153" s="71" t="s">
        <v>80</v>
      </c>
      <c r="AM153" s="53" t="str">
        <f>VLOOKUP(A153,'[1]DANH SÁCH'!$B$8:$F$841,5,0)</f>
        <v>Điều dưỡng ĐH</v>
      </c>
      <c r="AN153" s="53"/>
      <c r="AO153" s="53"/>
      <c r="AP153" s="53"/>
      <c r="AQ153" s="53"/>
      <c r="AR153" s="42">
        <f>VLOOKUP(A153,'[1]Chứng chỉ'!$B$8:$Q$1111,11,0)</f>
        <v>0</v>
      </c>
      <c r="AS153" s="42">
        <f>VLOOKUP(A153,'[1]Chứng chỉ'!$B$8:$Q$1111,12,0)</f>
        <v>0</v>
      </c>
      <c r="AT153" s="47" t="s">
        <v>139</v>
      </c>
      <c r="AU153" s="42">
        <f>VLOOKUP(A153,'[1]Chứng chỉ'!$B$8:$Q$1111,14,0)</f>
        <v>0</v>
      </c>
      <c r="AV153" s="42">
        <f>VLOOKUP(A153,'[1]Chứng chỉ'!$B$8:$Q$1111,15,0)</f>
        <v>0</v>
      </c>
      <c r="AW153" s="42">
        <f>VLOOKUP(A153,'[1]Chứng chỉ'!$B$8:$Q$1111,16,0)</f>
        <v>0</v>
      </c>
      <c r="AX153" s="42"/>
      <c r="AY153" s="57" t="s">
        <v>87</v>
      </c>
      <c r="AZ153" s="65">
        <v>42895</v>
      </c>
      <c r="BA153" s="74" t="e">
        <f t="shared" si="73"/>
        <v>#REF!</v>
      </c>
      <c r="BB153" s="74" t="e">
        <f t="shared" si="74"/>
        <v>#REF!</v>
      </c>
      <c r="BC153" s="41" t="s">
        <v>128</v>
      </c>
      <c r="BD153" s="64"/>
    </row>
    <row r="154" spans="1:56" ht="51" x14ac:dyDescent="0.3">
      <c r="A154" s="42" t="s">
        <v>1246</v>
      </c>
      <c r="B154" s="42">
        <f t="shared" si="0"/>
        <v>148</v>
      </c>
      <c r="C154" s="60" t="s">
        <v>1247</v>
      </c>
      <c r="D154" s="42" t="s">
        <v>1246</v>
      </c>
      <c r="E154" s="61">
        <v>2013000009</v>
      </c>
      <c r="F154" s="64"/>
      <c r="G154" s="49" t="s">
        <v>1248</v>
      </c>
      <c r="H154" s="87"/>
      <c r="I154" s="76">
        <v>33515</v>
      </c>
      <c r="J154" s="66">
        <f t="shared" ref="J154:J155" ca="1" si="75">INT(DATEDIF(I154,$J$2,"d")/365)</f>
        <v>34</v>
      </c>
      <c r="K154" s="75" t="s">
        <v>1249</v>
      </c>
      <c r="L154" s="83" t="s">
        <v>1250</v>
      </c>
      <c r="M154" s="53" t="s">
        <v>67</v>
      </c>
      <c r="N154" s="66" t="s">
        <v>135</v>
      </c>
      <c r="O154" s="53" t="s">
        <v>1251</v>
      </c>
      <c r="P154" s="49" t="s">
        <v>1252</v>
      </c>
      <c r="Q154" s="49" t="s">
        <v>135</v>
      </c>
      <c r="R154" s="49" t="s">
        <v>1253</v>
      </c>
      <c r="S154" s="49" t="s">
        <v>174</v>
      </c>
      <c r="T154" s="49" t="s">
        <v>97</v>
      </c>
      <c r="U154" s="49" t="s">
        <v>94</v>
      </c>
      <c r="V154" s="49" t="str">
        <f t="shared" si="72"/>
        <v>Xã Mai Pha, Thành phố Lạng Sơn, Tỉnh Lạng Sơn</v>
      </c>
      <c r="W154" s="86" t="s">
        <v>249</v>
      </c>
      <c r="X154" s="41"/>
      <c r="Y154" s="41"/>
      <c r="Z154" s="41"/>
      <c r="AA154" s="68">
        <f>VLOOKUP(A154,'[1]DANH SÁCH'!$B$8:$AD$841,12,0)</f>
        <v>0</v>
      </c>
      <c r="AB154" s="49" t="str">
        <f>VLOOKUP(A154,'[1]DANH SÁCH'!$B$8:$H$841,6,0)</f>
        <v>TĐ012</v>
      </c>
      <c r="AC154" s="69" t="str">
        <f>VLOOKUP(A154,'[1]DANH SÁCH'!$B$8:$J$841,9,0)</f>
        <v>Ngoại TK-LN</v>
      </c>
      <c r="AD154" s="69" t="str">
        <f>VLOOKUP(A154,'[1]DANH SÁCH'!$B$8:$AC$841,10,0)</f>
        <v>KP015</v>
      </c>
      <c r="AE154" s="69" t="str">
        <f>VLOOKUP(A154,'[1]DANH SÁCH'!$B$8:$AD$841,13,0)</f>
        <v>Viên chức</v>
      </c>
      <c r="AF154" s="41" t="s">
        <v>157</v>
      </c>
      <c r="AG154" s="42" t="str">
        <f>VLOOKUP(A154,'[1]DANH SÁCH'!$B$8:$H$841,7,0)</f>
        <v>Điều dưỡng (hạng IV)</v>
      </c>
      <c r="AH154" s="45">
        <v>3.34</v>
      </c>
      <c r="AI154" s="42">
        <v>5</v>
      </c>
      <c r="AJ154" s="70">
        <v>0</v>
      </c>
      <c r="AK154" s="69">
        <v>45444</v>
      </c>
      <c r="AL154" s="71" t="s">
        <v>158</v>
      </c>
      <c r="AM154" s="53" t="str">
        <f>VLOOKUP(A154,'[1]DANH SÁCH'!$B$8:$F$841,5,0)</f>
        <v>Điều dưỡng CĐ</v>
      </c>
      <c r="AN154" s="53"/>
      <c r="AO154" s="53" t="s">
        <v>1093</v>
      </c>
      <c r="AP154" s="53">
        <v>2012</v>
      </c>
      <c r="AQ154" s="99" t="s">
        <v>113</v>
      </c>
      <c r="AR154" s="42">
        <f>VLOOKUP(A154,'[1]Chứng chỉ'!$B$8:$Q$1111,11,0)</f>
        <v>0</v>
      </c>
      <c r="AS154" s="42">
        <f>VLOOKUP(A154,'[1]Chứng chỉ'!$B$8:$Q$1111,12,0)</f>
        <v>0</v>
      </c>
      <c r="AT154" s="47" t="s">
        <v>139</v>
      </c>
      <c r="AU154" s="42">
        <f>VLOOKUP(A154,'[1]Chứng chỉ'!$B$8:$Q$1111,14,0)</f>
        <v>0</v>
      </c>
      <c r="AV154" s="42">
        <f>VLOOKUP(A154,'[1]Chứng chỉ'!$B$8:$Q$1111,15,0)</f>
        <v>0</v>
      </c>
      <c r="AW154" s="42">
        <f>VLOOKUP(A154,'[1]Chứng chỉ'!$B$8:$Q$1111,16,0)</f>
        <v>0</v>
      </c>
      <c r="AX154" s="125"/>
      <c r="AY154" s="57" t="s">
        <v>87</v>
      </c>
      <c r="AZ154" s="65"/>
      <c r="BA154" s="74"/>
      <c r="BB154" s="74"/>
      <c r="BC154" s="79" t="s">
        <v>114</v>
      </c>
      <c r="BD154" s="64"/>
    </row>
    <row r="155" spans="1:56" ht="61.2" x14ac:dyDescent="0.3">
      <c r="A155" s="41" t="s">
        <v>1254</v>
      </c>
      <c r="B155" s="42">
        <f t="shared" si="0"/>
        <v>149</v>
      </c>
      <c r="C155" s="68" t="s">
        <v>1255</v>
      </c>
      <c r="D155" s="41" t="s">
        <v>1254</v>
      </c>
      <c r="E155" s="61">
        <v>2013002127</v>
      </c>
      <c r="F155" s="64"/>
      <c r="G155" s="49" t="s">
        <v>1256</v>
      </c>
      <c r="H155" s="76"/>
      <c r="I155" s="76">
        <v>32601</v>
      </c>
      <c r="J155" s="66">
        <f t="shared" ca="1" si="75"/>
        <v>37</v>
      </c>
      <c r="K155" s="75" t="s">
        <v>1257</v>
      </c>
      <c r="L155" s="83" t="s">
        <v>1258</v>
      </c>
      <c r="M155" s="53" t="s">
        <v>67</v>
      </c>
      <c r="N155" s="66" t="s">
        <v>94</v>
      </c>
      <c r="O155" s="53" t="s">
        <v>1259</v>
      </c>
      <c r="P155" s="49" t="s">
        <v>231</v>
      </c>
      <c r="Q155" s="49" t="s">
        <v>94</v>
      </c>
      <c r="R155" s="76"/>
      <c r="S155" s="49" t="s">
        <v>124</v>
      </c>
      <c r="T155" s="49" t="s">
        <v>97</v>
      </c>
      <c r="U155" s="49" t="s">
        <v>94</v>
      </c>
      <c r="V155" s="49" t="str">
        <f t="shared" si="72"/>
        <v>Phường Đông Kinh, Thành phố Lạng Sơn, Tỉnh Lạng Sơn</v>
      </c>
      <c r="W155" s="55" t="s">
        <v>315</v>
      </c>
      <c r="X155" s="41"/>
      <c r="Y155" s="41"/>
      <c r="Z155" s="41"/>
      <c r="AA155" s="68">
        <f>VLOOKUP(A155,'[1]DANH SÁCH'!$B$8:$AD$841,12,0)</f>
        <v>0</v>
      </c>
      <c r="AB155" s="49" t="str">
        <f>VLOOKUP(A155,'[1]DANH SÁCH'!$B$8:$H$841,6,0)</f>
        <v>TĐ012</v>
      </c>
      <c r="AC155" s="69" t="str">
        <f>VLOOKUP(A155,'[1]DANH SÁCH'!$B$8:$J$841,9,0)</f>
        <v>Ngoại TK-LN</v>
      </c>
      <c r="AD155" s="69" t="str">
        <f>VLOOKUP(A155,'[1]DANH SÁCH'!$B$8:$AC$841,10,0)</f>
        <v>KP015</v>
      </c>
      <c r="AE155" s="69" t="str">
        <f>VLOOKUP(A155,'[1]DANH SÁCH'!$B$8:$AD$841,13,0)</f>
        <v>Viên chức</v>
      </c>
      <c r="AF155" s="41" t="s">
        <v>157</v>
      </c>
      <c r="AG155" s="42" t="str">
        <f>VLOOKUP(A155,'[1]DANH SÁCH'!$B$8:$H$841,7,0)</f>
        <v>Điều dưỡng (hạng IV)</v>
      </c>
      <c r="AH155" s="45">
        <v>3.34</v>
      </c>
      <c r="AI155" s="42">
        <v>5</v>
      </c>
      <c r="AJ155" s="70">
        <v>0</v>
      </c>
      <c r="AK155" s="69">
        <v>45453</v>
      </c>
      <c r="AL155" s="71" t="s">
        <v>158</v>
      </c>
      <c r="AM155" s="53" t="str">
        <f>VLOOKUP(A155,'[1]DANH SÁCH'!$B$8:$F$841,5,0)</f>
        <v>Điều dưỡng CĐ</v>
      </c>
      <c r="AN155" s="53"/>
      <c r="AO155" s="53" t="s">
        <v>1093</v>
      </c>
      <c r="AP155" s="53">
        <v>2011</v>
      </c>
      <c r="AQ155" s="99" t="s">
        <v>113</v>
      </c>
      <c r="AR155" s="42">
        <f>VLOOKUP(A155,'[1]Chứng chỉ'!$B$8:$Q$1111,11,0)</f>
        <v>0</v>
      </c>
      <c r="AS155" s="42">
        <f>VLOOKUP(A155,'[1]Chứng chỉ'!$B$8:$Q$1111,12,0)</f>
        <v>0</v>
      </c>
      <c r="AT155" s="47" t="s">
        <v>139</v>
      </c>
      <c r="AU155" s="42" t="str">
        <f>VLOOKUP(A155,'[1]Chứng chỉ'!$B$8:$Q$1111,14,0)</f>
        <v>Anh B</v>
      </c>
      <c r="AV155" s="42" t="str">
        <f>VLOOKUP(A155,'[1]Chứng chỉ'!$B$8:$Q$1111,15,0)</f>
        <v>Tày</v>
      </c>
      <c r="AW155" s="42" t="str">
        <f>VLOOKUP(A155,'[1]Chứng chỉ'!$B$8:$Q$1111,16,0)</f>
        <v>B</v>
      </c>
      <c r="AX155" s="42"/>
      <c r="AY155" s="57" t="s">
        <v>85</v>
      </c>
      <c r="AZ155" s="65"/>
      <c r="BA155" s="74" t="e">
        <f t="shared" ref="BA155:BA156" si="76">VLOOKUP(A155,#REF!,4,0)</f>
        <v>#REF!</v>
      </c>
      <c r="BB155" s="74" t="e">
        <f t="shared" ref="BB155:BB156" si="77">VLOOKUP(A155,#REF!,5,0)</f>
        <v>#REF!</v>
      </c>
      <c r="BC155" s="79" t="s">
        <v>114</v>
      </c>
      <c r="BD155" s="64"/>
    </row>
    <row r="156" spans="1:56" ht="51" x14ac:dyDescent="0.3">
      <c r="A156" s="41" t="s">
        <v>1260</v>
      </c>
      <c r="B156" s="42">
        <f t="shared" si="0"/>
        <v>150</v>
      </c>
      <c r="C156" s="60" t="s">
        <v>1261</v>
      </c>
      <c r="D156" s="41" t="s">
        <v>1260</v>
      </c>
      <c r="E156" s="61">
        <v>2014002797</v>
      </c>
      <c r="F156" s="64"/>
      <c r="G156" s="49" t="s">
        <v>1262</v>
      </c>
      <c r="H156" s="76">
        <v>33011</v>
      </c>
      <c r="I156" s="76"/>
      <c r="J156" s="66">
        <f t="shared" ref="J156:J157" ca="1" si="78">INT(DATEDIF(H156,$J$2,"d")/365)</f>
        <v>36</v>
      </c>
      <c r="K156" s="75" t="s">
        <v>1263</v>
      </c>
      <c r="L156" s="83" t="s">
        <v>1264</v>
      </c>
      <c r="M156" s="53" t="s">
        <v>67</v>
      </c>
      <c r="N156" s="66" t="s">
        <v>94</v>
      </c>
      <c r="O156" s="53" t="s">
        <v>954</v>
      </c>
      <c r="P156" s="49" t="s">
        <v>108</v>
      </c>
      <c r="Q156" s="49" t="s">
        <v>94</v>
      </c>
      <c r="R156" s="49"/>
      <c r="S156" s="49" t="s">
        <v>954</v>
      </c>
      <c r="T156" s="49" t="s">
        <v>108</v>
      </c>
      <c r="U156" s="49" t="s">
        <v>94</v>
      </c>
      <c r="V156" s="49" t="str">
        <f t="shared" si="72"/>
        <v>Xã Bình Trung, Huyện Cao Lộc, Tỉnh Lạng Sơn</v>
      </c>
      <c r="W156" s="86" t="s">
        <v>249</v>
      </c>
      <c r="X156" s="41"/>
      <c r="Y156" s="41"/>
      <c r="Z156" s="41"/>
      <c r="AA156" s="68">
        <f>VLOOKUP(A156,'[1]DANH SÁCH'!$B$8:$AD$841,12,0)</f>
        <v>0</v>
      </c>
      <c r="AB156" s="49" t="str">
        <f>VLOOKUP(A156,'[1]DANH SÁCH'!$B$8:$H$841,6,0)</f>
        <v>TĐ012</v>
      </c>
      <c r="AC156" s="69" t="str">
        <f>VLOOKUP(A156,'[1]DANH SÁCH'!$B$8:$J$841,9,0)</f>
        <v>Ngoại TK-LN</v>
      </c>
      <c r="AD156" s="69" t="str">
        <f>VLOOKUP(A156,'[1]DANH SÁCH'!$B$8:$AC$841,10,0)</f>
        <v>KP015</v>
      </c>
      <c r="AE156" s="69" t="str">
        <f>VLOOKUP(A156,'[1]DANH SÁCH'!$B$8:$AD$841,13,0)</f>
        <v>Viên chức</v>
      </c>
      <c r="AF156" s="41" t="s">
        <v>157</v>
      </c>
      <c r="AG156" s="42" t="str">
        <f>VLOOKUP(A156,'[1]DANH SÁCH'!$B$8:$H$841,7,0)</f>
        <v>Điều dưỡng (hạng IV)</v>
      </c>
      <c r="AH156" s="45">
        <v>3.03</v>
      </c>
      <c r="AI156" s="42">
        <v>4</v>
      </c>
      <c r="AJ156" s="70">
        <v>0</v>
      </c>
      <c r="AK156" s="69">
        <v>45413</v>
      </c>
      <c r="AL156" s="71" t="s">
        <v>158</v>
      </c>
      <c r="AM156" s="53" t="str">
        <f>VLOOKUP(A156,'[1]DANH SÁCH'!$B$8:$F$841,5,0)</f>
        <v>Điều dưỡng CĐ</v>
      </c>
      <c r="AN156" s="53"/>
      <c r="AO156" s="53" t="s">
        <v>1093</v>
      </c>
      <c r="AP156" s="123" t="s">
        <v>1265</v>
      </c>
      <c r="AQ156" s="99" t="s">
        <v>113</v>
      </c>
      <c r="AR156" s="42">
        <f>VLOOKUP(A156,'[1]Chứng chỉ'!$B$8:$Q$1111,11,0)</f>
        <v>0</v>
      </c>
      <c r="AS156" s="42">
        <f>VLOOKUP(A156,'[1]Chứng chỉ'!$B$8:$Q$1111,12,0)</f>
        <v>0</v>
      </c>
      <c r="AT156" s="47" t="s">
        <v>139</v>
      </c>
      <c r="AU156" s="42" t="str">
        <f>VLOOKUP(A156,'[1]Chứng chỉ'!$B$8:$Q$1111,14,0)</f>
        <v>Anh B</v>
      </c>
      <c r="AV156" s="42">
        <f>VLOOKUP(A156,'[1]Chứng chỉ'!$B$8:$Q$1111,15,0)</f>
        <v>0</v>
      </c>
      <c r="AW156" s="42" t="str">
        <f>VLOOKUP(A156,'[1]Chứng chỉ'!$B$8:$Q$1111,16,0)</f>
        <v>B</v>
      </c>
      <c r="AX156" s="125"/>
      <c r="AY156" s="57" t="s">
        <v>127</v>
      </c>
      <c r="AZ156" s="65"/>
      <c r="BA156" s="74" t="e">
        <f t="shared" si="76"/>
        <v>#REF!</v>
      </c>
      <c r="BB156" s="74" t="e">
        <f t="shared" si="77"/>
        <v>#REF!</v>
      </c>
      <c r="BC156" s="79" t="s">
        <v>114</v>
      </c>
      <c r="BD156" s="64"/>
    </row>
    <row r="157" spans="1:56" ht="40.799999999999997" x14ac:dyDescent="0.3">
      <c r="A157" s="46" t="s">
        <v>1266</v>
      </c>
      <c r="B157" s="42">
        <f t="shared" si="0"/>
        <v>151</v>
      </c>
      <c r="C157" s="93" t="s">
        <v>1267</v>
      </c>
      <c r="D157" s="46" t="s">
        <v>1266</v>
      </c>
      <c r="E157" s="61" t="s">
        <v>1268</v>
      </c>
      <c r="F157" s="64"/>
      <c r="G157" s="49" t="s">
        <v>1269</v>
      </c>
      <c r="H157" s="46" t="s">
        <v>1270</v>
      </c>
      <c r="I157" s="46"/>
      <c r="J157" s="66">
        <f t="shared" ca="1" si="78"/>
        <v>33</v>
      </c>
      <c r="K157" s="75" t="s">
        <v>1271</v>
      </c>
      <c r="L157" s="46" t="s">
        <v>1272</v>
      </c>
      <c r="M157" s="53" t="s">
        <v>67</v>
      </c>
      <c r="N157" s="52" t="s">
        <v>1273</v>
      </c>
      <c r="O157" s="56" t="s">
        <v>1274</v>
      </c>
      <c r="P157" s="47" t="s">
        <v>70</v>
      </c>
      <c r="Q157" s="47" t="s">
        <v>71</v>
      </c>
      <c r="R157" s="47" t="s">
        <v>1275</v>
      </c>
      <c r="S157" s="47" t="s">
        <v>1276</v>
      </c>
      <c r="T157" s="47" t="s">
        <v>97</v>
      </c>
      <c r="U157" s="47" t="s">
        <v>71</v>
      </c>
      <c r="V157" s="49" t="str">
        <f t="shared" si="72"/>
        <v>Tam Thanh, Thành phố Lạng Sơn, Lạng Sơn</v>
      </c>
      <c r="W157" s="104" t="s">
        <v>384</v>
      </c>
      <c r="X157" s="46"/>
      <c r="Y157" s="122">
        <v>561</v>
      </c>
      <c r="Z157" s="122" t="s">
        <v>386</v>
      </c>
      <c r="AA157" s="68">
        <f>VLOOKUP(A157,'[1]DANH SÁCH'!$B$8:$AD$841,12,0)</f>
        <v>0</v>
      </c>
      <c r="AB157" s="49" t="str">
        <f>VLOOKUP(A157,'[1]DANH SÁCH'!$B$8:$H$841,6,0)</f>
        <v>TĐ012</v>
      </c>
      <c r="AC157" s="69" t="str">
        <f>VLOOKUP(A157,'[1]DANH SÁCH'!$B$8:$J$841,9,0)</f>
        <v>Ngoại TK-LN</v>
      </c>
      <c r="AD157" s="69" t="str">
        <f>VLOOKUP(A157,'[1]DANH SÁCH'!$B$8:$AC$841,10,0)</f>
        <v>KP015</v>
      </c>
      <c r="AE157" s="69" t="str">
        <f>VLOOKUP(A157,'[1]DANH SÁCH'!$B$8:$AD$841,13,0)</f>
        <v>Viên chức</v>
      </c>
      <c r="AF157" s="115" t="s">
        <v>157</v>
      </c>
      <c r="AG157" s="122" t="s">
        <v>430</v>
      </c>
      <c r="AH157" s="45">
        <v>2.72</v>
      </c>
      <c r="AI157" s="42">
        <v>3</v>
      </c>
      <c r="AJ157" s="70">
        <v>0</v>
      </c>
      <c r="AK157" s="69">
        <v>44927</v>
      </c>
      <c r="AL157" s="71" t="s">
        <v>158</v>
      </c>
      <c r="AM157" s="53" t="str">
        <f>VLOOKUP(A157,'[1]DANH SÁCH'!$B$8:$F$841,5,0)</f>
        <v>Điều dưỡng CĐ</v>
      </c>
      <c r="AN157" s="53"/>
      <c r="AO157" s="53" t="s">
        <v>1093</v>
      </c>
      <c r="AP157" s="53">
        <v>2015</v>
      </c>
      <c r="AQ157" s="99" t="s">
        <v>113</v>
      </c>
      <c r="AR157" s="42">
        <f>VLOOKUP(A157,'[1]Chứng chỉ'!$B$8:$Q$1111,11,0)</f>
        <v>0</v>
      </c>
      <c r="AS157" s="42">
        <f>VLOOKUP(A157,'[1]Chứng chỉ'!$B$8:$Q$1111,12,0)</f>
        <v>0</v>
      </c>
      <c r="AT157" s="47" t="s">
        <v>139</v>
      </c>
      <c r="AU157" s="42" t="str">
        <f>VLOOKUP(A157,'[1]Chứng chỉ'!$B$8:$Q$1111,14,0)</f>
        <v>Anh B</v>
      </c>
      <c r="AV157" s="42">
        <f>VLOOKUP(A157,'[1]Chứng chỉ'!$B$8:$Q$1111,15,0)</f>
        <v>0</v>
      </c>
      <c r="AW157" s="42" t="str">
        <f>VLOOKUP(A157,'[1]Chứng chỉ'!$B$8:$Q$1111,16,0)</f>
        <v>B</v>
      </c>
      <c r="AX157" s="47"/>
      <c r="AY157" s="73" t="s">
        <v>85</v>
      </c>
      <c r="AZ157" s="65"/>
      <c r="BA157" s="74"/>
      <c r="BB157" s="74"/>
      <c r="BC157" s="79" t="s">
        <v>114</v>
      </c>
      <c r="BD157" s="64"/>
    </row>
    <row r="158" spans="1:56" ht="61.2" x14ac:dyDescent="0.3">
      <c r="A158" s="41" t="s">
        <v>1277</v>
      </c>
      <c r="B158" s="42">
        <f t="shared" si="0"/>
        <v>152</v>
      </c>
      <c r="C158" s="68" t="s">
        <v>1278</v>
      </c>
      <c r="D158" s="41" t="s">
        <v>1277</v>
      </c>
      <c r="E158" s="61">
        <v>1506002932</v>
      </c>
      <c r="F158" s="64"/>
      <c r="G158" s="49" t="s">
        <v>1279</v>
      </c>
      <c r="H158" s="76"/>
      <c r="I158" s="76">
        <v>30215</v>
      </c>
      <c r="J158" s="66">
        <f t="shared" ref="J158:J159" ca="1" si="79">INT(DATEDIF(I158,$J$2,"d")/365)</f>
        <v>43</v>
      </c>
      <c r="K158" s="75" t="s">
        <v>1280</v>
      </c>
      <c r="L158" s="83" t="s">
        <v>1281</v>
      </c>
      <c r="M158" s="53" t="s">
        <v>67</v>
      </c>
      <c r="N158" s="66" t="s">
        <v>94</v>
      </c>
      <c r="O158" s="53" t="s">
        <v>329</v>
      </c>
      <c r="P158" s="76" t="s">
        <v>145</v>
      </c>
      <c r="Q158" s="49" t="s">
        <v>94</v>
      </c>
      <c r="R158" s="49"/>
      <c r="S158" s="49" t="s">
        <v>166</v>
      </c>
      <c r="T158" s="49" t="s">
        <v>97</v>
      </c>
      <c r="U158" s="49" t="s">
        <v>94</v>
      </c>
      <c r="V158" s="49" t="str">
        <f t="shared" si="72"/>
        <v>Phường Tam Thanh, Thành phố Lạng Sơn, Tỉnh Lạng Sơn</v>
      </c>
      <c r="W158" s="55" t="s">
        <v>146</v>
      </c>
      <c r="X158" s="41"/>
      <c r="Y158" s="41"/>
      <c r="Z158" s="41"/>
      <c r="AA158" s="68">
        <f>VLOOKUP(A158,'[1]DANH SÁCH'!$B$8:$AD$841,12,0)</f>
        <v>0</v>
      </c>
      <c r="AB158" s="49" t="str">
        <f>VLOOKUP(A158,'[1]DANH SÁCH'!$B$8:$H$841,6,0)</f>
        <v>TĐ012</v>
      </c>
      <c r="AC158" s="69" t="str">
        <f>VLOOKUP(A158,'[1]DANH SÁCH'!$B$8:$J$841,9,0)</f>
        <v>Ngoại TK-LN</v>
      </c>
      <c r="AD158" s="69" t="str">
        <f>VLOOKUP(A158,'[1]DANH SÁCH'!$B$8:$AC$841,10,0)</f>
        <v>KP015</v>
      </c>
      <c r="AE158" s="69" t="str">
        <f>VLOOKUP(A158,'[1]DANH SÁCH'!$B$8:$AD$841,13,0)</f>
        <v>Viên chức</v>
      </c>
      <c r="AF158" s="41" t="s">
        <v>157</v>
      </c>
      <c r="AG158" s="42" t="str">
        <f>VLOOKUP(A158,'[1]DANH SÁCH'!$B$8:$H$841,7,0)</f>
        <v>Điều dưỡng (hạng IV)</v>
      </c>
      <c r="AH158" s="45">
        <v>3.65</v>
      </c>
      <c r="AI158" s="42">
        <v>6</v>
      </c>
      <c r="AJ158" s="70">
        <v>0</v>
      </c>
      <c r="AK158" s="69">
        <v>45413</v>
      </c>
      <c r="AL158" s="71" t="s">
        <v>158</v>
      </c>
      <c r="AM158" s="53" t="str">
        <f>VLOOKUP(A158,'[1]DANH SÁCH'!$B$8:$F$841,5,0)</f>
        <v>Điều dưỡng CĐ</v>
      </c>
      <c r="AN158" s="53"/>
      <c r="AO158" s="53" t="s">
        <v>365</v>
      </c>
      <c r="AP158" s="53">
        <v>2006</v>
      </c>
      <c r="AQ158" s="99" t="s">
        <v>113</v>
      </c>
      <c r="AR158" s="42">
        <f>VLOOKUP(A158,'[1]Chứng chỉ'!$B$8:$Q$1111,11,0)</f>
        <v>0</v>
      </c>
      <c r="AS158" s="42">
        <f>VLOOKUP(A158,'[1]Chứng chỉ'!$B$8:$Q$1111,12,0)</f>
        <v>0</v>
      </c>
      <c r="AT158" s="47">
        <f>VLOOKUP(A158,'[1]Chứng chỉ'!$B$8:$Q$1111,13,0)</f>
        <v>0</v>
      </c>
      <c r="AU158" s="42">
        <f>VLOOKUP(A158,'[1]Chứng chỉ'!$B$8:$Q$1111,14,0)</f>
        <v>0</v>
      </c>
      <c r="AV158" s="42">
        <f>VLOOKUP(A158,'[1]Chứng chỉ'!$B$8:$Q$1111,15,0)</f>
        <v>0</v>
      </c>
      <c r="AW158" s="42">
        <f>VLOOKUP(A158,'[1]Chứng chỉ'!$B$8:$Q$1111,16,0)</f>
        <v>0</v>
      </c>
      <c r="AX158" s="42"/>
      <c r="AY158" s="57" t="s">
        <v>127</v>
      </c>
      <c r="AZ158" s="65"/>
      <c r="BA158" s="74" t="e">
        <f t="shared" ref="BA158:BA170" si="80">VLOOKUP(A158,#REF!,4,0)</f>
        <v>#REF!</v>
      </c>
      <c r="BB158" s="74" t="e">
        <f t="shared" ref="BB158:BB170" si="81">VLOOKUP(A158,#REF!,5,0)</f>
        <v>#REF!</v>
      </c>
      <c r="BC158" s="79" t="s">
        <v>114</v>
      </c>
      <c r="BD158" s="64"/>
    </row>
    <row r="159" spans="1:56" ht="51" x14ac:dyDescent="0.3">
      <c r="A159" s="41" t="s">
        <v>1282</v>
      </c>
      <c r="B159" s="42">
        <f t="shared" si="0"/>
        <v>153</v>
      </c>
      <c r="C159" s="68" t="s">
        <v>1283</v>
      </c>
      <c r="D159" s="41" t="s">
        <v>1282</v>
      </c>
      <c r="E159" s="61">
        <v>2009000933</v>
      </c>
      <c r="F159" s="64"/>
      <c r="G159" s="49" t="s">
        <v>1284</v>
      </c>
      <c r="H159" s="76"/>
      <c r="I159" s="76">
        <v>31403</v>
      </c>
      <c r="J159" s="66">
        <f t="shared" ca="1" si="79"/>
        <v>40</v>
      </c>
      <c r="K159" s="75" t="s">
        <v>1285</v>
      </c>
      <c r="L159" s="41" t="s">
        <v>1286</v>
      </c>
      <c r="M159" s="53" t="s">
        <v>67</v>
      </c>
      <c r="N159" s="66"/>
      <c r="O159" s="53" t="s">
        <v>925</v>
      </c>
      <c r="P159" s="49" t="s">
        <v>108</v>
      </c>
      <c r="Q159" s="49" t="s">
        <v>94</v>
      </c>
      <c r="R159" s="49"/>
      <c r="S159" s="49" t="s">
        <v>214</v>
      </c>
      <c r="T159" s="49" t="s">
        <v>97</v>
      </c>
      <c r="U159" s="49" t="s">
        <v>94</v>
      </c>
      <c r="V159" s="49" t="str">
        <f t="shared" si="72"/>
        <v>Xã Hoàng Đồng, Thành phố Lạng Sơn, Tỉnh Lạng Sơn</v>
      </c>
      <c r="W159" s="55" t="s">
        <v>678</v>
      </c>
      <c r="X159" s="41"/>
      <c r="Y159" s="41"/>
      <c r="Z159" s="41"/>
      <c r="AA159" s="68">
        <f>VLOOKUP(A159,'[1]DANH SÁCH'!$B$8:$AD$841,12,0)</f>
        <v>0</v>
      </c>
      <c r="AB159" s="49" t="str">
        <f>VLOOKUP(A159,'[1]DANH SÁCH'!$B$8:$H$841,6,0)</f>
        <v>TĐ012</v>
      </c>
      <c r="AC159" s="69" t="str">
        <f>VLOOKUP(A159,'[1]DANH SÁCH'!$B$8:$J$841,9,0)</f>
        <v>Ngoại TK-LN</v>
      </c>
      <c r="AD159" s="69" t="str">
        <f>VLOOKUP(A159,'[1]DANH SÁCH'!$B$8:$AC$841,10,0)</f>
        <v>KP015</v>
      </c>
      <c r="AE159" s="69" t="str">
        <f>VLOOKUP(A159,'[1]DANH SÁCH'!$B$8:$AD$841,13,0)</f>
        <v>Viên chức</v>
      </c>
      <c r="AF159" s="41" t="s">
        <v>157</v>
      </c>
      <c r="AG159" s="42" t="str">
        <f>VLOOKUP(A159,'[1]DANH SÁCH'!$B$8:$H$841,7,0)</f>
        <v>Điều dưỡng (hạng IV)</v>
      </c>
      <c r="AH159" s="45">
        <v>3.34</v>
      </c>
      <c r="AI159" s="42">
        <v>5</v>
      </c>
      <c r="AJ159" s="70">
        <v>0</v>
      </c>
      <c r="AK159" s="69">
        <v>44927</v>
      </c>
      <c r="AL159" s="71" t="s">
        <v>158</v>
      </c>
      <c r="AM159" s="53" t="str">
        <f>VLOOKUP(A159,'[1]DANH SÁCH'!$B$8:$F$841,5,0)</f>
        <v>Điều dưỡng CĐ</v>
      </c>
      <c r="AN159" s="53"/>
      <c r="AO159" s="53"/>
      <c r="AP159" s="53"/>
      <c r="AQ159" s="72"/>
      <c r="AR159" s="42">
        <f>VLOOKUP(A159,'[1]Chứng chỉ'!$B$8:$Q$1111,11,0)</f>
        <v>0</v>
      </c>
      <c r="AS159" s="42">
        <f>VLOOKUP(A159,'[1]Chứng chỉ'!$B$8:$Q$1111,12,0)</f>
        <v>0</v>
      </c>
      <c r="AT159" s="47" t="s">
        <v>139</v>
      </c>
      <c r="AU159" s="42">
        <f>VLOOKUP(A159,'[1]Chứng chỉ'!$B$8:$Q$1111,14,0)</f>
        <v>0</v>
      </c>
      <c r="AV159" s="42">
        <f>VLOOKUP(A159,'[1]Chứng chỉ'!$B$8:$Q$1111,15,0)</f>
        <v>0</v>
      </c>
      <c r="AW159" s="42">
        <f>VLOOKUP(A159,'[1]Chứng chỉ'!$B$8:$Q$1111,16,0)</f>
        <v>0</v>
      </c>
      <c r="AX159" s="42"/>
      <c r="AY159" s="57" t="s">
        <v>127</v>
      </c>
      <c r="AZ159" s="65">
        <v>39901</v>
      </c>
      <c r="BA159" s="74" t="e">
        <f t="shared" si="80"/>
        <v>#REF!</v>
      </c>
      <c r="BB159" s="74" t="e">
        <f t="shared" si="81"/>
        <v>#REF!</v>
      </c>
      <c r="BC159" s="79" t="s">
        <v>114</v>
      </c>
      <c r="BD159" s="64"/>
    </row>
    <row r="160" spans="1:56" ht="51" x14ac:dyDescent="0.3">
      <c r="A160" s="41" t="s">
        <v>1287</v>
      </c>
      <c r="B160" s="42">
        <f t="shared" si="0"/>
        <v>154</v>
      </c>
      <c r="C160" s="68" t="s">
        <v>1288</v>
      </c>
      <c r="D160" s="41" t="s">
        <v>1287</v>
      </c>
      <c r="E160" s="61">
        <v>2011000158</v>
      </c>
      <c r="F160" s="64"/>
      <c r="G160" s="49" t="s">
        <v>1289</v>
      </c>
      <c r="H160" s="76">
        <v>31188</v>
      </c>
      <c r="I160" s="76"/>
      <c r="J160" s="66">
        <f t="shared" ref="J160:J161" ca="1" si="82">INT(DATEDIF(H160,$J$2,"d")/365)</f>
        <v>41</v>
      </c>
      <c r="K160" s="75" t="s">
        <v>1290</v>
      </c>
      <c r="L160" s="83" t="s">
        <v>1291</v>
      </c>
      <c r="M160" s="53" t="s">
        <v>67</v>
      </c>
      <c r="N160" s="66" t="s">
        <v>94</v>
      </c>
      <c r="O160" s="53" t="s">
        <v>460</v>
      </c>
      <c r="P160" s="49" t="s">
        <v>108</v>
      </c>
      <c r="Q160" s="49" t="s">
        <v>94</v>
      </c>
      <c r="R160" s="49" t="s">
        <v>1292</v>
      </c>
      <c r="S160" s="49" t="s">
        <v>460</v>
      </c>
      <c r="T160" s="49" t="s">
        <v>108</v>
      </c>
      <c r="U160" s="49" t="s">
        <v>94</v>
      </c>
      <c r="V160" s="49" t="str">
        <f t="shared" si="72"/>
        <v>Thị trấn Cao Lộc, Huyện Cao Lộc, Tỉnh Lạng Sơn</v>
      </c>
      <c r="W160" s="55" t="s">
        <v>461</v>
      </c>
      <c r="X160" s="41"/>
      <c r="Y160" s="41"/>
      <c r="Z160" s="41"/>
      <c r="AA160" s="68">
        <f>VLOOKUP(A160,'[1]DANH SÁCH'!$B$8:$AD$841,12,0)</f>
        <v>0</v>
      </c>
      <c r="AB160" s="49" t="str">
        <f>VLOOKUP(A160,'[1]DANH SÁCH'!$B$8:$H$841,6,0)</f>
        <v>TĐ012</v>
      </c>
      <c r="AC160" s="69" t="str">
        <f>VLOOKUP(A160,'[1]DANH SÁCH'!$B$8:$J$841,9,0)</f>
        <v>TDCN</v>
      </c>
      <c r="AD160" s="69" t="str">
        <f>VLOOKUP(A160,'[1]DANH SÁCH'!$B$8:$AC$841,10,0)</f>
        <v>KP033</v>
      </c>
      <c r="AE160" s="69" t="str">
        <f>VLOOKUP(A160,'[1]DANH SÁCH'!$B$8:$AD$841,13,0)</f>
        <v>Viên chức</v>
      </c>
      <c r="AF160" s="41" t="s">
        <v>157</v>
      </c>
      <c r="AG160" s="42" t="str">
        <f>VLOOKUP(A160,'[1]DANH SÁCH'!$B$8:$H$841,7,0)</f>
        <v>Điều dưỡng (hạng IV)</v>
      </c>
      <c r="AH160" s="45">
        <v>3.34</v>
      </c>
      <c r="AI160" s="42">
        <v>5</v>
      </c>
      <c r="AJ160" s="70">
        <v>0</v>
      </c>
      <c r="AK160" s="69">
        <v>45474</v>
      </c>
      <c r="AL160" s="71" t="s">
        <v>158</v>
      </c>
      <c r="AM160" s="53" t="str">
        <f>VLOOKUP(A160,'[1]DANH SÁCH'!$B$8:$F$841,5,0)</f>
        <v>Điều dưỡng CĐ</v>
      </c>
      <c r="AN160" s="53"/>
      <c r="AO160" s="53" t="s">
        <v>1093</v>
      </c>
      <c r="AP160" s="53">
        <v>2008</v>
      </c>
      <c r="AQ160" s="99" t="s">
        <v>113</v>
      </c>
      <c r="AR160" s="42">
        <f>VLOOKUP(A160,'[1]Chứng chỉ'!$B$8:$Q$1111,11,0)</f>
        <v>0</v>
      </c>
      <c r="AS160" s="42">
        <f>VLOOKUP(A160,'[1]Chứng chỉ'!$B$8:$Q$1111,12,0)</f>
        <v>0</v>
      </c>
      <c r="AT160" s="47">
        <f>VLOOKUP(A160,'[1]Chứng chỉ'!$B$8:$Q$1111,13,0)</f>
        <v>0</v>
      </c>
      <c r="AU160" s="42" t="str">
        <f>VLOOKUP(A160,'[1]Chứng chỉ'!$B$8:$Q$1111,14,0)</f>
        <v>Anh B</v>
      </c>
      <c r="AV160" s="42">
        <f>VLOOKUP(A160,'[1]Chứng chỉ'!$B$8:$Q$1111,15,0)</f>
        <v>0</v>
      </c>
      <c r="AW160" s="42" t="str">
        <f>VLOOKUP(A160,'[1]Chứng chỉ'!$B$8:$Q$1111,16,0)</f>
        <v>B</v>
      </c>
      <c r="AX160" s="42"/>
      <c r="AY160" s="57" t="s">
        <v>127</v>
      </c>
      <c r="AZ160" s="65">
        <v>44399</v>
      </c>
      <c r="BA160" s="74" t="e">
        <f t="shared" si="80"/>
        <v>#REF!</v>
      </c>
      <c r="BB160" s="74" t="e">
        <f t="shared" si="81"/>
        <v>#REF!</v>
      </c>
      <c r="BC160" s="79" t="s">
        <v>114</v>
      </c>
      <c r="BD160" s="64"/>
    </row>
    <row r="161" spans="1:56" ht="51" x14ac:dyDescent="0.3">
      <c r="A161" s="41" t="s">
        <v>1293</v>
      </c>
      <c r="B161" s="42">
        <f t="shared" si="0"/>
        <v>155</v>
      </c>
      <c r="C161" s="68" t="s">
        <v>1294</v>
      </c>
      <c r="D161" s="41" t="s">
        <v>1293</v>
      </c>
      <c r="E161" s="61">
        <v>1504000547</v>
      </c>
      <c r="F161" s="64"/>
      <c r="G161" s="49" t="s">
        <v>1295</v>
      </c>
      <c r="H161" s="76">
        <v>29580</v>
      </c>
      <c r="I161" s="76"/>
      <c r="J161" s="66">
        <f t="shared" ca="1" si="82"/>
        <v>45</v>
      </c>
      <c r="K161" s="75" t="s">
        <v>1296</v>
      </c>
      <c r="L161" s="83" t="s">
        <v>1297</v>
      </c>
      <c r="M161" s="53" t="s">
        <v>1298</v>
      </c>
      <c r="N161" s="66" t="s">
        <v>235</v>
      </c>
      <c r="O161" s="53" t="s">
        <v>1299</v>
      </c>
      <c r="P161" s="49" t="s">
        <v>265</v>
      </c>
      <c r="Q161" s="49" t="s">
        <v>235</v>
      </c>
      <c r="R161" s="49" t="s">
        <v>1300</v>
      </c>
      <c r="S161" s="49" t="s">
        <v>460</v>
      </c>
      <c r="T161" s="49" t="s">
        <v>108</v>
      </c>
      <c r="U161" s="49" t="s">
        <v>94</v>
      </c>
      <c r="V161" s="49" t="str">
        <f t="shared" si="72"/>
        <v>Thị trấn Cao Lộc, Huyện Cao Lộc, Tỉnh Lạng Sơn</v>
      </c>
      <c r="W161" s="55" t="s">
        <v>1301</v>
      </c>
      <c r="X161" s="41"/>
      <c r="Y161" s="41"/>
      <c r="Z161" s="41"/>
      <c r="AA161" s="68">
        <f>VLOOKUP(A161,'[1]DANH SÁCH'!$B$8:$AD$841,12,0)</f>
        <v>0</v>
      </c>
      <c r="AB161" s="49" t="str">
        <f>VLOOKUP(A161,'[1]DANH SÁCH'!$B$8:$H$841,6,0)</f>
        <v>TĐ013</v>
      </c>
      <c r="AC161" s="69" t="str">
        <f>VLOOKUP(A161,'[1]DANH SÁCH'!$B$8:$J$841,9,0)</f>
        <v>Ngoại TK-LN</v>
      </c>
      <c r="AD161" s="69" t="str">
        <f>VLOOKUP(A161,'[1]DANH SÁCH'!$B$8:$AC$841,10,0)</f>
        <v>KP015</v>
      </c>
      <c r="AE161" s="69" t="str">
        <f>VLOOKUP(A161,'[1]DANH SÁCH'!$B$8:$AD$841,13,0)</f>
        <v>Viên chức</v>
      </c>
      <c r="AF161" s="41" t="s">
        <v>157</v>
      </c>
      <c r="AG161" s="42" t="str">
        <f>VLOOKUP(A161,'[1]DANH SÁCH'!$B$8:$H$841,7,0)</f>
        <v>Điều dưỡng (hạng IV)</v>
      </c>
      <c r="AH161" s="45">
        <v>3.66</v>
      </c>
      <c r="AI161" s="42">
        <v>10</v>
      </c>
      <c r="AJ161" s="70">
        <v>0</v>
      </c>
      <c r="AK161" s="69">
        <v>45627</v>
      </c>
      <c r="AL161" s="71" t="s">
        <v>101</v>
      </c>
      <c r="AM161" s="53" t="str">
        <f>VLOOKUP(A161,'[1]DANH SÁCH'!$B$8:$F$841,5,0)</f>
        <v>Điều dưỡng TC</v>
      </c>
      <c r="AN161" s="53"/>
      <c r="AO161" s="53" t="s">
        <v>1302</v>
      </c>
      <c r="AP161" s="53">
        <v>2002</v>
      </c>
      <c r="AQ161" s="99" t="s">
        <v>113</v>
      </c>
      <c r="AR161" s="42">
        <f>VLOOKUP(A161,'[1]Chứng chỉ'!$B$8:$Q$1111,11,0)</f>
        <v>0</v>
      </c>
      <c r="AS161" s="42">
        <f>VLOOKUP(A161,'[1]Chứng chỉ'!$B$8:$Q$1111,12,0)</f>
        <v>0</v>
      </c>
      <c r="AT161" s="47">
        <f>VLOOKUP(A161,'[1]Chứng chỉ'!$B$8:$Q$1111,13,0)</f>
        <v>0</v>
      </c>
      <c r="AU161" s="42">
        <f>VLOOKUP(A161,'[1]Chứng chỉ'!$B$8:$Q$1111,14,0)</f>
        <v>0</v>
      </c>
      <c r="AV161" s="42">
        <f>VLOOKUP(A161,'[1]Chứng chỉ'!$B$8:$Q$1111,15,0)</f>
        <v>0</v>
      </c>
      <c r="AW161" s="42">
        <f>VLOOKUP(A161,'[1]Chứng chỉ'!$B$8:$Q$1111,16,0)</f>
        <v>0</v>
      </c>
      <c r="AX161" s="42"/>
      <c r="AY161" s="57" t="s">
        <v>87</v>
      </c>
      <c r="AZ161" s="65"/>
      <c r="BA161" s="74" t="e">
        <f t="shared" si="80"/>
        <v>#REF!</v>
      </c>
      <c r="BB161" s="74" t="e">
        <f t="shared" si="81"/>
        <v>#REF!</v>
      </c>
      <c r="BC161" s="79" t="s">
        <v>114</v>
      </c>
      <c r="BD161" s="64"/>
    </row>
    <row r="162" spans="1:56" ht="61.2" x14ac:dyDescent="0.3">
      <c r="A162" s="41" t="s">
        <v>1303</v>
      </c>
      <c r="B162" s="42">
        <f t="shared" si="0"/>
        <v>156</v>
      </c>
      <c r="C162" s="68" t="s">
        <v>1304</v>
      </c>
      <c r="D162" s="41" t="s">
        <v>1303</v>
      </c>
      <c r="E162" s="61">
        <v>1596007540</v>
      </c>
      <c r="F162" s="64"/>
      <c r="G162" s="49" t="s">
        <v>1305</v>
      </c>
      <c r="H162" s="76"/>
      <c r="I162" s="76">
        <v>25344</v>
      </c>
      <c r="J162" s="66">
        <f t="shared" ref="J162:J165" ca="1" si="83">INT(DATEDIF(I162,$J$2,"d")/365)</f>
        <v>57</v>
      </c>
      <c r="K162" s="75" t="s">
        <v>1306</v>
      </c>
      <c r="L162" s="83" t="s">
        <v>1307</v>
      </c>
      <c r="M162" s="53" t="s">
        <v>67</v>
      </c>
      <c r="N162" s="66" t="s">
        <v>94</v>
      </c>
      <c r="O162" s="85"/>
      <c r="P162" s="76" t="s">
        <v>97</v>
      </c>
      <c r="Q162" s="76" t="s">
        <v>94</v>
      </c>
      <c r="R162" s="49"/>
      <c r="S162" s="76" t="s">
        <v>96</v>
      </c>
      <c r="T162" s="76" t="s">
        <v>97</v>
      </c>
      <c r="U162" s="76" t="s">
        <v>94</v>
      </c>
      <c r="V162" s="49" t="str">
        <f t="shared" si="72"/>
        <v>Phường Hoàng Văn Thụ, Thành phố Lạng Sơn, Tỉnh Lạng Sơn</v>
      </c>
      <c r="W162" s="55" t="s">
        <v>526</v>
      </c>
      <c r="X162" s="41"/>
      <c r="Y162" s="41"/>
      <c r="Z162" s="41"/>
      <c r="AA162" s="68" t="e">
        <f>VLOOKUP(A162,'[1]DANH SÁCH'!$B$8:$AD$841,12,0)</f>
        <v>#N/A</v>
      </c>
      <c r="AB162" s="49" t="e">
        <f>VLOOKUP(A162,'[1]DANH SÁCH'!$B$8:$H$841,6,0)</f>
        <v>#N/A</v>
      </c>
      <c r="AC162" s="69" t="e">
        <f>VLOOKUP(A162,'[1]DANH SÁCH'!$B$8:$J$841,9,0)</f>
        <v>#N/A</v>
      </c>
      <c r="AD162" s="69" t="e">
        <f>VLOOKUP(A162,'[1]DANH SÁCH'!$B$8:$AC$841,10,0)</f>
        <v>#N/A</v>
      </c>
      <c r="AE162" s="69" t="e">
        <f>VLOOKUP(A162,'[1]DANH SÁCH'!$B$8:$AD$841,13,0)</f>
        <v>#N/A</v>
      </c>
      <c r="AF162" s="41" t="s">
        <v>79</v>
      </c>
      <c r="AG162" s="42" t="e">
        <f>VLOOKUP(A162,'[1]DANH SÁCH'!$B$8:$H$841,7,0)</f>
        <v>#N/A</v>
      </c>
      <c r="AH162" s="45">
        <v>5.42</v>
      </c>
      <c r="AI162" s="42">
        <v>4</v>
      </c>
      <c r="AJ162" s="70">
        <v>0</v>
      </c>
      <c r="AK162" s="69">
        <v>45017</v>
      </c>
      <c r="AL162" s="71" t="s">
        <v>80</v>
      </c>
      <c r="AM162" s="53" t="e">
        <f>VLOOKUP(A162,'[1]DANH SÁCH'!$B$8:$F$841,5,0)</f>
        <v>#N/A</v>
      </c>
      <c r="AN162" s="53" t="s">
        <v>1308</v>
      </c>
      <c r="AO162" s="53" t="s">
        <v>112</v>
      </c>
      <c r="AP162" s="53">
        <v>2005</v>
      </c>
      <c r="AQ162" s="72" t="s">
        <v>1309</v>
      </c>
      <c r="AR162" s="42" t="s">
        <v>82</v>
      </c>
      <c r="AS162" s="42" t="s">
        <v>100</v>
      </c>
      <c r="AT162" s="47" t="s">
        <v>101</v>
      </c>
      <c r="AU162" s="42" t="str">
        <f>VLOOKUP(A162,'[1]Chứng chỉ'!$B$8:$Q$1111,14,0)</f>
        <v>Anh B</v>
      </c>
      <c r="AV162" s="42" t="str">
        <f>VLOOKUP(A162,'[1]Chứng chỉ'!$B$8:$Q$1111,15,0)</f>
        <v>Nùng</v>
      </c>
      <c r="AW162" s="42" t="str">
        <f>VLOOKUP(A162,'[1]Chứng chỉ'!$B$8:$Q$1111,16,0)</f>
        <v>B</v>
      </c>
      <c r="AX162" s="42"/>
      <c r="AY162" s="57" t="s">
        <v>87</v>
      </c>
      <c r="AZ162" s="65">
        <v>40177</v>
      </c>
      <c r="BA162" s="74" t="e">
        <f t="shared" si="80"/>
        <v>#REF!</v>
      </c>
      <c r="BB162" s="74" t="e">
        <f t="shared" si="81"/>
        <v>#REF!</v>
      </c>
      <c r="BC162" s="79" t="s">
        <v>114</v>
      </c>
      <c r="BD162" s="64"/>
    </row>
    <row r="163" spans="1:56" ht="61.2" x14ac:dyDescent="0.3">
      <c r="A163" s="41" t="s">
        <v>1310</v>
      </c>
      <c r="B163" s="42">
        <f t="shared" si="0"/>
        <v>157</v>
      </c>
      <c r="C163" s="68" t="s">
        <v>1311</v>
      </c>
      <c r="D163" s="41" t="s">
        <v>1310</v>
      </c>
      <c r="E163" s="75">
        <v>1596010981</v>
      </c>
      <c r="F163" s="49"/>
      <c r="G163" s="49" t="s">
        <v>1312</v>
      </c>
      <c r="H163" s="76"/>
      <c r="I163" s="76">
        <v>25868</v>
      </c>
      <c r="J163" s="66">
        <f t="shared" ca="1" si="83"/>
        <v>55</v>
      </c>
      <c r="K163" s="75" t="s">
        <v>1313</v>
      </c>
      <c r="L163" s="83" t="s">
        <v>1314</v>
      </c>
      <c r="M163" s="53" t="s">
        <v>67</v>
      </c>
      <c r="N163" s="66" t="s">
        <v>1315</v>
      </c>
      <c r="O163" s="53" t="s">
        <v>1316</v>
      </c>
      <c r="P163" s="49" t="s">
        <v>108</v>
      </c>
      <c r="Q163" s="49" t="s">
        <v>94</v>
      </c>
      <c r="R163" s="49"/>
      <c r="S163" s="49" t="s">
        <v>166</v>
      </c>
      <c r="T163" s="49" t="s">
        <v>97</v>
      </c>
      <c r="U163" s="49" t="s">
        <v>94</v>
      </c>
      <c r="V163" s="49" t="str">
        <f t="shared" si="72"/>
        <v>Phường Tam Thanh, Thành phố Lạng Sơn, Tỉnh Lạng Sơn</v>
      </c>
      <c r="W163" s="55" t="s">
        <v>1317</v>
      </c>
      <c r="X163" s="41"/>
      <c r="Y163" s="41"/>
      <c r="Z163" s="41"/>
      <c r="AA163" s="68">
        <f>VLOOKUP(A163,'[1]DANH SÁCH'!$B$8:$AD$841,12,0)</f>
        <v>0</v>
      </c>
      <c r="AB163" s="49" t="str">
        <f>VLOOKUP(A163,'[1]DANH SÁCH'!$B$8:$H$841,6,0)</f>
        <v>TĐ003</v>
      </c>
      <c r="AC163" s="69" t="str">
        <f>VLOOKUP(A163,'[1]DANH SÁCH'!$B$8:$J$841,9,0)</f>
        <v>Phụ sản</v>
      </c>
      <c r="AD163" s="69" t="str">
        <f>VLOOKUP(A163,'[1]DANH SÁCH'!$B$8:$AC$841,10,0)</f>
        <v>KP016</v>
      </c>
      <c r="AE163" s="69" t="str">
        <f>VLOOKUP(A163,'[1]DANH SÁCH'!$B$8:$AD$841,13,0)</f>
        <v>Viên chức</v>
      </c>
      <c r="AF163" s="41" t="s">
        <v>79</v>
      </c>
      <c r="AG163" s="42" t="str">
        <f>VLOOKUP(A163,'[1]DANH SÁCH'!$B$8:$H$841,7,0)</f>
        <v>Bác sĩ chính (hạng II)</v>
      </c>
      <c r="AH163" s="45">
        <v>5.76</v>
      </c>
      <c r="AI163" s="42">
        <v>5</v>
      </c>
      <c r="AJ163" s="70">
        <v>0</v>
      </c>
      <c r="AK163" s="69">
        <v>45323</v>
      </c>
      <c r="AL163" s="71" t="s">
        <v>80</v>
      </c>
      <c r="AM163" s="53" t="str">
        <f>VLOOKUP(A163,'[1]DANH SÁCH'!$B$8:$F$841,5,0)</f>
        <v>BSCKI</v>
      </c>
      <c r="AN163" s="53" t="s">
        <v>1308</v>
      </c>
      <c r="AO163" s="53" t="s">
        <v>112</v>
      </c>
      <c r="AP163" s="53">
        <v>2012</v>
      </c>
      <c r="AQ163" s="72" t="s">
        <v>113</v>
      </c>
      <c r="AR163" s="42">
        <f>VLOOKUP(A163,'[1]Chứng chỉ'!$B$8:$Q$1111,11,0)</f>
        <v>0</v>
      </c>
      <c r="AS163" s="42">
        <f>VLOOKUP(A163,'[1]Chứng chỉ'!$B$8:$Q$1111,12,0)</f>
        <v>0</v>
      </c>
      <c r="AT163" s="47">
        <f>VLOOKUP(A163,'[1]Chứng chỉ'!$B$8:$Q$1111,13,0)</f>
        <v>0</v>
      </c>
      <c r="AU163" s="42">
        <f>VLOOKUP(A163,'[1]Chứng chỉ'!$B$8:$Q$1111,14,0)</f>
        <v>0</v>
      </c>
      <c r="AV163" s="42" t="str">
        <f>VLOOKUP(A163,'[1]Chứng chỉ'!$B$8:$Q$1111,15,0)</f>
        <v>Tày</v>
      </c>
      <c r="AW163" s="42" t="str">
        <f>VLOOKUP(A163,'[1]Chứng chỉ'!$B$8:$Q$1111,16,0)</f>
        <v>B</v>
      </c>
      <c r="AX163" s="42"/>
      <c r="AY163" s="57" t="s">
        <v>85</v>
      </c>
      <c r="AZ163" s="65">
        <v>41649</v>
      </c>
      <c r="BA163" s="74" t="e">
        <f t="shared" si="80"/>
        <v>#REF!</v>
      </c>
      <c r="BB163" s="74" t="e">
        <f t="shared" si="81"/>
        <v>#REF!</v>
      </c>
      <c r="BC163" s="79" t="s">
        <v>114</v>
      </c>
      <c r="BD163" s="64"/>
    </row>
    <row r="164" spans="1:56" ht="51" x14ac:dyDescent="0.3">
      <c r="A164" s="41" t="s">
        <v>1318</v>
      </c>
      <c r="B164" s="42">
        <f t="shared" si="0"/>
        <v>158</v>
      </c>
      <c r="C164" s="68" t="s">
        <v>1319</v>
      </c>
      <c r="D164" s="41" t="s">
        <v>1318</v>
      </c>
      <c r="E164" s="61">
        <v>1596006903</v>
      </c>
      <c r="F164" s="64"/>
      <c r="G164" s="49" t="s">
        <v>1320</v>
      </c>
      <c r="H164" s="76"/>
      <c r="I164" s="76">
        <v>26226</v>
      </c>
      <c r="J164" s="66">
        <f t="shared" ca="1" si="83"/>
        <v>54</v>
      </c>
      <c r="K164" s="126" t="s">
        <v>1321</v>
      </c>
      <c r="L164" s="83" t="s">
        <v>1322</v>
      </c>
      <c r="M164" s="53" t="s">
        <v>67</v>
      </c>
      <c r="N164" s="66" t="s">
        <v>94</v>
      </c>
      <c r="O164" s="53"/>
      <c r="P164" s="49" t="s">
        <v>1323</v>
      </c>
      <c r="Q164" s="49" t="s">
        <v>873</v>
      </c>
      <c r="R164" s="49"/>
      <c r="S164" s="49" t="s">
        <v>1324</v>
      </c>
      <c r="T164" s="49" t="s">
        <v>108</v>
      </c>
      <c r="U164" s="49" t="s">
        <v>94</v>
      </c>
      <c r="V164" s="49" t="str">
        <f t="shared" si="72"/>
        <v>Thị trấn Đồng Đăng, Huyện Cao Lộc, Tỉnh Lạng Sơn</v>
      </c>
      <c r="W164" s="55" t="s">
        <v>1325</v>
      </c>
      <c r="X164" s="41"/>
      <c r="Y164" s="41"/>
      <c r="Z164" s="41"/>
      <c r="AA164" s="68">
        <f>VLOOKUP(A164,'[1]DANH SÁCH'!$B$8:$AD$841,12,0)</f>
        <v>0</v>
      </c>
      <c r="AB164" s="49" t="str">
        <f>VLOOKUP(A164,'[1]DANH SÁCH'!$B$8:$H$841,6,0)</f>
        <v>TĐ003</v>
      </c>
      <c r="AC164" s="69" t="str">
        <f>VLOOKUP(A164,'[1]DANH SÁCH'!$B$8:$J$841,9,0)</f>
        <v>Phụ sản</v>
      </c>
      <c r="AD164" s="69" t="str">
        <f>VLOOKUP(A164,'[1]DANH SÁCH'!$B$8:$AC$841,10,0)</f>
        <v>KP016</v>
      </c>
      <c r="AE164" s="69" t="str">
        <f>VLOOKUP(A164,'[1]DANH SÁCH'!$B$8:$AD$841,13,0)</f>
        <v>Viên chức</v>
      </c>
      <c r="AF164" s="41" t="s">
        <v>79</v>
      </c>
      <c r="AG164" s="42" t="str">
        <f>VLOOKUP(A164,'[1]DANH SÁCH'!$B$8:$H$841,7,0)</f>
        <v>Bác sĩ chính (hạng II)</v>
      </c>
      <c r="AH164" s="45">
        <v>5.42</v>
      </c>
      <c r="AI164" s="42">
        <v>4</v>
      </c>
      <c r="AJ164" s="70">
        <v>0</v>
      </c>
      <c r="AK164" s="69">
        <v>45047</v>
      </c>
      <c r="AL164" s="71" t="s">
        <v>80</v>
      </c>
      <c r="AM164" s="53" t="str">
        <f>VLOOKUP(A164,'[1]DANH SÁCH'!$B$8:$F$841,5,0)</f>
        <v>BSCKI</v>
      </c>
      <c r="AN164" s="53" t="s">
        <v>1308</v>
      </c>
      <c r="AO164" s="53" t="s">
        <v>112</v>
      </c>
      <c r="AP164" s="53">
        <v>2005</v>
      </c>
      <c r="AQ164" s="72" t="s">
        <v>113</v>
      </c>
      <c r="AR164" s="42">
        <f>VLOOKUP(A164,'[1]Chứng chỉ'!$B$8:$Q$1111,11,0)</f>
        <v>0</v>
      </c>
      <c r="AS164" s="42">
        <f>VLOOKUP(A164,'[1]Chứng chỉ'!$B$8:$Q$1111,12,0)</f>
        <v>0</v>
      </c>
      <c r="AT164" s="47">
        <f>VLOOKUP(A164,'[1]Chứng chỉ'!$B$8:$Q$1111,13,0)</f>
        <v>0</v>
      </c>
      <c r="AU164" s="42">
        <f>VLOOKUP(A164,'[1]Chứng chỉ'!$B$8:$Q$1111,14,0)</f>
        <v>0</v>
      </c>
      <c r="AV164" s="42" t="str">
        <f>VLOOKUP(A164,'[1]Chứng chỉ'!$B$8:$Q$1111,15,0)</f>
        <v>Nùng</v>
      </c>
      <c r="AW164" s="42" t="str">
        <f>VLOOKUP(A164,'[1]Chứng chỉ'!$B$8:$Q$1111,16,0)</f>
        <v>Cơ bản</v>
      </c>
      <c r="AX164" s="42"/>
      <c r="AY164" s="57" t="s">
        <v>87</v>
      </c>
      <c r="AZ164" s="65">
        <v>41121</v>
      </c>
      <c r="BA164" s="74" t="e">
        <f t="shared" si="80"/>
        <v>#REF!</v>
      </c>
      <c r="BB164" s="74" t="e">
        <f t="shared" si="81"/>
        <v>#REF!</v>
      </c>
      <c r="BC164" s="79" t="s">
        <v>114</v>
      </c>
      <c r="BD164" s="64"/>
    </row>
    <row r="165" spans="1:56" ht="51" x14ac:dyDescent="0.3">
      <c r="A165" s="41" t="s">
        <v>1326</v>
      </c>
      <c r="B165" s="42">
        <f t="shared" si="0"/>
        <v>159</v>
      </c>
      <c r="C165" s="68" t="s">
        <v>1327</v>
      </c>
      <c r="D165" s="41" t="s">
        <v>1326</v>
      </c>
      <c r="E165" s="61">
        <v>2011001567</v>
      </c>
      <c r="F165" s="64"/>
      <c r="G165" s="49" t="s">
        <v>1328</v>
      </c>
      <c r="H165" s="76"/>
      <c r="I165" s="76">
        <v>31639</v>
      </c>
      <c r="J165" s="66">
        <f t="shared" ca="1" si="83"/>
        <v>39</v>
      </c>
      <c r="K165" s="75" t="s">
        <v>1329</v>
      </c>
      <c r="L165" s="83" t="s">
        <v>1330</v>
      </c>
      <c r="M165" s="53" t="s">
        <v>67</v>
      </c>
      <c r="N165" s="66" t="s">
        <v>1331</v>
      </c>
      <c r="O165" s="53" t="s">
        <v>1332</v>
      </c>
      <c r="P165" s="49" t="s">
        <v>195</v>
      </c>
      <c r="Q165" s="49" t="s">
        <v>94</v>
      </c>
      <c r="R165" s="49"/>
      <c r="S165" s="49" t="s">
        <v>136</v>
      </c>
      <c r="T165" s="49" t="s">
        <v>97</v>
      </c>
      <c r="U165" s="49" t="s">
        <v>94</v>
      </c>
      <c r="V165" s="49" t="str">
        <f t="shared" si="72"/>
        <v>Phường Chi Lăng, Thành phố Lạng Sơn, Tỉnh Lạng Sơn</v>
      </c>
      <c r="W165" s="55" t="s">
        <v>315</v>
      </c>
      <c r="X165" s="41"/>
      <c r="Y165" s="41"/>
      <c r="Z165" s="41"/>
      <c r="AA165" s="68">
        <f>VLOOKUP(A165,'[1]DANH SÁCH'!$B$8:$AD$841,12,0)</f>
        <v>0</v>
      </c>
      <c r="AB165" s="49" t="str">
        <f>VLOOKUP(A165,'[1]DANH SÁCH'!$B$8:$H$841,6,0)</f>
        <v>TĐ003</v>
      </c>
      <c r="AC165" s="69" t="str">
        <f>VLOOKUP(A165,'[1]DANH SÁCH'!$B$8:$J$841,9,0)</f>
        <v>Phụ sản</v>
      </c>
      <c r="AD165" s="69" t="str">
        <f>VLOOKUP(A165,'[1]DANH SÁCH'!$B$8:$AC$841,10,0)</f>
        <v>KP016</v>
      </c>
      <c r="AE165" s="69" t="str">
        <f>VLOOKUP(A165,'[1]DANH SÁCH'!$B$8:$AD$841,13,0)</f>
        <v>Viên chức</v>
      </c>
      <c r="AF165" s="41" t="s">
        <v>274</v>
      </c>
      <c r="AG165" s="42" t="str">
        <f>VLOOKUP(A165,'[1]DANH SÁCH'!$B$8:$H$841,7,0)</f>
        <v>Bác sĩ (hạng III)</v>
      </c>
      <c r="AH165" s="45">
        <v>3.66</v>
      </c>
      <c r="AI165" s="42">
        <v>5</v>
      </c>
      <c r="AJ165" s="70">
        <v>0</v>
      </c>
      <c r="AK165" s="69">
        <v>45631</v>
      </c>
      <c r="AL165" s="71" t="s">
        <v>80</v>
      </c>
      <c r="AM165" s="53" t="str">
        <f>VLOOKUP(A165,'[1]DANH SÁCH'!$B$8:$F$841,5,0)</f>
        <v>BSCKI</v>
      </c>
      <c r="AN165" s="53" t="s">
        <v>1308</v>
      </c>
      <c r="AO165" s="53" t="s">
        <v>112</v>
      </c>
      <c r="AP165" s="53">
        <v>2018</v>
      </c>
      <c r="AQ165" s="72" t="s">
        <v>113</v>
      </c>
      <c r="AR165" s="42">
        <f>VLOOKUP(A165,'[1]Chứng chỉ'!$B$8:$Q$1111,11,0)</f>
        <v>0</v>
      </c>
      <c r="AS165" s="42">
        <f>VLOOKUP(A165,'[1]Chứng chỉ'!$B$8:$Q$1111,12,0)</f>
        <v>0</v>
      </c>
      <c r="AT165" s="47">
        <f>VLOOKUP(A165,'[1]Chứng chỉ'!$B$8:$Q$1111,13,0)</f>
        <v>0</v>
      </c>
      <c r="AU165" s="42">
        <f>VLOOKUP(A165,'[1]Chứng chỉ'!$B$8:$Q$1111,14,0)</f>
        <v>0</v>
      </c>
      <c r="AV165" s="42">
        <f>VLOOKUP(A165,'[1]Chứng chỉ'!$B$8:$Q$1111,15,0)</f>
        <v>0</v>
      </c>
      <c r="AW165" s="42">
        <f>VLOOKUP(A165,'[1]Chứng chỉ'!$B$8:$Q$1111,16,0)</f>
        <v>0</v>
      </c>
      <c r="AX165" s="42"/>
      <c r="AY165" s="57" t="s">
        <v>127</v>
      </c>
      <c r="AZ165" s="65"/>
      <c r="BA165" s="74" t="e">
        <f t="shared" si="80"/>
        <v>#REF!</v>
      </c>
      <c r="BB165" s="74" t="e">
        <f t="shared" si="81"/>
        <v>#REF!</v>
      </c>
      <c r="BC165" s="79" t="s">
        <v>114</v>
      </c>
      <c r="BD165" s="64"/>
    </row>
    <row r="166" spans="1:56" ht="61.2" x14ac:dyDescent="0.3">
      <c r="A166" s="41" t="s">
        <v>1333</v>
      </c>
      <c r="B166" s="42">
        <f t="shared" si="0"/>
        <v>160</v>
      </c>
      <c r="C166" s="44" t="s">
        <v>1334</v>
      </c>
      <c r="D166" s="41" t="s">
        <v>1333</v>
      </c>
      <c r="E166" s="61">
        <v>2016000984</v>
      </c>
      <c r="F166" s="64"/>
      <c r="G166" s="49" t="s">
        <v>1335</v>
      </c>
      <c r="H166" s="41" t="s">
        <v>1336</v>
      </c>
      <c r="I166" s="41"/>
      <c r="J166" s="66">
        <f t="shared" ref="J166:J167" ca="1" si="84">INT(DATEDIF(H166,$J$2,"d")/365)</f>
        <v>36</v>
      </c>
      <c r="K166" s="75" t="s">
        <v>1337</v>
      </c>
      <c r="L166" s="83" t="s">
        <v>1338</v>
      </c>
      <c r="M166" s="53" t="s">
        <v>67</v>
      </c>
      <c r="N166" s="66" t="s">
        <v>94</v>
      </c>
      <c r="O166" s="88"/>
      <c r="P166" s="87" t="s">
        <v>1339</v>
      </c>
      <c r="Q166" s="87" t="s">
        <v>733</v>
      </c>
      <c r="R166" s="87"/>
      <c r="S166" s="76" t="s">
        <v>166</v>
      </c>
      <c r="T166" s="49" t="s">
        <v>97</v>
      </c>
      <c r="U166" s="76" t="s">
        <v>94</v>
      </c>
      <c r="V166" s="49" t="str">
        <f t="shared" si="72"/>
        <v>Phường Tam Thanh, Thành phố Lạng Sơn, Tỉnh Lạng Sơn</v>
      </c>
      <c r="W166" s="89" t="s">
        <v>491</v>
      </c>
      <c r="X166" s="43"/>
      <c r="Y166" s="43"/>
      <c r="Z166" s="43"/>
      <c r="AA166" s="68" t="e">
        <f>VLOOKUP(A166,'[1]DANH SÁCH'!$B$8:$AD$841,12,0)</f>
        <v>#N/A</v>
      </c>
      <c r="AB166" s="49" t="e">
        <f>VLOOKUP(A166,'[1]DANH SÁCH'!$B$8:$H$841,6,0)</f>
        <v>#N/A</v>
      </c>
      <c r="AC166" s="69" t="e">
        <f>VLOOKUP(A166,'[1]DANH SÁCH'!$B$8:$J$841,9,0)</f>
        <v>#N/A</v>
      </c>
      <c r="AD166" s="69" t="e">
        <f>VLOOKUP(A166,'[1]DANH SÁCH'!$B$8:$AC$841,10,0)</f>
        <v>#N/A</v>
      </c>
      <c r="AE166" s="69" t="e">
        <f>VLOOKUP(A166,'[1]DANH SÁCH'!$B$8:$AD$841,13,0)</f>
        <v>#N/A</v>
      </c>
      <c r="AF166" s="41" t="s">
        <v>274</v>
      </c>
      <c r="AG166" s="42" t="e">
        <f>VLOOKUP(A166,'[1]DANH SÁCH'!$B$8:$H$841,7,0)</f>
        <v>#N/A</v>
      </c>
      <c r="AH166" s="45">
        <v>3</v>
      </c>
      <c r="AI166" s="42">
        <v>3</v>
      </c>
      <c r="AJ166" s="70">
        <v>0</v>
      </c>
      <c r="AK166" s="127" t="s">
        <v>1340</v>
      </c>
      <c r="AL166" s="71" t="s">
        <v>80</v>
      </c>
      <c r="AM166" s="53" t="e">
        <f>VLOOKUP(A166,'[1]DANH SÁCH'!$B$8:$F$841,5,0)</f>
        <v>#N/A</v>
      </c>
      <c r="AN166" s="53" t="s">
        <v>1308</v>
      </c>
      <c r="AO166" s="53" t="s">
        <v>1341</v>
      </c>
      <c r="AP166" s="53">
        <v>2015</v>
      </c>
      <c r="AQ166" s="72" t="s">
        <v>113</v>
      </c>
      <c r="AR166" s="42">
        <f>VLOOKUP(A166,'[1]Chứng chỉ'!$B$8:$Q$1111,11,0)</f>
        <v>0</v>
      </c>
      <c r="AS166" s="42">
        <f>VLOOKUP(A166,'[1]Chứng chỉ'!$B$8:$Q$1111,12,0)</f>
        <v>0</v>
      </c>
      <c r="AT166" s="47">
        <f>VLOOKUP(A166,'[1]Chứng chỉ'!$B$8:$Q$1111,13,0)</f>
        <v>0</v>
      </c>
      <c r="AU166" s="42">
        <f>VLOOKUP(A166,'[1]Chứng chỉ'!$B$8:$Q$1111,14,0)</f>
        <v>0</v>
      </c>
      <c r="AV166" s="42">
        <f>VLOOKUP(A166,'[1]Chứng chỉ'!$B$8:$Q$1111,15,0)</f>
        <v>0</v>
      </c>
      <c r="AW166" s="42">
        <f>VLOOKUP(A166,'[1]Chứng chỉ'!$B$8:$Q$1111,16,0)</f>
        <v>0</v>
      </c>
      <c r="AX166" s="42"/>
      <c r="AY166" s="57" t="s">
        <v>87</v>
      </c>
      <c r="AZ166" s="65"/>
      <c r="BA166" s="74" t="e">
        <f t="shared" si="80"/>
        <v>#REF!</v>
      </c>
      <c r="BB166" s="74" t="e">
        <f t="shared" si="81"/>
        <v>#REF!</v>
      </c>
      <c r="BC166" s="41"/>
      <c r="BD166" s="42"/>
    </row>
    <row r="167" spans="1:56" ht="61.2" x14ac:dyDescent="0.3">
      <c r="A167" s="41" t="s">
        <v>1342</v>
      </c>
      <c r="B167" s="42">
        <f t="shared" si="0"/>
        <v>161</v>
      </c>
      <c r="C167" s="68" t="s">
        <v>1343</v>
      </c>
      <c r="D167" s="41" t="s">
        <v>1342</v>
      </c>
      <c r="E167" s="61">
        <v>1506002912</v>
      </c>
      <c r="F167" s="64"/>
      <c r="G167" s="49" t="s">
        <v>1344</v>
      </c>
      <c r="H167" s="76">
        <v>30081</v>
      </c>
      <c r="I167" s="76"/>
      <c r="J167" s="66">
        <f t="shared" ca="1" si="84"/>
        <v>44</v>
      </c>
      <c r="K167" s="75" t="s">
        <v>1345</v>
      </c>
      <c r="L167" s="41" t="s">
        <v>1346</v>
      </c>
      <c r="M167" s="53" t="s">
        <v>67</v>
      </c>
      <c r="N167" s="66"/>
      <c r="O167" s="85"/>
      <c r="P167" s="49" t="s">
        <v>195</v>
      </c>
      <c r="Q167" s="76" t="s">
        <v>94</v>
      </c>
      <c r="R167" s="49"/>
      <c r="S167" s="76" t="s">
        <v>96</v>
      </c>
      <c r="T167" s="76" t="s">
        <v>97</v>
      </c>
      <c r="U167" s="76" t="s">
        <v>94</v>
      </c>
      <c r="V167" s="49" t="str">
        <f t="shared" si="72"/>
        <v>Phường Hoàng Văn Thụ, Thành phố Lạng Sơn, Tỉnh Lạng Sơn</v>
      </c>
      <c r="W167" s="55" t="s">
        <v>1049</v>
      </c>
      <c r="X167" s="41"/>
      <c r="Y167" s="41"/>
      <c r="Z167" s="41"/>
      <c r="AA167" s="68" t="str">
        <f>VLOOKUP(A167,'[1]DANH SÁCH'!$B$8:$AD$841,12,0)</f>
        <v>Phó trưởng khoa</v>
      </c>
      <c r="AB167" s="49" t="str">
        <f>VLOOKUP(A167,'[1]DANH SÁCH'!$B$8:$H$841,6,0)</f>
        <v>TĐ004</v>
      </c>
      <c r="AC167" s="69" t="str">
        <f>VLOOKUP(A167,'[1]DANH SÁCH'!$B$8:$J$841,9,0)</f>
        <v>Phụ sản</v>
      </c>
      <c r="AD167" s="69" t="str">
        <f>VLOOKUP(A167,'[1]DANH SÁCH'!$B$8:$AC$841,10,0)</f>
        <v>KP016</v>
      </c>
      <c r="AE167" s="69" t="str">
        <f>VLOOKUP(A167,'[1]DANH SÁCH'!$B$8:$AD$841,13,0)</f>
        <v>Viên chức</v>
      </c>
      <c r="AF167" s="41" t="s">
        <v>274</v>
      </c>
      <c r="AG167" s="42" t="str">
        <f>VLOOKUP(A167,'[1]DANH SÁCH'!$B$8:$H$841,7,0)</f>
        <v>Bác sĩ (hạng III)</v>
      </c>
      <c r="AH167" s="45">
        <v>4.32</v>
      </c>
      <c r="AI167" s="42">
        <v>7</v>
      </c>
      <c r="AJ167" s="70">
        <v>0</v>
      </c>
      <c r="AK167" s="69">
        <v>45717</v>
      </c>
      <c r="AL167" s="71" t="s">
        <v>80</v>
      </c>
      <c r="AM167" s="53" t="str">
        <f>VLOOKUP(A167,'[1]DANH SÁCH'!$B$8:$F$841,5,0)</f>
        <v>Thạc sỹ</v>
      </c>
      <c r="AN167" s="53" t="s">
        <v>1308</v>
      </c>
      <c r="AO167" s="53" t="s">
        <v>1347</v>
      </c>
      <c r="AP167" s="53">
        <v>2014</v>
      </c>
      <c r="AQ167" s="72" t="s">
        <v>113</v>
      </c>
      <c r="AR167" s="42">
        <f>VLOOKUP(A167,'[1]Chứng chỉ'!$B$8:$Q$1111,11,0)</f>
        <v>0</v>
      </c>
      <c r="AS167" s="42">
        <f>VLOOKUP(A167,'[1]Chứng chỉ'!$B$8:$Q$1111,12,0)</f>
        <v>0</v>
      </c>
      <c r="AT167" s="47">
        <f>VLOOKUP(A167,'[1]Chứng chỉ'!$B$8:$Q$1111,13,0)</f>
        <v>0</v>
      </c>
      <c r="AU167" s="42">
        <f>VLOOKUP(A167,'[1]Chứng chỉ'!$B$8:$Q$1111,14,0)</f>
        <v>0</v>
      </c>
      <c r="AV167" s="42">
        <f>VLOOKUP(A167,'[1]Chứng chỉ'!$B$8:$Q$1111,15,0)</f>
        <v>0</v>
      </c>
      <c r="AW167" s="42">
        <f>VLOOKUP(A167,'[1]Chứng chỉ'!$B$8:$Q$1111,16,0)</f>
        <v>0</v>
      </c>
      <c r="AX167" s="42"/>
      <c r="AY167" s="57" t="s">
        <v>85</v>
      </c>
      <c r="AZ167" s="65">
        <v>40753</v>
      </c>
      <c r="BA167" s="74" t="e">
        <f t="shared" si="80"/>
        <v>#REF!</v>
      </c>
      <c r="BB167" s="74" t="e">
        <f t="shared" si="81"/>
        <v>#REF!</v>
      </c>
      <c r="BC167" s="41"/>
      <c r="BD167" s="64"/>
    </row>
    <row r="168" spans="1:56" ht="61.2" x14ac:dyDescent="0.3">
      <c r="A168" s="41" t="s">
        <v>1348</v>
      </c>
      <c r="B168" s="42">
        <f t="shared" si="0"/>
        <v>162</v>
      </c>
      <c r="C168" s="68" t="s">
        <v>1349</v>
      </c>
      <c r="D168" s="41" t="s">
        <v>1348</v>
      </c>
      <c r="E168" s="61">
        <v>2009000920</v>
      </c>
      <c r="F168" s="64"/>
      <c r="G168" s="49" t="s">
        <v>1350</v>
      </c>
      <c r="H168" s="76"/>
      <c r="I168" s="76">
        <v>30947</v>
      </c>
      <c r="J168" s="66">
        <f t="shared" ref="J168:J170" ca="1" si="85">INT(DATEDIF(I168,$J$2,"d")/365)</f>
        <v>41</v>
      </c>
      <c r="K168" s="75" t="s">
        <v>1351</v>
      </c>
      <c r="L168" s="83" t="s">
        <v>1352</v>
      </c>
      <c r="M168" s="53" t="s">
        <v>67</v>
      </c>
      <c r="N168" s="66" t="s">
        <v>94</v>
      </c>
      <c r="O168" s="85"/>
      <c r="P168" s="76" t="s">
        <v>1048</v>
      </c>
      <c r="Q168" s="76" t="s">
        <v>135</v>
      </c>
      <c r="R168" s="49"/>
      <c r="S168" s="76" t="s">
        <v>96</v>
      </c>
      <c r="T168" s="76" t="s">
        <v>97</v>
      </c>
      <c r="U168" s="76" t="s">
        <v>94</v>
      </c>
      <c r="V168" s="49" t="str">
        <f t="shared" si="72"/>
        <v>Phường Hoàng Văn Thụ, Thành phố Lạng Sơn, Tỉnh Lạng Sơn</v>
      </c>
      <c r="W168" s="55" t="s">
        <v>98</v>
      </c>
      <c r="X168" s="41"/>
      <c r="Y168" s="41"/>
      <c r="Z168" s="41"/>
      <c r="AA168" s="68">
        <f>VLOOKUP(A168,'[1]DANH SÁCH'!$B$8:$AD$841,12,0)</f>
        <v>0</v>
      </c>
      <c r="AB168" s="49" t="str">
        <f>VLOOKUP(A168,'[1]DANH SÁCH'!$B$8:$H$841,6,0)</f>
        <v>TĐ001</v>
      </c>
      <c r="AC168" s="69" t="str">
        <f>VLOOKUP(A168,'[1]DANH SÁCH'!$B$8:$J$841,9,0)</f>
        <v>Phụ sản</v>
      </c>
      <c r="AD168" s="69" t="str">
        <f>VLOOKUP(A168,'[1]DANH SÁCH'!$B$8:$AC$841,10,0)</f>
        <v>KP016</v>
      </c>
      <c r="AE168" s="69" t="str">
        <f>VLOOKUP(A168,'[1]DANH SÁCH'!$B$8:$AD$841,13,0)</f>
        <v>Viên chức</v>
      </c>
      <c r="AF168" s="41" t="s">
        <v>79</v>
      </c>
      <c r="AG168" s="42" t="str">
        <f>VLOOKUP(A168,'[1]DANH SÁCH'!$B$8:$H$841,7,0)</f>
        <v>Bác sĩ chính (hạng II)</v>
      </c>
      <c r="AH168" s="45">
        <v>4.74</v>
      </c>
      <c r="AI168" s="42">
        <v>2</v>
      </c>
      <c r="AJ168" s="70">
        <v>0</v>
      </c>
      <c r="AK168" s="69">
        <v>45992</v>
      </c>
      <c r="AL168" s="71" t="s">
        <v>80</v>
      </c>
      <c r="AM168" s="53" t="str">
        <f>VLOOKUP(A168,'[1]DANH SÁCH'!$B$8:$F$841,5,0)</f>
        <v>BSCKII</v>
      </c>
      <c r="AN168" s="53" t="s">
        <v>1308</v>
      </c>
      <c r="AO168" s="53" t="s">
        <v>112</v>
      </c>
      <c r="AP168" s="53">
        <v>2016</v>
      </c>
      <c r="AQ168" s="72" t="s">
        <v>113</v>
      </c>
      <c r="AR168" s="42">
        <f>VLOOKUP(A168,'[1]Chứng chỉ'!$B$8:$Q$1111,11,0)</f>
        <v>0</v>
      </c>
      <c r="AS168" s="42" t="s">
        <v>100</v>
      </c>
      <c r="AT168" s="47" t="s">
        <v>101</v>
      </c>
      <c r="AU168" s="42" t="str">
        <f>VLOOKUP(A168,'[1]Chứng chỉ'!$B$8:$Q$1111,14,0)</f>
        <v>Anh B</v>
      </c>
      <c r="AV168" s="42" t="str">
        <f>VLOOKUP(A168,'[1]Chứng chỉ'!$B$8:$Q$1111,15,0)</f>
        <v>Tày</v>
      </c>
      <c r="AW168" s="42" t="str">
        <f>VLOOKUP(A168,'[1]Chứng chỉ'!$B$8:$Q$1111,16,0)</f>
        <v>Cơ bản</v>
      </c>
      <c r="AX168" s="42"/>
      <c r="AY168" s="57" t="s">
        <v>87</v>
      </c>
      <c r="AZ168" s="65">
        <v>39229</v>
      </c>
      <c r="BA168" s="74" t="e">
        <f t="shared" si="80"/>
        <v>#REF!</v>
      </c>
      <c r="BB168" s="74" t="e">
        <f t="shared" si="81"/>
        <v>#REF!</v>
      </c>
      <c r="BC168" s="79" t="s">
        <v>114</v>
      </c>
      <c r="BD168" s="64"/>
    </row>
    <row r="169" spans="1:56" ht="51" x14ac:dyDescent="0.3">
      <c r="A169" s="46" t="s">
        <v>1353</v>
      </c>
      <c r="B169" s="42">
        <f t="shared" si="0"/>
        <v>163</v>
      </c>
      <c r="C169" s="68" t="s">
        <v>1354</v>
      </c>
      <c r="D169" s="46" t="s">
        <v>1353</v>
      </c>
      <c r="E169" s="61">
        <v>2016001453</v>
      </c>
      <c r="F169" s="64"/>
      <c r="G169" s="49" t="s">
        <v>1355</v>
      </c>
      <c r="H169" s="76"/>
      <c r="I169" s="118" t="s">
        <v>1356</v>
      </c>
      <c r="J169" s="66">
        <f t="shared" ca="1" si="85"/>
        <v>36</v>
      </c>
      <c r="K169" s="75" t="s">
        <v>1357</v>
      </c>
      <c r="L169" s="83" t="s">
        <v>1358</v>
      </c>
      <c r="M169" s="53" t="s">
        <v>67</v>
      </c>
      <c r="N169" s="66" t="s">
        <v>94</v>
      </c>
      <c r="O169" s="85" t="s">
        <v>1359</v>
      </c>
      <c r="P169" s="49" t="s">
        <v>343</v>
      </c>
      <c r="Q169" s="49" t="s">
        <v>94</v>
      </c>
      <c r="R169" s="85"/>
      <c r="S169" s="85" t="s">
        <v>1360</v>
      </c>
      <c r="T169" s="49" t="s">
        <v>343</v>
      </c>
      <c r="U169" s="49" t="s">
        <v>94</v>
      </c>
      <c r="V169" s="49" t="s">
        <v>1361</v>
      </c>
      <c r="W169" s="86" t="s">
        <v>491</v>
      </c>
      <c r="X169" s="41"/>
      <c r="Y169" s="41"/>
      <c r="Z169" s="41"/>
      <c r="AA169" s="68">
        <f>VLOOKUP(A169,'[1]DANH SÁCH'!$B$8:$AD$841,12,0)</f>
        <v>0</v>
      </c>
      <c r="AB169" s="49" t="str">
        <f>VLOOKUP(A169,'[1]DANH SÁCH'!$B$8:$H$841,6,0)</f>
        <v>TĐ003</v>
      </c>
      <c r="AC169" s="69" t="str">
        <f>VLOOKUP(A169,'[1]DANH SÁCH'!$B$8:$J$841,9,0)</f>
        <v>Phụ sản</v>
      </c>
      <c r="AD169" s="69" t="str">
        <f>VLOOKUP(A169,'[1]DANH SÁCH'!$B$8:$AC$841,10,0)</f>
        <v>KP016</v>
      </c>
      <c r="AE169" s="69" t="str">
        <f>VLOOKUP(A169,'[1]DANH SÁCH'!$B$8:$AD$841,13,0)</f>
        <v>Viên chức</v>
      </c>
      <c r="AF169" s="41" t="s">
        <v>274</v>
      </c>
      <c r="AG169" s="42" t="str">
        <f>VLOOKUP(A169,'[1]DANH SÁCH'!$B$8:$H$841,7,0)</f>
        <v>Bác sĩ (hạng III)</v>
      </c>
      <c r="AH169" s="45">
        <v>3.33</v>
      </c>
      <c r="AI169" s="42">
        <v>4</v>
      </c>
      <c r="AJ169" s="70">
        <v>0</v>
      </c>
      <c r="AK169" s="69">
        <v>45941</v>
      </c>
      <c r="AL169" s="71" t="s">
        <v>80</v>
      </c>
      <c r="AM169" s="53" t="str">
        <f>VLOOKUP(A169,'[1]DANH SÁCH'!$B$8:$F$841,5,0)</f>
        <v>BSCKI</v>
      </c>
      <c r="AN169" s="53" t="s">
        <v>1308</v>
      </c>
      <c r="AO169" s="53" t="s">
        <v>1341</v>
      </c>
      <c r="AP169" s="53">
        <v>2015</v>
      </c>
      <c r="AQ169" s="72" t="s">
        <v>113</v>
      </c>
      <c r="AR169" s="42">
        <f>VLOOKUP(A169,'[1]Chứng chỉ'!$B$8:$Q$1111,11,0)</f>
        <v>0</v>
      </c>
      <c r="AS169" s="42">
        <f>VLOOKUP(A169,'[1]Chứng chỉ'!$B$8:$Q$1111,12,0)</f>
        <v>0</v>
      </c>
      <c r="AT169" s="47">
        <f>VLOOKUP(A169,'[1]Chứng chỉ'!$B$8:$Q$1111,13,0)</f>
        <v>0</v>
      </c>
      <c r="AU169" s="42" t="str">
        <f>VLOOKUP(A169,'[1]Chứng chỉ'!$B$8:$Q$1111,14,0)</f>
        <v>Anh B</v>
      </c>
      <c r="AV169" s="42">
        <f>VLOOKUP(A169,'[1]Chứng chỉ'!$B$8:$Q$1111,15,0)</f>
        <v>0</v>
      </c>
      <c r="AW169" s="42" t="str">
        <f>VLOOKUP(A169,'[1]Chứng chỉ'!$B$8:$Q$1111,16,0)</f>
        <v>B</v>
      </c>
      <c r="AX169" s="42"/>
      <c r="AY169" s="57" t="s">
        <v>87</v>
      </c>
      <c r="AZ169" s="65">
        <v>43517</v>
      </c>
      <c r="BA169" s="74" t="e">
        <f t="shared" si="80"/>
        <v>#REF!</v>
      </c>
      <c r="BB169" s="74" t="e">
        <f t="shared" si="81"/>
        <v>#REF!</v>
      </c>
      <c r="BC169" s="41"/>
      <c r="BD169" s="64"/>
    </row>
    <row r="170" spans="1:56" ht="61.2" x14ac:dyDescent="0.3">
      <c r="A170" s="41" t="s">
        <v>1362</v>
      </c>
      <c r="B170" s="42">
        <f t="shared" si="0"/>
        <v>164</v>
      </c>
      <c r="C170" s="68" t="s">
        <v>1363</v>
      </c>
      <c r="D170" s="41" t="s">
        <v>1362</v>
      </c>
      <c r="E170" s="61">
        <v>2015002114</v>
      </c>
      <c r="F170" s="64"/>
      <c r="G170" s="49" t="s">
        <v>1364</v>
      </c>
      <c r="H170" s="47"/>
      <c r="I170" s="76">
        <v>32159</v>
      </c>
      <c r="J170" s="66">
        <f t="shared" ca="1" si="85"/>
        <v>38</v>
      </c>
      <c r="K170" s="126" t="s">
        <v>1365</v>
      </c>
      <c r="L170" s="83" t="s">
        <v>1366</v>
      </c>
      <c r="M170" s="53" t="s">
        <v>67</v>
      </c>
      <c r="N170" s="66" t="s">
        <v>1367</v>
      </c>
      <c r="O170" s="53" t="s">
        <v>166</v>
      </c>
      <c r="P170" s="49" t="s">
        <v>97</v>
      </c>
      <c r="Q170" s="49" t="s">
        <v>94</v>
      </c>
      <c r="R170" s="76" t="s">
        <v>1368</v>
      </c>
      <c r="S170" s="49" t="s">
        <v>166</v>
      </c>
      <c r="T170" s="49" t="s">
        <v>97</v>
      </c>
      <c r="U170" s="49" t="s">
        <v>94</v>
      </c>
      <c r="V170" s="49" t="str">
        <f>S170&amp;", "&amp;T170&amp;", "&amp;U170</f>
        <v>Phường Tam Thanh, Thành phố Lạng Sơn, Tỉnh Lạng Sơn</v>
      </c>
      <c r="W170" s="55" t="s">
        <v>1369</v>
      </c>
      <c r="X170" s="41"/>
      <c r="Y170" s="41"/>
      <c r="Z170" s="41"/>
      <c r="AA170" s="68">
        <f>VLOOKUP(A170,'[1]DANH SÁCH'!$B$8:$AD$841,12,0)</f>
        <v>0</v>
      </c>
      <c r="AB170" s="49" t="str">
        <f>VLOOKUP(A170,'[1]DANH SÁCH'!$B$8:$H$841,6,0)</f>
        <v>TĐ003</v>
      </c>
      <c r="AC170" s="69" t="str">
        <f>VLOOKUP(A170,'[1]DANH SÁCH'!$B$8:$J$841,9,0)</f>
        <v>Phụ sản</v>
      </c>
      <c r="AD170" s="69" t="str">
        <f>VLOOKUP(A170,'[1]DANH SÁCH'!$B$8:$AC$841,10,0)</f>
        <v>KP016</v>
      </c>
      <c r="AE170" s="69" t="str">
        <f>VLOOKUP(A170,'[1]DANH SÁCH'!$B$8:$AD$841,13,0)</f>
        <v>Viên chức</v>
      </c>
      <c r="AF170" s="41" t="s">
        <v>274</v>
      </c>
      <c r="AG170" s="42" t="str">
        <f>VLOOKUP(A170,'[1]DANH SÁCH'!$B$8:$H$841,7,0)</f>
        <v>Bác sĩ (hạng III)</v>
      </c>
      <c r="AH170" s="45">
        <v>3</v>
      </c>
      <c r="AI170" s="42">
        <v>3</v>
      </c>
      <c r="AJ170" s="70">
        <v>0</v>
      </c>
      <c r="AK170" s="69">
        <v>45006</v>
      </c>
      <c r="AL170" s="71" t="s">
        <v>80</v>
      </c>
      <c r="AM170" s="53" t="str">
        <f>VLOOKUP(A170,'[1]DANH SÁCH'!$B$8:$F$841,5,0)</f>
        <v>BSCKI</v>
      </c>
      <c r="AN170" s="53" t="s">
        <v>1308</v>
      </c>
      <c r="AO170" s="53" t="s">
        <v>1197</v>
      </c>
      <c r="AP170" s="53">
        <v>2014</v>
      </c>
      <c r="AQ170" s="72" t="s">
        <v>113</v>
      </c>
      <c r="AR170" s="42">
        <f>VLOOKUP(A170,'[1]Chứng chỉ'!$B$8:$Q$1111,11,0)</f>
        <v>0</v>
      </c>
      <c r="AS170" s="42">
        <f>VLOOKUP(A170,'[1]Chứng chỉ'!$B$8:$Q$1111,12,0)</f>
        <v>0</v>
      </c>
      <c r="AT170" s="47">
        <f>VLOOKUP(A170,'[1]Chứng chỉ'!$B$8:$Q$1111,13,0)</f>
        <v>0</v>
      </c>
      <c r="AU170" s="42">
        <f>VLOOKUP(A170,'[1]Chứng chỉ'!$B$8:$Q$1111,14,0)</f>
        <v>0</v>
      </c>
      <c r="AV170" s="42">
        <f>VLOOKUP(A170,'[1]Chứng chỉ'!$B$8:$Q$1111,15,0)</f>
        <v>0</v>
      </c>
      <c r="AW170" s="42">
        <f>VLOOKUP(A170,'[1]Chứng chỉ'!$B$8:$Q$1111,16,0)</f>
        <v>0</v>
      </c>
      <c r="AX170" s="42"/>
      <c r="AY170" s="57" t="s">
        <v>87</v>
      </c>
      <c r="AZ170" s="65"/>
      <c r="BA170" s="74" t="e">
        <f t="shared" si="80"/>
        <v>#REF!</v>
      </c>
      <c r="BB170" s="74" t="e">
        <f t="shared" si="81"/>
        <v>#REF!</v>
      </c>
      <c r="BC170" s="41" t="s">
        <v>1370</v>
      </c>
      <c r="BD170" s="64"/>
    </row>
    <row r="171" spans="1:56" ht="40.799999999999997" x14ac:dyDescent="0.3">
      <c r="A171" s="46" t="s">
        <v>1371</v>
      </c>
      <c r="B171" s="42">
        <f t="shared" si="0"/>
        <v>165</v>
      </c>
      <c r="C171" s="93" t="s">
        <v>1372</v>
      </c>
      <c r="D171" s="46" t="s">
        <v>1371</v>
      </c>
      <c r="E171" s="61" t="s">
        <v>1373</v>
      </c>
      <c r="F171" s="64"/>
      <c r="G171" s="49" t="s">
        <v>1374</v>
      </c>
      <c r="H171" s="113" t="s">
        <v>1375</v>
      </c>
      <c r="I171" s="64"/>
      <c r="J171" s="66">
        <f ca="1">INT(DATEDIF(H171,$J$2,"d")/365)</f>
        <v>33</v>
      </c>
      <c r="K171" s="75" t="s">
        <v>1376</v>
      </c>
      <c r="L171" s="120" t="s">
        <v>1377</v>
      </c>
      <c r="M171" s="53" t="s">
        <v>67</v>
      </c>
      <c r="N171" s="128" t="s">
        <v>184</v>
      </c>
      <c r="O171" s="56" t="s">
        <v>779</v>
      </c>
      <c r="P171" s="56" t="s">
        <v>182</v>
      </c>
      <c r="Q171" s="49" t="s">
        <v>94</v>
      </c>
      <c r="R171" s="122" t="s">
        <v>1378</v>
      </c>
      <c r="S171" s="56" t="s">
        <v>1379</v>
      </c>
      <c r="T171" s="56" t="s">
        <v>182</v>
      </c>
      <c r="U171" s="49" t="s">
        <v>94</v>
      </c>
      <c r="V171" s="122" t="s">
        <v>1380</v>
      </c>
      <c r="W171" s="104" t="s">
        <v>384</v>
      </c>
      <c r="X171" s="46"/>
      <c r="Y171" s="122">
        <v>574</v>
      </c>
      <c r="Z171" s="122" t="s">
        <v>386</v>
      </c>
      <c r="AA171" s="68">
        <f>VLOOKUP(A171,'[1]DANH SÁCH'!$B$8:$AD$841,12,0)</f>
        <v>0</v>
      </c>
      <c r="AB171" s="49" t="str">
        <f>VLOOKUP(A171,'[1]DANH SÁCH'!$B$8:$H$841,6,0)</f>
        <v>TĐ003</v>
      </c>
      <c r="AC171" s="69" t="str">
        <f>VLOOKUP(A171,'[1]DANH SÁCH'!$B$8:$J$841,9,0)</f>
        <v>Phụ sản</v>
      </c>
      <c r="AD171" s="69" t="str">
        <f>VLOOKUP(A171,'[1]DANH SÁCH'!$B$8:$AC$841,10,0)</f>
        <v>KP016</v>
      </c>
      <c r="AE171" s="69" t="str">
        <f>VLOOKUP(A171,'[1]DANH SÁCH'!$B$8:$AD$841,13,0)</f>
        <v>Viên chức</v>
      </c>
      <c r="AF171" s="41" t="s">
        <v>274</v>
      </c>
      <c r="AG171" s="122" t="s">
        <v>296</v>
      </c>
      <c r="AH171" s="45">
        <v>3</v>
      </c>
      <c r="AI171" s="42">
        <v>3</v>
      </c>
      <c r="AJ171" s="70">
        <v>0</v>
      </c>
      <c r="AK171" s="69">
        <v>45658</v>
      </c>
      <c r="AL171" s="71" t="s">
        <v>80</v>
      </c>
      <c r="AM171" s="53" t="str">
        <f>VLOOKUP(A171,'[1]DANH SÁCH'!$B$8:$F$841,5,0)</f>
        <v>BSCKI</v>
      </c>
      <c r="AN171" s="53" t="s">
        <v>372</v>
      </c>
      <c r="AO171" s="53" t="s">
        <v>1381</v>
      </c>
      <c r="AP171" s="53">
        <v>2017</v>
      </c>
      <c r="AQ171" s="72" t="s">
        <v>113</v>
      </c>
      <c r="AR171" s="42">
        <f>VLOOKUP(A171,'[1]Chứng chỉ'!$B$8:$Q$1111,11,0)</f>
        <v>0</v>
      </c>
      <c r="AS171" s="42">
        <f>VLOOKUP(A171,'[1]Chứng chỉ'!$B$8:$Q$1111,12,0)</f>
        <v>0</v>
      </c>
      <c r="AT171" s="47">
        <f>VLOOKUP(A171,'[1]Chứng chỉ'!$B$8:$Q$1111,13,0)</f>
        <v>0</v>
      </c>
      <c r="AU171" s="42" t="str">
        <f>VLOOKUP(A171,'[1]Chứng chỉ'!$B$8:$Q$1111,14,0)</f>
        <v>Anh B</v>
      </c>
      <c r="AV171" s="42">
        <f>VLOOKUP(A171,'[1]Chứng chỉ'!$B$8:$Q$1111,15,0)</f>
        <v>0</v>
      </c>
      <c r="AW171" s="42" t="str">
        <f>VLOOKUP(A171,'[1]Chứng chỉ'!$B$8:$Q$1111,16,0)</f>
        <v>Cơ bản</v>
      </c>
      <c r="AX171" s="47"/>
      <c r="AY171" s="73" t="s">
        <v>85</v>
      </c>
      <c r="AZ171" s="65">
        <v>42881</v>
      </c>
      <c r="BA171" s="74"/>
      <c r="BB171" s="74"/>
      <c r="BC171" s="79" t="s">
        <v>1382</v>
      </c>
      <c r="BD171" s="64"/>
    </row>
    <row r="172" spans="1:56" ht="30.6" x14ac:dyDescent="0.3">
      <c r="A172" s="47" t="s">
        <v>1383</v>
      </c>
      <c r="B172" s="42">
        <f t="shared" si="0"/>
        <v>166</v>
      </c>
      <c r="C172" s="93" t="s">
        <v>1384</v>
      </c>
      <c r="D172" s="47" t="s">
        <v>1383</v>
      </c>
      <c r="E172" s="61" t="s">
        <v>1385</v>
      </c>
      <c r="F172" s="64"/>
      <c r="G172" s="49" t="s">
        <v>1386</v>
      </c>
      <c r="H172" s="46"/>
      <c r="I172" s="113" t="s">
        <v>1387</v>
      </c>
      <c r="J172" s="66">
        <f t="shared" ref="J172:J212" ca="1" si="86">INT(DATEDIF(I172,$J$2,"d")/365)</f>
        <v>33</v>
      </c>
      <c r="K172" s="75" t="s">
        <v>1388</v>
      </c>
      <c r="L172" s="120" t="s">
        <v>1389</v>
      </c>
      <c r="M172" s="53" t="s">
        <v>67</v>
      </c>
      <c r="N172" s="52" t="s">
        <v>1390</v>
      </c>
      <c r="O172" s="56" t="s">
        <v>1391</v>
      </c>
      <c r="P172" s="47" t="s">
        <v>758</v>
      </c>
      <c r="Q172" s="47" t="s">
        <v>71</v>
      </c>
      <c r="R172" s="121" t="s">
        <v>1392</v>
      </c>
      <c r="S172" s="47"/>
      <c r="T172" s="47"/>
      <c r="U172" s="47"/>
      <c r="V172" s="121" t="s">
        <v>1392</v>
      </c>
      <c r="W172" s="104" t="s">
        <v>384</v>
      </c>
      <c r="X172" s="46" t="s">
        <v>385</v>
      </c>
      <c r="Y172" s="122">
        <v>570</v>
      </c>
      <c r="Z172" s="122" t="s">
        <v>386</v>
      </c>
      <c r="AA172" s="68">
        <f>VLOOKUP(A172,'[1]DANH SÁCH'!$B$8:$AD$841,12,0)</f>
        <v>0</v>
      </c>
      <c r="AB172" s="49" t="str">
        <f>VLOOKUP(A172,'[1]DANH SÁCH'!$B$8:$H$841,6,0)</f>
        <v>TĐ003</v>
      </c>
      <c r="AC172" s="69" t="str">
        <f>VLOOKUP(A172,'[1]DANH SÁCH'!$B$8:$J$841,9,0)</f>
        <v>Phụ sản</v>
      </c>
      <c r="AD172" s="69" t="str">
        <f>VLOOKUP(A172,'[1]DANH SÁCH'!$B$8:$AC$841,10,0)</f>
        <v>KP016</v>
      </c>
      <c r="AE172" s="69" t="str">
        <f>VLOOKUP(A172,'[1]DANH SÁCH'!$B$8:$AD$841,13,0)</f>
        <v>Viên chức</v>
      </c>
      <c r="AF172" s="41" t="s">
        <v>274</v>
      </c>
      <c r="AG172" s="122" t="s">
        <v>296</v>
      </c>
      <c r="AH172" s="45">
        <v>3</v>
      </c>
      <c r="AI172" s="42">
        <v>3</v>
      </c>
      <c r="AJ172" s="70">
        <v>0</v>
      </c>
      <c r="AK172" s="69">
        <v>45658</v>
      </c>
      <c r="AL172" s="71" t="s">
        <v>80</v>
      </c>
      <c r="AM172" s="53" t="str">
        <f>VLOOKUP(A172,'[1]DANH SÁCH'!$B$8:$F$841,5,0)</f>
        <v>BSCKI</v>
      </c>
      <c r="AN172" s="53" t="s">
        <v>372</v>
      </c>
      <c r="AO172" s="53" t="s">
        <v>1393</v>
      </c>
      <c r="AP172" s="53">
        <v>2017</v>
      </c>
      <c r="AQ172" s="99" t="s">
        <v>113</v>
      </c>
      <c r="AR172" s="42">
        <f>VLOOKUP(A172,'[1]Chứng chỉ'!$B$8:$Q$1111,11,0)</f>
        <v>0</v>
      </c>
      <c r="AS172" s="42">
        <f>VLOOKUP(A172,'[1]Chứng chỉ'!$B$8:$Q$1111,12,0)</f>
        <v>0</v>
      </c>
      <c r="AT172" s="47">
        <f>VLOOKUP(A172,'[1]Chứng chỉ'!$B$8:$Q$1111,13,0)</f>
        <v>0</v>
      </c>
      <c r="AU172" s="42">
        <f>VLOOKUP(A172,'[1]Chứng chỉ'!$B$8:$Q$1111,14,0)</f>
        <v>0</v>
      </c>
      <c r="AV172" s="42">
        <f>VLOOKUP(A172,'[1]Chứng chỉ'!$B$8:$Q$1111,15,0)</f>
        <v>0</v>
      </c>
      <c r="AW172" s="42">
        <f>VLOOKUP(A172,'[1]Chứng chỉ'!$B$8:$Q$1111,16,0)</f>
        <v>0</v>
      </c>
      <c r="AX172" s="47"/>
      <c r="AY172" s="73" t="s">
        <v>85</v>
      </c>
      <c r="AZ172" s="65"/>
      <c r="BA172" s="47"/>
      <c r="BB172" s="64"/>
      <c r="BC172" s="79" t="s">
        <v>1157</v>
      </c>
      <c r="BD172" s="64"/>
    </row>
    <row r="173" spans="1:56" ht="61.2" x14ac:dyDescent="0.3">
      <c r="A173" s="41" t="s">
        <v>1394</v>
      </c>
      <c r="B173" s="42">
        <f t="shared" si="0"/>
        <v>167</v>
      </c>
      <c r="C173" s="68" t="s">
        <v>1395</v>
      </c>
      <c r="D173" s="41" t="s">
        <v>1394</v>
      </c>
      <c r="E173" s="61">
        <v>1504000559</v>
      </c>
      <c r="F173" s="64"/>
      <c r="G173" s="49" t="s">
        <v>1396</v>
      </c>
      <c r="H173" s="76"/>
      <c r="I173" s="76">
        <v>29230</v>
      </c>
      <c r="J173" s="66">
        <f t="shared" ca="1" si="86"/>
        <v>46</v>
      </c>
      <c r="K173" s="126" t="s">
        <v>1397</v>
      </c>
      <c r="L173" s="83" t="s">
        <v>1398</v>
      </c>
      <c r="M173" s="53" t="s">
        <v>67</v>
      </c>
      <c r="N173" s="66" t="s">
        <v>235</v>
      </c>
      <c r="O173" s="53" t="s">
        <v>1399</v>
      </c>
      <c r="P173" s="49" t="s">
        <v>1244</v>
      </c>
      <c r="Q173" s="49" t="s">
        <v>235</v>
      </c>
      <c r="R173" s="49"/>
      <c r="S173" s="49" t="s">
        <v>166</v>
      </c>
      <c r="T173" s="49" t="s">
        <v>97</v>
      </c>
      <c r="U173" s="49" t="s">
        <v>94</v>
      </c>
      <c r="V173" s="49" t="str">
        <f t="shared" ref="V173:V180" si="87">S173&amp;", "&amp;T173&amp;", "&amp;U173</f>
        <v>Phường Tam Thanh, Thành phố Lạng Sơn, Tỉnh Lạng Sơn</v>
      </c>
      <c r="W173" s="55" t="s">
        <v>1301</v>
      </c>
      <c r="X173" s="41"/>
      <c r="Y173" s="41"/>
      <c r="Z173" s="41"/>
      <c r="AA173" s="68">
        <f>VLOOKUP(A173,'[1]DANH SÁCH'!$B$8:$AD$841,12,0)</f>
        <v>0</v>
      </c>
      <c r="AB173" s="49" t="str">
        <f>VLOOKUP(A173,'[1]DANH SÁCH'!$B$8:$H$841,6,0)</f>
        <v>TĐ017</v>
      </c>
      <c r="AC173" s="69" t="str">
        <f>VLOOKUP(A173,'[1]DANH SÁCH'!$B$8:$J$841,9,0)</f>
        <v>Phụ sản</v>
      </c>
      <c r="AD173" s="69" t="str">
        <f>VLOOKUP(A173,'[1]DANH SÁCH'!$B$8:$AC$841,10,0)</f>
        <v>KP016</v>
      </c>
      <c r="AE173" s="69" t="str">
        <f>VLOOKUP(A173,'[1]DANH SÁCH'!$B$8:$AD$841,13,0)</f>
        <v>Viên chức</v>
      </c>
      <c r="AF173" s="41" t="s">
        <v>527</v>
      </c>
      <c r="AG173" s="42" t="str">
        <f>VLOOKUP(A173,'[1]DANH SÁCH'!$B$8:$H$841,7,0)</f>
        <v>Hộ sinh (hạng III)</v>
      </c>
      <c r="AH173" s="45">
        <v>3.99</v>
      </c>
      <c r="AI173" s="42">
        <v>6</v>
      </c>
      <c r="AJ173" s="70">
        <v>0</v>
      </c>
      <c r="AK173" s="69">
        <v>45292</v>
      </c>
      <c r="AL173" s="71" t="s">
        <v>80</v>
      </c>
      <c r="AM173" s="53" t="str">
        <f>VLOOKUP(A173,'[1]DANH SÁCH'!$B$8:$F$841,5,0)</f>
        <v>Hộ sinh ĐH</v>
      </c>
      <c r="AN173" s="53"/>
      <c r="AO173" s="53"/>
      <c r="AP173" s="53"/>
      <c r="AQ173" s="72"/>
      <c r="AR173" s="42">
        <f>VLOOKUP(A173,'[1]Chứng chỉ'!$B$8:$Q$1111,11,0)</f>
        <v>0</v>
      </c>
      <c r="AS173" s="42">
        <f>VLOOKUP(A173,'[1]Chứng chỉ'!$B$8:$Q$1111,12,0)</f>
        <v>0</v>
      </c>
      <c r="AT173" s="47">
        <f>VLOOKUP(A173,'[1]Chứng chỉ'!$B$8:$Q$1111,13,0)</f>
        <v>0</v>
      </c>
      <c r="AU173" s="42" t="str">
        <f>VLOOKUP(A173,'[1]Chứng chỉ'!$B$8:$Q$1111,14,0)</f>
        <v>Anh B</v>
      </c>
      <c r="AV173" s="42" t="str">
        <f>VLOOKUP(A173,'[1]Chứng chỉ'!$B$8:$Q$1111,15,0)</f>
        <v>Tày</v>
      </c>
      <c r="AW173" s="42" t="str">
        <f>VLOOKUP(A173,'[1]Chứng chỉ'!$B$8:$Q$1111,16,0)</f>
        <v>B</v>
      </c>
      <c r="AX173" s="42"/>
      <c r="AY173" s="57" t="s">
        <v>87</v>
      </c>
      <c r="AZ173" s="65">
        <v>41439</v>
      </c>
      <c r="BA173" s="74" t="e">
        <f t="shared" ref="BA173:BA180" si="88">VLOOKUP(A173,#REF!,4,0)</f>
        <v>#REF!</v>
      </c>
      <c r="BB173" s="74" t="e">
        <f t="shared" ref="BB173:BB180" si="89">VLOOKUP(A173,#REF!,5,0)</f>
        <v>#REF!</v>
      </c>
      <c r="BC173" s="79" t="s">
        <v>114</v>
      </c>
      <c r="BD173" s="64"/>
    </row>
    <row r="174" spans="1:56" ht="51" x14ac:dyDescent="0.3">
      <c r="A174" s="41" t="s">
        <v>1400</v>
      </c>
      <c r="B174" s="42">
        <f t="shared" si="0"/>
        <v>168</v>
      </c>
      <c r="C174" s="68" t="s">
        <v>1401</v>
      </c>
      <c r="D174" s="41" t="s">
        <v>1400</v>
      </c>
      <c r="E174" s="61">
        <v>1506002931</v>
      </c>
      <c r="F174" s="64"/>
      <c r="G174" s="49" t="s">
        <v>1402</v>
      </c>
      <c r="H174" s="76"/>
      <c r="I174" s="76">
        <v>30517</v>
      </c>
      <c r="J174" s="66">
        <f t="shared" ca="1" si="86"/>
        <v>43</v>
      </c>
      <c r="K174" s="75" t="s">
        <v>1403</v>
      </c>
      <c r="L174" s="83" t="s">
        <v>1404</v>
      </c>
      <c r="M174" s="53" t="s">
        <v>67</v>
      </c>
      <c r="N174" s="66" t="s">
        <v>94</v>
      </c>
      <c r="O174" s="53"/>
      <c r="P174" s="49" t="s">
        <v>1405</v>
      </c>
      <c r="Q174" s="49" t="s">
        <v>410</v>
      </c>
      <c r="R174" s="49"/>
      <c r="S174" s="49" t="s">
        <v>184</v>
      </c>
      <c r="T174" s="49" t="s">
        <v>182</v>
      </c>
      <c r="U174" s="49" t="s">
        <v>94</v>
      </c>
      <c r="V174" s="49" t="str">
        <f t="shared" si="87"/>
        <v>Thị trấn Lộc Bình, Huyện Lộc Bình, Tỉnh Lạng Sơn</v>
      </c>
      <c r="W174" s="55" t="s">
        <v>146</v>
      </c>
      <c r="X174" s="41"/>
      <c r="Y174" s="41"/>
      <c r="Z174" s="41"/>
      <c r="AA174" s="68" t="e">
        <f>VLOOKUP(A174,'[1]DANH SÁCH'!$B$8:$AD$841,12,0)</f>
        <v>#N/A</v>
      </c>
      <c r="AB174" s="49" t="e">
        <f>VLOOKUP(A174,'[1]DANH SÁCH'!$B$8:$H$841,6,0)</f>
        <v>#N/A</v>
      </c>
      <c r="AC174" s="69" t="e">
        <f>VLOOKUP(A174,'[1]DANH SÁCH'!$B$8:$J$841,9,0)</f>
        <v>#N/A</v>
      </c>
      <c r="AD174" s="69" t="e">
        <f>VLOOKUP(A174,'[1]DANH SÁCH'!$B$8:$AC$841,10,0)</f>
        <v>#N/A</v>
      </c>
      <c r="AE174" s="69" t="e">
        <f>VLOOKUP(A174,'[1]DANH SÁCH'!$B$8:$AD$841,13,0)</f>
        <v>#N/A</v>
      </c>
      <c r="AF174" s="41" t="s">
        <v>527</v>
      </c>
      <c r="AG174" s="42" t="e">
        <f>VLOOKUP(A174,'[1]DANH SÁCH'!$B$8:$H$841,7,0)</f>
        <v>#N/A</v>
      </c>
      <c r="AH174" s="45">
        <v>3.99</v>
      </c>
      <c r="AI174" s="42">
        <v>6</v>
      </c>
      <c r="AJ174" s="70">
        <v>0</v>
      </c>
      <c r="AK174" s="69">
        <v>45778</v>
      </c>
      <c r="AL174" s="71" t="s">
        <v>80</v>
      </c>
      <c r="AM174" s="53" t="e">
        <f>VLOOKUP(A174,'[1]DANH SÁCH'!$B$8:$F$841,5,0)</f>
        <v>#N/A</v>
      </c>
      <c r="AN174" s="53"/>
      <c r="AO174" s="53"/>
      <c r="AP174" s="53"/>
      <c r="AQ174" s="72"/>
      <c r="AR174" s="42">
        <f>VLOOKUP(A174,'[1]Chứng chỉ'!$B$8:$Q$1111,11,0)</f>
        <v>0</v>
      </c>
      <c r="AS174" s="42">
        <f>VLOOKUP(A174,'[1]Chứng chỉ'!$B$8:$Q$1111,12,0)</f>
        <v>0</v>
      </c>
      <c r="AT174" s="47" t="s">
        <v>139</v>
      </c>
      <c r="AU174" s="42" t="str">
        <f>VLOOKUP(A174,'[1]Chứng chỉ'!$B$8:$Q$1111,14,0)</f>
        <v>Anh B</v>
      </c>
      <c r="AV174" s="42" t="str">
        <f>VLOOKUP(A174,'[1]Chứng chỉ'!$B$8:$Q$1111,15,0)</f>
        <v>Tày</v>
      </c>
      <c r="AW174" s="42" t="str">
        <f>VLOOKUP(A174,'[1]Chứng chỉ'!$B$8:$Q$1111,16,0)</f>
        <v>B</v>
      </c>
      <c r="AX174" s="42"/>
      <c r="AY174" s="57" t="s">
        <v>85</v>
      </c>
      <c r="AZ174" s="65">
        <v>41572</v>
      </c>
      <c r="BA174" s="74" t="e">
        <f t="shared" si="88"/>
        <v>#REF!</v>
      </c>
      <c r="BB174" s="74" t="e">
        <f t="shared" si="89"/>
        <v>#REF!</v>
      </c>
      <c r="BC174" s="79" t="s">
        <v>114</v>
      </c>
      <c r="BD174" s="64"/>
    </row>
    <row r="175" spans="1:56" ht="61.2" x14ac:dyDescent="0.3">
      <c r="A175" s="41" t="s">
        <v>1406</v>
      </c>
      <c r="B175" s="42">
        <f t="shared" si="0"/>
        <v>169</v>
      </c>
      <c r="C175" s="68" t="s">
        <v>1407</v>
      </c>
      <c r="D175" s="41" t="s">
        <v>1406</v>
      </c>
      <c r="E175" s="61">
        <v>1503002282</v>
      </c>
      <c r="F175" s="64"/>
      <c r="G175" s="49" t="s">
        <v>1408</v>
      </c>
      <c r="H175" s="76"/>
      <c r="I175" s="76">
        <v>28960</v>
      </c>
      <c r="J175" s="66">
        <f t="shared" ca="1" si="86"/>
        <v>47</v>
      </c>
      <c r="K175" s="75" t="s">
        <v>1409</v>
      </c>
      <c r="L175" s="83" t="s">
        <v>1410</v>
      </c>
      <c r="M175" s="53" t="s">
        <v>67</v>
      </c>
      <c r="N175" s="66" t="s">
        <v>94</v>
      </c>
      <c r="O175" s="53"/>
      <c r="P175" s="49" t="s">
        <v>195</v>
      </c>
      <c r="Q175" s="49" t="s">
        <v>94</v>
      </c>
      <c r="R175" s="49"/>
      <c r="S175" s="49" t="s">
        <v>166</v>
      </c>
      <c r="T175" s="49" t="s">
        <v>97</v>
      </c>
      <c r="U175" s="49" t="s">
        <v>94</v>
      </c>
      <c r="V175" s="49" t="str">
        <f t="shared" si="87"/>
        <v>Phường Tam Thanh, Thành phố Lạng Sơn, Tỉnh Lạng Sơn</v>
      </c>
      <c r="W175" s="86" t="s">
        <v>1411</v>
      </c>
      <c r="X175" s="41"/>
      <c r="Y175" s="41"/>
      <c r="Z175" s="41"/>
      <c r="AA175" s="68">
        <f>VLOOKUP(A175,'[1]DANH SÁCH'!$B$8:$AD$841,12,0)</f>
        <v>0</v>
      </c>
      <c r="AB175" s="49" t="str">
        <f>VLOOKUP(A175,'[1]DANH SÁCH'!$B$8:$H$841,6,0)</f>
        <v>TĐ017</v>
      </c>
      <c r="AC175" s="69" t="str">
        <f>VLOOKUP(A175,'[1]DANH SÁCH'!$B$8:$J$841,9,0)</f>
        <v>Phụ sản</v>
      </c>
      <c r="AD175" s="69" t="str">
        <f>VLOOKUP(A175,'[1]DANH SÁCH'!$B$8:$AC$841,10,0)</f>
        <v>KP016</v>
      </c>
      <c r="AE175" s="69" t="str">
        <f>VLOOKUP(A175,'[1]DANH SÁCH'!$B$8:$AD$841,13,0)</f>
        <v>Viên chức</v>
      </c>
      <c r="AF175" s="41" t="s">
        <v>527</v>
      </c>
      <c r="AG175" s="42" t="str">
        <f>VLOOKUP(A175,'[1]DANH SÁCH'!$B$8:$H$841,7,0)</f>
        <v>Hộ sinh (hạng III)</v>
      </c>
      <c r="AH175" s="45">
        <v>3.99</v>
      </c>
      <c r="AI175" s="42">
        <v>6</v>
      </c>
      <c r="AJ175" s="70">
        <v>0</v>
      </c>
      <c r="AK175" s="69">
        <v>45809</v>
      </c>
      <c r="AL175" s="71" t="s">
        <v>80</v>
      </c>
      <c r="AM175" s="53" t="str">
        <f>VLOOKUP(A175,'[1]DANH SÁCH'!$B$8:$F$841,5,0)</f>
        <v>Hộ sinh ĐH</v>
      </c>
      <c r="AN175" s="53"/>
      <c r="AO175" s="53" t="s">
        <v>596</v>
      </c>
      <c r="AP175" s="53">
        <v>2015</v>
      </c>
      <c r="AQ175" s="72" t="s">
        <v>113</v>
      </c>
      <c r="AR175" s="42">
        <f>VLOOKUP(A175,'[1]Chứng chỉ'!$B$8:$Q$1111,11,0)</f>
        <v>0</v>
      </c>
      <c r="AS175" s="42">
        <f>VLOOKUP(A175,'[1]Chứng chỉ'!$B$8:$Q$1111,12,0)</f>
        <v>0</v>
      </c>
      <c r="AT175" s="47">
        <f>VLOOKUP(A175,'[1]Chứng chỉ'!$B$8:$Q$1111,13,0)</f>
        <v>0</v>
      </c>
      <c r="AU175" s="42" t="str">
        <f>VLOOKUP(A175,'[1]Chứng chỉ'!$B$8:$Q$1111,14,0)</f>
        <v>Anh B</v>
      </c>
      <c r="AV175" s="42" t="str">
        <f>VLOOKUP(A175,'[1]Chứng chỉ'!$B$8:$Q$1111,15,0)</f>
        <v>Tày</v>
      </c>
      <c r="AW175" s="42" t="str">
        <f>VLOOKUP(A175,'[1]Chứng chỉ'!$B$8:$Q$1111,16,0)</f>
        <v>B</v>
      </c>
      <c r="AX175" s="42"/>
      <c r="AY175" s="57" t="s">
        <v>127</v>
      </c>
      <c r="AZ175" s="65">
        <v>40753</v>
      </c>
      <c r="BA175" s="74" t="e">
        <f t="shared" si="88"/>
        <v>#REF!</v>
      </c>
      <c r="BB175" s="74" t="e">
        <f t="shared" si="89"/>
        <v>#REF!</v>
      </c>
      <c r="BC175" s="79" t="s">
        <v>1412</v>
      </c>
      <c r="BD175" s="64"/>
    </row>
    <row r="176" spans="1:56" ht="51" x14ac:dyDescent="0.3">
      <c r="A176" s="41" t="s">
        <v>1413</v>
      </c>
      <c r="B176" s="42">
        <f t="shared" si="0"/>
        <v>170</v>
      </c>
      <c r="C176" s="68" t="s">
        <v>1414</v>
      </c>
      <c r="D176" s="41" t="s">
        <v>1413</v>
      </c>
      <c r="E176" s="61">
        <v>1505001625</v>
      </c>
      <c r="F176" s="64"/>
      <c r="G176" s="49" t="s">
        <v>1415</v>
      </c>
      <c r="H176" s="76"/>
      <c r="I176" s="76">
        <v>28983</v>
      </c>
      <c r="J176" s="66">
        <f t="shared" ca="1" si="86"/>
        <v>47</v>
      </c>
      <c r="K176" s="75" t="s">
        <v>1416</v>
      </c>
      <c r="L176" s="83" t="s">
        <v>1417</v>
      </c>
      <c r="M176" s="53" t="s">
        <v>67</v>
      </c>
      <c r="N176" s="66" t="s">
        <v>94</v>
      </c>
      <c r="O176" s="53" t="s">
        <v>214</v>
      </c>
      <c r="P176" s="49" t="s">
        <v>155</v>
      </c>
      <c r="Q176" s="49" t="s">
        <v>94</v>
      </c>
      <c r="R176" s="49"/>
      <c r="S176" s="49" t="s">
        <v>214</v>
      </c>
      <c r="T176" s="49" t="s">
        <v>97</v>
      </c>
      <c r="U176" s="49" t="s">
        <v>94</v>
      </c>
      <c r="V176" s="49" t="str">
        <f t="shared" si="87"/>
        <v>Xã Hoàng Đồng, Thành phố Lạng Sơn, Tỉnh Lạng Sơn</v>
      </c>
      <c r="W176" s="55" t="s">
        <v>1418</v>
      </c>
      <c r="X176" s="41"/>
      <c r="Y176" s="41"/>
      <c r="Z176" s="41"/>
      <c r="AA176" s="68">
        <f>VLOOKUP(A176,'[1]DANH SÁCH'!$B$8:$AD$841,12,0)</f>
        <v>0</v>
      </c>
      <c r="AB176" s="49" t="str">
        <f>VLOOKUP(A176,'[1]DANH SÁCH'!$B$8:$H$841,6,0)</f>
        <v>TĐ017</v>
      </c>
      <c r="AC176" s="69" t="str">
        <f>VLOOKUP(A176,'[1]DANH SÁCH'!$B$8:$J$841,9,0)</f>
        <v>Phụ sản</v>
      </c>
      <c r="AD176" s="69" t="str">
        <f>VLOOKUP(A176,'[1]DANH SÁCH'!$B$8:$AC$841,10,0)</f>
        <v>KP016</v>
      </c>
      <c r="AE176" s="69" t="str">
        <f>VLOOKUP(A176,'[1]DANH SÁCH'!$B$8:$AD$841,13,0)</f>
        <v>Viên chức</v>
      </c>
      <c r="AF176" s="41" t="s">
        <v>527</v>
      </c>
      <c r="AG176" s="42" t="str">
        <f>VLOOKUP(A176,'[1]DANH SÁCH'!$B$8:$H$841,7,0)</f>
        <v>Hộ sinh (hạng III)</v>
      </c>
      <c r="AH176" s="45">
        <v>3.99</v>
      </c>
      <c r="AI176" s="42">
        <v>6</v>
      </c>
      <c r="AJ176" s="70">
        <v>0</v>
      </c>
      <c r="AK176" s="69">
        <v>45505</v>
      </c>
      <c r="AL176" s="71" t="s">
        <v>80</v>
      </c>
      <c r="AM176" s="53" t="str">
        <f>VLOOKUP(A176,'[1]DANH SÁCH'!$B$8:$F$841,5,0)</f>
        <v>Hộ sinh ĐH</v>
      </c>
      <c r="AN176" s="53"/>
      <c r="AO176" s="53" t="s">
        <v>596</v>
      </c>
      <c r="AP176" s="53">
        <v>2009</v>
      </c>
      <c r="AQ176" s="72" t="s">
        <v>113</v>
      </c>
      <c r="AR176" s="42">
        <f>VLOOKUP(A176,'[1]Chứng chỉ'!$B$8:$Q$1111,11,0)</f>
        <v>0</v>
      </c>
      <c r="AS176" s="42">
        <f>VLOOKUP(A176,'[1]Chứng chỉ'!$B$8:$Q$1111,12,0)</f>
        <v>0</v>
      </c>
      <c r="AT176" s="47">
        <f>VLOOKUP(A176,'[1]Chứng chỉ'!$B$8:$Q$1111,13,0)</f>
        <v>0</v>
      </c>
      <c r="AU176" s="42" t="str">
        <f>VLOOKUP(A176,'[1]Chứng chỉ'!$B$8:$Q$1111,14,0)</f>
        <v>Anh B</v>
      </c>
      <c r="AV176" s="42">
        <f>VLOOKUP(A176,'[1]Chứng chỉ'!$B$8:$Q$1111,15,0)</f>
        <v>0</v>
      </c>
      <c r="AW176" s="42" t="str">
        <f>VLOOKUP(A176,'[1]Chứng chỉ'!$B$8:$Q$1111,16,0)</f>
        <v>B</v>
      </c>
      <c r="AX176" s="42"/>
      <c r="AY176" s="57" t="s">
        <v>127</v>
      </c>
      <c r="AZ176" s="65">
        <v>43517</v>
      </c>
      <c r="BA176" s="74" t="e">
        <f t="shared" si="88"/>
        <v>#REF!</v>
      </c>
      <c r="BB176" s="74" t="e">
        <f t="shared" si="89"/>
        <v>#REF!</v>
      </c>
      <c r="BC176" s="79" t="s">
        <v>1419</v>
      </c>
      <c r="BD176" s="64"/>
    </row>
    <row r="177" spans="1:56" ht="61.2" x14ac:dyDescent="0.3">
      <c r="A177" s="41" t="s">
        <v>1420</v>
      </c>
      <c r="B177" s="42">
        <f t="shared" si="0"/>
        <v>171</v>
      </c>
      <c r="C177" s="68" t="s">
        <v>1421</v>
      </c>
      <c r="D177" s="41" t="s">
        <v>1420</v>
      </c>
      <c r="E177" s="61">
        <v>1596005732</v>
      </c>
      <c r="F177" s="64"/>
      <c r="G177" s="49" t="s">
        <v>1422</v>
      </c>
      <c r="H177" s="76"/>
      <c r="I177" s="76">
        <v>26888</v>
      </c>
      <c r="J177" s="66">
        <f t="shared" ca="1" si="86"/>
        <v>53</v>
      </c>
      <c r="K177" s="75" t="s">
        <v>1423</v>
      </c>
      <c r="L177" s="83" t="s">
        <v>1424</v>
      </c>
      <c r="M177" s="53" t="s">
        <v>67</v>
      </c>
      <c r="N177" s="66" t="s">
        <v>94</v>
      </c>
      <c r="O177" s="53" t="s">
        <v>1425</v>
      </c>
      <c r="P177" s="49" t="s">
        <v>182</v>
      </c>
      <c r="Q177" s="49" t="s">
        <v>94</v>
      </c>
      <c r="R177" s="49"/>
      <c r="S177" s="49" t="s">
        <v>96</v>
      </c>
      <c r="T177" s="49" t="s">
        <v>97</v>
      </c>
      <c r="U177" s="49" t="s">
        <v>94</v>
      </c>
      <c r="V177" s="49" t="str">
        <f t="shared" si="87"/>
        <v>Phường Hoàng Văn Thụ, Thành phố Lạng Sơn, Tỉnh Lạng Sơn</v>
      </c>
      <c r="W177" s="55" t="s">
        <v>1426</v>
      </c>
      <c r="X177" s="41"/>
      <c r="Y177" s="41"/>
      <c r="Z177" s="41"/>
      <c r="AA177" s="68">
        <f>VLOOKUP(A177,'[1]DANH SÁCH'!$B$8:$AD$841,12,0)</f>
        <v>0</v>
      </c>
      <c r="AB177" s="49" t="str">
        <f>VLOOKUP(A177,'[1]DANH SÁCH'!$B$8:$H$841,6,0)</f>
        <v>TĐ017</v>
      </c>
      <c r="AC177" s="69" t="str">
        <f>VLOOKUP(A177,'[1]DANH SÁCH'!$B$8:$J$841,9,0)</f>
        <v>Phụ sản</v>
      </c>
      <c r="AD177" s="69" t="str">
        <f>VLOOKUP(A177,'[1]DANH SÁCH'!$B$8:$AC$841,10,0)</f>
        <v>KP016</v>
      </c>
      <c r="AE177" s="69" t="str">
        <f>VLOOKUP(A177,'[1]DANH SÁCH'!$B$8:$AD$841,13,0)</f>
        <v>Viên chức</v>
      </c>
      <c r="AF177" s="41" t="s">
        <v>527</v>
      </c>
      <c r="AG177" s="42" t="str">
        <f>VLOOKUP(A177,'[1]DANH SÁCH'!$B$8:$H$841,7,0)</f>
        <v>Hộ sinh (hạng III)</v>
      </c>
      <c r="AH177" s="45">
        <v>4.9800000000000004</v>
      </c>
      <c r="AI177" s="42">
        <v>9</v>
      </c>
      <c r="AJ177" s="70">
        <v>0.05</v>
      </c>
      <c r="AK177" s="69">
        <v>45870</v>
      </c>
      <c r="AL177" s="71" t="s">
        <v>80</v>
      </c>
      <c r="AM177" s="53" t="str">
        <f>VLOOKUP(A177,'[1]DANH SÁCH'!$B$8:$F$841,5,0)</f>
        <v>Hộ sinh ĐH</v>
      </c>
      <c r="AN177" s="53"/>
      <c r="AO177" s="53" t="s">
        <v>596</v>
      </c>
      <c r="AP177" s="53">
        <v>2008</v>
      </c>
      <c r="AQ177" s="72" t="s">
        <v>113</v>
      </c>
      <c r="AR177" s="42">
        <f>VLOOKUP(A177,'[1]Chứng chỉ'!$B$8:$Q$1111,11,0)</f>
        <v>0</v>
      </c>
      <c r="AS177" s="42">
        <f>VLOOKUP(A177,'[1]Chứng chỉ'!$B$8:$Q$1111,12,0)</f>
        <v>0</v>
      </c>
      <c r="AT177" s="47">
        <f>VLOOKUP(A177,'[1]Chứng chỉ'!$B$8:$Q$1111,13,0)</f>
        <v>0</v>
      </c>
      <c r="AU177" s="42" t="str">
        <f>VLOOKUP(A177,'[1]Chứng chỉ'!$B$8:$Q$1111,14,0)</f>
        <v>x</v>
      </c>
      <c r="AV177" s="42">
        <f>VLOOKUP(A177,'[1]Chứng chỉ'!$B$8:$Q$1111,15,0)</f>
        <v>0</v>
      </c>
      <c r="AW177" s="42" t="str">
        <f>VLOOKUP(A177,'[1]Chứng chỉ'!$B$8:$Q$1111,16,0)</f>
        <v>x</v>
      </c>
      <c r="AX177" s="42"/>
      <c r="AY177" s="57" t="s">
        <v>85</v>
      </c>
      <c r="AZ177" s="65"/>
      <c r="BA177" s="74" t="e">
        <f t="shared" si="88"/>
        <v>#REF!</v>
      </c>
      <c r="BB177" s="74" t="e">
        <f t="shared" si="89"/>
        <v>#REF!</v>
      </c>
      <c r="BC177" s="61" t="s">
        <v>1427</v>
      </c>
      <c r="BD177" s="64"/>
    </row>
    <row r="178" spans="1:56" ht="61.2" x14ac:dyDescent="0.3">
      <c r="A178" s="41" t="s">
        <v>1428</v>
      </c>
      <c r="B178" s="42">
        <f t="shared" si="0"/>
        <v>172</v>
      </c>
      <c r="C178" s="68" t="s">
        <v>1429</v>
      </c>
      <c r="D178" s="41" t="s">
        <v>1428</v>
      </c>
      <c r="E178" s="61">
        <v>1504000554</v>
      </c>
      <c r="F178" s="64"/>
      <c r="G178" s="49" t="s">
        <v>1430</v>
      </c>
      <c r="H178" s="76"/>
      <c r="I178" s="76">
        <v>28569</v>
      </c>
      <c r="J178" s="66">
        <f t="shared" ca="1" si="86"/>
        <v>48</v>
      </c>
      <c r="K178" s="75" t="s">
        <v>1431</v>
      </c>
      <c r="L178" s="83" t="s">
        <v>1432</v>
      </c>
      <c r="M178" s="53" t="s">
        <v>67</v>
      </c>
      <c r="N178" s="66" t="s">
        <v>94</v>
      </c>
      <c r="O178" s="53" t="s">
        <v>918</v>
      </c>
      <c r="P178" s="49" t="s">
        <v>155</v>
      </c>
      <c r="Q178" s="49" t="s">
        <v>94</v>
      </c>
      <c r="R178" s="49"/>
      <c r="S178" s="49" t="s">
        <v>166</v>
      </c>
      <c r="T178" s="49" t="s">
        <v>97</v>
      </c>
      <c r="U178" s="49" t="s">
        <v>94</v>
      </c>
      <c r="V178" s="49" t="str">
        <f t="shared" si="87"/>
        <v>Phường Tam Thanh, Thành phố Lạng Sơn, Tỉnh Lạng Sơn</v>
      </c>
      <c r="W178" s="55" t="s">
        <v>1433</v>
      </c>
      <c r="X178" s="41"/>
      <c r="Y178" s="41"/>
      <c r="Z178" s="41"/>
      <c r="AA178" s="68">
        <f>VLOOKUP(A178,'[1]DANH SÁCH'!$B$8:$AD$841,12,0)</f>
        <v>0</v>
      </c>
      <c r="AB178" s="49" t="str">
        <f>VLOOKUP(A178,'[1]DANH SÁCH'!$B$8:$H$841,6,0)</f>
        <v>TĐ017</v>
      </c>
      <c r="AC178" s="69" t="str">
        <f>VLOOKUP(A178,'[1]DANH SÁCH'!$B$8:$J$841,9,0)</f>
        <v>Phụ sản</v>
      </c>
      <c r="AD178" s="69" t="str">
        <f>VLOOKUP(A178,'[1]DANH SÁCH'!$B$8:$AC$841,10,0)</f>
        <v>KP016</v>
      </c>
      <c r="AE178" s="69" t="str">
        <f>VLOOKUP(A178,'[1]DANH SÁCH'!$B$8:$AD$841,13,0)</f>
        <v>Viên chức</v>
      </c>
      <c r="AF178" s="41" t="s">
        <v>527</v>
      </c>
      <c r="AG178" s="42" t="str">
        <f>VLOOKUP(A178,'[1]DANH SÁCH'!$B$8:$H$841,7,0)</f>
        <v>Hộ sinh (hạng III)</v>
      </c>
      <c r="AH178" s="45">
        <v>3.99</v>
      </c>
      <c r="AI178" s="42">
        <v>6</v>
      </c>
      <c r="AJ178" s="70">
        <v>0</v>
      </c>
      <c r="AK178" s="69">
        <v>45108</v>
      </c>
      <c r="AL178" s="71" t="s">
        <v>80</v>
      </c>
      <c r="AM178" s="53" t="str">
        <f>VLOOKUP(A178,'[1]DANH SÁCH'!$B$8:$F$841,5,0)</f>
        <v>Hộ sinh ĐH</v>
      </c>
      <c r="AN178" s="53"/>
      <c r="AO178" s="53" t="s">
        <v>1434</v>
      </c>
      <c r="AP178" s="53">
        <v>2011</v>
      </c>
      <c r="AQ178" s="72" t="s">
        <v>113</v>
      </c>
      <c r="AR178" s="42">
        <f>VLOOKUP(A178,'[1]Chứng chỉ'!$B$8:$Q$1111,11,0)</f>
        <v>0</v>
      </c>
      <c r="AS178" s="42">
        <f>VLOOKUP(A178,'[1]Chứng chỉ'!$B$8:$Q$1111,12,0)</f>
        <v>0</v>
      </c>
      <c r="AT178" s="47" t="str">
        <f>VLOOKUP(A178,'[1]Chứng chỉ'!$B$8:$Q$1111,13,0)</f>
        <v>Sơ cấp</v>
      </c>
      <c r="AU178" s="42" t="str">
        <f>VLOOKUP(A178,'[1]Chứng chỉ'!$B$8:$Q$1111,14,0)</f>
        <v>Anh B</v>
      </c>
      <c r="AV178" s="42" t="str">
        <f>VLOOKUP(A178,'[1]Chứng chỉ'!$B$8:$Q$1111,15,0)</f>
        <v>Tày</v>
      </c>
      <c r="AW178" s="42" t="str">
        <f>VLOOKUP(A178,'[1]Chứng chỉ'!$B$8:$Q$1111,16,0)</f>
        <v>B</v>
      </c>
      <c r="AX178" s="42"/>
      <c r="AY178" s="57" t="s">
        <v>127</v>
      </c>
      <c r="AZ178" s="65">
        <v>38455</v>
      </c>
      <c r="BA178" s="74" t="e">
        <f t="shared" si="88"/>
        <v>#REF!</v>
      </c>
      <c r="BB178" s="74" t="e">
        <f t="shared" si="89"/>
        <v>#REF!</v>
      </c>
      <c r="BC178" s="79" t="s">
        <v>1435</v>
      </c>
      <c r="BD178" s="64"/>
    </row>
    <row r="179" spans="1:56" ht="61.2" x14ac:dyDescent="0.3">
      <c r="A179" s="41" t="s">
        <v>1436</v>
      </c>
      <c r="B179" s="42">
        <f t="shared" si="0"/>
        <v>173</v>
      </c>
      <c r="C179" s="68" t="s">
        <v>1437</v>
      </c>
      <c r="D179" s="41" t="s">
        <v>1436</v>
      </c>
      <c r="E179" s="61">
        <v>2014002799</v>
      </c>
      <c r="F179" s="64"/>
      <c r="G179" s="49" t="s">
        <v>1438</v>
      </c>
      <c r="H179" s="76"/>
      <c r="I179" s="76">
        <v>32024</v>
      </c>
      <c r="J179" s="66">
        <f t="shared" ca="1" si="86"/>
        <v>38</v>
      </c>
      <c r="K179" s="75" t="s">
        <v>1439</v>
      </c>
      <c r="L179" s="83" t="s">
        <v>1440</v>
      </c>
      <c r="M179" s="53" t="s">
        <v>1441</v>
      </c>
      <c r="N179" s="66" t="s">
        <v>1442</v>
      </c>
      <c r="O179" s="53" t="s">
        <v>1443</v>
      </c>
      <c r="P179" s="49" t="s">
        <v>1444</v>
      </c>
      <c r="Q179" s="49" t="s">
        <v>410</v>
      </c>
      <c r="R179" s="85" t="s">
        <v>1445</v>
      </c>
      <c r="S179" s="49" t="s">
        <v>124</v>
      </c>
      <c r="T179" s="49" t="s">
        <v>97</v>
      </c>
      <c r="U179" s="49" t="s">
        <v>94</v>
      </c>
      <c r="V179" s="49" t="str">
        <f t="shared" si="87"/>
        <v>Phường Đông Kinh, Thành phố Lạng Sơn, Tỉnh Lạng Sơn</v>
      </c>
      <c r="W179" s="86" t="s">
        <v>249</v>
      </c>
      <c r="X179" s="41"/>
      <c r="Y179" s="41"/>
      <c r="Z179" s="41"/>
      <c r="AA179" s="68">
        <f>VLOOKUP(A179,'[1]DANH SÁCH'!$B$8:$AD$841,12,0)</f>
        <v>0</v>
      </c>
      <c r="AB179" s="49" t="str">
        <f>VLOOKUP(A179,'[1]DANH SÁCH'!$B$8:$H$841,6,0)</f>
        <v>TĐ017</v>
      </c>
      <c r="AC179" s="69" t="str">
        <f>VLOOKUP(A179,'[1]DANH SÁCH'!$B$8:$J$841,9,0)</f>
        <v>Phụ sản</v>
      </c>
      <c r="AD179" s="69" t="str">
        <f>VLOOKUP(A179,'[1]DANH SÁCH'!$B$8:$AC$841,10,0)</f>
        <v>KP016</v>
      </c>
      <c r="AE179" s="69" t="str">
        <f>VLOOKUP(A179,'[1]DANH SÁCH'!$B$8:$AD$841,13,0)</f>
        <v>Viên chức</v>
      </c>
      <c r="AF179" s="41" t="s">
        <v>527</v>
      </c>
      <c r="AG179" s="42" t="str">
        <f>VLOOKUP(A179,'[1]DANH SÁCH'!$B$8:$H$841,7,0)</f>
        <v>Hộ sinh (hạng III)</v>
      </c>
      <c r="AH179" s="45">
        <v>3.33</v>
      </c>
      <c r="AI179" s="42">
        <v>4</v>
      </c>
      <c r="AJ179" s="70">
        <v>0</v>
      </c>
      <c r="AK179" s="69">
        <v>45597</v>
      </c>
      <c r="AL179" s="71" t="s">
        <v>80</v>
      </c>
      <c r="AM179" s="53" t="str">
        <f>VLOOKUP(A179,'[1]DANH SÁCH'!$B$8:$F$841,5,0)</f>
        <v>Hộ sinh ĐH</v>
      </c>
      <c r="AN179" s="53"/>
      <c r="AO179" s="53" t="s">
        <v>1434</v>
      </c>
      <c r="AP179" s="53">
        <v>2014</v>
      </c>
      <c r="AQ179" s="72" t="s">
        <v>113</v>
      </c>
      <c r="AR179" s="42">
        <f>VLOOKUP(A179,'[1]Chứng chỉ'!$B$8:$Q$1111,11,0)</f>
        <v>0</v>
      </c>
      <c r="AS179" s="42">
        <f>VLOOKUP(A179,'[1]Chứng chỉ'!$B$8:$Q$1111,12,0)</f>
        <v>0</v>
      </c>
      <c r="AT179" s="47">
        <f>VLOOKUP(A179,'[1]Chứng chỉ'!$B$8:$Q$1111,13,0)</f>
        <v>0</v>
      </c>
      <c r="AU179" s="42" t="str">
        <f>VLOOKUP(A179,'[1]Chứng chỉ'!$B$8:$Q$1111,14,0)</f>
        <v>Anh B</v>
      </c>
      <c r="AV179" s="42">
        <f>VLOOKUP(A179,'[1]Chứng chỉ'!$B$8:$Q$1111,15,0)</f>
        <v>0</v>
      </c>
      <c r="AW179" s="42" t="str">
        <f>VLOOKUP(A179,'[1]Chứng chỉ'!$B$8:$Q$1111,16,0)</f>
        <v>B</v>
      </c>
      <c r="AX179" s="42"/>
      <c r="AY179" s="57" t="s">
        <v>87</v>
      </c>
      <c r="AZ179" s="65"/>
      <c r="BA179" s="74" t="e">
        <f t="shared" si="88"/>
        <v>#REF!</v>
      </c>
      <c r="BB179" s="74" t="e">
        <f t="shared" si="89"/>
        <v>#REF!</v>
      </c>
      <c r="BC179" s="79" t="s">
        <v>1446</v>
      </c>
      <c r="BD179" s="64"/>
    </row>
    <row r="180" spans="1:56" ht="61.2" x14ac:dyDescent="0.3">
      <c r="A180" s="41" t="s">
        <v>1447</v>
      </c>
      <c r="B180" s="42">
        <f t="shared" si="0"/>
        <v>174</v>
      </c>
      <c r="C180" s="68" t="s">
        <v>1448</v>
      </c>
      <c r="D180" s="41" t="s">
        <v>1447</v>
      </c>
      <c r="E180" s="61">
        <v>1507002001</v>
      </c>
      <c r="F180" s="64"/>
      <c r="G180" s="49" t="s">
        <v>1449</v>
      </c>
      <c r="H180" s="76"/>
      <c r="I180" s="76">
        <v>31072</v>
      </c>
      <c r="J180" s="66">
        <f t="shared" ca="1" si="86"/>
        <v>41</v>
      </c>
      <c r="K180" s="75" t="s">
        <v>1450</v>
      </c>
      <c r="L180" s="83" t="s">
        <v>1451</v>
      </c>
      <c r="M180" s="53" t="s">
        <v>67</v>
      </c>
      <c r="N180" s="66" t="s">
        <v>94</v>
      </c>
      <c r="O180" s="53"/>
      <c r="P180" s="49" t="s">
        <v>93</v>
      </c>
      <c r="Q180" s="49" t="s">
        <v>94</v>
      </c>
      <c r="R180" s="49"/>
      <c r="S180" s="49" t="s">
        <v>124</v>
      </c>
      <c r="T180" s="49" t="s">
        <v>97</v>
      </c>
      <c r="U180" s="49" t="s">
        <v>94</v>
      </c>
      <c r="V180" s="49" t="str">
        <f t="shared" si="87"/>
        <v>Phường Đông Kinh, Thành phố Lạng Sơn, Tỉnh Lạng Sơn</v>
      </c>
      <c r="W180" s="55" t="s">
        <v>627</v>
      </c>
      <c r="X180" s="41"/>
      <c r="Y180" s="41"/>
      <c r="Z180" s="41"/>
      <c r="AA180" s="68">
        <f>VLOOKUP(A180,'[1]DANH SÁCH'!$B$8:$AD$841,12,0)</f>
        <v>0</v>
      </c>
      <c r="AB180" s="49" t="str">
        <f>VLOOKUP(A180,'[1]DANH SÁCH'!$B$8:$H$841,6,0)</f>
        <v>TĐ017</v>
      </c>
      <c r="AC180" s="69" t="str">
        <f>VLOOKUP(A180,'[1]DANH SÁCH'!$B$8:$J$841,9,0)</f>
        <v>Phụ sản</v>
      </c>
      <c r="AD180" s="69" t="str">
        <f>VLOOKUP(A180,'[1]DANH SÁCH'!$B$8:$AC$841,10,0)</f>
        <v>KP016</v>
      </c>
      <c r="AE180" s="69" t="str">
        <f>VLOOKUP(A180,'[1]DANH SÁCH'!$B$8:$AD$841,13,0)</f>
        <v>Viên chức</v>
      </c>
      <c r="AF180" s="41" t="s">
        <v>527</v>
      </c>
      <c r="AG180" s="42" t="str">
        <f>VLOOKUP(A180,'[1]DANH SÁCH'!$B$8:$H$841,7,0)</f>
        <v>Hộ sinh (hạng III)</v>
      </c>
      <c r="AH180" s="45">
        <v>3.66</v>
      </c>
      <c r="AI180" s="42">
        <v>5</v>
      </c>
      <c r="AJ180" s="70">
        <v>0</v>
      </c>
      <c r="AK180" s="69">
        <v>45839</v>
      </c>
      <c r="AL180" s="71" t="s">
        <v>80</v>
      </c>
      <c r="AM180" s="53" t="str">
        <f>VLOOKUP(A180,'[1]DANH SÁCH'!$B$8:$F$841,5,0)</f>
        <v>Hộ sinh ĐH</v>
      </c>
      <c r="AN180" s="53"/>
      <c r="AO180" s="53" t="s">
        <v>1093</v>
      </c>
      <c r="AP180" s="123" t="s">
        <v>1452</v>
      </c>
      <c r="AQ180" s="72" t="s">
        <v>113</v>
      </c>
      <c r="AR180" s="42">
        <f>VLOOKUP(A180,'[1]Chứng chỉ'!$B$8:$Q$1111,11,0)</f>
        <v>0</v>
      </c>
      <c r="AS180" s="42">
        <f>VLOOKUP(A180,'[1]Chứng chỉ'!$B$8:$Q$1111,12,0)</f>
        <v>0</v>
      </c>
      <c r="AT180" s="47">
        <f>VLOOKUP(A180,'[1]Chứng chỉ'!$B$8:$Q$1111,13,0)</f>
        <v>0</v>
      </c>
      <c r="AU180" s="42">
        <f>VLOOKUP(A180,'[1]Chứng chỉ'!$B$8:$Q$1111,14,0)</f>
        <v>0</v>
      </c>
      <c r="AV180" s="42" t="str">
        <f>VLOOKUP(A180,'[1]Chứng chỉ'!$B$8:$Q$1111,15,0)</f>
        <v>Tày</v>
      </c>
      <c r="AW180" s="42" t="str">
        <f>VLOOKUP(A180,'[1]Chứng chỉ'!$B$8:$Q$1111,16,0)</f>
        <v>B</v>
      </c>
      <c r="AX180" s="42"/>
      <c r="AY180" s="57" t="s">
        <v>85</v>
      </c>
      <c r="AZ180" s="65"/>
      <c r="BA180" s="74" t="e">
        <f t="shared" si="88"/>
        <v>#REF!</v>
      </c>
      <c r="BB180" s="74" t="e">
        <f t="shared" si="89"/>
        <v>#REF!</v>
      </c>
      <c r="BC180" s="41"/>
      <c r="BD180" s="64"/>
    </row>
    <row r="181" spans="1:56" ht="40.799999999999997" x14ac:dyDescent="0.3">
      <c r="A181" s="46" t="s">
        <v>1453</v>
      </c>
      <c r="B181" s="42">
        <f t="shared" si="0"/>
        <v>175</v>
      </c>
      <c r="C181" s="63" t="s">
        <v>1454</v>
      </c>
      <c r="D181" s="46" t="s">
        <v>1453</v>
      </c>
      <c r="E181" s="61" t="s">
        <v>1455</v>
      </c>
      <c r="F181" s="42" t="s">
        <v>1456</v>
      </c>
      <c r="G181" s="49" t="s">
        <v>1457</v>
      </c>
      <c r="H181" s="47"/>
      <c r="I181" s="117" t="s">
        <v>1458</v>
      </c>
      <c r="J181" s="66">
        <f t="shared" ca="1" si="86"/>
        <v>51</v>
      </c>
      <c r="K181" s="46" t="s">
        <v>1459</v>
      </c>
      <c r="L181" s="65">
        <v>41376</v>
      </c>
      <c r="M181" s="56"/>
      <c r="N181" s="52"/>
      <c r="O181" s="56"/>
      <c r="P181" s="47"/>
      <c r="Q181" s="47"/>
      <c r="R181" s="47"/>
      <c r="S181" s="47"/>
      <c r="T181" s="47"/>
      <c r="U181" s="47"/>
      <c r="V181" s="47"/>
      <c r="W181" s="67" t="s">
        <v>1460</v>
      </c>
      <c r="X181" s="46"/>
      <c r="Y181" s="46"/>
      <c r="Z181" s="46"/>
      <c r="AA181" s="68">
        <f>VLOOKUP(A181,'[1]DANH SÁCH'!$B$8:$AD$841,12,0)</f>
        <v>0</v>
      </c>
      <c r="AB181" s="49" t="str">
        <f>VLOOKUP(A181,'[1]DANH SÁCH'!$B$8:$H$841,6,0)</f>
        <v>TĐ017</v>
      </c>
      <c r="AC181" s="69" t="str">
        <f>VLOOKUP(A181,'[1]DANH SÁCH'!$B$8:$J$841,9,0)</f>
        <v>Phụ sản</v>
      </c>
      <c r="AD181" s="69" t="str">
        <f>VLOOKUP(A181,'[1]DANH SÁCH'!$B$8:$AC$841,10,0)</f>
        <v>KP016</v>
      </c>
      <c r="AE181" s="69" t="str">
        <f>VLOOKUP(A181,'[1]DANH SÁCH'!$B$8:$AD$841,13,0)</f>
        <v>Viên chức</v>
      </c>
      <c r="AF181" s="46" t="s">
        <v>1461</v>
      </c>
      <c r="AG181" s="47" t="s">
        <v>1456</v>
      </c>
      <c r="AH181" s="45">
        <v>4.6500000000000004</v>
      </c>
      <c r="AI181" s="42">
        <v>8</v>
      </c>
      <c r="AJ181" s="70">
        <v>0</v>
      </c>
      <c r="AK181" s="69">
        <v>45323</v>
      </c>
      <c r="AL181" s="71" t="s">
        <v>80</v>
      </c>
      <c r="AM181" s="53" t="str">
        <f>VLOOKUP(A181,'[1]DANH SÁCH'!$B$8:$F$841,5,0)</f>
        <v>Hộ sinh ĐH</v>
      </c>
      <c r="AN181" s="47"/>
      <c r="AO181" s="47"/>
      <c r="AP181" s="47"/>
      <c r="AQ181" s="47"/>
      <c r="AR181" s="42">
        <f>VLOOKUP(A181,'[1]Chứng chỉ'!$B$8:$Q$1111,11,0)</f>
        <v>0</v>
      </c>
      <c r="AS181" s="42">
        <f>VLOOKUP(A181,'[1]Chứng chỉ'!$B$8:$Q$1111,12,0)</f>
        <v>0</v>
      </c>
      <c r="AT181" s="47">
        <f>VLOOKUP(A181,'[1]Chứng chỉ'!$B$8:$Q$1111,13,0)</f>
        <v>0</v>
      </c>
      <c r="AU181" s="42">
        <f>VLOOKUP(A181,'[1]Chứng chỉ'!$B$8:$Q$1111,14,0)</f>
        <v>0</v>
      </c>
      <c r="AV181" s="42" t="str">
        <f>VLOOKUP(A181,'[1]Chứng chỉ'!$B$8:$Q$1111,15,0)</f>
        <v>Tày</v>
      </c>
      <c r="AW181" s="42" t="str">
        <f>VLOOKUP(A181,'[1]Chứng chỉ'!$B$8:$Q$1111,16,0)</f>
        <v>Cơ bản</v>
      </c>
      <c r="AX181" s="47"/>
      <c r="AY181" s="47" t="s">
        <v>127</v>
      </c>
      <c r="AZ181" s="65">
        <v>39869</v>
      </c>
      <c r="BA181" s="47"/>
      <c r="BB181" s="47"/>
      <c r="BC181" s="79" t="s">
        <v>114</v>
      </c>
      <c r="BD181" s="64"/>
    </row>
    <row r="182" spans="1:56" ht="61.2" x14ac:dyDescent="0.3">
      <c r="A182" s="41" t="s">
        <v>1462</v>
      </c>
      <c r="B182" s="42">
        <f t="shared" si="0"/>
        <v>176</v>
      </c>
      <c r="C182" s="68" t="s">
        <v>1463</v>
      </c>
      <c r="D182" s="41" t="s">
        <v>1462</v>
      </c>
      <c r="E182" s="61">
        <v>1500002001</v>
      </c>
      <c r="F182" s="64"/>
      <c r="G182" s="49" t="s">
        <v>1464</v>
      </c>
      <c r="H182" s="76"/>
      <c r="I182" s="76">
        <v>27336</v>
      </c>
      <c r="J182" s="66">
        <f t="shared" ca="1" si="86"/>
        <v>51</v>
      </c>
      <c r="K182" s="75" t="s">
        <v>1465</v>
      </c>
      <c r="L182" s="83" t="s">
        <v>1281</v>
      </c>
      <c r="M182" s="53" t="s">
        <v>67</v>
      </c>
      <c r="N182" s="66" t="s">
        <v>94</v>
      </c>
      <c r="O182" s="85" t="s">
        <v>821</v>
      </c>
      <c r="P182" s="49" t="s">
        <v>195</v>
      </c>
      <c r="Q182" s="49" t="s">
        <v>94</v>
      </c>
      <c r="R182" s="49"/>
      <c r="S182" s="49" t="s">
        <v>166</v>
      </c>
      <c r="T182" s="49" t="s">
        <v>97</v>
      </c>
      <c r="U182" s="49" t="s">
        <v>94</v>
      </c>
      <c r="V182" s="49" t="str">
        <f t="shared" ref="V182:V210" si="90">S182&amp;", "&amp;T182&amp;", "&amp;U182</f>
        <v>Phường Tam Thanh, Thành phố Lạng Sơn, Tỉnh Lạng Sơn</v>
      </c>
      <c r="W182" s="55" t="s">
        <v>98</v>
      </c>
      <c r="X182" s="41"/>
      <c r="Y182" s="41"/>
      <c r="Z182" s="41"/>
      <c r="AA182" s="68">
        <f>VLOOKUP(A182,'[1]DANH SÁCH'!$B$8:$AD$841,12,0)</f>
        <v>0</v>
      </c>
      <c r="AB182" s="49" t="str">
        <f>VLOOKUP(A182,'[1]DANH SÁCH'!$B$8:$H$841,6,0)</f>
        <v>TĐ018</v>
      </c>
      <c r="AC182" s="69" t="str">
        <f>VLOOKUP(A182,'[1]DANH SÁCH'!$B$8:$J$841,9,0)</f>
        <v>Phụ sản</v>
      </c>
      <c r="AD182" s="69" t="str">
        <f>VLOOKUP(A182,'[1]DANH SÁCH'!$B$8:$AC$841,10,0)</f>
        <v>KP016</v>
      </c>
      <c r="AE182" s="69" t="str">
        <f>VLOOKUP(A182,'[1]DANH SÁCH'!$B$8:$AD$841,13,0)</f>
        <v>Viên chức</v>
      </c>
      <c r="AF182" s="41" t="s">
        <v>527</v>
      </c>
      <c r="AG182" s="42" t="str">
        <f>VLOOKUP(A182,'[1]DANH SÁCH'!$B$8:$H$841,7,0)</f>
        <v>Hộ sinh (hạng IV)</v>
      </c>
      <c r="AH182" s="45">
        <v>4.2699999999999996</v>
      </c>
      <c r="AI182" s="42">
        <v>8</v>
      </c>
      <c r="AJ182" s="70">
        <v>0</v>
      </c>
      <c r="AK182" s="69">
        <v>45809</v>
      </c>
      <c r="AL182" s="71" t="s">
        <v>158</v>
      </c>
      <c r="AM182" s="53" t="str">
        <f>VLOOKUP(A182,'[1]DANH SÁCH'!$B$8:$F$841,5,0)</f>
        <v>Hộ sinh CĐ</v>
      </c>
      <c r="AN182" s="53"/>
      <c r="AO182" s="53" t="s">
        <v>1466</v>
      </c>
      <c r="AP182" s="53">
        <v>2008</v>
      </c>
      <c r="AQ182" s="72" t="s">
        <v>113</v>
      </c>
      <c r="AR182" s="42">
        <f>VLOOKUP(A182,'[1]Chứng chỉ'!$B$8:$Q$1111,11,0)</f>
        <v>0</v>
      </c>
      <c r="AS182" s="42">
        <f>VLOOKUP(A182,'[1]Chứng chỉ'!$B$8:$Q$1111,12,0)</f>
        <v>0</v>
      </c>
      <c r="AT182" s="47">
        <f>VLOOKUP(A182,'[1]Chứng chỉ'!$B$8:$Q$1111,13,0)</f>
        <v>0</v>
      </c>
      <c r="AU182" s="42" t="str">
        <f>VLOOKUP(A182,'[1]Chứng chỉ'!$B$8:$Q$1111,14,0)</f>
        <v>Anh B</v>
      </c>
      <c r="AV182" s="42">
        <f>VLOOKUP(A182,'[1]Chứng chỉ'!$B$8:$Q$1111,15,0)</f>
        <v>0</v>
      </c>
      <c r="AW182" s="42" t="str">
        <f>VLOOKUP(A182,'[1]Chứng chỉ'!$B$8:$Q$1111,16,0)</f>
        <v>B</v>
      </c>
      <c r="AX182" s="42"/>
      <c r="AY182" s="57" t="s">
        <v>85</v>
      </c>
      <c r="AZ182" s="65"/>
      <c r="BA182" s="74" t="e">
        <f t="shared" ref="BA182:BA209" si="91">VLOOKUP(A182,#REF!,4,0)</f>
        <v>#REF!</v>
      </c>
      <c r="BB182" s="74" t="e">
        <f t="shared" ref="BB182:BB209" si="92">VLOOKUP(A182,#REF!,5,0)</f>
        <v>#REF!</v>
      </c>
      <c r="BC182" s="79" t="s">
        <v>114</v>
      </c>
      <c r="BD182" s="64"/>
    </row>
    <row r="183" spans="1:56" ht="61.2" x14ac:dyDescent="0.3">
      <c r="A183" s="41" t="s">
        <v>1467</v>
      </c>
      <c r="B183" s="42">
        <f t="shared" si="0"/>
        <v>177</v>
      </c>
      <c r="C183" s="68" t="s">
        <v>1468</v>
      </c>
      <c r="D183" s="41" t="s">
        <v>1467</v>
      </c>
      <c r="E183" s="61">
        <v>1596003062</v>
      </c>
      <c r="F183" s="64"/>
      <c r="G183" s="49" t="s">
        <v>1469</v>
      </c>
      <c r="H183" s="76"/>
      <c r="I183" s="76">
        <v>27995</v>
      </c>
      <c r="J183" s="66">
        <f t="shared" ca="1" si="86"/>
        <v>49</v>
      </c>
      <c r="K183" s="75" t="s">
        <v>1470</v>
      </c>
      <c r="L183" s="83" t="s">
        <v>1471</v>
      </c>
      <c r="M183" s="53" t="s">
        <v>67</v>
      </c>
      <c r="N183" s="66" t="s">
        <v>94</v>
      </c>
      <c r="O183" s="53"/>
      <c r="P183" s="49" t="s">
        <v>195</v>
      </c>
      <c r="Q183" s="49" t="s">
        <v>94</v>
      </c>
      <c r="R183" s="49"/>
      <c r="S183" s="49" t="s">
        <v>166</v>
      </c>
      <c r="T183" s="49" t="s">
        <v>97</v>
      </c>
      <c r="U183" s="49" t="s">
        <v>94</v>
      </c>
      <c r="V183" s="49" t="str">
        <f t="shared" si="90"/>
        <v>Phường Tam Thanh, Thành phố Lạng Sơn, Tỉnh Lạng Sơn</v>
      </c>
      <c r="W183" s="55" t="s">
        <v>1472</v>
      </c>
      <c r="X183" s="41"/>
      <c r="Y183" s="41"/>
      <c r="Z183" s="41"/>
      <c r="AA183" s="68">
        <f>VLOOKUP(A183,'[1]DANH SÁCH'!$B$8:$AD$841,12,0)</f>
        <v>0</v>
      </c>
      <c r="AB183" s="49" t="str">
        <f>VLOOKUP(A183,'[1]DANH SÁCH'!$B$8:$H$841,6,0)</f>
        <v>TĐ017</v>
      </c>
      <c r="AC183" s="69" t="str">
        <f>VLOOKUP(A183,'[1]DANH SÁCH'!$B$8:$J$841,9,0)</f>
        <v>Phụ sản</v>
      </c>
      <c r="AD183" s="69" t="str">
        <f>VLOOKUP(A183,'[1]DANH SÁCH'!$B$8:$AC$841,10,0)</f>
        <v>KP016</v>
      </c>
      <c r="AE183" s="69" t="str">
        <f>VLOOKUP(A183,'[1]DANH SÁCH'!$B$8:$AD$841,13,0)</f>
        <v>Viên chức</v>
      </c>
      <c r="AF183" s="41" t="s">
        <v>527</v>
      </c>
      <c r="AG183" s="42" t="str">
        <f>VLOOKUP(A183,'[1]DANH SÁCH'!$B$8:$H$841,7,0)</f>
        <v>Hộ sinh (hạng III)</v>
      </c>
      <c r="AH183" s="45">
        <v>4.9800000000000004</v>
      </c>
      <c r="AI183" s="42">
        <v>9</v>
      </c>
      <c r="AJ183" s="70">
        <v>0</v>
      </c>
      <c r="AK183" s="69">
        <v>44927</v>
      </c>
      <c r="AL183" s="71" t="s">
        <v>80</v>
      </c>
      <c r="AM183" s="53" t="str">
        <f>VLOOKUP(A183,'[1]DANH SÁCH'!$B$8:$F$841,5,0)</f>
        <v>Hộ sinh ĐH</v>
      </c>
      <c r="AN183" s="53"/>
      <c r="AO183" s="53" t="s">
        <v>1093</v>
      </c>
      <c r="AP183" s="53">
        <v>2006</v>
      </c>
      <c r="AQ183" s="72" t="s">
        <v>113</v>
      </c>
      <c r="AR183" s="42">
        <f>VLOOKUP(A183,'[1]Chứng chỉ'!$B$8:$Q$1111,11,0)</f>
        <v>0</v>
      </c>
      <c r="AS183" s="42" t="s">
        <v>100</v>
      </c>
      <c r="AT183" s="47">
        <f>VLOOKUP(A183,'[1]Chứng chỉ'!$B$8:$Q$1111,13,0)</f>
        <v>0</v>
      </c>
      <c r="AU183" s="42" t="str">
        <f>VLOOKUP(A183,'[1]Chứng chỉ'!$B$8:$Q$1111,14,0)</f>
        <v>Anh A2</v>
      </c>
      <c r="AV183" s="42">
        <f>VLOOKUP(A183,'[1]Chứng chỉ'!$B$8:$Q$1111,15,0)</f>
        <v>0</v>
      </c>
      <c r="AW183" s="42" t="str">
        <f>VLOOKUP(A183,'[1]Chứng chỉ'!$B$8:$Q$1111,16,0)</f>
        <v>Cơ bản</v>
      </c>
      <c r="AX183" s="42"/>
      <c r="AY183" s="57" t="s">
        <v>85</v>
      </c>
      <c r="AZ183" s="65">
        <v>37130</v>
      </c>
      <c r="BA183" s="74" t="e">
        <f t="shared" si="91"/>
        <v>#REF!</v>
      </c>
      <c r="BB183" s="74" t="e">
        <f t="shared" si="92"/>
        <v>#REF!</v>
      </c>
      <c r="BC183" s="79" t="s">
        <v>114</v>
      </c>
      <c r="BD183" s="64"/>
    </row>
    <row r="184" spans="1:56" ht="61.2" x14ac:dyDescent="0.3">
      <c r="A184" s="41" t="s">
        <v>1473</v>
      </c>
      <c r="B184" s="42">
        <f t="shared" si="0"/>
        <v>178</v>
      </c>
      <c r="C184" s="68" t="s">
        <v>1474</v>
      </c>
      <c r="D184" s="41" t="s">
        <v>1473</v>
      </c>
      <c r="E184" s="61">
        <v>1596007607</v>
      </c>
      <c r="F184" s="64"/>
      <c r="G184" s="49" t="s">
        <v>1475</v>
      </c>
      <c r="H184" s="76"/>
      <c r="I184" s="76">
        <v>27326</v>
      </c>
      <c r="J184" s="66">
        <f t="shared" ca="1" si="86"/>
        <v>51</v>
      </c>
      <c r="K184" s="75" t="s">
        <v>1476</v>
      </c>
      <c r="L184" s="83" t="s">
        <v>1477</v>
      </c>
      <c r="M184" s="53" t="s">
        <v>67</v>
      </c>
      <c r="N184" s="66" t="s">
        <v>94</v>
      </c>
      <c r="O184" s="85"/>
      <c r="P184" s="49" t="s">
        <v>195</v>
      </c>
      <c r="Q184" s="76" t="s">
        <v>94</v>
      </c>
      <c r="R184" s="49"/>
      <c r="S184" s="76" t="s">
        <v>96</v>
      </c>
      <c r="T184" s="76" t="s">
        <v>97</v>
      </c>
      <c r="U184" s="76" t="s">
        <v>94</v>
      </c>
      <c r="V184" s="49" t="str">
        <f t="shared" si="90"/>
        <v>Phường Hoàng Văn Thụ, Thành phố Lạng Sơn, Tỉnh Lạng Sơn</v>
      </c>
      <c r="W184" s="55" t="s">
        <v>1478</v>
      </c>
      <c r="X184" s="41"/>
      <c r="Y184" s="41"/>
      <c r="Z184" s="41"/>
      <c r="AA184" s="68" t="str">
        <f>VLOOKUP(A184,'[1]DANH SÁCH'!$B$8:$AD$841,12,0)</f>
        <v>Hộ sinh trưởng</v>
      </c>
      <c r="AB184" s="49" t="str">
        <f>VLOOKUP(A184,'[1]DANH SÁCH'!$B$8:$H$841,6,0)</f>
        <v>TĐ017</v>
      </c>
      <c r="AC184" s="69" t="str">
        <f>VLOOKUP(A184,'[1]DANH SÁCH'!$B$8:$J$841,9,0)</f>
        <v>Phụ sản</v>
      </c>
      <c r="AD184" s="69" t="str">
        <f>VLOOKUP(A184,'[1]DANH SÁCH'!$B$8:$AC$841,10,0)</f>
        <v>KP016</v>
      </c>
      <c r="AE184" s="69" t="str">
        <f>VLOOKUP(A184,'[1]DANH SÁCH'!$B$8:$AD$841,13,0)</f>
        <v>Viên chức</v>
      </c>
      <c r="AF184" s="41" t="s">
        <v>527</v>
      </c>
      <c r="AG184" s="42" t="str">
        <f>VLOOKUP(A184,'[1]DANH SÁCH'!$B$8:$H$841,7,0)</f>
        <v>Hộ sinh (hạng IV)</v>
      </c>
      <c r="AH184" s="45">
        <v>4.8899999999999997</v>
      </c>
      <c r="AI184" s="42">
        <v>10</v>
      </c>
      <c r="AJ184" s="70">
        <v>0</v>
      </c>
      <c r="AK184" s="69">
        <v>45962</v>
      </c>
      <c r="AL184" s="71" t="s">
        <v>80</v>
      </c>
      <c r="AM184" s="53" t="str">
        <f>VLOOKUP(A184,'[1]DANH SÁCH'!$B$8:$F$841,5,0)</f>
        <v>Hộ sinh ĐH</v>
      </c>
      <c r="AN184" s="53"/>
      <c r="AO184" s="53" t="s">
        <v>1434</v>
      </c>
      <c r="AP184" s="53">
        <v>2005</v>
      </c>
      <c r="AQ184" s="72" t="s">
        <v>113</v>
      </c>
      <c r="AR184" s="42">
        <f>VLOOKUP(A184,'[1]Chứng chỉ'!$B$8:$Q$1111,11,0)</f>
        <v>0</v>
      </c>
      <c r="AS184" s="42">
        <f>VLOOKUP(A184,'[1]Chứng chỉ'!$B$8:$Q$1111,12,0)</f>
        <v>0</v>
      </c>
      <c r="AT184" s="47" t="str">
        <f>VLOOKUP(A184,'[1]Chứng chỉ'!$B$8:$Q$1111,13,0)</f>
        <v>Sơ cấp</v>
      </c>
      <c r="AU184" s="42" t="str">
        <f>VLOOKUP(A184,'[1]Chứng chỉ'!$B$8:$Q$1111,14,0)</f>
        <v>Anh A2</v>
      </c>
      <c r="AV184" s="42" t="str">
        <f>VLOOKUP(A184,'[1]Chứng chỉ'!$B$8:$Q$1111,15,0)</f>
        <v>Tày</v>
      </c>
      <c r="AW184" s="42" t="str">
        <f>VLOOKUP(A184,'[1]Chứng chỉ'!$B$8:$Q$1111,16,0)</f>
        <v>Cơ bản</v>
      </c>
      <c r="AX184" s="42"/>
      <c r="AY184" s="57" t="s">
        <v>85</v>
      </c>
      <c r="AZ184" s="65">
        <v>41004</v>
      </c>
      <c r="BA184" s="74" t="e">
        <f t="shared" si="91"/>
        <v>#REF!</v>
      </c>
      <c r="BB184" s="74" t="e">
        <f t="shared" si="92"/>
        <v>#REF!</v>
      </c>
      <c r="BC184" s="79" t="s">
        <v>114</v>
      </c>
      <c r="BD184" s="64"/>
    </row>
    <row r="185" spans="1:56" ht="61.2" x14ac:dyDescent="0.3">
      <c r="A185" s="41" t="s">
        <v>1479</v>
      </c>
      <c r="B185" s="42">
        <f t="shared" si="0"/>
        <v>179</v>
      </c>
      <c r="C185" s="68" t="s">
        <v>1480</v>
      </c>
      <c r="D185" s="41" t="s">
        <v>1479</v>
      </c>
      <c r="E185" s="61">
        <v>1507002005</v>
      </c>
      <c r="F185" s="64"/>
      <c r="G185" s="49" t="s">
        <v>1481</v>
      </c>
      <c r="H185" s="76"/>
      <c r="I185" s="76">
        <v>31519</v>
      </c>
      <c r="J185" s="66">
        <f t="shared" ca="1" si="86"/>
        <v>40</v>
      </c>
      <c r="K185" s="75" t="s">
        <v>1482</v>
      </c>
      <c r="L185" s="83" t="s">
        <v>1483</v>
      </c>
      <c r="M185" s="53" t="s">
        <v>67</v>
      </c>
      <c r="N185" s="66" t="s">
        <v>94</v>
      </c>
      <c r="O185" s="85" t="s">
        <v>96</v>
      </c>
      <c r="P185" s="76" t="s">
        <v>97</v>
      </c>
      <c r="Q185" s="76" t="s">
        <v>94</v>
      </c>
      <c r="R185" s="49"/>
      <c r="S185" s="76" t="s">
        <v>96</v>
      </c>
      <c r="T185" s="76" t="s">
        <v>97</v>
      </c>
      <c r="U185" s="76" t="s">
        <v>94</v>
      </c>
      <c r="V185" s="49" t="str">
        <f t="shared" si="90"/>
        <v>Phường Hoàng Văn Thụ, Thành phố Lạng Sơn, Tỉnh Lạng Sơn</v>
      </c>
      <c r="W185" s="55" t="s">
        <v>1484</v>
      </c>
      <c r="X185" s="41"/>
      <c r="Y185" s="41"/>
      <c r="Z185" s="41"/>
      <c r="AA185" s="68">
        <f>VLOOKUP(A185,'[1]DANH SÁCH'!$B$8:$AD$841,12,0)</f>
        <v>0</v>
      </c>
      <c r="AB185" s="49" t="str">
        <f>VLOOKUP(A185,'[1]DANH SÁCH'!$B$8:$H$841,6,0)</f>
        <v>TĐ017</v>
      </c>
      <c r="AC185" s="69" t="str">
        <f>VLOOKUP(A185,'[1]DANH SÁCH'!$B$8:$J$841,9,0)</f>
        <v>Phụ sản</v>
      </c>
      <c r="AD185" s="69" t="str">
        <f>VLOOKUP(A185,'[1]DANH SÁCH'!$B$8:$AC$841,10,0)</f>
        <v>KP016</v>
      </c>
      <c r="AE185" s="69" t="str">
        <f>VLOOKUP(A185,'[1]DANH SÁCH'!$B$8:$AD$841,13,0)</f>
        <v>Viên chức</v>
      </c>
      <c r="AF185" s="41" t="s">
        <v>527</v>
      </c>
      <c r="AG185" s="42" t="str">
        <f>VLOOKUP(A185,'[1]DANH SÁCH'!$B$8:$H$841,7,0)</f>
        <v>Hộ sinh (hạng III)</v>
      </c>
      <c r="AH185" s="45">
        <v>3.66</v>
      </c>
      <c r="AI185" s="42">
        <v>5</v>
      </c>
      <c r="AJ185" s="70">
        <v>0</v>
      </c>
      <c r="AK185" s="69">
        <v>45383</v>
      </c>
      <c r="AL185" s="71" t="s">
        <v>80</v>
      </c>
      <c r="AM185" s="53" t="str">
        <f>VLOOKUP(A185,'[1]DANH SÁCH'!$B$8:$F$841,5,0)</f>
        <v>Hộ sinh ĐH</v>
      </c>
      <c r="AN185" s="53"/>
      <c r="AO185" s="53" t="s">
        <v>175</v>
      </c>
      <c r="AP185" s="53">
        <v>2006</v>
      </c>
      <c r="AQ185" s="72" t="s">
        <v>113</v>
      </c>
      <c r="AR185" s="42">
        <f>VLOOKUP(A185,'[1]Chứng chỉ'!$B$8:$Q$1111,11,0)</f>
        <v>0</v>
      </c>
      <c r="AS185" s="42">
        <f>VLOOKUP(A185,'[1]Chứng chỉ'!$B$8:$Q$1111,12,0)</f>
        <v>0</v>
      </c>
      <c r="AT185" s="47">
        <f>VLOOKUP(A185,'[1]Chứng chỉ'!$B$8:$Q$1111,13,0)</f>
        <v>0</v>
      </c>
      <c r="AU185" s="42">
        <f>VLOOKUP(A185,'[1]Chứng chỉ'!$B$8:$Q$1111,14,0)</f>
        <v>0</v>
      </c>
      <c r="AV185" s="42">
        <f>VLOOKUP(A185,'[1]Chứng chỉ'!$B$8:$Q$1111,15,0)</f>
        <v>0</v>
      </c>
      <c r="AW185" s="42">
        <f>VLOOKUP(A185,'[1]Chứng chỉ'!$B$8:$Q$1111,16,0)</f>
        <v>0</v>
      </c>
      <c r="AX185" s="42"/>
      <c r="AY185" s="57" t="s">
        <v>127</v>
      </c>
      <c r="AZ185" s="65"/>
      <c r="BA185" s="74" t="e">
        <f t="shared" si="91"/>
        <v>#REF!</v>
      </c>
      <c r="BB185" s="74" t="e">
        <f t="shared" si="92"/>
        <v>#REF!</v>
      </c>
      <c r="BC185" s="79" t="s">
        <v>1412</v>
      </c>
      <c r="BD185" s="64"/>
    </row>
    <row r="186" spans="1:56" ht="51" x14ac:dyDescent="0.3">
      <c r="A186" s="41" t="s">
        <v>1485</v>
      </c>
      <c r="B186" s="42">
        <f t="shared" si="0"/>
        <v>180</v>
      </c>
      <c r="C186" s="68" t="s">
        <v>1486</v>
      </c>
      <c r="D186" s="41" t="s">
        <v>1485</v>
      </c>
      <c r="E186" s="61">
        <v>2011000025</v>
      </c>
      <c r="F186" s="64"/>
      <c r="G186" s="49" t="s">
        <v>1487</v>
      </c>
      <c r="H186" s="76"/>
      <c r="I186" s="76">
        <v>30619</v>
      </c>
      <c r="J186" s="66">
        <f t="shared" ca="1" si="86"/>
        <v>42</v>
      </c>
      <c r="K186" s="75" t="s">
        <v>1488</v>
      </c>
      <c r="L186" s="83" t="s">
        <v>1489</v>
      </c>
      <c r="M186" s="53" t="s">
        <v>67</v>
      </c>
      <c r="N186" s="66" t="s">
        <v>94</v>
      </c>
      <c r="O186" s="53" t="s">
        <v>1490</v>
      </c>
      <c r="P186" s="49" t="s">
        <v>155</v>
      </c>
      <c r="Q186" s="49" t="s">
        <v>94</v>
      </c>
      <c r="R186" s="49"/>
      <c r="S186" s="49" t="s">
        <v>1490</v>
      </c>
      <c r="T186" s="49" t="s">
        <v>155</v>
      </c>
      <c r="U186" s="49" t="s">
        <v>94</v>
      </c>
      <c r="V186" s="49" t="str">
        <f t="shared" si="90"/>
        <v>Xã Tân Đoàn, Huyện Văn Quan, Tỉnh Lạng Sơn</v>
      </c>
      <c r="W186" s="55" t="s">
        <v>224</v>
      </c>
      <c r="X186" s="41"/>
      <c r="Y186" s="41"/>
      <c r="Z186" s="41"/>
      <c r="AA186" s="68">
        <f>VLOOKUP(A186,'[1]DANH SÁCH'!$B$8:$AD$841,12,0)</f>
        <v>0</v>
      </c>
      <c r="AB186" s="49" t="str">
        <f>VLOOKUP(A186,'[1]DANH SÁCH'!$B$8:$H$841,6,0)</f>
        <v>TĐ018</v>
      </c>
      <c r="AC186" s="69" t="str">
        <f>VLOOKUP(A186,'[1]DANH SÁCH'!$B$8:$J$841,9,0)</f>
        <v>Phụ sản</v>
      </c>
      <c r="AD186" s="69" t="str">
        <f>VLOOKUP(A186,'[1]DANH SÁCH'!$B$8:$AC$841,10,0)</f>
        <v>KP016</v>
      </c>
      <c r="AE186" s="69" t="str">
        <f>VLOOKUP(A186,'[1]DANH SÁCH'!$B$8:$AD$841,13,0)</f>
        <v>Viên chức</v>
      </c>
      <c r="AF186" s="41" t="s">
        <v>527</v>
      </c>
      <c r="AG186" s="42" t="str">
        <f>VLOOKUP(A186,'[1]DANH SÁCH'!$B$8:$H$841,7,0)</f>
        <v>Hộ sinh (hạng IV)</v>
      </c>
      <c r="AH186" s="45">
        <v>3.34</v>
      </c>
      <c r="AI186" s="42">
        <v>5</v>
      </c>
      <c r="AJ186" s="70">
        <v>0</v>
      </c>
      <c r="AK186" s="69">
        <v>45444</v>
      </c>
      <c r="AL186" s="71" t="s">
        <v>158</v>
      </c>
      <c r="AM186" s="53" t="str">
        <f>VLOOKUP(A186,'[1]DANH SÁCH'!$B$8:$F$841,5,0)</f>
        <v>Hộ sinh CĐ</v>
      </c>
      <c r="AN186" s="53"/>
      <c r="AO186" s="53" t="s">
        <v>175</v>
      </c>
      <c r="AP186" s="53">
        <v>2005</v>
      </c>
      <c r="AQ186" s="72" t="s">
        <v>113</v>
      </c>
      <c r="AR186" s="42">
        <f>VLOOKUP(A186,'[1]Chứng chỉ'!$B$8:$Q$1111,11,0)</f>
        <v>0</v>
      </c>
      <c r="AS186" s="42">
        <f>VLOOKUP(A186,'[1]Chứng chỉ'!$B$8:$Q$1111,12,0)</f>
        <v>0</v>
      </c>
      <c r="AT186" s="47">
        <f>VLOOKUP(A186,'[1]Chứng chỉ'!$B$8:$Q$1111,13,0)</f>
        <v>0</v>
      </c>
      <c r="AU186" s="42">
        <f>VLOOKUP(A186,'[1]Chứng chỉ'!$B$8:$Q$1111,14,0)</f>
        <v>0</v>
      </c>
      <c r="AV186" s="42">
        <f>VLOOKUP(A186,'[1]Chứng chỉ'!$B$8:$Q$1111,15,0)</f>
        <v>0</v>
      </c>
      <c r="AW186" s="42">
        <f>VLOOKUP(A186,'[1]Chứng chỉ'!$B$8:$Q$1111,16,0)</f>
        <v>0</v>
      </c>
      <c r="AX186" s="42"/>
      <c r="AY186" s="57" t="s">
        <v>85</v>
      </c>
      <c r="AZ186" s="65"/>
      <c r="BA186" s="74" t="e">
        <f t="shared" si="91"/>
        <v>#REF!</v>
      </c>
      <c r="BB186" s="74" t="e">
        <f t="shared" si="92"/>
        <v>#REF!</v>
      </c>
      <c r="BC186" s="79" t="s">
        <v>114</v>
      </c>
      <c r="BD186" s="64"/>
    </row>
    <row r="187" spans="1:56" ht="51" x14ac:dyDescent="0.3">
      <c r="A187" s="41" t="s">
        <v>1491</v>
      </c>
      <c r="B187" s="42">
        <f t="shared" si="0"/>
        <v>181</v>
      </c>
      <c r="C187" s="68" t="s">
        <v>1492</v>
      </c>
      <c r="D187" s="41" t="s">
        <v>1491</v>
      </c>
      <c r="E187" s="61">
        <v>1507002321</v>
      </c>
      <c r="F187" s="64"/>
      <c r="G187" s="49" t="s">
        <v>1493</v>
      </c>
      <c r="H187" s="76"/>
      <c r="I187" s="76">
        <v>30118</v>
      </c>
      <c r="J187" s="66">
        <f t="shared" ca="1" si="86"/>
        <v>44</v>
      </c>
      <c r="K187" s="75" t="s">
        <v>1494</v>
      </c>
      <c r="L187" s="83" t="s">
        <v>1495</v>
      </c>
      <c r="M187" s="53" t="s">
        <v>67</v>
      </c>
      <c r="N187" s="66" t="s">
        <v>94</v>
      </c>
      <c r="O187" s="53" t="s">
        <v>174</v>
      </c>
      <c r="P187" s="49" t="s">
        <v>97</v>
      </c>
      <c r="Q187" s="49" t="s">
        <v>94</v>
      </c>
      <c r="R187" s="49"/>
      <c r="S187" s="49" t="s">
        <v>174</v>
      </c>
      <c r="T187" s="49" t="s">
        <v>97</v>
      </c>
      <c r="U187" s="49" t="s">
        <v>94</v>
      </c>
      <c r="V187" s="49" t="str">
        <f t="shared" si="90"/>
        <v>Xã Mai Pha, Thành phố Lạng Sơn, Tỉnh Lạng Sơn</v>
      </c>
      <c r="W187" s="55" t="s">
        <v>224</v>
      </c>
      <c r="X187" s="41"/>
      <c r="Y187" s="41"/>
      <c r="Z187" s="41"/>
      <c r="AA187" s="68">
        <f>VLOOKUP(A187,'[1]DANH SÁCH'!$B$8:$AD$841,12,0)</f>
        <v>0</v>
      </c>
      <c r="AB187" s="49" t="str">
        <f>VLOOKUP(A187,'[1]DANH SÁCH'!$B$8:$H$841,6,0)</f>
        <v>TĐ018</v>
      </c>
      <c r="AC187" s="69" t="str">
        <f>VLOOKUP(A187,'[1]DANH SÁCH'!$B$8:$J$841,9,0)</f>
        <v>Phụ sản</v>
      </c>
      <c r="AD187" s="69" t="str">
        <f>VLOOKUP(A187,'[1]DANH SÁCH'!$B$8:$AC$841,10,0)</f>
        <v>KP016</v>
      </c>
      <c r="AE187" s="69" t="str">
        <f>VLOOKUP(A187,'[1]DANH SÁCH'!$B$8:$AD$841,13,0)</f>
        <v>Viên chức</v>
      </c>
      <c r="AF187" s="41" t="s">
        <v>527</v>
      </c>
      <c r="AG187" s="42" t="str">
        <f>VLOOKUP(A187,'[1]DANH SÁCH'!$B$8:$H$841,7,0)</f>
        <v>Hộ sinh (hạng IV)</v>
      </c>
      <c r="AH187" s="45">
        <v>3.34</v>
      </c>
      <c r="AI187" s="42">
        <v>5</v>
      </c>
      <c r="AJ187" s="70">
        <v>0</v>
      </c>
      <c r="AK187" s="69">
        <v>45444</v>
      </c>
      <c r="AL187" s="71" t="s">
        <v>158</v>
      </c>
      <c r="AM187" s="53" t="str">
        <f>VLOOKUP(A187,'[1]DANH SÁCH'!$B$8:$F$841,5,0)</f>
        <v>Hộ sinh CĐ</v>
      </c>
      <c r="AN187" s="53"/>
      <c r="AO187" s="53" t="s">
        <v>175</v>
      </c>
      <c r="AP187" s="53">
        <v>2005</v>
      </c>
      <c r="AQ187" s="72" t="s">
        <v>113</v>
      </c>
      <c r="AR187" s="42">
        <f>VLOOKUP(A187,'[1]Chứng chỉ'!$B$8:$Q$1111,11,0)</f>
        <v>0</v>
      </c>
      <c r="AS187" s="42">
        <f>VLOOKUP(A187,'[1]Chứng chỉ'!$B$8:$Q$1111,12,0)</f>
        <v>0</v>
      </c>
      <c r="AT187" s="47">
        <f>VLOOKUP(A187,'[1]Chứng chỉ'!$B$8:$Q$1111,13,0)</f>
        <v>0</v>
      </c>
      <c r="AU187" s="42">
        <f>VLOOKUP(A187,'[1]Chứng chỉ'!$B$8:$Q$1111,14,0)</f>
        <v>0</v>
      </c>
      <c r="AV187" s="42" t="str">
        <f>VLOOKUP(A187,'[1]Chứng chỉ'!$B$8:$Q$1111,15,0)</f>
        <v>x</v>
      </c>
      <c r="AW187" s="42" t="str">
        <f>VLOOKUP(A187,'[1]Chứng chỉ'!$B$8:$Q$1111,16,0)</f>
        <v>x</v>
      </c>
      <c r="AX187" s="42"/>
      <c r="AY187" s="57" t="s">
        <v>127</v>
      </c>
      <c r="AZ187" s="65"/>
      <c r="BA187" s="74" t="e">
        <f t="shared" si="91"/>
        <v>#REF!</v>
      </c>
      <c r="BB187" s="74" t="e">
        <f t="shared" si="92"/>
        <v>#REF!</v>
      </c>
      <c r="BC187" s="79" t="s">
        <v>114</v>
      </c>
      <c r="BD187" s="64"/>
    </row>
    <row r="188" spans="1:56" ht="51" x14ac:dyDescent="0.3">
      <c r="A188" s="41" t="s">
        <v>1496</v>
      </c>
      <c r="B188" s="42">
        <f t="shared" si="0"/>
        <v>182</v>
      </c>
      <c r="C188" s="68" t="s">
        <v>1497</v>
      </c>
      <c r="D188" s="41" t="s">
        <v>1496</v>
      </c>
      <c r="E188" s="61">
        <v>1506002734</v>
      </c>
      <c r="F188" s="64"/>
      <c r="G188" s="49" t="s">
        <v>1498</v>
      </c>
      <c r="H188" s="76"/>
      <c r="I188" s="76">
        <v>29416</v>
      </c>
      <c r="J188" s="66">
        <f t="shared" ca="1" si="86"/>
        <v>46</v>
      </c>
      <c r="K188" s="75" t="s">
        <v>1499</v>
      </c>
      <c r="L188" s="83" t="s">
        <v>1500</v>
      </c>
      <c r="M188" s="53" t="s">
        <v>67</v>
      </c>
      <c r="N188" s="66" t="s">
        <v>94</v>
      </c>
      <c r="O188" s="53"/>
      <c r="P188" s="49" t="s">
        <v>195</v>
      </c>
      <c r="Q188" s="49" t="s">
        <v>94</v>
      </c>
      <c r="R188" s="49"/>
      <c r="S188" s="49" t="s">
        <v>214</v>
      </c>
      <c r="T188" s="49" t="s">
        <v>97</v>
      </c>
      <c r="U188" s="49" t="s">
        <v>94</v>
      </c>
      <c r="V188" s="49" t="str">
        <f t="shared" si="90"/>
        <v>Xã Hoàng Đồng, Thành phố Lạng Sơn, Tỉnh Lạng Sơn</v>
      </c>
      <c r="W188" s="55" t="s">
        <v>1501</v>
      </c>
      <c r="X188" s="41"/>
      <c r="Y188" s="41"/>
      <c r="Z188" s="41"/>
      <c r="AA188" s="68">
        <f>VLOOKUP(A188,'[1]DANH SÁCH'!$B$8:$AD$841,12,0)</f>
        <v>0</v>
      </c>
      <c r="AB188" s="49" t="str">
        <f>VLOOKUP(A188,'[1]DANH SÁCH'!$B$8:$H$841,6,0)</f>
        <v>TĐ018</v>
      </c>
      <c r="AC188" s="69" t="str">
        <f>VLOOKUP(A188,'[1]DANH SÁCH'!$B$8:$J$841,9,0)</f>
        <v>Phụ sản</v>
      </c>
      <c r="AD188" s="69" t="str">
        <f>VLOOKUP(A188,'[1]DANH SÁCH'!$B$8:$AC$841,10,0)</f>
        <v>KP016</v>
      </c>
      <c r="AE188" s="69" t="str">
        <f>VLOOKUP(A188,'[1]DANH SÁCH'!$B$8:$AD$841,13,0)</f>
        <v>Viên chức</v>
      </c>
      <c r="AF188" s="41" t="s">
        <v>527</v>
      </c>
      <c r="AG188" s="42" t="str">
        <f>VLOOKUP(A188,'[1]DANH SÁCH'!$B$8:$H$841,7,0)</f>
        <v>Hộ sinh (hạng IV)</v>
      </c>
      <c r="AH188" s="45">
        <v>3.65</v>
      </c>
      <c r="AI188" s="42">
        <v>6</v>
      </c>
      <c r="AJ188" s="70">
        <v>0</v>
      </c>
      <c r="AK188" s="69">
        <v>45474</v>
      </c>
      <c r="AL188" s="71" t="s">
        <v>158</v>
      </c>
      <c r="AM188" s="53" t="str">
        <f>VLOOKUP(A188,'[1]DANH SÁCH'!$B$8:$F$841,5,0)</f>
        <v>Hộ sinh CĐ</v>
      </c>
      <c r="AN188" s="53"/>
      <c r="AO188" s="53" t="s">
        <v>175</v>
      </c>
      <c r="AP188" s="53">
        <v>2001</v>
      </c>
      <c r="AQ188" s="72" t="s">
        <v>113</v>
      </c>
      <c r="AR188" s="42">
        <f>VLOOKUP(A188,'[1]Chứng chỉ'!$B$8:$Q$1111,11,0)</f>
        <v>0</v>
      </c>
      <c r="AS188" s="42">
        <f>VLOOKUP(A188,'[1]Chứng chỉ'!$B$8:$Q$1111,12,0)</f>
        <v>0</v>
      </c>
      <c r="AT188" s="47">
        <f>VLOOKUP(A188,'[1]Chứng chỉ'!$B$8:$Q$1111,13,0)</f>
        <v>0</v>
      </c>
      <c r="AU188" s="42">
        <f>VLOOKUP(A188,'[1]Chứng chỉ'!$B$8:$Q$1111,14,0)</f>
        <v>0</v>
      </c>
      <c r="AV188" s="42">
        <f>VLOOKUP(A188,'[1]Chứng chỉ'!$B$8:$Q$1111,15,0)</f>
        <v>0</v>
      </c>
      <c r="AW188" s="42" t="str">
        <f>VLOOKUP(A188,'[1]Chứng chỉ'!$B$8:$Q$1111,16,0)</f>
        <v>Cơ bản</v>
      </c>
      <c r="AX188" s="42"/>
      <c r="AY188" s="57" t="s">
        <v>85</v>
      </c>
      <c r="AZ188" s="65"/>
      <c r="BA188" s="74" t="e">
        <f t="shared" si="91"/>
        <v>#REF!</v>
      </c>
      <c r="BB188" s="74" t="e">
        <f t="shared" si="92"/>
        <v>#REF!</v>
      </c>
      <c r="BC188" s="79" t="s">
        <v>114</v>
      </c>
      <c r="BD188" s="64"/>
    </row>
    <row r="189" spans="1:56" ht="51" x14ac:dyDescent="0.3">
      <c r="A189" s="41" t="s">
        <v>1502</v>
      </c>
      <c r="B189" s="42">
        <f t="shared" si="0"/>
        <v>183</v>
      </c>
      <c r="C189" s="68" t="s">
        <v>1503</v>
      </c>
      <c r="D189" s="41" t="s">
        <v>1502</v>
      </c>
      <c r="E189" s="61">
        <v>2008002398</v>
      </c>
      <c r="F189" s="64"/>
      <c r="G189" s="49" t="s">
        <v>1504</v>
      </c>
      <c r="H189" s="76"/>
      <c r="I189" s="76">
        <v>32075</v>
      </c>
      <c r="J189" s="66">
        <f t="shared" ca="1" si="86"/>
        <v>38</v>
      </c>
      <c r="K189" s="75" t="s">
        <v>1505</v>
      </c>
      <c r="L189" s="83" t="s">
        <v>1506</v>
      </c>
      <c r="M189" s="53" t="s">
        <v>67</v>
      </c>
      <c r="N189" s="66" t="s">
        <v>94</v>
      </c>
      <c r="O189" s="53" t="s">
        <v>174</v>
      </c>
      <c r="P189" s="49" t="s">
        <v>97</v>
      </c>
      <c r="Q189" s="49" t="s">
        <v>94</v>
      </c>
      <c r="R189" s="49"/>
      <c r="S189" s="49" t="s">
        <v>174</v>
      </c>
      <c r="T189" s="49" t="s">
        <v>97</v>
      </c>
      <c r="U189" s="49" t="s">
        <v>94</v>
      </c>
      <c r="V189" s="49" t="str">
        <f t="shared" si="90"/>
        <v>Xã Mai Pha, Thành phố Lạng Sơn, Tỉnh Lạng Sơn</v>
      </c>
      <c r="W189" s="55" t="s">
        <v>98</v>
      </c>
      <c r="X189" s="41"/>
      <c r="Y189" s="41"/>
      <c r="Z189" s="41"/>
      <c r="AA189" s="68">
        <f>VLOOKUP(A189,'[1]DANH SÁCH'!$B$8:$AD$841,12,0)</f>
        <v>0</v>
      </c>
      <c r="AB189" s="49" t="str">
        <f>VLOOKUP(A189,'[1]DANH SÁCH'!$B$8:$H$841,6,0)</f>
        <v>TĐ018</v>
      </c>
      <c r="AC189" s="69" t="str">
        <f>VLOOKUP(A189,'[1]DANH SÁCH'!$B$8:$J$841,9,0)</f>
        <v>Phụ sản</v>
      </c>
      <c r="AD189" s="69" t="str">
        <f>VLOOKUP(A189,'[1]DANH SÁCH'!$B$8:$AC$841,10,0)</f>
        <v>KP016</v>
      </c>
      <c r="AE189" s="69" t="str">
        <f>VLOOKUP(A189,'[1]DANH SÁCH'!$B$8:$AD$841,13,0)</f>
        <v>Viên chức</v>
      </c>
      <c r="AF189" s="41" t="s">
        <v>527</v>
      </c>
      <c r="AG189" s="42" t="str">
        <f>VLOOKUP(A189,'[1]DANH SÁCH'!$B$8:$H$841,7,0)</f>
        <v>Hộ sinh (hạng IV)</v>
      </c>
      <c r="AH189" s="45">
        <v>3.65</v>
      </c>
      <c r="AI189" s="42">
        <v>6</v>
      </c>
      <c r="AJ189" s="70">
        <v>0</v>
      </c>
      <c r="AK189" s="69">
        <v>45809</v>
      </c>
      <c r="AL189" s="71" t="s">
        <v>158</v>
      </c>
      <c r="AM189" s="53" t="str">
        <f>VLOOKUP(A189,'[1]DANH SÁCH'!$B$8:$F$841,5,0)</f>
        <v>Hộ sinh CĐ</v>
      </c>
      <c r="AN189" s="53"/>
      <c r="AO189" s="53" t="s">
        <v>1093</v>
      </c>
      <c r="AP189" s="53">
        <v>2007</v>
      </c>
      <c r="AQ189" s="72" t="s">
        <v>113</v>
      </c>
      <c r="AR189" s="42">
        <f>VLOOKUP(A189,'[1]Chứng chỉ'!$B$8:$Q$1111,11,0)</f>
        <v>0</v>
      </c>
      <c r="AS189" s="42">
        <f>VLOOKUP(A189,'[1]Chứng chỉ'!$B$8:$Q$1111,12,0)</f>
        <v>0</v>
      </c>
      <c r="AT189" s="47">
        <f>VLOOKUP(A189,'[1]Chứng chỉ'!$B$8:$Q$1111,13,0)</f>
        <v>0</v>
      </c>
      <c r="AU189" s="42">
        <f>VLOOKUP(A189,'[1]Chứng chỉ'!$B$8:$Q$1111,14,0)</f>
        <v>0</v>
      </c>
      <c r="AV189" s="42">
        <f>VLOOKUP(A189,'[1]Chứng chỉ'!$B$8:$Q$1111,15,0)</f>
        <v>0</v>
      </c>
      <c r="AW189" s="42" t="str">
        <f>VLOOKUP(A189,'[1]Chứng chỉ'!$B$8:$Q$1111,16,0)</f>
        <v>Tin B</v>
      </c>
      <c r="AX189" s="42"/>
      <c r="AY189" s="57" t="s">
        <v>85</v>
      </c>
      <c r="AZ189" s="65"/>
      <c r="BA189" s="74" t="e">
        <f t="shared" si="91"/>
        <v>#REF!</v>
      </c>
      <c r="BB189" s="74" t="e">
        <f t="shared" si="92"/>
        <v>#REF!</v>
      </c>
      <c r="BC189" s="79" t="s">
        <v>114</v>
      </c>
      <c r="BD189" s="64"/>
    </row>
    <row r="190" spans="1:56" ht="61.2" x14ac:dyDescent="0.3">
      <c r="A190" s="41" t="s">
        <v>1507</v>
      </c>
      <c r="B190" s="42">
        <f t="shared" si="0"/>
        <v>184</v>
      </c>
      <c r="C190" s="68" t="s">
        <v>1508</v>
      </c>
      <c r="D190" s="41" t="s">
        <v>1507</v>
      </c>
      <c r="E190" s="61">
        <v>1500002060</v>
      </c>
      <c r="F190" s="64"/>
      <c r="G190" s="49"/>
      <c r="H190" s="76"/>
      <c r="I190" s="76">
        <v>26136</v>
      </c>
      <c r="J190" s="66">
        <f t="shared" ca="1" si="86"/>
        <v>55</v>
      </c>
      <c r="K190" s="75" t="s">
        <v>1509</v>
      </c>
      <c r="L190" s="83" t="s">
        <v>1510</v>
      </c>
      <c r="M190" s="53" t="s">
        <v>67</v>
      </c>
      <c r="N190" s="66" t="s">
        <v>94</v>
      </c>
      <c r="O190" s="53"/>
      <c r="P190" s="49" t="s">
        <v>155</v>
      </c>
      <c r="Q190" s="49" t="s">
        <v>94</v>
      </c>
      <c r="R190" s="49"/>
      <c r="S190" s="49" t="s">
        <v>166</v>
      </c>
      <c r="T190" s="49" t="s">
        <v>97</v>
      </c>
      <c r="U190" s="49" t="s">
        <v>94</v>
      </c>
      <c r="V190" s="49" t="str">
        <f t="shared" si="90"/>
        <v>Phường Tam Thanh, Thành phố Lạng Sơn, Tỉnh Lạng Sơn</v>
      </c>
      <c r="W190" s="55" t="s">
        <v>1511</v>
      </c>
      <c r="X190" s="41"/>
      <c r="Y190" s="41"/>
      <c r="Z190" s="41"/>
      <c r="AA190" s="68">
        <f>VLOOKUP(A190,'[1]DANH SÁCH'!$B$8:$AD$841,12,0)</f>
        <v>0</v>
      </c>
      <c r="AB190" s="49" t="str">
        <f>VLOOKUP(A190,'[1]DANH SÁCH'!$B$8:$H$841,6,0)</f>
        <v>TĐ018</v>
      </c>
      <c r="AC190" s="69" t="str">
        <f>VLOOKUP(A190,'[1]DANH SÁCH'!$B$8:$J$841,9,0)</f>
        <v>Phụ sản</v>
      </c>
      <c r="AD190" s="69" t="str">
        <f>VLOOKUP(A190,'[1]DANH SÁCH'!$B$8:$AC$841,10,0)</f>
        <v>KP016</v>
      </c>
      <c r="AE190" s="69" t="str">
        <f>VLOOKUP(A190,'[1]DANH SÁCH'!$B$8:$AD$841,13,0)</f>
        <v>Viên chức</v>
      </c>
      <c r="AF190" s="41" t="s">
        <v>527</v>
      </c>
      <c r="AG190" s="42" t="str">
        <f>VLOOKUP(A190,'[1]DANH SÁCH'!$B$8:$H$841,7,0)</f>
        <v>Hộ sinh (hạng IV)</v>
      </c>
      <c r="AH190" s="45">
        <v>4.58</v>
      </c>
      <c r="AI190" s="42">
        <v>9</v>
      </c>
      <c r="AJ190" s="70">
        <v>0.08</v>
      </c>
      <c r="AK190" s="69">
        <v>45672</v>
      </c>
      <c r="AL190" s="71" t="s">
        <v>101</v>
      </c>
      <c r="AM190" s="53" t="str">
        <f>VLOOKUP(A190,'[1]DANH SÁCH'!$B$8:$F$841,5,0)</f>
        <v>Hộ sinh CĐ</v>
      </c>
      <c r="AN190" s="53"/>
      <c r="AO190" s="53" t="s">
        <v>175</v>
      </c>
      <c r="AP190" s="53">
        <v>1995</v>
      </c>
      <c r="AQ190" s="72" t="s">
        <v>113</v>
      </c>
      <c r="AR190" s="42">
        <f>VLOOKUP(A190,'[1]Chứng chỉ'!$B$8:$Q$1111,11,0)</f>
        <v>0</v>
      </c>
      <c r="AS190" s="42">
        <f>VLOOKUP(A190,'[1]Chứng chỉ'!$B$8:$Q$1111,12,0)</f>
        <v>0</v>
      </c>
      <c r="AT190" s="47">
        <f>VLOOKUP(A190,'[1]Chứng chỉ'!$B$8:$Q$1111,13,0)</f>
        <v>0</v>
      </c>
      <c r="AU190" s="42">
        <f>VLOOKUP(A190,'[1]Chứng chỉ'!$B$8:$Q$1111,14,0)</f>
        <v>0</v>
      </c>
      <c r="AV190" s="42">
        <f>VLOOKUP(A190,'[1]Chứng chỉ'!$B$8:$Q$1111,15,0)</f>
        <v>0</v>
      </c>
      <c r="AW190" s="42">
        <f>VLOOKUP(A190,'[1]Chứng chỉ'!$B$8:$Q$1111,16,0)</f>
        <v>0</v>
      </c>
      <c r="AX190" s="42"/>
      <c r="AY190" s="57" t="s">
        <v>85</v>
      </c>
      <c r="AZ190" s="65">
        <v>37692</v>
      </c>
      <c r="BA190" s="74" t="e">
        <f t="shared" si="91"/>
        <v>#REF!</v>
      </c>
      <c r="BB190" s="74" t="e">
        <f t="shared" si="92"/>
        <v>#REF!</v>
      </c>
      <c r="BC190" s="79" t="s">
        <v>114</v>
      </c>
      <c r="BD190" s="64"/>
    </row>
    <row r="191" spans="1:56" ht="40.799999999999997" x14ac:dyDescent="0.3">
      <c r="A191" s="41" t="s">
        <v>1512</v>
      </c>
      <c r="B191" s="42">
        <f t="shared" si="0"/>
        <v>185</v>
      </c>
      <c r="C191" s="68" t="s">
        <v>1513</v>
      </c>
      <c r="D191" s="41" t="s">
        <v>1512</v>
      </c>
      <c r="E191" s="61">
        <v>2010000164</v>
      </c>
      <c r="F191" s="64"/>
      <c r="G191" s="49" t="s">
        <v>1514</v>
      </c>
      <c r="H191" s="76"/>
      <c r="I191" s="76">
        <v>31861</v>
      </c>
      <c r="J191" s="66">
        <f t="shared" ca="1" si="86"/>
        <v>39</v>
      </c>
      <c r="K191" s="75" t="s">
        <v>1515</v>
      </c>
      <c r="L191" s="41" t="s">
        <v>1516</v>
      </c>
      <c r="M191" s="53" t="s">
        <v>67</v>
      </c>
      <c r="N191" s="66" t="s">
        <v>94</v>
      </c>
      <c r="O191" s="53" t="s">
        <v>1517</v>
      </c>
      <c r="P191" s="49" t="s">
        <v>222</v>
      </c>
      <c r="Q191" s="49" t="s">
        <v>94</v>
      </c>
      <c r="R191" s="49"/>
      <c r="S191" s="49" t="s">
        <v>1517</v>
      </c>
      <c r="T191" s="49" t="s">
        <v>222</v>
      </c>
      <c r="U191" s="49" t="s">
        <v>94</v>
      </c>
      <c r="V191" s="49" t="str">
        <f t="shared" si="90"/>
        <v>Xã Lâm Sơn, Huyện Chi Lăng, Tỉnh Lạng Sơn</v>
      </c>
      <c r="W191" s="55" t="s">
        <v>236</v>
      </c>
      <c r="X191" s="41"/>
      <c r="Y191" s="41"/>
      <c r="Z191" s="41"/>
      <c r="AA191" s="68">
        <f>VLOOKUP(A191,'[1]DANH SÁCH'!$B$8:$AD$841,12,0)</f>
        <v>0</v>
      </c>
      <c r="AB191" s="49" t="str">
        <f>VLOOKUP(A191,'[1]DANH SÁCH'!$B$8:$H$841,6,0)</f>
        <v>TĐ018</v>
      </c>
      <c r="AC191" s="69" t="str">
        <f>VLOOKUP(A191,'[1]DANH SÁCH'!$B$8:$J$841,9,0)</f>
        <v>Phụ sản</v>
      </c>
      <c r="AD191" s="69" t="str">
        <f>VLOOKUP(A191,'[1]DANH SÁCH'!$B$8:$AC$841,10,0)</f>
        <v>KP016</v>
      </c>
      <c r="AE191" s="69" t="str">
        <f>VLOOKUP(A191,'[1]DANH SÁCH'!$B$8:$AD$841,13,0)</f>
        <v>Viên chức</v>
      </c>
      <c r="AF191" s="41" t="s">
        <v>527</v>
      </c>
      <c r="AG191" s="42" t="str">
        <f>VLOOKUP(A191,'[1]DANH SÁCH'!$B$8:$H$841,7,0)</f>
        <v>Hộ sinh (hạng IV)</v>
      </c>
      <c r="AH191" s="45">
        <v>3.34</v>
      </c>
      <c r="AI191" s="42">
        <v>5</v>
      </c>
      <c r="AJ191" s="70">
        <v>0</v>
      </c>
      <c r="AK191" s="69">
        <v>45306</v>
      </c>
      <c r="AL191" s="71" t="s">
        <v>158</v>
      </c>
      <c r="AM191" s="53" t="str">
        <f>VLOOKUP(A191,'[1]DANH SÁCH'!$B$8:$F$841,5,0)</f>
        <v>Hộ sinh CĐ</v>
      </c>
      <c r="AN191" s="53"/>
      <c r="AO191" s="53" t="s">
        <v>1093</v>
      </c>
      <c r="AP191" s="53">
        <v>2018</v>
      </c>
      <c r="AQ191" s="72" t="s">
        <v>113</v>
      </c>
      <c r="AR191" s="42">
        <f>VLOOKUP(A191,'[1]Chứng chỉ'!$B$8:$Q$1111,11,0)</f>
        <v>0</v>
      </c>
      <c r="AS191" s="42">
        <f>VLOOKUP(A191,'[1]Chứng chỉ'!$B$8:$Q$1111,12,0)</f>
        <v>0</v>
      </c>
      <c r="AT191" s="47">
        <f>VLOOKUP(A191,'[1]Chứng chỉ'!$B$8:$Q$1111,13,0)</f>
        <v>0</v>
      </c>
      <c r="AU191" s="42">
        <f>VLOOKUP(A191,'[1]Chứng chỉ'!$B$8:$Q$1111,14,0)</f>
        <v>0</v>
      </c>
      <c r="AV191" s="42">
        <f>VLOOKUP(A191,'[1]Chứng chỉ'!$B$8:$Q$1111,15,0)</f>
        <v>0</v>
      </c>
      <c r="AW191" s="42" t="str">
        <f>VLOOKUP(A191,'[1]Chứng chỉ'!$B$8:$Q$1111,16,0)</f>
        <v>B</v>
      </c>
      <c r="AX191" s="42"/>
      <c r="AY191" s="57" t="s">
        <v>85</v>
      </c>
      <c r="AZ191" s="65"/>
      <c r="BA191" s="74" t="e">
        <f t="shared" si="91"/>
        <v>#REF!</v>
      </c>
      <c r="BB191" s="74" t="e">
        <f t="shared" si="92"/>
        <v>#REF!</v>
      </c>
      <c r="BC191" s="79" t="s">
        <v>1446</v>
      </c>
      <c r="BD191" s="64"/>
    </row>
    <row r="192" spans="1:56" ht="51" x14ac:dyDescent="0.3">
      <c r="A192" s="41" t="s">
        <v>1518</v>
      </c>
      <c r="B192" s="42">
        <f t="shared" si="0"/>
        <v>186</v>
      </c>
      <c r="C192" s="68" t="s">
        <v>1519</v>
      </c>
      <c r="D192" s="41" t="s">
        <v>1518</v>
      </c>
      <c r="E192" s="61">
        <v>2008000940</v>
      </c>
      <c r="F192" s="64"/>
      <c r="G192" s="49" t="s">
        <v>1520</v>
      </c>
      <c r="H192" s="76"/>
      <c r="I192" s="76">
        <v>30416</v>
      </c>
      <c r="J192" s="66">
        <f t="shared" ca="1" si="86"/>
        <v>43</v>
      </c>
      <c r="K192" s="75" t="s">
        <v>1521</v>
      </c>
      <c r="L192" s="83" t="s">
        <v>1522</v>
      </c>
      <c r="M192" s="53" t="s">
        <v>67</v>
      </c>
      <c r="N192" s="66" t="s">
        <v>94</v>
      </c>
      <c r="O192" s="85"/>
      <c r="P192" s="76" t="s">
        <v>145</v>
      </c>
      <c r="Q192" s="49" t="s">
        <v>94</v>
      </c>
      <c r="R192" s="49"/>
      <c r="S192" s="76" t="s">
        <v>329</v>
      </c>
      <c r="T192" s="76" t="s">
        <v>145</v>
      </c>
      <c r="U192" s="49" t="s">
        <v>94</v>
      </c>
      <c r="V192" s="49" t="str">
        <f t="shared" si="90"/>
        <v>Xã Hoàng Văn Thụ, Huyện Văn Lãng, Tỉnh Lạng Sơn</v>
      </c>
      <c r="W192" s="55" t="s">
        <v>236</v>
      </c>
      <c r="X192" s="41"/>
      <c r="Y192" s="41"/>
      <c r="Z192" s="41"/>
      <c r="AA192" s="68">
        <f>VLOOKUP(A192,'[1]DANH SÁCH'!$B$8:$AD$841,12,0)</f>
        <v>0</v>
      </c>
      <c r="AB192" s="49" t="str">
        <f>VLOOKUP(A192,'[1]DANH SÁCH'!$B$8:$H$841,6,0)</f>
        <v>TĐ018</v>
      </c>
      <c r="AC192" s="69" t="str">
        <f>VLOOKUP(A192,'[1]DANH SÁCH'!$B$8:$J$841,9,0)</f>
        <v>Phụ sản</v>
      </c>
      <c r="AD192" s="69" t="str">
        <f>VLOOKUP(A192,'[1]DANH SÁCH'!$B$8:$AC$841,10,0)</f>
        <v>KP016</v>
      </c>
      <c r="AE192" s="69" t="str">
        <f>VLOOKUP(A192,'[1]DANH SÁCH'!$B$8:$AD$841,13,0)</f>
        <v>Viên chức</v>
      </c>
      <c r="AF192" s="41" t="s">
        <v>527</v>
      </c>
      <c r="AG192" s="42" t="str">
        <f>VLOOKUP(A192,'[1]DANH SÁCH'!$B$8:$H$841,7,0)</f>
        <v>Hộ sinh (hạng IV)</v>
      </c>
      <c r="AH192" s="45">
        <v>3.34</v>
      </c>
      <c r="AI192" s="42">
        <v>5</v>
      </c>
      <c r="AJ192" s="70">
        <v>0</v>
      </c>
      <c r="AK192" s="69">
        <v>44927</v>
      </c>
      <c r="AL192" s="71" t="s">
        <v>158</v>
      </c>
      <c r="AM192" s="53" t="str">
        <f>VLOOKUP(A192,'[1]DANH SÁCH'!$B$8:$F$841,5,0)</f>
        <v>Hộ sinh CĐ</v>
      </c>
      <c r="AN192" s="53"/>
      <c r="AO192" s="53" t="s">
        <v>175</v>
      </c>
      <c r="AP192" s="53">
        <v>2005</v>
      </c>
      <c r="AQ192" s="72" t="s">
        <v>113</v>
      </c>
      <c r="AR192" s="42">
        <f>VLOOKUP(A192,'[1]Chứng chỉ'!$B$8:$Q$1111,11,0)</f>
        <v>0</v>
      </c>
      <c r="AS192" s="42">
        <f>VLOOKUP(A192,'[1]Chứng chỉ'!$B$8:$Q$1111,12,0)</f>
        <v>0</v>
      </c>
      <c r="AT192" s="47">
        <f>VLOOKUP(A192,'[1]Chứng chỉ'!$B$8:$Q$1111,13,0)</f>
        <v>0</v>
      </c>
      <c r="AU192" s="42">
        <f>VLOOKUP(A192,'[1]Chứng chỉ'!$B$8:$Q$1111,14,0)</f>
        <v>0</v>
      </c>
      <c r="AV192" s="42">
        <f>VLOOKUP(A192,'[1]Chứng chỉ'!$B$8:$Q$1111,15,0)</f>
        <v>0</v>
      </c>
      <c r="AW192" s="42">
        <f>VLOOKUP(A192,'[1]Chứng chỉ'!$B$8:$Q$1111,16,0)</f>
        <v>0</v>
      </c>
      <c r="AX192" s="42"/>
      <c r="AY192" s="57" t="s">
        <v>85</v>
      </c>
      <c r="AZ192" s="65"/>
      <c r="BA192" s="74" t="e">
        <f t="shared" si="91"/>
        <v>#REF!</v>
      </c>
      <c r="BB192" s="74" t="e">
        <f t="shared" si="92"/>
        <v>#REF!</v>
      </c>
      <c r="BC192" s="79" t="s">
        <v>114</v>
      </c>
      <c r="BD192" s="64"/>
    </row>
    <row r="193" spans="1:56" ht="51" x14ac:dyDescent="0.3">
      <c r="A193" s="41" t="s">
        <v>1523</v>
      </c>
      <c r="B193" s="42">
        <f t="shared" si="0"/>
        <v>187</v>
      </c>
      <c r="C193" s="68" t="s">
        <v>1524</v>
      </c>
      <c r="D193" s="41" t="s">
        <v>1523</v>
      </c>
      <c r="E193" s="61">
        <v>2010000162</v>
      </c>
      <c r="F193" s="64"/>
      <c r="G193" s="49" t="s">
        <v>1525</v>
      </c>
      <c r="H193" s="76"/>
      <c r="I193" s="76">
        <v>28080</v>
      </c>
      <c r="J193" s="66">
        <f t="shared" ca="1" si="86"/>
        <v>49</v>
      </c>
      <c r="K193" s="75" t="s">
        <v>1526</v>
      </c>
      <c r="L193" s="83" t="s">
        <v>488</v>
      </c>
      <c r="M193" s="53" t="s">
        <v>67</v>
      </c>
      <c r="N193" s="66" t="s">
        <v>94</v>
      </c>
      <c r="O193" s="53" t="s">
        <v>243</v>
      </c>
      <c r="P193" s="49" t="s">
        <v>195</v>
      </c>
      <c r="Q193" s="49" t="s">
        <v>94</v>
      </c>
      <c r="R193" s="49" t="s">
        <v>323</v>
      </c>
      <c r="S193" s="49" t="s">
        <v>136</v>
      </c>
      <c r="T193" s="49" t="s">
        <v>97</v>
      </c>
      <c r="U193" s="49" t="s">
        <v>94</v>
      </c>
      <c r="V193" s="49" t="str">
        <f t="shared" si="90"/>
        <v>Phường Chi Lăng, Thành phố Lạng Sơn, Tỉnh Lạng Sơn</v>
      </c>
      <c r="W193" s="55" t="s">
        <v>236</v>
      </c>
      <c r="X193" s="41"/>
      <c r="Y193" s="41"/>
      <c r="Z193" s="41"/>
      <c r="AA193" s="68">
        <f>VLOOKUP(A193,'[1]DANH SÁCH'!$B$8:$AD$841,12,0)</f>
        <v>0</v>
      </c>
      <c r="AB193" s="49" t="str">
        <f>VLOOKUP(A193,'[1]DANH SÁCH'!$B$8:$H$841,6,0)</f>
        <v>TĐ017</v>
      </c>
      <c r="AC193" s="69" t="str">
        <f>VLOOKUP(A193,'[1]DANH SÁCH'!$B$8:$J$841,9,0)</f>
        <v>Phụ sản</v>
      </c>
      <c r="AD193" s="69" t="str">
        <f>VLOOKUP(A193,'[1]DANH SÁCH'!$B$8:$AC$841,10,0)</f>
        <v>KP016</v>
      </c>
      <c r="AE193" s="69" t="str">
        <f>VLOOKUP(A193,'[1]DANH SÁCH'!$B$8:$AD$841,13,0)</f>
        <v>Viên chức</v>
      </c>
      <c r="AF193" s="41" t="s">
        <v>527</v>
      </c>
      <c r="AG193" s="42" t="str">
        <f>VLOOKUP(A193,'[1]DANH SÁCH'!$B$8:$H$841,7,0)</f>
        <v>Hộ sinh (hạng III)</v>
      </c>
      <c r="AH193" s="45">
        <v>3.66</v>
      </c>
      <c r="AI193" s="42">
        <v>5</v>
      </c>
      <c r="AJ193" s="70">
        <v>0</v>
      </c>
      <c r="AK193" s="69">
        <v>45383</v>
      </c>
      <c r="AL193" s="71" t="s">
        <v>80</v>
      </c>
      <c r="AM193" s="53" t="str">
        <f>VLOOKUP(A193,'[1]DANH SÁCH'!$B$8:$F$841,5,0)</f>
        <v>Hộ sinh ĐH</v>
      </c>
      <c r="AN193" s="53"/>
      <c r="AO193" s="53" t="s">
        <v>175</v>
      </c>
      <c r="AP193" s="53">
        <v>2004</v>
      </c>
      <c r="AQ193" s="72" t="s">
        <v>113</v>
      </c>
      <c r="AR193" s="42">
        <f>VLOOKUP(A193,'[1]Chứng chỉ'!$B$8:$Q$1111,11,0)</f>
        <v>0</v>
      </c>
      <c r="AS193" s="42">
        <f>VLOOKUP(A193,'[1]Chứng chỉ'!$B$8:$Q$1111,12,0)</f>
        <v>0</v>
      </c>
      <c r="AT193" s="47">
        <f>VLOOKUP(A193,'[1]Chứng chỉ'!$B$8:$Q$1111,13,0)</f>
        <v>0</v>
      </c>
      <c r="AU193" s="42" t="str">
        <f>VLOOKUP(A193,'[1]Chứng chỉ'!$B$8:$Q$1111,14,0)</f>
        <v>Anh A2</v>
      </c>
      <c r="AV193" s="42">
        <f>VLOOKUP(A193,'[1]Chứng chỉ'!$B$8:$Q$1111,15,0)</f>
        <v>0</v>
      </c>
      <c r="AW193" s="42" t="str">
        <f>VLOOKUP(A193,'[1]Chứng chỉ'!$B$8:$Q$1111,16,0)</f>
        <v>Cơ bản</v>
      </c>
      <c r="AX193" s="42"/>
      <c r="AY193" s="57" t="s">
        <v>127</v>
      </c>
      <c r="AZ193" s="65"/>
      <c r="BA193" s="74" t="e">
        <f t="shared" si="91"/>
        <v>#REF!</v>
      </c>
      <c r="BB193" s="74" t="e">
        <f t="shared" si="92"/>
        <v>#REF!</v>
      </c>
      <c r="BC193" s="79" t="s">
        <v>114</v>
      </c>
      <c r="BD193" s="64"/>
    </row>
    <row r="194" spans="1:56" ht="51" x14ac:dyDescent="0.3">
      <c r="A194" s="41" t="s">
        <v>1527</v>
      </c>
      <c r="B194" s="42">
        <f t="shared" si="0"/>
        <v>188</v>
      </c>
      <c r="C194" s="68" t="s">
        <v>1528</v>
      </c>
      <c r="D194" s="41" t="s">
        <v>1527</v>
      </c>
      <c r="E194" s="61">
        <v>2010000132</v>
      </c>
      <c r="F194" s="64"/>
      <c r="G194" s="49" t="s">
        <v>1529</v>
      </c>
      <c r="H194" s="76"/>
      <c r="I194" s="76">
        <v>31289</v>
      </c>
      <c r="J194" s="66">
        <f t="shared" ca="1" si="86"/>
        <v>40</v>
      </c>
      <c r="K194" s="75" t="s">
        <v>1530</v>
      </c>
      <c r="L194" s="83" t="s">
        <v>1531</v>
      </c>
      <c r="M194" s="53" t="s">
        <v>67</v>
      </c>
      <c r="N194" s="66" t="s">
        <v>94</v>
      </c>
      <c r="O194" s="53" t="s">
        <v>1532</v>
      </c>
      <c r="P194" s="49" t="s">
        <v>231</v>
      </c>
      <c r="Q194" s="49" t="s">
        <v>94</v>
      </c>
      <c r="R194" s="49" t="s">
        <v>1533</v>
      </c>
      <c r="S194" s="49" t="s">
        <v>1534</v>
      </c>
      <c r="T194" s="49" t="s">
        <v>231</v>
      </c>
      <c r="U194" s="49" t="s">
        <v>94</v>
      </c>
      <c r="V194" s="49" t="str">
        <f t="shared" si="90"/>
        <v>Xã Kiên Mộc, Huyện Đình Lập, Tỉnh Lạng Sơn</v>
      </c>
      <c r="W194" s="55" t="s">
        <v>236</v>
      </c>
      <c r="X194" s="41"/>
      <c r="Y194" s="41"/>
      <c r="Z194" s="41"/>
      <c r="AA194" s="68">
        <f>VLOOKUP(A194,'[1]DANH SÁCH'!$B$8:$AD$841,12,0)</f>
        <v>0</v>
      </c>
      <c r="AB194" s="49" t="str">
        <f>VLOOKUP(A194,'[1]DANH SÁCH'!$B$8:$H$841,6,0)</f>
        <v>TĐ018</v>
      </c>
      <c r="AC194" s="69" t="str">
        <f>VLOOKUP(A194,'[1]DANH SÁCH'!$B$8:$J$841,9,0)</f>
        <v>Phụ sản</v>
      </c>
      <c r="AD194" s="69" t="str">
        <f>VLOOKUP(A194,'[1]DANH SÁCH'!$B$8:$AC$841,10,0)</f>
        <v>KP016</v>
      </c>
      <c r="AE194" s="69" t="str">
        <f>VLOOKUP(A194,'[1]DANH SÁCH'!$B$8:$AD$841,13,0)</f>
        <v>Viên chức</v>
      </c>
      <c r="AF194" s="41" t="s">
        <v>527</v>
      </c>
      <c r="AG194" s="42" t="str">
        <f>VLOOKUP(A194,'[1]DANH SÁCH'!$B$8:$H$841,7,0)</f>
        <v>Hộ sinh (hạng IV)</v>
      </c>
      <c r="AH194" s="45">
        <v>3.34</v>
      </c>
      <c r="AI194" s="42">
        <v>5</v>
      </c>
      <c r="AJ194" s="70">
        <v>0</v>
      </c>
      <c r="AK194" s="69">
        <v>44927</v>
      </c>
      <c r="AL194" s="71" t="s">
        <v>158</v>
      </c>
      <c r="AM194" s="53" t="str">
        <f>VLOOKUP(A194,'[1]DANH SÁCH'!$B$8:$F$841,5,0)</f>
        <v>Hộ sinh CĐ</v>
      </c>
      <c r="AN194" s="53"/>
      <c r="AO194" s="53" t="s">
        <v>1093</v>
      </c>
      <c r="AP194" s="53">
        <v>2008</v>
      </c>
      <c r="AQ194" s="72" t="s">
        <v>113</v>
      </c>
      <c r="AR194" s="42">
        <f>VLOOKUP(A194,'[1]Chứng chỉ'!$B$8:$Q$1111,11,0)</f>
        <v>0</v>
      </c>
      <c r="AS194" s="42">
        <f>VLOOKUP(A194,'[1]Chứng chỉ'!$B$8:$Q$1111,12,0)</f>
        <v>0</v>
      </c>
      <c r="AT194" s="47">
        <f>VLOOKUP(A194,'[1]Chứng chỉ'!$B$8:$Q$1111,13,0)</f>
        <v>0</v>
      </c>
      <c r="AU194" s="42">
        <f>VLOOKUP(A194,'[1]Chứng chỉ'!$B$8:$Q$1111,14,0)</f>
        <v>0</v>
      </c>
      <c r="AV194" s="42">
        <f>VLOOKUP(A194,'[1]Chứng chỉ'!$B$8:$Q$1111,15,0)</f>
        <v>0</v>
      </c>
      <c r="AW194" s="42">
        <f>VLOOKUP(A194,'[1]Chứng chỉ'!$B$8:$Q$1111,16,0)</f>
        <v>0</v>
      </c>
      <c r="AX194" s="42"/>
      <c r="AY194" s="57" t="s">
        <v>85</v>
      </c>
      <c r="AZ194" s="65"/>
      <c r="BA194" s="74" t="e">
        <f t="shared" si="91"/>
        <v>#REF!</v>
      </c>
      <c r="BB194" s="74" t="e">
        <f t="shared" si="92"/>
        <v>#REF!</v>
      </c>
      <c r="BC194" s="79" t="s">
        <v>114</v>
      </c>
      <c r="BD194" s="64"/>
    </row>
    <row r="195" spans="1:56" ht="40.799999999999997" x14ac:dyDescent="0.3">
      <c r="A195" s="41" t="s">
        <v>1535</v>
      </c>
      <c r="B195" s="42">
        <f t="shared" si="0"/>
        <v>189</v>
      </c>
      <c r="C195" s="68" t="s">
        <v>1536</v>
      </c>
      <c r="D195" s="41" t="s">
        <v>1535</v>
      </c>
      <c r="E195" s="61">
        <v>2010000163</v>
      </c>
      <c r="F195" s="64"/>
      <c r="G195" s="49" t="s">
        <v>1537</v>
      </c>
      <c r="H195" s="76"/>
      <c r="I195" s="76">
        <v>31310</v>
      </c>
      <c r="J195" s="66">
        <f t="shared" ca="1" si="86"/>
        <v>40</v>
      </c>
      <c r="K195" s="75" t="s">
        <v>1538</v>
      </c>
      <c r="L195" s="83" t="s">
        <v>1539</v>
      </c>
      <c r="M195" s="53" t="s">
        <v>67</v>
      </c>
      <c r="N195" s="66" t="s">
        <v>94</v>
      </c>
      <c r="O195" s="53" t="s">
        <v>1022</v>
      </c>
      <c r="P195" s="49" t="s">
        <v>93</v>
      </c>
      <c r="Q195" s="49" t="s">
        <v>94</v>
      </c>
      <c r="R195" s="49"/>
      <c r="S195" s="49" t="s">
        <v>1022</v>
      </c>
      <c r="T195" s="49" t="s">
        <v>93</v>
      </c>
      <c r="U195" s="49" t="s">
        <v>94</v>
      </c>
      <c r="V195" s="49" t="str">
        <f t="shared" si="90"/>
        <v>Xã Hưng Vũ, Huyện Bắc Sơn, Tỉnh Lạng Sơn</v>
      </c>
      <c r="W195" s="55" t="s">
        <v>236</v>
      </c>
      <c r="X195" s="41"/>
      <c r="Y195" s="41"/>
      <c r="Z195" s="41"/>
      <c r="AA195" s="68">
        <f>VLOOKUP(A195,'[1]DANH SÁCH'!$B$8:$AD$841,12,0)</f>
        <v>0</v>
      </c>
      <c r="AB195" s="49" t="str">
        <f>VLOOKUP(A195,'[1]DANH SÁCH'!$B$8:$H$841,6,0)</f>
        <v>TĐ018</v>
      </c>
      <c r="AC195" s="69" t="str">
        <f>VLOOKUP(A195,'[1]DANH SÁCH'!$B$8:$J$841,9,0)</f>
        <v>Phụ sản</v>
      </c>
      <c r="AD195" s="69" t="str">
        <f>VLOOKUP(A195,'[1]DANH SÁCH'!$B$8:$AC$841,10,0)</f>
        <v>KP016</v>
      </c>
      <c r="AE195" s="69" t="str">
        <f>VLOOKUP(A195,'[1]DANH SÁCH'!$B$8:$AD$841,13,0)</f>
        <v>Viên chức</v>
      </c>
      <c r="AF195" s="41" t="s">
        <v>527</v>
      </c>
      <c r="AG195" s="42" t="str">
        <f>VLOOKUP(A195,'[1]DANH SÁCH'!$B$8:$H$841,7,0)</f>
        <v>Hộ sinh (hạng IV)</v>
      </c>
      <c r="AH195" s="45">
        <v>3.34</v>
      </c>
      <c r="AI195" s="42">
        <v>5</v>
      </c>
      <c r="AJ195" s="70">
        <v>0</v>
      </c>
      <c r="AK195" s="69">
        <v>44927</v>
      </c>
      <c r="AL195" s="71" t="s">
        <v>158</v>
      </c>
      <c r="AM195" s="53" t="str">
        <f>VLOOKUP(A195,'[1]DANH SÁCH'!$B$8:$F$841,5,0)</f>
        <v>Hộ sinh CĐ</v>
      </c>
      <c r="AN195" s="53"/>
      <c r="AO195" s="53" t="s">
        <v>1093</v>
      </c>
      <c r="AP195" s="53">
        <v>2007</v>
      </c>
      <c r="AQ195" s="72" t="s">
        <v>113</v>
      </c>
      <c r="AR195" s="42">
        <f>VLOOKUP(A195,'[1]Chứng chỉ'!$B$8:$Q$1111,11,0)</f>
        <v>0</v>
      </c>
      <c r="AS195" s="42">
        <f>VLOOKUP(A195,'[1]Chứng chỉ'!$B$8:$Q$1111,12,0)</f>
        <v>0</v>
      </c>
      <c r="AT195" s="47">
        <f>VLOOKUP(A195,'[1]Chứng chỉ'!$B$8:$Q$1111,13,0)</f>
        <v>0</v>
      </c>
      <c r="AU195" s="42">
        <f>VLOOKUP(A195,'[1]Chứng chỉ'!$B$8:$Q$1111,14,0)</f>
        <v>0</v>
      </c>
      <c r="AV195" s="42">
        <f>VLOOKUP(A195,'[1]Chứng chỉ'!$B$8:$Q$1111,15,0)</f>
        <v>0</v>
      </c>
      <c r="AW195" s="42">
        <f>VLOOKUP(A195,'[1]Chứng chỉ'!$B$8:$Q$1111,16,0)</f>
        <v>0</v>
      </c>
      <c r="AX195" s="42"/>
      <c r="AY195" s="57" t="s">
        <v>85</v>
      </c>
      <c r="AZ195" s="65"/>
      <c r="BA195" s="74" t="e">
        <f t="shared" si="91"/>
        <v>#REF!</v>
      </c>
      <c r="BB195" s="74" t="e">
        <f t="shared" si="92"/>
        <v>#REF!</v>
      </c>
      <c r="BC195" s="79" t="s">
        <v>114</v>
      </c>
      <c r="BD195" s="64"/>
    </row>
    <row r="196" spans="1:56" ht="51" x14ac:dyDescent="0.3">
      <c r="A196" s="41" t="s">
        <v>1540</v>
      </c>
      <c r="B196" s="42">
        <f t="shared" si="0"/>
        <v>190</v>
      </c>
      <c r="C196" s="68" t="s">
        <v>1541</v>
      </c>
      <c r="D196" s="41" t="s">
        <v>1540</v>
      </c>
      <c r="E196" s="61">
        <v>1507000526</v>
      </c>
      <c r="F196" s="64"/>
      <c r="G196" s="49" t="s">
        <v>1542</v>
      </c>
      <c r="H196" s="76"/>
      <c r="I196" s="76">
        <v>31295</v>
      </c>
      <c r="J196" s="66">
        <f t="shared" ca="1" si="86"/>
        <v>40</v>
      </c>
      <c r="K196" s="75" t="s">
        <v>1543</v>
      </c>
      <c r="L196" s="83" t="s">
        <v>1544</v>
      </c>
      <c r="M196" s="53" t="s">
        <v>67</v>
      </c>
      <c r="N196" s="66" t="s">
        <v>94</v>
      </c>
      <c r="O196" s="53" t="s">
        <v>174</v>
      </c>
      <c r="P196" s="49" t="s">
        <v>97</v>
      </c>
      <c r="Q196" s="49" t="s">
        <v>94</v>
      </c>
      <c r="R196" s="49" t="s">
        <v>1075</v>
      </c>
      <c r="S196" s="49" t="s">
        <v>174</v>
      </c>
      <c r="T196" s="49" t="s">
        <v>97</v>
      </c>
      <c r="U196" s="49" t="s">
        <v>94</v>
      </c>
      <c r="V196" s="49" t="str">
        <f t="shared" si="90"/>
        <v>Xã Mai Pha, Thành phố Lạng Sơn, Tỉnh Lạng Sơn</v>
      </c>
      <c r="W196" s="55" t="s">
        <v>224</v>
      </c>
      <c r="X196" s="41"/>
      <c r="Y196" s="41"/>
      <c r="Z196" s="41"/>
      <c r="AA196" s="68">
        <f>VLOOKUP(A196,'[1]DANH SÁCH'!$B$8:$AD$841,12,0)</f>
        <v>0</v>
      </c>
      <c r="AB196" s="49" t="str">
        <f>VLOOKUP(A196,'[1]DANH SÁCH'!$B$8:$H$841,6,0)</f>
        <v>TĐ018</v>
      </c>
      <c r="AC196" s="69" t="str">
        <f>VLOOKUP(A196,'[1]DANH SÁCH'!$B$8:$J$841,9,0)</f>
        <v>Phụ sản</v>
      </c>
      <c r="AD196" s="69" t="str">
        <f>VLOOKUP(A196,'[1]DANH SÁCH'!$B$8:$AC$841,10,0)</f>
        <v>KP016</v>
      </c>
      <c r="AE196" s="69" t="str">
        <f>VLOOKUP(A196,'[1]DANH SÁCH'!$B$8:$AD$841,13,0)</f>
        <v>Viên chức</v>
      </c>
      <c r="AF196" s="41" t="s">
        <v>527</v>
      </c>
      <c r="AG196" s="42" t="str">
        <f>VLOOKUP(A196,'[1]DANH SÁCH'!$B$8:$H$841,7,0)</f>
        <v>Hộ sinh (hạng IV)</v>
      </c>
      <c r="AH196" s="45">
        <v>3.34</v>
      </c>
      <c r="AI196" s="42">
        <v>5</v>
      </c>
      <c r="AJ196" s="70">
        <v>0</v>
      </c>
      <c r="AK196" s="69">
        <v>45444</v>
      </c>
      <c r="AL196" s="71" t="s">
        <v>158</v>
      </c>
      <c r="AM196" s="53" t="str">
        <f>VLOOKUP(A196,'[1]DANH SÁCH'!$B$8:$F$841,5,0)</f>
        <v>Hộ sinh CĐ</v>
      </c>
      <c r="AN196" s="53"/>
      <c r="AO196" s="53" t="s">
        <v>175</v>
      </c>
      <c r="AP196" s="53">
        <v>2005</v>
      </c>
      <c r="AQ196" s="72" t="s">
        <v>113</v>
      </c>
      <c r="AR196" s="42">
        <f>VLOOKUP(A196,'[1]Chứng chỉ'!$B$8:$Q$1111,11,0)</f>
        <v>0</v>
      </c>
      <c r="AS196" s="42">
        <f>VLOOKUP(A196,'[1]Chứng chỉ'!$B$8:$Q$1111,12,0)</f>
        <v>0</v>
      </c>
      <c r="AT196" s="47">
        <f>VLOOKUP(A196,'[1]Chứng chỉ'!$B$8:$Q$1111,13,0)</f>
        <v>0</v>
      </c>
      <c r="AU196" s="42" t="str">
        <f>VLOOKUP(A196,'[1]Chứng chỉ'!$B$8:$Q$1111,14,0)</f>
        <v>Anh B</v>
      </c>
      <c r="AV196" s="42">
        <f>VLOOKUP(A196,'[1]Chứng chỉ'!$B$8:$Q$1111,15,0)</f>
        <v>0</v>
      </c>
      <c r="AW196" s="42" t="str">
        <f>VLOOKUP(A196,'[1]Chứng chỉ'!$B$8:$Q$1111,16,0)</f>
        <v>Cơ bản</v>
      </c>
      <c r="AX196" s="42"/>
      <c r="AY196" s="57" t="s">
        <v>85</v>
      </c>
      <c r="AZ196" s="65"/>
      <c r="BA196" s="74" t="e">
        <f t="shared" si="91"/>
        <v>#REF!</v>
      </c>
      <c r="BB196" s="74" t="e">
        <f t="shared" si="92"/>
        <v>#REF!</v>
      </c>
      <c r="BC196" s="79" t="s">
        <v>114</v>
      </c>
      <c r="BD196" s="64"/>
    </row>
    <row r="197" spans="1:56" ht="61.2" x14ac:dyDescent="0.3">
      <c r="A197" s="41" t="s">
        <v>1545</v>
      </c>
      <c r="B197" s="42">
        <f t="shared" si="0"/>
        <v>191</v>
      </c>
      <c r="C197" s="68" t="s">
        <v>1546</v>
      </c>
      <c r="D197" s="41" t="s">
        <v>1545</v>
      </c>
      <c r="E197" s="61">
        <v>2009002561</v>
      </c>
      <c r="F197" s="64"/>
      <c r="G197" s="49" t="s">
        <v>1547</v>
      </c>
      <c r="H197" s="76"/>
      <c r="I197" s="76">
        <v>31077</v>
      </c>
      <c r="J197" s="66">
        <f t="shared" ca="1" si="86"/>
        <v>41</v>
      </c>
      <c r="K197" s="75" t="s">
        <v>1548</v>
      </c>
      <c r="L197" s="83" t="s">
        <v>1549</v>
      </c>
      <c r="M197" s="53" t="s">
        <v>67</v>
      </c>
      <c r="N197" s="66" t="s">
        <v>94</v>
      </c>
      <c r="O197" s="85"/>
      <c r="P197" s="76" t="s">
        <v>1550</v>
      </c>
      <c r="Q197" s="76" t="s">
        <v>1551</v>
      </c>
      <c r="R197" s="76"/>
      <c r="S197" s="76" t="s">
        <v>96</v>
      </c>
      <c r="T197" s="76" t="s">
        <v>97</v>
      </c>
      <c r="U197" s="76" t="s">
        <v>94</v>
      </c>
      <c r="V197" s="49" t="str">
        <f t="shared" si="90"/>
        <v>Phường Hoàng Văn Thụ, Thành phố Lạng Sơn, Tỉnh Lạng Sơn</v>
      </c>
      <c r="W197" s="55" t="s">
        <v>461</v>
      </c>
      <c r="X197" s="41"/>
      <c r="Y197" s="41"/>
      <c r="Z197" s="41"/>
      <c r="AA197" s="68">
        <f>VLOOKUP(A197,'[1]DANH SÁCH'!$B$8:$AD$841,12,0)</f>
        <v>0</v>
      </c>
      <c r="AB197" s="49" t="str">
        <f>VLOOKUP(A197,'[1]DANH SÁCH'!$B$8:$H$841,6,0)</f>
        <v>TĐ017</v>
      </c>
      <c r="AC197" s="69" t="str">
        <f>VLOOKUP(A197,'[1]DANH SÁCH'!$B$8:$J$841,9,0)</f>
        <v>Phụ sản</v>
      </c>
      <c r="AD197" s="69" t="str">
        <f>VLOOKUP(A197,'[1]DANH SÁCH'!$B$8:$AC$841,10,0)</f>
        <v>KP016</v>
      </c>
      <c r="AE197" s="69" t="str">
        <f>VLOOKUP(A197,'[1]DANH SÁCH'!$B$8:$AD$841,13,0)</f>
        <v>Viên chức</v>
      </c>
      <c r="AF197" s="41" t="s">
        <v>527</v>
      </c>
      <c r="AG197" s="42" t="str">
        <f>VLOOKUP(A197,'[1]DANH SÁCH'!$B$8:$H$841,7,0)</f>
        <v>Hộ sinh (hạng III)</v>
      </c>
      <c r="AH197" s="45">
        <v>3.66</v>
      </c>
      <c r="AI197" s="42">
        <v>5</v>
      </c>
      <c r="AJ197" s="70">
        <v>0</v>
      </c>
      <c r="AK197" s="69">
        <v>45839</v>
      </c>
      <c r="AL197" s="71" t="s">
        <v>80</v>
      </c>
      <c r="AM197" s="53" t="str">
        <f>VLOOKUP(A197,'[1]DANH SÁCH'!$B$8:$F$841,5,0)</f>
        <v>Hộ sinh ĐH</v>
      </c>
      <c r="AN197" s="53"/>
      <c r="AO197" s="53" t="s">
        <v>1552</v>
      </c>
      <c r="AP197" s="53">
        <v>2007</v>
      </c>
      <c r="AQ197" s="72" t="s">
        <v>113</v>
      </c>
      <c r="AR197" s="42">
        <f>VLOOKUP(A197,'[1]Chứng chỉ'!$B$8:$Q$1111,11,0)</f>
        <v>0</v>
      </c>
      <c r="AS197" s="42">
        <f>VLOOKUP(A197,'[1]Chứng chỉ'!$B$8:$Q$1111,12,0)</f>
        <v>0</v>
      </c>
      <c r="AT197" s="47">
        <f>VLOOKUP(A197,'[1]Chứng chỉ'!$B$8:$Q$1111,13,0)</f>
        <v>0</v>
      </c>
      <c r="AU197" s="42" t="str">
        <f>VLOOKUP(A197,'[1]Chứng chỉ'!$B$8:$Q$1111,14,0)</f>
        <v>x</v>
      </c>
      <c r="AV197" s="42">
        <f>VLOOKUP(A197,'[1]Chứng chỉ'!$B$8:$Q$1111,15,0)</f>
        <v>0</v>
      </c>
      <c r="AW197" s="42" t="str">
        <f>VLOOKUP(A197,'[1]Chứng chỉ'!$B$8:$Q$1111,16,0)</f>
        <v>x</v>
      </c>
      <c r="AX197" s="42"/>
      <c r="AY197" s="57" t="s">
        <v>87</v>
      </c>
      <c r="AZ197" s="65"/>
      <c r="BA197" s="74" t="e">
        <f t="shared" si="91"/>
        <v>#REF!</v>
      </c>
      <c r="BB197" s="74" t="e">
        <f t="shared" si="92"/>
        <v>#REF!</v>
      </c>
      <c r="BC197" s="79" t="s">
        <v>114</v>
      </c>
      <c r="BD197" s="64"/>
    </row>
    <row r="198" spans="1:56" ht="51" x14ac:dyDescent="0.3">
      <c r="A198" s="41" t="s">
        <v>1553</v>
      </c>
      <c r="B198" s="42">
        <f t="shared" si="0"/>
        <v>192</v>
      </c>
      <c r="C198" s="68" t="s">
        <v>1554</v>
      </c>
      <c r="D198" s="41" t="s">
        <v>1553</v>
      </c>
      <c r="E198" s="61">
        <v>2011000156</v>
      </c>
      <c r="F198" s="64"/>
      <c r="G198" s="49" t="s">
        <v>1555</v>
      </c>
      <c r="H198" s="76"/>
      <c r="I198" s="76">
        <v>31452</v>
      </c>
      <c r="J198" s="66">
        <f t="shared" ca="1" si="86"/>
        <v>40</v>
      </c>
      <c r="K198" s="75" t="s">
        <v>1556</v>
      </c>
      <c r="L198" s="83" t="s">
        <v>1557</v>
      </c>
      <c r="M198" s="53" t="s">
        <v>67</v>
      </c>
      <c r="N198" s="66" t="s">
        <v>94</v>
      </c>
      <c r="O198" s="85" t="s">
        <v>1558</v>
      </c>
      <c r="P198" s="49" t="s">
        <v>1559</v>
      </c>
      <c r="Q198" s="76" t="s">
        <v>1551</v>
      </c>
      <c r="R198" s="76"/>
      <c r="S198" s="76" t="s">
        <v>1560</v>
      </c>
      <c r="T198" s="49" t="s">
        <v>282</v>
      </c>
      <c r="U198" s="49" t="s">
        <v>94</v>
      </c>
      <c r="V198" s="49" t="str">
        <f t="shared" si="90"/>
        <v>Xã Vân Nham, Huyện Hữu Lũng, Tỉnh Lạng Sơn</v>
      </c>
      <c r="W198" s="55" t="s">
        <v>1561</v>
      </c>
      <c r="X198" s="41"/>
      <c r="Y198" s="41"/>
      <c r="Z198" s="41"/>
      <c r="AA198" s="68">
        <f>VLOOKUP(A198,'[1]DANH SÁCH'!$B$8:$AD$841,12,0)</f>
        <v>0</v>
      </c>
      <c r="AB198" s="49" t="str">
        <f>VLOOKUP(A198,'[1]DANH SÁCH'!$B$8:$H$841,6,0)</f>
        <v>TĐ017</v>
      </c>
      <c r="AC198" s="69" t="str">
        <f>VLOOKUP(A198,'[1]DANH SÁCH'!$B$8:$J$841,9,0)</f>
        <v>Phụ sản</v>
      </c>
      <c r="AD198" s="69" t="str">
        <f>VLOOKUP(A198,'[1]DANH SÁCH'!$B$8:$AC$841,10,0)</f>
        <v>KP016</v>
      </c>
      <c r="AE198" s="69" t="str">
        <f>VLOOKUP(A198,'[1]DANH SÁCH'!$B$8:$AD$841,13,0)</f>
        <v>Viên chức</v>
      </c>
      <c r="AF198" s="41" t="s">
        <v>527</v>
      </c>
      <c r="AG198" s="42" t="str">
        <f>VLOOKUP(A198,'[1]DANH SÁCH'!$B$8:$H$841,7,0)</f>
        <v>Hộ sinh (hạng III)</v>
      </c>
      <c r="AH198" s="45">
        <v>3.66</v>
      </c>
      <c r="AI198" s="42">
        <v>5</v>
      </c>
      <c r="AJ198" s="70">
        <v>0</v>
      </c>
      <c r="AK198" s="69">
        <v>45474</v>
      </c>
      <c r="AL198" s="71" t="s">
        <v>80</v>
      </c>
      <c r="AM198" s="53" t="str">
        <f>VLOOKUP(A198,'[1]DANH SÁCH'!$B$8:$F$841,5,0)</f>
        <v>Hộ sinh ĐH</v>
      </c>
      <c r="AN198" s="53"/>
      <c r="AO198" s="53" t="s">
        <v>1093</v>
      </c>
      <c r="AP198" s="53">
        <v>2008</v>
      </c>
      <c r="AQ198" s="72" t="s">
        <v>113</v>
      </c>
      <c r="AR198" s="42">
        <f>VLOOKUP(A198,'[1]Chứng chỉ'!$B$8:$Q$1111,11,0)</f>
        <v>0</v>
      </c>
      <c r="AS198" s="42">
        <f>VLOOKUP(A198,'[1]Chứng chỉ'!$B$8:$Q$1111,12,0)</f>
        <v>0</v>
      </c>
      <c r="AT198" s="47">
        <f>VLOOKUP(A198,'[1]Chứng chỉ'!$B$8:$Q$1111,13,0)</f>
        <v>0</v>
      </c>
      <c r="AU198" s="42" t="str">
        <f>VLOOKUP(A198,'[1]Chứng chỉ'!$B$8:$Q$1111,14,0)</f>
        <v>x</v>
      </c>
      <c r="AV198" s="42">
        <f>VLOOKUP(A198,'[1]Chứng chỉ'!$B$8:$Q$1111,15,0)</f>
        <v>0</v>
      </c>
      <c r="AW198" s="42" t="str">
        <f>VLOOKUP(A198,'[1]Chứng chỉ'!$B$8:$Q$1111,16,0)</f>
        <v>x</v>
      </c>
      <c r="AX198" s="42"/>
      <c r="AY198" s="57" t="s">
        <v>127</v>
      </c>
      <c r="AZ198" s="65"/>
      <c r="BA198" s="74" t="e">
        <f t="shared" si="91"/>
        <v>#REF!</v>
      </c>
      <c r="BB198" s="74" t="e">
        <f t="shared" si="92"/>
        <v>#REF!</v>
      </c>
      <c r="BC198" s="79" t="s">
        <v>114</v>
      </c>
      <c r="BD198" s="64"/>
    </row>
    <row r="199" spans="1:56" ht="51" x14ac:dyDescent="0.3">
      <c r="A199" s="41" t="s">
        <v>1562</v>
      </c>
      <c r="B199" s="42">
        <f t="shared" si="0"/>
        <v>193</v>
      </c>
      <c r="C199" s="68" t="s">
        <v>1563</v>
      </c>
      <c r="D199" s="41" t="s">
        <v>1562</v>
      </c>
      <c r="E199" s="61">
        <v>2008000159</v>
      </c>
      <c r="F199" s="64"/>
      <c r="G199" s="49" t="s">
        <v>1564</v>
      </c>
      <c r="H199" s="76"/>
      <c r="I199" s="76">
        <v>30771</v>
      </c>
      <c r="J199" s="66">
        <f t="shared" ca="1" si="86"/>
        <v>42</v>
      </c>
      <c r="K199" s="75" t="s">
        <v>1565</v>
      </c>
      <c r="L199" s="83" t="s">
        <v>1566</v>
      </c>
      <c r="M199" s="53" t="s">
        <v>67</v>
      </c>
      <c r="N199" s="66" t="s">
        <v>94</v>
      </c>
      <c r="O199" s="53" t="s">
        <v>214</v>
      </c>
      <c r="P199" s="49" t="s">
        <v>97</v>
      </c>
      <c r="Q199" s="49" t="s">
        <v>94</v>
      </c>
      <c r="R199" s="49"/>
      <c r="S199" s="49" t="s">
        <v>214</v>
      </c>
      <c r="T199" s="49" t="s">
        <v>97</v>
      </c>
      <c r="U199" s="49" t="s">
        <v>94</v>
      </c>
      <c r="V199" s="49" t="str">
        <f t="shared" si="90"/>
        <v>Xã Hoàng Đồng, Thành phố Lạng Sơn, Tỉnh Lạng Sơn</v>
      </c>
      <c r="W199" s="55" t="s">
        <v>315</v>
      </c>
      <c r="X199" s="41"/>
      <c r="Y199" s="41"/>
      <c r="Z199" s="41"/>
      <c r="AA199" s="68">
        <f>VLOOKUP(A199,'[1]DANH SÁCH'!$B$8:$AD$841,12,0)</f>
        <v>0</v>
      </c>
      <c r="AB199" s="49" t="str">
        <f>VLOOKUP(A199,'[1]DANH SÁCH'!$B$8:$H$841,6,0)</f>
        <v>TĐ018</v>
      </c>
      <c r="AC199" s="69" t="str">
        <f>VLOOKUP(A199,'[1]DANH SÁCH'!$B$8:$J$841,9,0)</f>
        <v>Phụ sản</v>
      </c>
      <c r="AD199" s="69" t="str">
        <f>VLOOKUP(A199,'[1]DANH SÁCH'!$B$8:$AC$841,10,0)</f>
        <v>KP016</v>
      </c>
      <c r="AE199" s="69" t="str">
        <f>VLOOKUP(A199,'[1]DANH SÁCH'!$B$8:$AD$841,13,0)</f>
        <v>Viên chức</v>
      </c>
      <c r="AF199" s="41" t="s">
        <v>527</v>
      </c>
      <c r="AG199" s="42" t="str">
        <f>VLOOKUP(A199,'[1]DANH SÁCH'!$B$8:$H$841,7,0)</f>
        <v>Hộ sinh (hạng IV)</v>
      </c>
      <c r="AH199" s="45">
        <v>3.03</v>
      </c>
      <c r="AI199" s="42">
        <v>4</v>
      </c>
      <c r="AJ199" s="70">
        <v>0</v>
      </c>
      <c r="AK199" s="69">
        <v>45265</v>
      </c>
      <c r="AL199" s="71" t="s">
        <v>158</v>
      </c>
      <c r="AM199" s="53" t="str">
        <f>VLOOKUP(A199,'[1]DANH SÁCH'!$B$8:$F$841,5,0)</f>
        <v>Hộ sinh CĐ</v>
      </c>
      <c r="AN199" s="53"/>
      <c r="AO199" s="53" t="s">
        <v>175</v>
      </c>
      <c r="AP199" s="53">
        <v>2005</v>
      </c>
      <c r="AQ199" s="72" t="s">
        <v>113</v>
      </c>
      <c r="AR199" s="42">
        <f>VLOOKUP(A199,'[1]Chứng chỉ'!$B$8:$Q$1111,11,0)</f>
        <v>0</v>
      </c>
      <c r="AS199" s="42">
        <f>VLOOKUP(A199,'[1]Chứng chỉ'!$B$8:$Q$1111,12,0)</f>
        <v>0</v>
      </c>
      <c r="AT199" s="47">
        <f>VLOOKUP(A199,'[1]Chứng chỉ'!$B$8:$Q$1111,13,0)</f>
        <v>0</v>
      </c>
      <c r="AU199" s="42">
        <f>VLOOKUP(A199,'[1]Chứng chỉ'!$B$8:$Q$1111,14,0)</f>
        <v>0</v>
      </c>
      <c r="AV199" s="42">
        <f>VLOOKUP(A199,'[1]Chứng chỉ'!$B$8:$Q$1111,15,0)</f>
        <v>0</v>
      </c>
      <c r="AW199" s="42" t="str">
        <f>VLOOKUP(A199,'[1]Chứng chỉ'!$B$8:$Q$1111,16,0)</f>
        <v>Cơ bản</v>
      </c>
      <c r="AX199" s="42"/>
      <c r="AY199" s="57" t="s">
        <v>87</v>
      </c>
      <c r="AZ199" s="65">
        <v>42925</v>
      </c>
      <c r="BA199" s="74" t="e">
        <f t="shared" si="91"/>
        <v>#REF!</v>
      </c>
      <c r="BB199" s="74" t="e">
        <f t="shared" si="92"/>
        <v>#REF!</v>
      </c>
      <c r="BC199" s="79" t="s">
        <v>114</v>
      </c>
      <c r="BD199" s="64"/>
    </row>
    <row r="200" spans="1:56" ht="51" x14ac:dyDescent="0.3">
      <c r="A200" s="41" t="s">
        <v>1567</v>
      </c>
      <c r="B200" s="42">
        <f t="shared" si="0"/>
        <v>194</v>
      </c>
      <c r="C200" s="68" t="s">
        <v>1568</v>
      </c>
      <c r="D200" s="41" t="s">
        <v>1567</v>
      </c>
      <c r="E200" s="61">
        <v>2012000294</v>
      </c>
      <c r="F200" s="64"/>
      <c r="G200" s="49" t="s">
        <v>1569</v>
      </c>
      <c r="H200" s="76"/>
      <c r="I200" s="76">
        <v>32282</v>
      </c>
      <c r="J200" s="66">
        <f t="shared" ca="1" si="86"/>
        <v>38</v>
      </c>
      <c r="K200" s="75" t="s">
        <v>1570</v>
      </c>
      <c r="L200" s="83" t="s">
        <v>1571</v>
      </c>
      <c r="M200" s="53" t="s">
        <v>67</v>
      </c>
      <c r="N200" s="66" t="s">
        <v>94</v>
      </c>
      <c r="O200" s="53" t="s">
        <v>136</v>
      </c>
      <c r="P200" s="49" t="s">
        <v>97</v>
      </c>
      <c r="Q200" s="49" t="s">
        <v>94</v>
      </c>
      <c r="R200" s="49"/>
      <c r="S200" s="49" t="s">
        <v>136</v>
      </c>
      <c r="T200" s="49" t="s">
        <v>97</v>
      </c>
      <c r="U200" s="49" t="s">
        <v>94</v>
      </c>
      <c r="V200" s="49" t="str">
        <f t="shared" si="90"/>
        <v>Phường Chi Lăng, Thành phố Lạng Sơn, Tỉnh Lạng Sơn</v>
      </c>
      <c r="W200" s="55" t="s">
        <v>315</v>
      </c>
      <c r="X200" s="41"/>
      <c r="Y200" s="41"/>
      <c r="Z200" s="41"/>
      <c r="AA200" s="68">
        <f>VLOOKUP(A200,'[1]DANH SÁCH'!$B$8:$AD$841,12,0)</f>
        <v>0</v>
      </c>
      <c r="AB200" s="49" t="str">
        <f>VLOOKUP(A200,'[1]DANH SÁCH'!$B$8:$H$841,6,0)</f>
        <v>TĐ018</v>
      </c>
      <c r="AC200" s="69" t="str">
        <f>VLOOKUP(A200,'[1]DANH SÁCH'!$B$8:$J$841,9,0)</f>
        <v>Phụ sản</v>
      </c>
      <c r="AD200" s="69" t="str">
        <f>VLOOKUP(A200,'[1]DANH SÁCH'!$B$8:$AC$841,10,0)</f>
        <v>KP016</v>
      </c>
      <c r="AE200" s="69" t="str">
        <f>VLOOKUP(A200,'[1]DANH SÁCH'!$B$8:$AD$841,13,0)</f>
        <v>Viên chức</v>
      </c>
      <c r="AF200" s="41" t="s">
        <v>527</v>
      </c>
      <c r="AG200" s="42" t="str">
        <f>VLOOKUP(A200,'[1]DANH SÁCH'!$B$8:$H$841,7,0)</f>
        <v>Hộ sinh (hạng IV)</v>
      </c>
      <c r="AH200" s="45">
        <v>3.03</v>
      </c>
      <c r="AI200" s="42">
        <v>4</v>
      </c>
      <c r="AJ200" s="70">
        <v>0</v>
      </c>
      <c r="AK200" s="69">
        <v>45448</v>
      </c>
      <c r="AL200" s="71" t="s">
        <v>101</v>
      </c>
      <c r="AM200" s="53" t="str">
        <f>VLOOKUP(A200,'[1]DANH SÁCH'!$B$8:$F$841,5,0)</f>
        <v>Hộ sinh CĐ</v>
      </c>
      <c r="AN200" s="53"/>
      <c r="AO200" s="53" t="s">
        <v>1093</v>
      </c>
      <c r="AP200" s="53">
        <v>2009</v>
      </c>
      <c r="AQ200" s="72" t="s">
        <v>113</v>
      </c>
      <c r="AR200" s="42">
        <f>VLOOKUP(A200,'[1]Chứng chỉ'!$B$8:$Q$1111,11,0)</f>
        <v>0</v>
      </c>
      <c r="AS200" s="42">
        <f>VLOOKUP(A200,'[1]Chứng chỉ'!$B$8:$Q$1111,12,0)</f>
        <v>0</v>
      </c>
      <c r="AT200" s="47">
        <f>VLOOKUP(A200,'[1]Chứng chỉ'!$B$8:$Q$1111,13,0)</f>
        <v>0</v>
      </c>
      <c r="AU200" s="42" t="str">
        <f>VLOOKUP(A200,'[1]Chứng chỉ'!$B$8:$Q$1111,14,0)</f>
        <v>x</v>
      </c>
      <c r="AV200" s="42">
        <f>VLOOKUP(A200,'[1]Chứng chỉ'!$B$8:$Q$1111,15,0)</f>
        <v>0</v>
      </c>
      <c r="AW200" s="42">
        <f>VLOOKUP(A200,'[1]Chứng chỉ'!$B$8:$Q$1111,16,0)</f>
        <v>0</v>
      </c>
      <c r="AX200" s="42"/>
      <c r="AY200" s="57" t="s">
        <v>85</v>
      </c>
      <c r="AZ200" s="65"/>
      <c r="BA200" s="74" t="e">
        <f t="shared" si="91"/>
        <v>#REF!</v>
      </c>
      <c r="BB200" s="74" t="e">
        <f t="shared" si="92"/>
        <v>#REF!</v>
      </c>
      <c r="BC200" s="79" t="s">
        <v>114</v>
      </c>
      <c r="BD200" s="64"/>
    </row>
    <row r="201" spans="1:56" ht="61.2" x14ac:dyDescent="0.3">
      <c r="A201" s="41" t="s">
        <v>1572</v>
      </c>
      <c r="B201" s="42">
        <f t="shared" si="0"/>
        <v>195</v>
      </c>
      <c r="C201" s="68" t="s">
        <v>1573</v>
      </c>
      <c r="D201" s="41" t="s">
        <v>1572</v>
      </c>
      <c r="E201" s="61">
        <v>2013002128</v>
      </c>
      <c r="F201" s="64"/>
      <c r="G201" s="49" t="s">
        <v>1574</v>
      </c>
      <c r="H201" s="76"/>
      <c r="I201" s="76">
        <v>33456</v>
      </c>
      <c r="J201" s="66">
        <f t="shared" ca="1" si="86"/>
        <v>35</v>
      </c>
      <c r="K201" s="75" t="s">
        <v>1575</v>
      </c>
      <c r="L201" s="83" t="s">
        <v>1576</v>
      </c>
      <c r="M201" s="53" t="s">
        <v>1577</v>
      </c>
      <c r="N201" s="66" t="s">
        <v>1578</v>
      </c>
      <c r="O201" s="53" t="s">
        <v>166</v>
      </c>
      <c r="P201" s="49" t="s">
        <v>97</v>
      </c>
      <c r="Q201" s="49" t="s">
        <v>94</v>
      </c>
      <c r="R201" s="76"/>
      <c r="S201" s="49" t="s">
        <v>166</v>
      </c>
      <c r="T201" s="49" t="s">
        <v>97</v>
      </c>
      <c r="U201" s="49" t="s">
        <v>94</v>
      </c>
      <c r="V201" s="49" t="str">
        <f t="shared" si="90"/>
        <v>Phường Tam Thanh, Thành phố Lạng Sơn, Tỉnh Lạng Sơn</v>
      </c>
      <c r="W201" s="55" t="s">
        <v>315</v>
      </c>
      <c r="X201" s="41"/>
      <c r="Y201" s="41"/>
      <c r="Z201" s="41"/>
      <c r="AA201" s="68">
        <f>VLOOKUP(A201,'[1]DANH SÁCH'!$B$8:$AD$841,12,0)</f>
        <v>0</v>
      </c>
      <c r="AB201" s="49" t="str">
        <f>VLOOKUP(A201,'[1]DANH SÁCH'!$B$8:$H$841,6,0)</f>
        <v>TĐ018</v>
      </c>
      <c r="AC201" s="69" t="str">
        <f>VLOOKUP(A201,'[1]DANH SÁCH'!$B$8:$J$841,9,0)</f>
        <v>Phụ sản</v>
      </c>
      <c r="AD201" s="69" t="str">
        <f>VLOOKUP(A201,'[1]DANH SÁCH'!$B$8:$AC$841,10,0)</f>
        <v>KP016</v>
      </c>
      <c r="AE201" s="69" t="str">
        <f>VLOOKUP(A201,'[1]DANH SÁCH'!$B$8:$AD$841,13,0)</f>
        <v>Viên chức</v>
      </c>
      <c r="AF201" s="41" t="s">
        <v>527</v>
      </c>
      <c r="AG201" s="42" t="str">
        <f>VLOOKUP(A201,'[1]DANH SÁCH'!$B$8:$H$841,7,0)</f>
        <v>Hộ sinh (hạng IV)</v>
      </c>
      <c r="AH201" s="45">
        <v>3.03</v>
      </c>
      <c r="AI201" s="42">
        <v>4</v>
      </c>
      <c r="AJ201" s="70">
        <v>0</v>
      </c>
      <c r="AK201" s="69">
        <v>45636</v>
      </c>
      <c r="AL201" s="71" t="s">
        <v>158</v>
      </c>
      <c r="AM201" s="53" t="str">
        <f>VLOOKUP(A201,'[1]DANH SÁCH'!$B$8:$F$841,5,0)</f>
        <v>Hộ sinh CĐ</v>
      </c>
      <c r="AN201" s="53"/>
      <c r="AO201" s="53" t="s">
        <v>1093</v>
      </c>
      <c r="AP201" s="53">
        <v>2011</v>
      </c>
      <c r="AQ201" s="72" t="s">
        <v>113</v>
      </c>
      <c r="AR201" s="42">
        <f>VLOOKUP(A201,'[1]Chứng chỉ'!$B$8:$Q$1111,11,0)</f>
        <v>0</v>
      </c>
      <c r="AS201" s="42">
        <f>VLOOKUP(A201,'[1]Chứng chỉ'!$B$8:$Q$1111,12,0)</f>
        <v>0</v>
      </c>
      <c r="AT201" s="47">
        <f>VLOOKUP(A201,'[1]Chứng chỉ'!$B$8:$Q$1111,13,0)</f>
        <v>0</v>
      </c>
      <c r="AU201" s="42">
        <f>VLOOKUP(A201,'[1]Chứng chỉ'!$B$8:$Q$1111,14,0)</f>
        <v>0</v>
      </c>
      <c r="AV201" s="42">
        <f>VLOOKUP(A201,'[1]Chứng chỉ'!$B$8:$Q$1111,15,0)</f>
        <v>0</v>
      </c>
      <c r="AW201" s="42" t="str">
        <f>VLOOKUP(A201,'[1]Chứng chỉ'!$B$8:$Q$1111,16,0)</f>
        <v>x</v>
      </c>
      <c r="AX201" s="42"/>
      <c r="AY201" s="57" t="s">
        <v>87</v>
      </c>
      <c r="AZ201" s="65"/>
      <c r="BA201" s="74" t="e">
        <f t="shared" si="91"/>
        <v>#REF!</v>
      </c>
      <c r="BB201" s="74" t="e">
        <f t="shared" si="92"/>
        <v>#REF!</v>
      </c>
      <c r="BC201" s="79" t="s">
        <v>114</v>
      </c>
      <c r="BD201" s="64"/>
    </row>
    <row r="202" spans="1:56" ht="40.799999999999997" x14ac:dyDescent="0.3">
      <c r="A202" s="41" t="s">
        <v>1579</v>
      </c>
      <c r="B202" s="42">
        <f t="shared" si="0"/>
        <v>196</v>
      </c>
      <c r="C202" s="68" t="s">
        <v>1580</v>
      </c>
      <c r="D202" s="41" t="s">
        <v>1579</v>
      </c>
      <c r="E202" s="61">
        <v>2712009513</v>
      </c>
      <c r="F202" s="64"/>
      <c r="G202" s="49" t="s">
        <v>1581</v>
      </c>
      <c r="H202" s="76"/>
      <c r="I202" s="76">
        <v>32780</v>
      </c>
      <c r="J202" s="66">
        <f t="shared" ca="1" si="86"/>
        <v>36</v>
      </c>
      <c r="K202" s="75" t="s">
        <v>1582</v>
      </c>
      <c r="L202" s="83" t="s">
        <v>1583</v>
      </c>
      <c r="M202" s="53" t="s">
        <v>1584</v>
      </c>
      <c r="N202" s="66" t="s">
        <v>1585</v>
      </c>
      <c r="O202" s="53" t="s">
        <v>551</v>
      </c>
      <c r="P202" s="76" t="s">
        <v>343</v>
      </c>
      <c r="Q202" s="49" t="s">
        <v>94</v>
      </c>
      <c r="R202" s="76"/>
      <c r="S202" s="49" t="s">
        <v>551</v>
      </c>
      <c r="T202" s="76" t="s">
        <v>343</v>
      </c>
      <c r="U202" s="49" t="s">
        <v>94</v>
      </c>
      <c r="V202" s="49" t="str">
        <f t="shared" si="90"/>
        <v>Xã Hòa Bình, Huyện Bình Gia, Tỉnh Lạng Sơn</v>
      </c>
      <c r="W202" s="55" t="s">
        <v>315</v>
      </c>
      <c r="X202" s="41"/>
      <c r="Y202" s="41"/>
      <c r="Z202" s="41"/>
      <c r="AA202" s="68">
        <f>VLOOKUP(A202,'[1]DANH SÁCH'!$B$8:$AD$841,12,0)</f>
        <v>0</v>
      </c>
      <c r="AB202" s="49" t="str">
        <f>VLOOKUP(A202,'[1]DANH SÁCH'!$B$8:$H$841,6,0)</f>
        <v>TĐ018</v>
      </c>
      <c r="AC202" s="69" t="str">
        <f>VLOOKUP(A202,'[1]DANH SÁCH'!$B$8:$J$841,9,0)</f>
        <v>Phụ sản</v>
      </c>
      <c r="AD202" s="69" t="str">
        <f>VLOOKUP(A202,'[1]DANH SÁCH'!$B$8:$AC$841,10,0)</f>
        <v>KP016</v>
      </c>
      <c r="AE202" s="69" t="str">
        <f>VLOOKUP(A202,'[1]DANH SÁCH'!$B$8:$AD$841,13,0)</f>
        <v>Viên chức</v>
      </c>
      <c r="AF202" s="41" t="s">
        <v>527</v>
      </c>
      <c r="AG202" s="42" t="str">
        <f>VLOOKUP(A202,'[1]DANH SÁCH'!$B$8:$H$841,7,0)</f>
        <v>Hộ sinh (hạng IV)</v>
      </c>
      <c r="AH202" s="45">
        <v>3.03</v>
      </c>
      <c r="AI202" s="42">
        <v>4</v>
      </c>
      <c r="AJ202" s="70">
        <v>0</v>
      </c>
      <c r="AK202" s="69">
        <v>45453</v>
      </c>
      <c r="AL202" s="71" t="s">
        <v>158</v>
      </c>
      <c r="AM202" s="53" t="str">
        <f>VLOOKUP(A202,'[1]DANH SÁCH'!$B$8:$F$841,5,0)</f>
        <v>Hộ sinh CĐ</v>
      </c>
      <c r="AN202" s="53"/>
      <c r="AO202" s="53" t="s">
        <v>1093</v>
      </c>
      <c r="AP202" s="53">
        <v>2011</v>
      </c>
      <c r="AQ202" s="72" t="s">
        <v>113</v>
      </c>
      <c r="AR202" s="42">
        <f>VLOOKUP(A202,'[1]Chứng chỉ'!$B$8:$Q$1111,11,0)</f>
        <v>0</v>
      </c>
      <c r="AS202" s="42">
        <f>VLOOKUP(A202,'[1]Chứng chỉ'!$B$8:$Q$1111,12,0)</f>
        <v>0</v>
      </c>
      <c r="AT202" s="47">
        <f>VLOOKUP(A202,'[1]Chứng chỉ'!$B$8:$Q$1111,13,0)</f>
        <v>0</v>
      </c>
      <c r="AU202" s="42">
        <f>VLOOKUP(A202,'[1]Chứng chỉ'!$B$8:$Q$1111,14,0)</f>
        <v>0</v>
      </c>
      <c r="AV202" s="42">
        <f>VLOOKUP(A202,'[1]Chứng chỉ'!$B$8:$Q$1111,15,0)</f>
        <v>0</v>
      </c>
      <c r="AW202" s="42">
        <f>VLOOKUP(A202,'[1]Chứng chỉ'!$B$8:$Q$1111,16,0)</f>
        <v>0</v>
      </c>
      <c r="AX202" s="42"/>
      <c r="AY202" s="57" t="s">
        <v>127</v>
      </c>
      <c r="AZ202" s="65"/>
      <c r="BA202" s="74" t="e">
        <f t="shared" si="91"/>
        <v>#REF!</v>
      </c>
      <c r="BB202" s="74" t="e">
        <f t="shared" si="92"/>
        <v>#REF!</v>
      </c>
      <c r="BC202" s="79" t="s">
        <v>114</v>
      </c>
      <c r="BD202" s="64"/>
    </row>
    <row r="203" spans="1:56" ht="51" x14ac:dyDescent="0.3">
      <c r="A203" s="41" t="s">
        <v>1586</v>
      </c>
      <c r="B203" s="42">
        <f t="shared" si="0"/>
        <v>197</v>
      </c>
      <c r="C203" s="68" t="s">
        <v>1587</v>
      </c>
      <c r="D203" s="41" t="s">
        <v>1586</v>
      </c>
      <c r="E203" s="61">
        <v>2013002139</v>
      </c>
      <c r="F203" s="64"/>
      <c r="G203" s="49" t="s">
        <v>1588</v>
      </c>
      <c r="H203" s="76"/>
      <c r="I203" s="76">
        <v>32841</v>
      </c>
      <c r="J203" s="66">
        <f t="shared" ca="1" si="86"/>
        <v>36</v>
      </c>
      <c r="K203" s="75" t="s">
        <v>1589</v>
      </c>
      <c r="L203" s="83" t="s">
        <v>1590</v>
      </c>
      <c r="M203" s="53" t="s">
        <v>67</v>
      </c>
      <c r="N203" s="66" t="s">
        <v>94</v>
      </c>
      <c r="O203" s="53" t="s">
        <v>136</v>
      </c>
      <c r="P203" s="49" t="s">
        <v>97</v>
      </c>
      <c r="Q203" s="49" t="s">
        <v>94</v>
      </c>
      <c r="R203" s="85"/>
      <c r="S203" s="49" t="s">
        <v>136</v>
      </c>
      <c r="T203" s="49" t="s">
        <v>97</v>
      </c>
      <c r="U203" s="49" t="s">
        <v>94</v>
      </c>
      <c r="V203" s="49" t="str">
        <f t="shared" si="90"/>
        <v>Phường Chi Lăng, Thành phố Lạng Sơn, Tỉnh Lạng Sơn</v>
      </c>
      <c r="W203" s="55" t="s">
        <v>315</v>
      </c>
      <c r="X203" s="41"/>
      <c r="Y203" s="41"/>
      <c r="Z203" s="41"/>
      <c r="AA203" s="68">
        <f>VLOOKUP(A203,'[1]DANH SÁCH'!$B$8:$AD$841,12,0)</f>
        <v>0</v>
      </c>
      <c r="AB203" s="49" t="str">
        <f>VLOOKUP(A203,'[1]DANH SÁCH'!$B$8:$H$841,6,0)</f>
        <v>TĐ018</v>
      </c>
      <c r="AC203" s="69" t="str">
        <f>VLOOKUP(A203,'[1]DANH SÁCH'!$B$8:$J$841,9,0)</f>
        <v>Phụ sản</v>
      </c>
      <c r="AD203" s="69" t="str">
        <f>VLOOKUP(A203,'[1]DANH SÁCH'!$B$8:$AC$841,10,0)</f>
        <v>KP016</v>
      </c>
      <c r="AE203" s="69" t="str">
        <f>VLOOKUP(A203,'[1]DANH SÁCH'!$B$8:$AD$841,13,0)</f>
        <v>Viên chức</v>
      </c>
      <c r="AF203" s="41" t="s">
        <v>527</v>
      </c>
      <c r="AG203" s="42" t="str">
        <f>VLOOKUP(A203,'[1]DANH SÁCH'!$B$8:$H$841,7,0)</f>
        <v>Hộ sinh (hạng IV)</v>
      </c>
      <c r="AH203" s="45" t="s">
        <v>1591</v>
      </c>
      <c r="AI203" s="42">
        <v>4</v>
      </c>
      <c r="AJ203" s="70">
        <v>0</v>
      </c>
      <c r="AK203" s="69">
        <v>45270</v>
      </c>
      <c r="AL203" s="71" t="s">
        <v>101</v>
      </c>
      <c r="AM203" s="53" t="str">
        <f>VLOOKUP(A203,'[1]DANH SÁCH'!$B$8:$F$841,5,0)</f>
        <v>Hộ sinh CĐ</v>
      </c>
      <c r="AN203" s="53"/>
      <c r="AO203" s="53" t="s">
        <v>1093</v>
      </c>
      <c r="AP203" s="53">
        <v>2011</v>
      </c>
      <c r="AQ203" s="99" t="s">
        <v>113</v>
      </c>
      <c r="AR203" s="42">
        <f>VLOOKUP(A203,'[1]Chứng chỉ'!$B$8:$Q$1111,11,0)</f>
        <v>0</v>
      </c>
      <c r="AS203" s="42">
        <f>VLOOKUP(A203,'[1]Chứng chỉ'!$B$8:$Q$1111,12,0)</f>
        <v>0</v>
      </c>
      <c r="AT203" s="47">
        <f>VLOOKUP(A203,'[1]Chứng chỉ'!$B$8:$Q$1111,13,0)</f>
        <v>0</v>
      </c>
      <c r="AU203" s="42" t="str">
        <f>VLOOKUP(A203,'[1]Chứng chỉ'!$B$8:$Q$1111,14,0)</f>
        <v>Trung A</v>
      </c>
      <c r="AV203" s="42">
        <f>VLOOKUP(A203,'[1]Chứng chỉ'!$B$8:$Q$1111,15,0)</f>
        <v>0</v>
      </c>
      <c r="AW203" s="42" t="str">
        <f>VLOOKUP(A203,'[1]Chứng chỉ'!$B$8:$Q$1111,16,0)</f>
        <v>A</v>
      </c>
      <c r="AX203" s="42"/>
      <c r="AY203" s="57" t="s">
        <v>87</v>
      </c>
      <c r="AZ203" s="65"/>
      <c r="BA203" s="74" t="e">
        <f t="shared" si="91"/>
        <v>#REF!</v>
      </c>
      <c r="BB203" s="74" t="e">
        <f t="shared" si="92"/>
        <v>#REF!</v>
      </c>
      <c r="BC203" s="79" t="s">
        <v>1592</v>
      </c>
      <c r="BD203" s="64"/>
    </row>
    <row r="204" spans="1:56" ht="40.799999999999997" x14ac:dyDescent="0.3">
      <c r="A204" s="41" t="s">
        <v>1593</v>
      </c>
      <c r="B204" s="42">
        <f t="shared" si="0"/>
        <v>198</v>
      </c>
      <c r="C204" s="68" t="s">
        <v>1594</v>
      </c>
      <c r="D204" s="41" t="s">
        <v>1593</v>
      </c>
      <c r="E204" s="61">
        <v>2010001247</v>
      </c>
      <c r="F204" s="64"/>
      <c r="G204" s="49" t="s">
        <v>1595</v>
      </c>
      <c r="H204" s="76"/>
      <c r="I204" s="76">
        <v>31695</v>
      </c>
      <c r="J204" s="66">
        <f t="shared" ca="1" si="86"/>
        <v>39</v>
      </c>
      <c r="K204" s="75" t="s">
        <v>1596</v>
      </c>
      <c r="L204" s="83" t="s">
        <v>1597</v>
      </c>
      <c r="M204" s="53" t="s">
        <v>67</v>
      </c>
      <c r="N204" s="66" t="s">
        <v>94</v>
      </c>
      <c r="O204" s="53" t="s">
        <v>749</v>
      </c>
      <c r="P204" s="49" t="s">
        <v>282</v>
      </c>
      <c r="Q204" s="49" t="s">
        <v>94</v>
      </c>
      <c r="R204" s="49"/>
      <c r="S204" s="49" t="s">
        <v>749</v>
      </c>
      <c r="T204" s="49" t="s">
        <v>282</v>
      </c>
      <c r="U204" s="49" t="s">
        <v>94</v>
      </c>
      <c r="V204" s="49" t="str">
        <f t="shared" si="90"/>
        <v>Xã Yên Bình, Huyện Hữu Lũng, Tỉnh Lạng Sơn</v>
      </c>
      <c r="W204" s="86" t="s">
        <v>1598</v>
      </c>
      <c r="X204" s="41"/>
      <c r="Y204" s="41"/>
      <c r="Z204" s="41"/>
      <c r="AA204" s="68">
        <f>VLOOKUP(A204,'[1]DANH SÁCH'!$B$8:$AD$841,12,0)</f>
        <v>0</v>
      </c>
      <c r="AB204" s="49" t="str">
        <f>VLOOKUP(A204,'[1]DANH SÁCH'!$B$8:$H$841,6,0)</f>
        <v>TĐ018</v>
      </c>
      <c r="AC204" s="69" t="str">
        <f>VLOOKUP(A204,'[1]DANH SÁCH'!$B$8:$J$841,9,0)</f>
        <v>Phụ sản</v>
      </c>
      <c r="AD204" s="69" t="str">
        <f>VLOOKUP(A204,'[1]DANH SÁCH'!$B$8:$AC$841,10,0)</f>
        <v>KP016</v>
      </c>
      <c r="AE204" s="69" t="str">
        <f>VLOOKUP(A204,'[1]DANH SÁCH'!$B$8:$AD$841,13,0)</f>
        <v>Viên chức</v>
      </c>
      <c r="AF204" s="41" t="s">
        <v>527</v>
      </c>
      <c r="AG204" s="42" t="str">
        <f>VLOOKUP(A204,'[1]DANH SÁCH'!$B$8:$H$841,7,0)</f>
        <v>Hộ sinh (hạng IV)</v>
      </c>
      <c r="AH204" s="45">
        <v>3.34</v>
      </c>
      <c r="AI204" s="42">
        <v>5</v>
      </c>
      <c r="AJ204" s="70">
        <v>0</v>
      </c>
      <c r="AK204" s="69">
        <v>45636</v>
      </c>
      <c r="AL204" s="71" t="s">
        <v>158</v>
      </c>
      <c r="AM204" s="53" t="str">
        <f>VLOOKUP(A204,'[1]DANH SÁCH'!$B$8:$F$841,5,0)</f>
        <v>Hộ sinh CĐ</v>
      </c>
      <c r="AN204" s="53"/>
      <c r="AO204" s="53" t="s">
        <v>1093</v>
      </c>
      <c r="AP204" s="53">
        <v>2008</v>
      </c>
      <c r="AQ204" s="72" t="s">
        <v>113</v>
      </c>
      <c r="AR204" s="42">
        <f>VLOOKUP(A204,'[1]Chứng chỉ'!$B$8:$Q$1111,11,0)</f>
        <v>0</v>
      </c>
      <c r="AS204" s="42">
        <f>VLOOKUP(A204,'[1]Chứng chỉ'!$B$8:$Q$1111,12,0)</f>
        <v>0</v>
      </c>
      <c r="AT204" s="47">
        <f>VLOOKUP(A204,'[1]Chứng chỉ'!$B$8:$Q$1111,13,0)</f>
        <v>0</v>
      </c>
      <c r="AU204" s="42">
        <f>VLOOKUP(A204,'[1]Chứng chỉ'!$B$8:$Q$1111,14,0)</f>
        <v>0</v>
      </c>
      <c r="AV204" s="42">
        <f>VLOOKUP(A204,'[1]Chứng chỉ'!$B$8:$Q$1111,15,0)</f>
        <v>0</v>
      </c>
      <c r="AW204" s="42">
        <f>VLOOKUP(A204,'[1]Chứng chỉ'!$B$8:$Q$1111,16,0)</f>
        <v>0</v>
      </c>
      <c r="AX204" s="42"/>
      <c r="AY204" s="57" t="s">
        <v>127</v>
      </c>
      <c r="AZ204" s="65"/>
      <c r="BA204" s="74" t="e">
        <f t="shared" si="91"/>
        <v>#REF!</v>
      </c>
      <c r="BB204" s="74" t="e">
        <f t="shared" si="92"/>
        <v>#REF!</v>
      </c>
      <c r="BC204" s="79" t="s">
        <v>114</v>
      </c>
      <c r="BD204" s="64"/>
    </row>
    <row r="205" spans="1:56" ht="40.799999999999997" x14ac:dyDescent="0.3">
      <c r="A205" s="41" t="s">
        <v>1599</v>
      </c>
      <c r="B205" s="42">
        <f t="shared" si="0"/>
        <v>199</v>
      </c>
      <c r="C205" s="68" t="s">
        <v>1600</v>
      </c>
      <c r="D205" s="41" t="s">
        <v>1599</v>
      </c>
      <c r="E205" s="61">
        <v>1505001701</v>
      </c>
      <c r="F205" s="64"/>
      <c r="G205" s="49" t="s">
        <v>1601</v>
      </c>
      <c r="H205" s="76"/>
      <c r="I205" s="100">
        <v>29448</v>
      </c>
      <c r="J205" s="66">
        <f t="shared" ca="1" si="86"/>
        <v>45</v>
      </c>
      <c r="K205" s="75" t="s">
        <v>1602</v>
      </c>
      <c r="L205" s="83" t="s">
        <v>411</v>
      </c>
      <c r="M205" s="53" t="s">
        <v>67</v>
      </c>
      <c r="N205" s="66" t="s">
        <v>94</v>
      </c>
      <c r="O205" s="85" t="s">
        <v>821</v>
      </c>
      <c r="P205" s="49" t="s">
        <v>195</v>
      </c>
      <c r="Q205" s="49" t="s">
        <v>94</v>
      </c>
      <c r="R205" s="85"/>
      <c r="S205" s="76" t="s">
        <v>821</v>
      </c>
      <c r="T205" s="49" t="s">
        <v>195</v>
      </c>
      <c r="U205" s="49" t="s">
        <v>94</v>
      </c>
      <c r="V205" s="49" t="str">
        <f t="shared" si="90"/>
        <v>Xã Đại Đồng, Huyện Tràng Định, Tỉnh Lạng Sơn</v>
      </c>
      <c r="W205" s="86" t="s">
        <v>266</v>
      </c>
      <c r="X205" s="41"/>
      <c r="Y205" s="41"/>
      <c r="Z205" s="41"/>
      <c r="AA205" s="68">
        <f>VLOOKUP(A205,'[1]DANH SÁCH'!$B$8:$AD$841,12,0)</f>
        <v>0</v>
      </c>
      <c r="AB205" s="49" t="str">
        <f>VLOOKUP(A205,'[1]DANH SÁCH'!$B$8:$H$841,6,0)</f>
        <v>TĐ017</v>
      </c>
      <c r="AC205" s="69" t="str">
        <f>VLOOKUP(A205,'[1]DANH SÁCH'!$B$8:$J$841,9,0)</f>
        <v>Phụ sản</v>
      </c>
      <c r="AD205" s="69" t="str">
        <f>VLOOKUP(A205,'[1]DANH SÁCH'!$B$8:$AC$841,10,0)</f>
        <v>KP016</v>
      </c>
      <c r="AE205" s="69" t="str">
        <f>VLOOKUP(A205,'[1]DANH SÁCH'!$B$8:$AD$841,13,0)</f>
        <v>Viên chức</v>
      </c>
      <c r="AF205" s="41" t="s">
        <v>157</v>
      </c>
      <c r="AG205" s="42" t="str">
        <f>VLOOKUP(A205,'[1]DANH SÁCH'!$B$8:$H$841,7,0)</f>
        <v>Hộ sinh (hạng III)</v>
      </c>
      <c r="AH205" s="45">
        <v>3.99</v>
      </c>
      <c r="AI205" s="42">
        <v>6</v>
      </c>
      <c r="AJ205" s="70">
        <v>0</v>
      </c>
      <c r="AK205" s="69">
        <v>45505</v>
      </c>
      <c r="AL205" s="71" t="s">
        <v>80</v>
      </c>
      <c r="AM205" s="53" t="str">
        <f>VLOOKUP(A205,'[1]DANH SÁCH'!$B$8:$F$841,5,0)</f>
        <v>Hộ sinh ĐH</v>
      </c>
      <c r="AN205" s="53"/>
      <c r="AO205" s="53" t="s">
        <v>1552</v>
      </c>
      <c r="AP205" s="53">
        <v>2004</v>
      </c>
      <c r="AQ205" s="72" t="s">
        <v>113</v>
      </c>
      <c r="AR205" s="42">
        <f>VLOOKUP(A205,'[1]Chứng chỉ'!$B$8:$Q$1111,11,0)</f>
        <v>0</v>
      </c>
      <c r="AS205" s="42">
        <f>VLOOKUP(A205,'[1]Chứng chỉ'!$B$8:$Q$1111,12,0)</f>
        <v>0</v>
      </c>
      <c r="AT205" s="47">
        <f>VLOOKUP(A205,'[1]Chứng chỉ'!$B$8:$Q$1111,13,0)</f>
        <v>0</v>
      </c>
      <c r="AU205" s="42" t="str">
        <f>VLOOKUP(A205,'[1]Chứng chỉ'!$B$8:$Q$1111,14,0)</f>
        <v>Anh A2</v>
      </c>
      <c r="AV205" s="42">
        <f>VLOOKUP(A205,'[1]Chứng chỉ'!$B$8:$Q$1111,15,0)</f>
        <v>0</v>
      </c>
      <c r="AW205" s="42" t="str">
        <f>VLOOKUP(A205,'[1]Chứng chỉ'!$B$8:$Q$1111,16,0)</f>
        <v>Cơ bản</v>
      </c>
      <c r="AX205" s="42"/>
      <c r="AY205" s="57" t="s">
        <v>85</v>
      </c>
      <c r="AZ205" s="65"/>
      <c r="BA205" s="74" t="e">
        <f t="shared" si="91"/>
        <v>#REF!</v>
      </c>
      <c r="BB205" s="74" t="e">
        <f t="shared" si="92"/>
        <v>#REF!</v>
      </c>
      <c r="BC205" s="79" t="s">
        <v>114</v>
      </c>
      <c r="BD205" s="64"/>
    </row>
    <row r="206" spans="1:56" ht="51" x14ac:dyDescent="0.3">
      <c r="A206" s="41" t="s">
        <v>1603</v>
      </c>
      <c r="B206" s="42">
        <f t="shared" si="0"/>
        <v>200</v>
      </c>
      <c r="C206" s="68" t="s">
        <v>1604</v>
      </c>
      <c r="D206" s="41" t="s">
        <v>1603</v>
      </c>
      <c r="E206" s="61">
        <v>1507002326</v>
      </c>
      <c r="F206" s="64"/>
      <c r="G206" s="49" t="s">
        <v>1605</v>
      </c>
      <c r="H206" s="76"/>
      <c r="I206" s="76">
        <v>30551</v>
      </c>
      <c r="J206" s="66">
        <f t="shared" ca="1" si="86"/>
        <v>42</v>
      </c>
      <c r="K206" s="75" t="s">
        <v>1606</v>
      </c>
      <c r="L206" s="83" t="s">
        <v>1607</v>
      </c>
      <c r="M206" s="53" t="s">
        <v>1608</v>
      </c>
      <c r="N206" s="66" t="s">
        <v>135</v>
      </c>
      <c r="O206" s="53" t="s">
        <v>1609</v>
      </c>
      <c r="P206" s="49" t="s">
        <v>1610</v>
      </c>
      <c r="Q206" s="49" t="s">
        <v>135</v>
      </c>
      <c r="R206" s="49"/>
      <c r="S206" s="49" t="s">
        <v>73</v>
      </c>
      <c r="T206" s="49" t="s">
        <v>97</v>
      </c>
      <c r="U206" s="49" t="s">
        <v>94</v>
      </c>
      <c r="V206" s="49" t="str">
        <f t="shared" si="90"/>
        <v>Phường Vĩnh Trại, Thành phố Lạng Sơn, Tỉnh Lạng Sơn</v>
      </c>
      <c r="W206" s="55" t="s">
        <v>358</v>
      </c>
      <c r="X206" s="41"/>
      <c r="Y206" s="41"/>
      <c r="Z206" s="41"/>
      <c r="AA206" s="68">
        <f>VLOOKUP(A206,'[1]DANH SÁCH'!$B$8:$AD$841,12,0)</f>
        <v>0</v>
      </c>
      <c r="AB206" s="49" t="str">
        <f>VLOOKUP(A206,'[1]DANH SÁCH'!$B$8:$H$841,6,0)</f>
        <v>TĐ018</v>
      </c>
      <c r="AC206" s="69" t="str">
        <f>VLOOKUP(A206,'[1]DANH SÁCH'!$B$8:$J$841,9,0)</f>
        <v>Khám bệnh</v>
      </c>
      <c r="AD206" s="69" t="str">
        <f>VLOOKUP(A206,'[1]DANH SÁCH'!$B$8:$AC$841,10,0)</f>
        <v>KP001</v>
      </c>
      <c r="AE206" s="69" t="str">
        <f>VLOOKUP(A206,'[1]DANH SÁCH'!$B$8:$AD$841,13,0)</f>
        <v>Viên chức</v>
      </c>
      <c r="AF206" s="41" t="s">
        <v>527</v>
      </c>
      <c r="AG206" s="42" t="str">
        <f>VLOOKUP(A206,'[1]DANH SÁCH'!$B$8:$H$841,7,0)</f>
        <v>Hộ sinh (hạng IV)</v>
      </c>
      <c r="AH206" s="45">
        <v>3.34</v>
      </c>
      <c r="AI206" s="42">
        <v>5</v>
      </c>
      <c r="AJ206" s="70">
        <v>0</v>
      </c>
      <c r="AK206" s="69">
        <v>44927</v>
      </c>
      <c r="AL206" s="71" t="s">
        <v>158</v>
      </c>
      <c r="AM206" s="53" t="str">
        <f>VLOOKUP(A206,'[1]DANH SÁCH'!$B$8:$F$841,5,0)</f>
        <v>Hộ sinh CĐ</v>
      </c>
      <c r="AN206" s="53"/>
      <c r="AO206" s="53" t="s">
        <v>175</v>
      </c>
      <c r="AP206" s="53">
        <v>2005</v>
      </c>
      <c r="AQ206" s="72" t="s">
        <v>113</v>
      </c>
      <c r="AR206" s="42">
        <f>VLOOKUP(A206,'[1]Chứng chỉ'!$B$8:$Q$1111,11,0)</f>
        <v>0</v>
      </c>
      <c r="AS206" s="42">
        <f>VLOOKUP(A206,'[1]Chứng chỉ'!$B$8:$Q$1111,12,0)</f>
        <v>0</v>
      </c>
      <c r="AT206" s="47">
        <f>VLOOKUP(A206,'[1]Chứng chỉ'!$B$8:$Q$1111,13,0)</f>
        <v>0</v>
      </c>
      <c r="AU206" s="42">
        <f>VLOOKUP(A206,'[1]Chứng chỉ'!$B$8:$Q$1111,14,0)</f>
        <v>0</v>
      </c>
      <c r="AV206" s="42">
        <f>VLOOKUP(A206,'[1]Chứng chỉ'!$B$8:$Q$1111,15,0)</f>
        <v>0</v>
      </c>
      <c r="AW206" s="42">
        <f>VLOOKUP(A206,'[1]Chứng chỉ'!$B$8:$Q$1111,16,0)</f>
        <v>0</v>
      </c>
      <c r="AX206" s="42"/>
      <c r="AY206" s="57" t="s">
        <v>87</v>
      </c>
      <c r="AZ206" s="65"/>
      <c r="BA206" s="74" t="e">
        <f t="shared" si="91"/>
        <v>#REF!</v>
      </c>
      <c r="BB206" s="74" t="e">
        <f t="shared" si="92"/>
        <v>#REF!</v>
      </c>
      <c r="BC206" s="79" t="s">
        <v>114</v>
      </c>
      <c r="BD206" s="64"/>
    </row>
    <row r="207" spans="1:56" ht="51" x14ac:dyDescent="0.3">
      <c r="A207" s="41" t="s">
        <v>1611</v>
      </c>
      <c r="B207" s="42">
        <f t="shared" si="0"/>
        <v>201</v>
      </c>
      <c r="C207" s="68" t="s">
        <v>1612</v>
      </c>
      <c r="D207" s="41" t="s">
        <v>1611</v>
      </c>
      <c r="E207" s="61">
        <v>1506002930</v>
      </c>
      <c r="F207" s="64"/>
      <c r="G207" s="49" t="s">
        <v>1613</v>
      </c>
      <c r="H207" s="76"/>
      <c r="I207" s="76">
        <v>30601</v>
      </c>
      <c r="J207" s="66">
        <f t="shared" ca="1" si="86"/>
        <v>42</v>
      </c>
      <c r="K207" s="75" t="s">
        <v>1614</v>
      </c>
      <c r="L207" s="83" t="s">
        <v>1615</v>
      </c>
      <c r="M207" s="53" t="s">
        <v>67</v>
      </c>
      <c r="N207" s="66" t="s">
        <v>94</v>
      </c>
      <c r="O207" s="53" t="s">
        <v>1616</v>
      </c>
      <c r="P207" s="76" t="s">
        <v>145</v>
      </c>
      <c r="Q207" s="49" t="s">
        <v>94</v>
      </c>
      <c r="R207" s="49"/>
      <c r="S207" s="49" t="s">
        <v>1324</v>
      </c>
      <c r="T207" s="49" t="s">
        <v>108</v>
      </c>
      <c r="U207" s="49" t="s">
        <v>94</v>
      </c>
      <c r="V207" s="49" t="str">
        <f t="shared" si="90"/>
        <v>Thị trấn Đồng Đăng, Huyện Cao Lộc, Tỉnh Lạng Sơn</v>
      </c>
      <c r="W207" s="55" t="s">
        <v>146</v>
      </c>
      <c r="X207" s="41"/>
      <c r="Y207" s="41"/>
      <c r="Z207" s="41"/>
      <c r="AA207" s="68">
        <f>VLOOKUP(A207,'[1]DANH SÁCH'!$B$8:$AD$841,12,0)</f>
        <v>0</v>
      </c>
      <c r="AB207" s="49" t="str">
        <f>VLOOKUP(A207,'[1]DANH SÁCH'!$B$8:$H$841,6,0)</f>
        <v>TĐ018</v>
      </c>
      <c r="AC207" s="69" t="str">
        <f>VLOOKUP(A207,'[1]DANH SÁCH'!$B$8:$J$841,9,0)</f>
        <v>Phụ sản</v>
      </c>
      <c r="AD207" s="69" t="str">
        <f>VLOOKUP(A207,'[1]DANH SÁCH'!$B$8:$AC$841,10,0)</f>
        <v>KP016</v>
      </c>
      <c r="AE207" s="69" t="str">
        <f>VLOOKUP(A207,'[1]DANH SÁCH'!$B$8:$AD$841,13,0)</f>
        <v>Viên chức</v>
      </c>
      <c r="AF207" s="41" t="s">
        <v>527</v>
      </c>
      <c r="AG207" s="42" t="str">
        <f>VLOOKUP(A207,'[1]DANH SÁCH'!$B$8:$H$841,7,0)</f>
        <v>Hộ sinh (hạng IV)</v>
      </c>
      <c r="AH207" s="45">
        <v>3.65</v>
      </c>
      <c r="AI207" s="42">
        <v>6</v>
      </c>
      <c r="AJ207" s="70">
        <v>0</v>
      </c>
      <c r="AK207" s="69">
        <v>45231</v>
      </c>
      <c r="AL207" s="71" t="s">
        <v>158</v>
      </c>
      <c r="AM207" s="53" t="str">
        <f>VLOOKUP(A207,'[1]DANH SÁCH'!$B$8:$F$841,5,0)</f>
        <v>Hộ sinh CĐ</v>
      </c>
      <c r="AN207" s="53"/>
      <c r="AO207" s="53" t="s">
        <v>175</v>
      </c>
      <c r="AP207" s="53">
        <v>2005</v>
      </c>
      <c r="AQ207" s="72" t="s">
        <v>113</v>
      </c>
      <c r="AR207" s="42">
        <f>VLOOKUP(A207,'[1]Chứng chỉ'!$B$8:$Q$1111,11,0)</f>
        <v>0</v>
      </c>
      <c r="AS207" s="42">
        <f>VLOOKUP(A207,'[1]Chứng chỉ'!$B$8:$Q$1111,12,0)</f>
        <v>0</v>
      </c>
      <c r="AT207" s="47">
        <f>VLOOKUP(A207,'[1]Chứng chỉ'!$B$8:$Q$1111,13,0)</f>
        <v>0</v>
      </c>
      <c r="AU207" s="42" t="str">
        <f>VLOOKUP(A207,'[1]Chứng chỉ'!$B$8:$Q$1111,14,0)</f>
        <v>Anh B</v>
      </c>
      <c r="AV207" s="42">
        <f>VLOOKUP(A207,'[1]Chứng chỉ'!$B$8:$Q$1111,15,0)</f>
        <v>0</v>
      </c>
      <c r="AW207" s="42">
        <f>VLOOKUP(A207,'[1]Chứng chỉ'!$B$8:$Q$1111,16,0)</f>
        <v>0</v>
      </c>
      <c r="AX207" s="42"/>
      <c r="AY207" s="57" t="s">
        <v>127</v>
      </c>
      <c r="AZ207" s="65"/>
      <c r="BA207" s="74" t="e">
        <f t="shared" si="91"/>
        <v>#REF!</v>
      </c>
      <c r="BB207" s="74" t="e">
        <f t="shared" si="92"/>
        <v>#REF!</v>
      </c>
      <c r="BC207" s="79" t="s">
        <v>114</v>
      </c>
      <c r="BD207" s="64"/>
    </row>
    <row r="208" spans="1:56" ht="61.2" x14ac:dyDescent="0.3">
      <c r="A208" s="41" t="s">
        <v>1617</v>
      </c>
      <c r="B208" s="42">
        <f t="shared" si="0"/>
        <v>202</v>
      </c>
      <c r="C208" s="68" t="s">
        <v>1618</v>
      </c>
      <c r="D208" s="41" t="s">
        <v>1617</v>
      </c>
      <c r="E208" s="61">
        <v>2008002397</v>
      </c>
      <c r="F208" s="64"/>
      <c r="G208" s="49" t="s">
        <v>1619</v>
      </c>
      <c r="H208" s="76"/>
      <c r="I208" s="76">
        <v>30572</v>
      </c>
      <c r="J208" s="66">
        <f t="shared" ca="1" si="86"/>
        <v>42</v>
      </c>
      <c r="K208" s="75" t="s">
        <v>1620</v>
      </c>
      <c r="L208" s="83" t="s">
        <v>1621</v>
      </c>
      <c r="M208" s="53" t="s">
        <v>67</v>
      </c>
      <c r="N208" s="66" t="s">
        <v>94</v>
      </c>
      <c r="O208" s="53"/>
      <c r="P208" s="49" t="s">
        <v>1622</v>
      </c>
      <c r="Q208" s="49" t="s">
        <v>135</v>
      </c>
      <c r="R208" s="49"/>
      <c r="S208" s="49" t="s">
        <v>166</v>
      </c>
      <c r="T208" s="49" t="s">
        <v>97</v>
      </c>
      <c r="U208" s="49" t="s">
        <v>94</v>
      </c>
      <c r="V208" s="49" t="str">
        <f t="shared" si="90"/>
        <v>Phường Tam Thanh, Thành phố Lạng Sơn, Tỉnh Lạng Sơn</v>
      </c>
      <c r="W208" s="55" t="s">
        <v>358</v>
      </c>
      <c r="X208" s="41"/>
      <c r="Y208" s="41"/>
      <c r="Z208" s="41"/>
      <c r="AA208" s="68">
        <f>VLOOKUP(A208,'[1]DANH SÁCH'!$B$8:$AD$841,12,0)</f>
        <v>0</v>
      </c>
      <c r="AB208" s="49" t="str">
        <f>VLOOKUP(A208,'[1]DANH SÁCH'!$B$8:$H$841,6,0)</f>
        <v>TĐ018</v>
      </c>
      <c r="AC208" s="69" t="str">
        <f>VLOOKUP(A208,'[1]DANH SÁCH'!$B$8:$J$841,9,0)</f>
        <v>Phụ sản</v>
      </c>
      <c r="AD208" s="69" t="str">
        <f>VLOOKUP(A208,'[1]DANH SÁCH'!$B$8:$AC$841,10,0)</f>
        <v>KP016</v>
      </c>
      <c r="AE208" s="69" t="str">
        <f>VLOOKUP(A208,'[1]DANH SÁCH'!$B$8:$AD$841,13,0)</f>
        <v>Viên chức</v>
      </c>
      <c r="AF208" s="41" t="s">
        <v>527</v>
      </c>
      <c r="AG208" s="42" t="str">
        <f>VLOOKUP(A208,'[1]DANH SÁCH'!$B$8:$H$841,7,0)</f>
        <v>Hộ sinh (hạng IV)</v>
      </c>
      <c r="AH208" s="45">
        <v>3.65</v>
      </c>
      <c r="AI208" s="42">
        <v>6</v>
      </c>
      <c r="AJ208" s="70">
        <v>0</v>
      </c>
      <c r="AK208" s="69">
        <v>45839</v>
      </c>
      <c r="AL208" s="71" t="s">
        <v>158</v>
      </c>
      <c r="AM208" s="53" t="str">
        <f>VLOOKUP(A208,'[1]DANH SÁCH'!$B$8:$F$841,5,0)</f>
        <v>Hộ sinh CĐ</v>
      </c>
      <c r="AN208" s="53"/>
      <c r="AO208" s="53" t="s">
        <v>175</v>
      </c>
      <c r="AP208" s="53">
        <v>2005</v>
      </c>
      <c r="AQ208" s="99" t="s">
        <v>113</v>
      </c>
      <c r="AR208" s="42">
        <f>VLOOKUP(A208,'[1]Chứng chỉ'!$B$8:$Q$1111,11,0)</f>
        <v>0</v>
      </c>
      <c r="AS208" s="42">
        <f>VLOOKUP(A208,'[1]Chứng chỉ'!$B$8:$Q$1111,12,0)</f>
        <v>0</v>
      </c>
      <c r="AT208" s="47">
        <f>VLOOKUP(A208,'[1]Chứng chỉ'!$B$8:$Q$1111,13,0)</f>
        <v>0</v>
      </c>
      <c r="AU208" s="42" t="str">
        <f>VLOOKUP(A208,'[1]Chứng chỉ'!$B$8:$Q$1111,14,0)</f>
        <v>Anh B</v>
      </c>
      <c r="AV208" s="42">
        <f>VLOOKUP(A208,'[1]Chứng chỉ'!$B$8:$Q$1111,15,0)</f>
        <v>0</v>
      </c>
      <c r="AW208" s="42" t="str">
        <f>VLOOKUP(A208,'[1]Chứng chỉ'!$B$8:$Q$1111,16,0)</f>
        <v>Cơ bản</v>
      </c>
      <c r="AX208" s="42"/>
      <c r="AY208" s="57" t="s">
        <v>85</v>
      </c>
      <c r="AZ208" s="65">
        <v>41947</v>
      </c>
      <c r="BA208" s="74" t="e">
        <f t="shared" si="91"/>
        <v>#REF!</v>
      </c>
      <c r="BB208" s="74" t="e">
        <f t="shared" si="92"/>
        <v>#REF!</v>
      </c>
      <c r="BC208" s="61" t="s">
        <v>114</v>
      </c>
      <c r="BD208" s="64"/>
    </row>
    <row r="209" spans="1:56" ht="40.799999999999997" x14ac:dyDescent="0.3">
      <c r="A209" s="41" t="s">
        <v>1623</v>
      </c>
      <c r="B209" s="42">
        <f t="shared" si="0"/>
        <v>203</v>
      </c>
      <c r="C209" s="68" t="s">
        <v>1624</v>
      </c>
      <c r="D209" s="41" t="s">
        <v>1623</v>
      </c>
      <c r="E209" s="61">
        <v>1506000594</v>
      </c>
      <c r="F209" s="64"/>
      <c r="G209" s="49" t="s">
        <v>1625</v>
      </c>
      <c r="H209" s="76"/>
      <c r="I209" s="76">
        <v>29721</v>
      </c>
      <c r="J209" s="66">
        <f t="shared" ca="1" si="86"/>
        <v>45</v>
      </c>
      <c r="K209" s="75" t="s">
        <v>1626</v>
      </c>
      <c r="L209" s="83" t="s">
        <v>1627</v>
      </c>
      <c r="M209" s="53" t="s">
        <v>67</v>
      </c>
      <c r="N209" s="66" t="s">
        <v>94</v>
      </c>
      <c r="O209" s="85" t="s">
        <v>1628</v>
      </c>
      <c r="P209" s="76" t="s">
        <v>343</v>
      </c>
      <c r="Q209" s="49" t="s">
        <v>94</v>
      </c>
      <c r="R209" s="76"/>
      <c r="S209" s="76" t="s">
        <v>447</v>
      </c>
      <c r="T209" s="76" t="s">
        <v>343</v>
      </c>
      <c r="U209" s="49" t="s">
        <v>94</v>
      </c>
      <c r="V209" s="49" t="str">
        <f t="shared" si="90"/>
        <v>Xã Tô Hiệu, Huyện Bình Gia, Tỉnh Lạng Sơn</v>
      </c>
      <c r="W209" s="86" t="s">
        <v>411</v>
      </c>
      <c r="X209" s="41"/>
      <c r="Y209" s="41"/>
      <c r="Z209" s="41"/>
      <c r="AA209" s="68">
        <f>VLOOKUP(A209,'[1]DANH SÁCH'!$B$8:$AD$841,12,0)</f>
        <v>0</v>
      </c>
      <c r="AB209" s="49" t="str">
        <f>VLOOKUP(A209,'[1]DANH SÁCH'!$B$8:$H$841,6,0)</f>
        <v>TĐ017</v>
      </c>
      <c r="AC209" s="69" t="str">
        <f>VLOOKUP(A209,'[1]DANH SÁCH'!$B$8:$J$841,9,0)</f>
        <v>Phụ sản</v>
      </c>
      <c r="AD209" s="69" t="str">
        <f>VLOOKUP(A209,'[1]DANH SÁCH'!$B$8:$AC$841,10,0)</f>
        <v>KP016</v>
      </c>
      <c r="AE209" s="69" t="str">
        <f>VLOOKUP(A209,'[1]DANH SÁCH'!$B$8:$AD$841,13,0)</f>
        <v>Viên chức</v>
      </c>
      <c r="AF209" s="41" t="s">
        <v>527</v>
      </c>
      <c r="AG209" s="42" t="str">
        <f>VLOOKUP(A209,'[1]DANH SÁCH'!$B$8:$H$841,7,0)</f>
        <v>Hộ sinh (hạng III)</v>
      </c>
      <c r="AH209" s="45">
        <v>3.66</v>
      </c>
      <c r="AI209" s="42">
        <v>5</v>
      </c>
      <c r="AJ209" s="70">
        <v>0</v>
      </c>
      <c r="AK209" s="69">
        <v>45383</v>
      </c>
      <c r="AL209" s="71" t="s">
        <v>80</v>
      </c>
      <c r="AM209" s="53" t="str">
        <f>VLOOKUP(A209,'[1]DANH SÁCH'!$B$8:$F$841,5,0)</f>
        <v>Hộ sinh ĐH</v>
      </c>
      <c r="AN209" s="53"/>
      <c r="AO209" s="53" t="s">
        <v>175</v>
      </c>
      <c r="AP209" s="53">
        <v>2003</v>
      </c>
      <c r="AQ209" s="72" t="s">
        <v>113</v>
      </c>
      <c r="AR209" s="42">
        <f>VLOOKUP(A209,'[1]Chứng chỉ'!$B$8:$Q$1111,11,0)</f>
        <v>0</v>
      </c>
      <c r="AS209" s="42">
        <f>VLOOKUP(A209,'[1]Chứng chỉ'!$B$8:$Q$1111,12,0)</f>
        <v>0</v>
      </c>
      <c r="AT209" s="47">
        <f>VLOOKUP(A209,'[1]Chứng chỉ'!$B$8:$Q$1111,13,0)</f>
        <v>0</v>
      </c>
      <c r="AU209" s="42" t="str">
        <f>VLOOKUP(A209,'[1]Chứng chỉ'!$B$8:$Q$1111,14,0)</f>
        <v>TOEIC</v>
      </c>
      <c r="AV209" s="42">
        <f>VLOOKUP(A209,'[1]Chứng chỉ'!$B$8:$Q$1111,15,0)</f>
        <v>0</v>
      </c>
      <c r="AW209" s="42" t="str">
        <f>VLOOKUP(A209,'[1]Chứng chỉ'!$B$8:$Q$1111,16,0)</f>
        <v>Cơ bản</v>
      </c>
      <c r="AX209" s="42"/>
      <c r="AY209" s="57" t="s">
        <v>127</v>
      </c>
      <c r="AZ209" s="65"/>
      <c r="BA209" s="74" t="e">
        <f t="shared" si="91"/>
        <v>#REF!</v>
      </c>
      <c r="BB209" s="74" t="e">
        <f t="shared" si="92"/>
        <v>#REF!</v>
      </c>
      <c r="BC209" s="79" t="s">
        <v>114</v>
      </c>
      <c r="BD209" s="64"/>
    </row>
    <row r="210" spans="1:56" ht="51" x14ac:dyDescent="0.3">
      <c r="A210" s="102" t="s">
        <v>1629</v>
      </c>
      <c r="B210" s="42">
        <f t="shared" si="0"/>
        <v>204</v>
      </c>
      <c r="C210" s="93" t="s">
        <v>1630</v>
      </c>
      <c r="D210" s="102" t="s">
        <v>1629</v>
      </c>
      <c r="E210" s="103">
        <v>2016001670</v>
      </c>
      <c r="F210" s="122"/>
      <c r="G210" s="49" t="s">
        <v>1631</v>
      </c>
      <c r="H210" s="102"/>
      <c r="I210" s="102" t="s">
        <v>1632</v>
      </c>
      <c r="J210" s="66">
        <f t="shared" ca="1" si="86"/>
        <v>31</v>
      </c>
      <c r="K210" s="75" t="s">
        <v>1633</v>
      </c>
      <c r="L210" s="120" t="s">
        <v>1634</v>
      </c>
      <c r="M210" s="53" t="s">
        <v>67</v>
      </c>
      <c r="N210" s="129" t="s">
        <v>1635</v>
      </c>
      <c r="O210" s="129" t="s">
        <v>1636</v>
      </c>
      <c r="P210" s="120" t="s">
        <v>661</v>
      </c>
      <c r="Q210" s="115" t="s">
        <v>71</v>
      </c>
      <c r="R210" s="115" t="s">
        <v>1637</v>
      </c>
      <c r="S210" s="120" t="s">
        <v>96</v>
      </c>
      <c r="T210" s="115" t="s">
        <v>379</v>
      </c>
      <c r="U210" s="115" t="s">
        <v>71</v>
      </c>
      <c r="V210" s="49" t="str">
        <f t="shared" si="90"/>
        <v>Phường Hoàng Văn Thụ, TP. Lạng Sơn, Lạng Sơn</v>
      </c>
      <c r="W210" s="130" t="s">
        <v>1638</v>
      </c>
      <c r="X210" s="120"/>
      <c r="Y210" s="120" t="s">
        <v>1639</v>
      </c>
      <c r="Z210" s="120" t="s">
        <v>1640</v>
      </c>
      <c r="AA210" s="68">
        <f>VLOOKUP(A210,'[1]DANH SÁCH'!$B$8:$AD$841,12,0)</f>
        <v>0</v>
      </c>
      <c r="AB210" s="49" t="str">
        <f>VLOOKUP(A210,'[1]DANH SÁCH'!$B$8:$H$841,6,0)</f>
        <v>TĐ017</v>
      </c>
      <c r="AC210" s="69" t="str">
        <f>VLOOKUP(A210,'[1]DANH SÁCH'!$B$8:$J$841,9,0)</f>
        <v>Phụ sản</v>
      </c>
      <c r="AD210" s="69" t="str">
        <f>VLOOKUP(A210,'[1]DANH SÁCH'!$B$8:$AC$841,10,0)</f>
        <v>KP016</v>
      </c>
      <c r="AE210" s="69" t="str">
        <f>VLOOKUP(A210,'[1]DANH SÁCH'!$B$8:$AD$841,13,0)</f>
        <v>Viên chức</v>
      </c>
      <c r="AF210" s="115" t="s">
        <v>527</v>
      </c>
      <c r="AG210" s="42" t="str">
        <f>VLOOKUP(A210,'[1]DANH SÁCH'!$B$8:$H$841,7,0)</f>
        <v>Hộ sinh (hạng IV)</v>
      </c>
      <c r="AH210" s="45">
        <v>2.72</v>
      </c>
      <c r="AI210" s="42">
        <v>3</v>
      </c>
      <c r="AJ210" s="70">
        <v>0</v>
      </c>
      <c r="AK210" s="69">
        <v>45498</v>
      </c>
      <c r="AL210" s="71" t="s">
        <v>101</v>
      </c>
      <c r="AM210" s="53" t="str">
        <f>VLOOKUP(A210,'[1]DANH SÁCH'!$B$8:$F$841,5,0)</f>
        <v>Hộ sinh ĐH</v>
      </c>
      <c r="AN210" s="53"/>
      <c r="AO210" s="53" t="s">
        <v>1093</v>
      </c>
      <c r="AP210" s="53">
        <v>2014</v>
      </c>
      <c r="AQ210" s="72" t="s">
        <v>113</v>
      </c>
      <c r="AR210" s="42">
        <f>VLOOKUP(A210,'[1]Chứng chỉ'!$B$8:$Q$1111,11,0)</f>
        <v>0</v>
      </c>
      <c r="AS210" s="42">
        <f>VLOOKUP(A210,'[1]Chứng chỉ'!$B$8:$Q$1111,12,0)</f>
        <v>0</v>
      </c>
      <c r="AT210" s="47">
        <f>VLOOKUP(A210,'[1]Chứng chỉ'!$B$8:$Q$1111,13,0)</f>
        <v>0</v>
      </c>
      <c r="AU210" s="42" t="str">
        <f>VLOOKUP(A210,'[1]Chứng chỉ'!$B$8:$Q$1111,14,0)</f>
        <v>x</v>
      </c>
      <c r="AV210" s="42">
        <f>VLOOKUP(A210,'[1]Chứng chỉ'!$B$8:$Q$1111,15,0)</f>
        <v>0</v>
      </c>
      <c r="AW210" s="42" t="str">
        <f>VLOOKUP(A210,'[1]Chứng chỉ'!$B$8:$Q$1111,16,0)</f>
        <v>x</v>
      </c>
      <c r="AX210" s="115"/>
      <c r="AY210" s="115" t="s">
        <v>127</v>
      </c>
      <c r="AZ210" s="65"/>
      <c r="BA210" s="74"/>
      <c r="BB210" s="74"/>
      <c r="BC210" s="41" t="s">
        <v>61</v>
      </c>
      <c r="BD210" s="64"/>
    </row>
    <row r="211" spans="1:56" ht="40.799999999999997" x14ac:dyDescent="0.3">
      <c r="A211" s="46" t="s">
        <v>1641</v>
      </c>
      <c r="B211" s="42">
        <f t="shared" si="0"/>
        <v>205</v>
      </c>
      <c r="C211" s="63" t="s">
        <v>1642</v>
      </c>
      <c r="D211" s="46" t="s">
        <v>1641</v>
      </c>
      <c r="E211" s="46">
        <v>1505000542</v>
      </c>
      <c r="F211" s="64"/>
      <c r="G211" s="49" t="s">
        <v>1643</v>
      </c>
      <c r="H211" s="42"/>
      <c r="I211" s="90" t="s">
        <v>1644</v>
      </c>
      <c r="J211" s="66">
        <f t="shared" ca="1" si="86"/>
        <v>50</v>
      </c>
      <c r="K211" s="71" t="s">
        <v>1645</v>
      </c>
      <c r="L211" s="83" t="s">
        <v>1646</v>
      </c>
      <c r="M211" s="53" t="s">
        <v>67</v>
      </c>
      <c r="N211" s="42" t="s">
        <v>1647</v>
      </c>
      <c r="O211" s="53" t="s">
        <v>1648</v>
      </c>
      <c r="P211" s="42" t="s">
        <v>182</v>
      </c>
      <c r="Q211" s="64" t="s">
        <v>94</v>
      </c>
      <c r="R211" s="47" t="s">
        <v>1649</v>
      </c>
      <c r="S211" s="47" t="s">
        <v>1648</v>
      </c>
      <c r="T211" s="47" t="s">
        <v>182</v>
      </c>
      <c r="U211" s="47" t="s">
        <v>94</v>
      </c>
      <c r="V211" s="47" t="s">
        <v>1647</v>
      </c>
      <c r="W211" s="108" t="s">
        <v>1650</v>
      </c>
      <c r="X211" s="46" t="s">
        <v>1651</v>
      </c>
      <c r="Y211" s="46"/>
      <c r="Z211" s="46"/>
      <c r="AA211" s="68">
        <f>VLOOKUP(A211,'[1]DANH SÁCH'!$B$8:$AD$841,12,0)</f>
        <v>0</v>
      </c>
      <c r="AB211" s="49" t="str">
        <f>VLOOKUP(A211,'[1]DANH SÁCH'!$B$8:$H$841,6,0)</f>
        <v>TĐ017</v>
      </c>
      <c r="AC211" s="69" t="str">
        <f>VLOOKUP(A211,'[1]DANH SÁCH'!$B$8:$J$841,9,0)</f>
        <v>Phụ sản</v>
      </c>
      <c r="AD211" s="69" t="str">
        <f>VLOOKUP(A211,'[1]DANH SÁCH'!$B$8:$AC$841,10,0)</f>
        <v>KP016</v>
      </c>
      <c r="AE211" s="69" t="str">
        <f>VLOOKUP(A211,'[1]DANH SÁCH'!$B$8:$AD$841,13,0)</f>
        <v>Viên chức</v>
      </c>
      <c r="AF211" s="106" t="s">
        <v>527</v>
      </c>
      <c r="AG211" s="42" t="str">
        <f>VLOOKUP(A211,'[1]DANH SÁCH'!$B$8:$H$841,7,0)</f>
        <v>Hộ sinh (hạng III)</v>
      </c>
      <c r="AH211" s="45">
        <v>3.99</v>
      </c>
      <c r="AI211" s="42">
        <v>6</v>
      </c>
      <c r="AJ211" s="70">
        <v>0</v>
      </c>
      <c r="AK211" s="69">
        <v>44927</v>
      </c>
      <c r="AL211" s="71" t="s">
        <v>80</v>
      </c>
      <c r="AM211" s="53" t="str">
        <f>VLOOKUP(A211,'[1]DANH SÁCH'!$B$8:$F$841,5,0)</f>
        <v>Hộ sinh ĐH</v>
      </c>
      <c r="AN211" s="53"/>
      <c r="AO211" s="53" t="s">
        <v>1093</v>
      </c>
      <c r="AP211" s="53">
        <v>2007</v>
      </c>
      <c r="AQ211" s="72" t="s">
        <v>113</v>
      </c>
      <c r="AR211" s="42">
        <f>VLOOKUP(A211,'[1]Chứng chỉ'!$B$8:$Q$1111,11,0)</f>
        <v>0</v>
      </c>
      <c r="AS211" s="42">
        <f>VLOOKUP(A211,'[1]Chứng chỉ'!$B$8:$Q$1111,12,0)</f>
        <v>0</v>
      </c>
      <c r="AT211" s="47">
        <f>VLOOKUP(A211,'[1]Chứng chỉ'!$B$8:$Q$1111,13,0)</f>
        <v>0</v>
      </c>
      <c r="AU211" s="42" t="str">
        <f>VLOOKUP(A211,'[1]Chứng chỉ'!$B$8:$Q$1111,14,0)</f>
        <v>x</v>
      </c>
      <c r="AV211" s="42">
        <f>VLOOKUP(A211,'[1]Chứng chỉ'!$B$8:$Q$1111,15,0)</f>
        <v>0</v>
      </c>
      <c r="AW211" s="42" t="str">
        <f>VLOOKUP(A211,'[1]Chứng chỉ'!$B$8:$Q$1111,16,0)</f>
        <v>x</v>
      </c>
      <c r="AX211" s="47"/>
      <c r="AY211" s="73" t="s">
        <v>85</v>
      </c>
      <c r="AZ211" s="65"/>
      <c r="BA211" s="74" t="e">
        <f>VLOOKUP(A211,#REF!,4,0)</f>
        <v>#REF!</v>
      </c>
      <c r="BB211" s="74" t="e">
        <f>VLOOKUP(A211,#REF!,5,0)</f>
        <v>#REF!</v>
      </c>
      <c r="BC211" s="79" t="s">
        <v>1652</v>
      </c>
      <c r="BD211" s="64"/>
    </row>
    <row r="212" spans="1:56" ht="20.399999999999999" x14ac:dyDescent="0.3">
      <c r="A212" s="46" t="s">
        <v>1653</v>
      </c>
      <c r="B212" s="42">
        <f t="shared" si="0"/>
        <v>206</v>
      </c>
      <c r="C212" s="63" t="s">
        <v>1654</v>
      </c>
      <c r="D212" s="46" t="s">
        <v>1653</v>
      </c>
      <c r="E212" s="61" t="s">
        <v>1655</v>
      </c>
      <c r="F212" s="42" t="s">
        <v>1656</v>
      </c>
      <c r="G212" s="49"/>
      <c r="H212" s="47"/>
      <c r="I212" s="117" t="s">
        <v>1657</v>
      </c>
      <c r="J212" s="66">
        <f t="shared" ca="1" si="86"/>
        <v>40</v>
      </c>
      <c r="K212" s="46" t="s">
        <v>1658</v>
      </c>
      <c r="L212" s="65">
        <v>39098</v>
      </c>
      <c r="M212" s="53" t="s">
        <v>67</v>
      </c>
      <c r="N212" s="52"/>
      <c r="O212" s="56"/>
      <c r="P212" s="47"/>
      <c r="Q212" s="47"/>
      <c r="R212" s="47"/>
      <c r="S212" s="47"/>
      <c r="T212" s="47"/>
      <c r="U212" s="47"/>
      <c r="V212" s="56" t="s">
        <v>1659</v>
      </c>
      <c r="W212" s="67" t="s">
        <v>249</v>
      </c>
      <c r="X212" s="46"/>
      <c r="Y212" s="46"/>
      <c r="Z212" s="46"/>
      <c r="AA212" s="68">
        <f>VLOOKUP(A212,'[1]DANH SÁCH'!$B$8:$AD$841,12,0)</f>
        <v>0</v>
      </c>
      <c r="AB212" s="49" t="str">
        <f>VLOOKUP(A212,'[1]DANH SÁCH'!$B$8:$H$841,6,0)</f>
        <v>TĐ017</v>
      </c>
      <c r="AC212" s="69" t="str">
        <f>VLOOKUP(A212,'[1]DANH SÁCH'!$B$8:$J$841,9,0)</f>
        <v>Phụ sản</v>
      </c>
      <c r="AD212" s="69" t="str">
        <f>VLOOKUP(A212,'[1]DANH SÁCH'!$B$8:$AC$841,10,0)</f>
        <v>KP016</v>
      </c>
      <c r="AE212" s="69" t="str">
        <f>VLOOKUP(A212,'[1]DANH SÁCH'!$B$8:$AD$841,13,0)</f>
        <v>Viên chức</v>
      </c>
      <c r="AF212" s="46" t="s">
        <v>1660</v>
      </c>
      <c r="AG212" s="47" t="s">
        <v>1656</v>
      </c>
      <c r="AH212" s="45">
        <v>3</v>
      </c>
      <c r="AI212" s="42">
        <v>3</v>
      </c>
      <c r="AJ212" s="70">
        <v>0</v>
      </c>
      <c r="AK212" s="69">
        <v>44927</v>
      </c>
      <c r="AL212" s="71" t="s">
        <v>80</v>
      </c>
      <c r="AM212" s="53" t="str">
        <f>VLOOKUP(A212,'[1]DANH SÁCH'!$B$8:$F$841,5,0)</f>
        <v>Hộ sinh ĐH</v>
      </c>
      <c r="AN212" s="47"/>
      <c r="AO212" s="47"/>
      <c r="AP212" s="47"/>
      <c r="AQ212" s="47"/>
      <c r="AR212" s="42">
        <f>VLOOKUP(A212,'[1]Chứng chỉ'!$B$8:$Q$1111,11,0)</f>
        <v>0</v>
      </c>
      <c r="AS212" s="42">
        <f>VLOOKUP(A212,'[1]Chứng chỉ'!$B$8:$Q$1111,12,0)</f>
        <v>0</v>
      </c>
      <c r="AT212" s="47">
        <f>VLOOKUP(A212,'[1]Chứng chỉ'!$B$8:$Q$1111,13,0)</f>
        <v>0</v>
      </c>
      <c r="AU212" s="42" t="str">
        <f>VLOOKUP(A212,'[1]Chứng chỉ'!$B$8:$Q$1111,14,0)</f>
        <v>x</v>
      </c>
      <c r="AV212" s="42">
        <f>VLOOKUP(A212,'[1]Chứng chỉ'!$B$8:$Q$1111,15,0)</f>
        <v>0</v>
      </c>
      <c r="AW212" s="42" t="str">
        <f>VLOOKUP(A212,'[1]Chứng chỉ'!$B$8:$Q$1111,16,0)</f>
        <v>Cơ bản</v>
      </c>
      <c r="AX212" s="47"/>
      <c r="AY212" s="47" t="s">
        <v>85</v>
      </c>
      <c r="AZ212" s="65"/>
      <c r="BA212" s="47"/>
      <c r="BB212" s="47"/>
      <c r="BC212" s="79" t="s">
        <v>114</v>
      </c>
      <c r="BD212" s="64"/>
    </row>
    <row r="213" spans="1:56" ht="61.2" x14ac:dyDescent="0.3">
      <c r="A213" s="41" t="s">
        <v>1661</v>
      </c>
      <c r="B213" s="42">
        <f t="shared" si="0"/>
        <v>207</v>
      </c>
      <c r="C213" s="68" t="s">
        <v>1662</v>
      </c>
      <c r="D213" s="41" t="s">
        <v>1661</v>
      </c>
      <c r="E213" s="61">
        <v>1596005568</v>
      </c>
      <c r="F213" s="64"/>
      <c r="G213" s="49" t="s">
        <v>1663</v>
      </c>
      <c r="H213" s="76">
        <v>26033</v>
      </c>
      <c r="I213" s="76"/>
      <c r="J213" s="66">
        <f t="shared" ref="J213:J214" ca="1" si="93">INT(DATEDIF(H213,$J$2,"d")/365)</f>
        <v>55</v>
      </c>
      <c r="K213" s="75" t="s">
        <v>1664</v>
      </c>
      <c r="L213" s="83" t="s">
        <v>1665</v>
      </c>
      <c r="M213" s="53" t="s">
        <v>67</v>
      </c>
      <c r="N213" s="66" t="s">
        <v>94</v>
      </c>
      <c r="O213" s="53"/>
      <c r="P213" s="49" t="s">
        <v>93</v>
      </c>
      <c r="Q213" s="49" t="s">
        <v>94</v>
      </c>
      <c r="R213" s="49"/>
      <c r="S213" s="49" t="s">
        <v>166</v>
      </c>
      <c r="T213" s="49" t="s">
        <v>97</v>
      </c>
      <c r="U213" s="49" t="s">
        <v>94</v>
      </c>
      <c r="V213" s="49" t="str">
        <f t="shared" ref="V213:V216" si="94">S213&amp;", "&amp;T213&amp;", "&amp;U213</f>
        <v>Phường Tam Thanh, Thành phố Lạng Sơn, Tỉnh Lạng Sơn</v>
      </c>
      <c r="W213" s="55" t="s">
        <v>1666</v>
      </c>
      <c r="X213" s="41"/>
      <c r="Y213" s="41"/>
      <c r="Z213" s="41"/>
      <c r="AA213" s="68" t="str">
        <f>VLOOKUP(A213,'[1]DANH SÁCH'!$B$8:$AD$841,12,0)</f>
        <v>Phó trưởng khoa/Phụ trách khoa</v>
      </c>
      <c r="AB213" s="49" t="str">
        <f>VLOOKUP(A213,'[1]DANH SÁCH'!$B$8:$H$841,6,0)</f>
        <v>TĐ001</v>
      </c>
      <c r="AC213" s="69" t="str">
        <f>VLOOKUP(A213,'[1]DANH SÁCH'!$B$8:$J$841,9,0)</f>
        <v>Nhi</v>
      </c>
      <c r="AD213" s="69" t="str">
        <f>VLOOKUP(A213,'[1]DANH SÁCH'!$B$8:$AC$841,10,0)</f>
        <v>KP017</v>
      </c>
      <c r="AE213" s="69" t="str">
        <f>VLOOKUP(A213,'[1]DANH SÁCH'!$B$8:$AD$841,13,0)</f>
        <v>Viên chức</v>
      </c>
      <c r="AF213" s="41" t="s">
        <v>79</v>
      </c>
      <c r="AG213" s="42" t="str">
        <f>VLOOKUP(A213,'[1]DANH SÁCH'!$B$8:$H$841,7,0)</f>
        <v>Bác sĩ chính (hạng II)</v>
      </c>
      <c r="AH213" s="45">
        <v>6.1</v>
      </c>
      <c r="AI213" s="42">
        <v>6</v>
      </c>
      <c r="AJ213" s="70">
        <v>0</v>
      </c>
      <c r="AK213" s="69">
        <v>45839</v>
      </c>
      <c r="AL213" s="71" t="s">
        <v>80</v>
      </c>
      <c r="AM213" s="53" t="str">
        <f>VLOOKUP(A213,'[1]DANH SÁCH'!$B$8:$F$841,5,0)</f>
        <v>BSCKII</v>
      </c>
      <c r="AN213" s="53" t="s">
        <v>1667</v>
      </c>
      <c r="AO213" s="53"/>
      <c r="AP213" s="53"/>
      <c r="AQ213" s="99" t="s">
        <v>113</v>
      </c>
      <c r="AR213" s="42" t="s">
        <v>82</v>
      </c>
      <c r="AS213" s="42" t="s">
        <v>100</v>
      </c>
      <c r="AT213" s="47" t="s">
        <v>101</v>
      </c>
      <c r="AU213" s="42" t="str">
        <f>VLOOKUP(A213,'[1]Chứng chỉ'!$B$8:$Q$1111,14,0)</f>
        <v>Anh B</v>
      </c>
      <c r="AV213" s="42">
        <f>VLOOKUP(A213,'[1]Chứng chỉ'!$B$8:$Q$1111,15,0)</f>
        <v>0</v>
      </c>
      <c r="AW213" s="42" t="str">
        <f>VLOOKUP(A213,'[1]Chứng chỉ'!$B$8:$Q$1111,16,0)</f>
        <v>Tin B</v>
      </c>
      <c r="AX213" s="42"/>
      <c r="AY213" s="57" t="s">
        <v>85</v>
      </c>
      <c r="AZ213" s="65">
        <v>40876</v>
      </c>
      <c r="BA213" s="74" t="e">
        <f t="shared" ref="BA213:BA216" si="95">VLOOKUP(A213,#REF!,4,0)</f>
        <v>#REF!</v>
      </c>
      <c r="BB213" s="74" t="e">
        <f t="shared" ref="BB213:BB216" si="96">VLOOKUP(A213,#REF!,5,0)</f>
        <v>#REF!</v>
      </c>
      <c r="BC213" s="41" t="s">
        <v>1668</v>
      </c>
      <c r="BD213" s="64"/>
    </row>
    <row r="214" spans="1:56" ht="51" x14ac:dyDescent="0.3">
      <c r="A214" s="41" t="s">
        <v>1669</v>
      </c>
      <c r="B214" s="42">
        <f t="shared" si="0"/>
        <v>208</v>
      </c>
      <c r="C214" s="68" t="s">
        <v>1670</v>
      </c>
      <c r="D214" s="41" t="s">
        <v>1669</v>
      </c>
      <c r="E214" s="61">
        <v>2014002738</v>
      </c>
      <c r="F214" s="64"/>
      <c r="G214" s="49" t="s">
        <v>1671</v>
      </c>
      <c r="H214" s="118" t="s">
        <v>1672</v>
      </c>
      <c r="I214" s="76"/>
      <c r="J214" s="66">
        <f t="shared" ca="1" si="93"/>
        <v>37</v>
      </c>
      <c r="K214" s="75" t="s">
        <v>1673</v>
      </c>
      <c r="L214" s="83" t="s">
        <v>1674</v>
      </c>
      <c r="M214" s="53" t="s">
        <v>67</v>
      </c>
      <c r="N214" s="66" t="s">
        <v>94</v>
      </c>
      <c r="O214" s="53" t="s">
        <v>1675</v>
      </c>
      <c r="P214" s="49" t="s">
        <v>343</v>
      </c>
      <c r="Q214" s="49" t="s">
        <v>94</v>
      </c>
      <c r="R214" s="49"/>
      <c r="S214" s="49" t="s">
        <v>1675</v>
      </c>
      <c r="T214" s="49" t="s">
        <v>343</v>
      </c>
      <c r="U214" s="49" t="s">
        <v>94</v>
      </c>
      <c r="V214" s="49" t="str">
        <f t="shared" si="94"/>
        <v>Thị trấn Bình Gia, Huyện Bình Gia, Tỉnh Lạng Sơn</v>
      </c>
      <c r="W214" s="55" t="s">
        <v>1598</v>
      </c>
      <c r="X214" s="69">
        <v>42292</v>
      </c>
      <c r="Y214" s="69"/>
      <c r="Z214" s="69"/>
      <c r="AA214" s="68">
        <f>VLOOKUP(A214,'[1]DANH SÁCH'!$B$8:$AD$841,12,0)</f>
        <v>0</v>
      </c>
      <c r="AB214" s="49" t="str">
        <f>VLOOKUP(A214,'[1]DANH SÁCH'!$B$8:$H$841,6,0)</f>
        <v>TĐ003</v>
      </c>
      <c r="AC214" s="69" t="str">
        <f>VLOOKUP(A214,'[1]DANH SÁCH'!$B$8:$J$841,9,0)</f>
        <v>Nhi</v>
      </c>
      <c r="AD214" s="69" t="str">
        <f>VLOOKUP(A214,'[1]DANH SÁCH'!$B$8:$AC$841,10,0)</f>
        <v>KP017</v>
      </c>
      <c r="AE214" s="69" t="str">
        <f>VLOOKUP(A214,'[1]DANH SÁCH'!$B$8:$AD$841,13,0)</f>
        <v>Viên chức</v>
      </c>
      <c r="AF214" s="41" t="s">
        <v>274</v>
      </c>
      <c r="AG214" s="42" t="str">
        <f>VLOOKUP(A214,'[1]DANH SÁCH'!$B$8:$H$841,7,0)</f>
        <v>Bác sĩ (hạng III)</v>
      </c>
      <c r="AH214" s="45">
        <v>3.33</v>
      </c>
      <c r="AI214" s="42">
        <v>4</v>
      </c>
      <c r="AJ214" s="70">
        <v>0</v>
      </c>
      <c r="AK214" s="69">
        <v>45323</v>
      </c>
      <c r="AL214" s="71" t="s">
        <v>80</v>
      </c>
      <c r="AM214" s="53" t="str">
        <f>VLOOKUP(A214,'[1]DANH SÁCH'!$B$8:$F$841,5,0)</f>
        <v>BSCKI</v>
      </c>
      <c r="AN214" s="53" t="s">
        <v>1667</v>
      </c>
      <c r="AO214" s="53" t="s">
        <v>662</v>
      </c>
      <c r="AP214" s="53">
        <v>2014</v>
      </c>
      <c r="AQ214" s="99" t="s">
        <v>113</v>
      </c>
      <c r="AR214" s="42">
        <f>VLOOKUP(A214,'[1]Chứng chỉ'!$B$8:$Q$1111,11,0)</f>
        <v>0</v>
      </c>
      <c r="AS214" s="42">
        <f>VLOOKUP(A214,'[1]Chứng chỉ'!$B$8:$Q$1111,12,0)</f>
        <v>0</v>
      </c>
      <c r="AT214" s="47" t="s">
        <v>139</v>
      </c>
      <c r="AU214" s="42" t="str">
        <f>VLOOKUP(A214,'[1]Chứng chỉ'!$B$8:$Q$1111,14,0)</f>
        <v>Anh B</v>
      </c>
      <c r="AV214" s="42">
        <f>VLOOKUP(A214,'[1]Chứng chỉ'!$B$8:$Q$1111,15,0)</f>
        <v>0</v>
      </c>
      <c r="AW214" s="42" t="str">
        <f>VLOOKUP(A214,'[1]Chứng chỉ'!$B$8:$Q$1111,16,0)</f>
        <v>Tin B</v>
      </c>
      <c r="AX214" s="42"/>
      <c r="AY214" s="57" t="s">
        <v>87</v>
      </c>
      <c r="AZ214" s="65"/>
      <c r="BA214" s="74" t="e">
        <f t="shared" si="95"/>
        <v>#REF!</v>
      </c>
      <c r="BB214" s="74" t="e">
        <f t="shared" si="96"/>
        <v>#REF!</v>
      </c>
      <c r="BC214" s="79" t="s">
        <v>114</v>
      </c>
      <c r="BD214" s="64"/>
    </row>
    <row r="215" spans="1:56" ht="61.2" x14ac:dyDescent="0.3">
      <c r="A215" s="41" t="s">
        <v>1676</v>
      </c>
      <c r="B215" s="42">
        <f t="shared" si="0"/>
        <v>209</v>
      </c>
      <c r="C215" s="68" t="s">
        <v>1677</v>
      </c>
      <c r="D215" s="41" t="s">
        <v>1676</v>
      </c>
      <c r="E215" s="61">
        <v>1506001851</v>
      </c>
      <c r="F215" s="64"/>
      <c r="G215" s="49" t="s">
        <v>1678</v>
      </c>
      <c r="H215" s="76"/>
      <c r="I215" s="76">
        <v>29452</v>
      </c>
      <c r="J215" s="66">
        <f t="shared" ref="J215:J224" ca="1" si="97">INT(DATEDIF(I215,$J$2,"d")/365)</f>
        <v>45</v>
      </c>
      <c r="K215" s="75" t="s">
        <v>1679</v>
      </c>
      <c r="L215" s="83" t="s">
        <v>1680</v>
      </c>
      <c r="M215" s="53" t="s">
        <v>67</v>
      </c>
      <c r="N215" s="66" t="s">
        <v>94</v>
      </c>
      <c r="O215" s="53" t="s">
        <v>1681</v>
      </c>
      <c r="P215" s="49" t="s">
        <v>282</v>
      </c>
      <c r="Q215" s="49" t="s">
        <v>94</v>
      </c>
      <c r="R215" s="49"/>
      <c r="S215" s="49" t="s">
        <v>166</v>
      </c>
      <c r="T215" s="49" t="s">
        <v>97</v>
      </c>
      <c r="U215" s="49" t="s">
        <v>94</v>
      </c>
      <c r="V215" s="49" t="str">
        <f t="shared" si="94"/>
        <v>Phường Tam Thanh, Thành phố Lạng Sơn, Tỉnh Lạng Sơn</v>
      </c>
      <c r="W215" s="55" t="s">
        <v>1682</v>
      </c>
      <c r="X215" s="41"/>
      <c r="Y215" s="41"/>
      <c r="Z215" s="41"/>
      <c r="AA215" s="68" t="str">
        <f>VLOOKUP(A215,'[1]DANH SÁCH'!$B$8:$AD$841,12,0)</f>
        <v>Phó trưởng khoa</v>
      </c>
      <c r="AB215" s="49" t="str">
        <f>VLOOKUP(A215,'[1]DANH SÁCH'!$B$8:$H$841,6,0)</f>
        <v>TĐ004</v>
      </c>
      <c r="AC215" s="69" t="str">
        <f>VLOOKUP(A215,'[1]DANH SÁCH'!$B$8:$J$841,9,0)</f>
        <v>Nhi</v>
      </c>
      <c r="AD215" s="69" t="str">
        <f>VLOOKUP(A215,'[1]DANH SÁCH'!$B$8:$AC$841,10,0)</f>
        <v>KP017</v>
      </c>
      <c r="AE215" s="69" t="str">
        <f>VLOOKUP(A215,'[1]DANH SÁCH'!$B$8:$AD$841,13,0)</f>
        <v>Viên chức</v>
      </c>
      <c r="AF215" s="41" t="s">
        <v>79</v>
      </c>
      <c r="AG215" s="42" t="str">
        <f>VLOOKUP(A215,'[1]DANH SÁCH'!$B$8:$H$841,7,0)</f>
        <v>Bác sĩ chính (hạng II)</v>
      </c>
      <c r="AH215" s="45">
        <v>5.08</v>
      </c>
      <c r="AI215" s="42">
        <v>3</v>
      </c>
      <c r="AJ215" s="70">
        <v>0</v>
      </c>
      <c r="AK215" s="69">
        <v>44927</v>
      </c>
      <c r="AL215" s="71" t="s">
        <v>80</v>
      </c>
      <c r="AM215" s="53" t="str">
        <f>VLOOKUP(A215,'[1]DANH SÁCH'!$B$8:$F$841,5,0)</f>
        <v>Thạc sỹ</v>
      </c>
      <c r="AN215" s="53" t="s">
        <v>1667</v>
      </c>
      <c r="AO215" s="53" t="s">
        <v>112</v>
      </c>
      <c r="AP215" s="53">
        <v>2014</v>
      </c>
      <c r="AQ215" s="99" t="s">
        <v>113</v>
      </c>
      <c r="AR215" s="42">
        <f>VLOOKUP(A215,'[1]Chứng chỉ'!$B$8:$Q$1111,11,0)</f>
        <v>0</v>
      </c>
      <c r="AS215" s="42" t="str">
        <f>VLOOKUP(A215,'[1]Chứng chỉ'!$B$8:$Q$1111,12,0)</f>
        <v>x</v>
      </c>
      <c r="AT215" s="47" t="s">
        <v>139</v>
      </c>
      <c r="AU215" s="42" t="str">
        <f>VLOOKUP(A215,'[1]Chứng chỉ'!$B$8:$Q$1111,14,0)</f>
        <v>Anh B1</v>
      </c>
      <c r="AV215" s="42" t="str">
        <f>VLOOKUP(A215,'[1]Chứng chỉ'!$B$8:$Q$1111,15,0)</f>
        <v>Tày</v>
      </c>
      <c r="AW215" s="42" t="str">
        <f>VLOOKUP(A215,'[1]Chứng chỉ'!$B$8:$Q$1111,16,0)</f>
        <v>CC tin Sau ĐH</v>
      </c>
      <c r="AX215" s="42"/>
      <c r="AY215" s="57" t="s">
        <v>127</v>
      </c>
      <c r="AZ215" s="65">
        <v>40756</v>
      </c>
      <c r="BA215" s="74" t="e">
        <f t="shared" si="95"/>
        <v>#REF!</v>
      </c>
      <c r="BB215" s="74" t="e">
        <f t="shared" si="96"/>
        <v>#REF!</v>
      </c>
      <c r="BC215" s="79" t="s">
        <v>1683</v>
      </c>
      <c r="BD215" s="64"/>
    </row>
    <row r="216" spans="1:56" ht="40.799999999999997" x14ac:dyDescent="0.3">
      <c r="A216" s="41" t="s">
        <v>1684</v>
      </c>
      <c r="B216" s="42">
        <f t="shared" si="0"/>
        <v>210</v>
      </c>
      <c r="C216" s="44" t="s">
        <v>1685</v>
      </c>
      <c r="D216" s="41" t="s">
        <v>1684</v>
      </c>
      <c r="E216" s="61">
        <v>2016000983</v>
      </c>
      <c r="F216" s="64"/>
      <c r="G216" s="49" t="s">
        <v>1686</v>
      </c>
      <c r="H216" s="87"/>
      <c r="I216" s="41" t="s">
        <v>1687</v>
      </c>
      <c r="J216" s="66">
        <f t="shared" ca="1" si="97"/>
        <v>35</v>
      </c>
      <c r="K216" s="75" t="s">
        <v>1688</v>
      </c>
      <c r="L216" s="83" t="s">
        <v>1689</v>
      </c>
      <c r="M216" s="53" t="s">
        <v>67</v>
      </c>
      <c r="N216" s="66" t="s">
        <v>94</v>
      </c>
      <c r="O216" s="88" t="s">
        <v>467</v>
      </c>
      <c r="P216" s="87" t="s">
        <v>145</v>
      </c>
      <c r="Q216" s="87" t="s">
        <v>94</v>
      </c>
      <c r="R216" s="87" t="s">
        <v>1690</v>
      </c>
      <c r="S216" s="76" t="s">
        <v>467</v>
      </c>
      <c r="T216" s="76" t="s">
        <v>145</v>
      </c>
      <c r="U216" s="76" t="s">
        <v>94</v>
      </c>
      <c r="V216" s="49" t="str">
        <f t="shared" si="94"/>
        <v>Xã Tân Mỹ, Huyện Văn Lãng, Tỉnh Lạng Sơn</v>
      </c>
      <c r="W216" s="89" t="s">
        <v>491</v>
      </c>
      <c r="X216" s="43"/>
      <c r="Y216" s="43"/>
      <c r="Z216" s="43"/>
      <c r="AA216" s="68">
        <f>VLOOKUP(A216,'[1]DANH SÁCH'!$B$8:$AD$841,12,0)</f>
        <v>0</v>
      </c>
      <c r="AB216" s="49" t="str">
        <f>VLOOKUP(A216,'[1]DANH SÁCH'!$B$8:$H$841,6,0)</f>
        <v>TĐ003</v>
      </c>
      <c r="AC216" s="69" t="str">
        <f>VLOOKUP(A216,'[1]DANH SÁCH'!$B$8:$J$841,9,0)</f>
        <v>Nhi</v>
      </c>
      <c r="AD216" s="69" t="str">
        <f>VLOOKUP(A216,'[1]DANH SÁCH'!$B$8:$AC$841,10,0)</f>
        <v>KP017</v>
      </c>
      <c r="AE216" s="69" t="str">
        <f>VLOOKUP(A216,'[1]DANH SÁCH'!$B$8:$AD$841,13,0)</f>
        <v>Viên chức</v>
      </c>
      <c r="AF216" s="41" t="s">
        <v>274</v>
      </c>
      <c r="AG216" s="42" t="str">
        <f>VLOOKUP(A216,'[1]DANH SÁCH'!$B$8:$H$841,7,0)</f>
        <v>Bác sĩ (hạng III)</v>
      </c>
      <c r="AH216" s="45">
        <v>3.33</v>
      </c>
      <c r="AI216" s="42">
        <v>4</v>
      </c>
      <c r="AJ216" s="70">
        <v>0</v>
      </c>
      <c r="AK216" s="69">
        <v>45951</v>
      </c>
      <c r="AL216" s="71" t="s">
        <v>80</v>
      </c>
      <c r="AM216" s="53" t="str">
        <f>VLOOKUP(A216,'[1]DANH SÁCH'!$B$8:$F$841,5,0)</f>
        <v>BSCKI</v>
      </c>
      <c r="AN216" s="53" t="s">
        <v>1667</v>
      </c>
      <c r="AO216" s="53" t="s">
        <v>1130</v>
      </c>
      <c r="AP216" s="53">
        <v>2015</v>
      </c>
      <c r="AQ216" s="99" t="s">
        <v>113</v>
      </c>
      <c r="AR216" s="42">
        <f>VLOOKUP(A216,'[1]Chứng chỉ'!$B$8:$Q$1111,11,0)</f>
        <v>0</v>
      </c>
      <c r="AS216" s="42">
        <f>VLOOKUP(A216,'[1]Chứng chỉ'!$B$8:$Q$1111,12,0)</f>
        <v>0</v>
      </c>
      <c r="AT216" s="47" t="s">
        <v>139</v>
      </c>
      <c r="AU216" s="42" t="str">
        <f>VLOOKUP(A216,'[1]Chứng chỉ'!$B$8:$Q$1111,14,0)</f>
        <v>Anh B</v>
      </c>
      <c r="AV216" s="42">
        <f>VLOOKUP(A216,'[1]Chứng chỉ'!$B$8:$Q$1111,15,0)</f>
        <v>0</v>
      </c>
      <c r="AW216" s="42" t="str">
        <f>VLOOKUP(A216,'[1]Chứng chỉ'!$B$8:$Q$1111,16,0)</f>
        <v>Tin B</v>
      </c>
      <c r="AX216" s="42"/>
      <c r="AY216" s="57" t="s">
        <v>127</v>
      </c>
      <c r="AZ216" s="65"/>
      <c r="BA216" s="74" t="e">
        <f t="shared" si="95"/>
        <v>#REF!</v>
      </c>
      <c r="BB216" s="74" t="e">
        <f t="shared" si="96"/>
        <v>#REF!</v>
      </c>
      <c r="BC216" s="41"/>
      <c r="BD216" s="64"/>
    </row>
    <row r="217" spans="1:56" ht="40.799999999999997" x14ac:dyDescent="0.3">
      <c r="A217" s="46" t="s">
        <v>1691</v>
      </c>
      <c r="B217" s="42">
        <f t="shared" si="0"/>
        <v>211</v>
      </c>
      <c r="C217" s="63" t="s">
        <v>1692</v>
      </c>
      <c r="D217" s="46" t="s">
        <v>1691</v>
      </c>
      <c r="E217" s="61" t="s">
        <v>1693</v>
      </c>
      <c r="F217" s="10"/>
      <c r="G217" s="49" t="s">
        <v>1694</v>
      </c>
      <c r="H217" s="47"/>
      <c r="I217" s="46" t="s">
        <v>1695</v>
      </c>
      <c r="J217" s="66">
        <f t="shared" ca="1" si="97"/>
        <v>31</v>
      </c>
      <c r="K217" s="94" t="s">
        <v>1696</v>
      </c>
      <c r="L217" s="41" t="s">
        <v>1697</v>
      </c>
      <c r="M217" s="53" t="s">
        <v>67</v>
      </c>
      <c r="N217" s="95"/>
      <c r="O217" s="96"/>
      <c r="P217" s="6"/>
      <c r="Q217" s="6"/>
      <c r="R217" s="6"/>
      <c r="S217" s="6"/>
      <c r="T217" s="6"/>
      <c r="U217" s="6"/>
      <c r="V217" s="6"/>
      <c r="W217" s="67" t="s">
        <v>306</v>
      </c>
      <c r="X217" s="97"/>
      <c r="Y217" s="97"/>
      <c r="Z217" s="97"/>
      <c r="AA217" s="68">
        <f>VLOOKUP(A217,'[1]DANH SÁCH'!$B$8:$AD$841,12,0)</f>
        <v>0</v>
      </c>
      <c r="AB217" s="49" t="str">
        <f>VLOOKUP(A217,'[1]DANH SÁCH'!$B$8:$H$841,6,0)</f>
        <v>TĐ005</v>
      </c>
      <c r="AC217" s="69" t="str">
        <f>VLOOKUP(A217,'[1]DANH SÁCH'!$B$8:$J$841,9,0)</f>
        <v>Nhi</v>
      </c>
      <c r="AD217" s="69" t="str">
        <f>VLOOKUP(A217,'[1]DANH SÁCH'!$B$8:$AC$841,10,0)</f>
        <v>KP017</v>
      </c>
      <c r="AE217" s="69" t="str">
        <f>VLOOKUP(A217,'[1]DANH SÁCH'!$B$8:$AD$841,13,0)</f>
        <v>Viên chức</v>
      </c>
      <c r="AF217" s="41" t="s">
        <v>274</v>
      </c>
      <c r="AG217" s="42" t="str">
        <f>VLOOKUP(A217,'[1]DANH SÁCH'!$B$8:$H$841,7,0)</f>
        <v>Bác sĩ (hạng III)</v>
      </c>
      <c r="AH217" s="45">
        <v>2.67</v>
      </c>
      <c r="AI217" s="42">
        <v>2</v>
      </c>
      <c r="AJ217" s="70">
        <v>0</v>
      </c>
      <c r="AK217" s="69">
        <v>44958</v>
      </c>
      <c r="AL217" s="71" t="s">
        <v>80</v>
      </c>
      <c r="AM217" s="53" t="str">
        <f>VLOOKUP(A217,'[1]DANH SÁCH'!$B$8:$F$841,5,0)</f>
        <v>Bác sĩ</v>
      </c>
      <c r="AN217" s="53" t="s">
        <v>307</v>
      </c>
      <c r="AO217" s="53"/>
      <c r="AP217" s="53"/>
      <c r="AQ217" s="72" t="s">
        <v>113</v>
      </c>
      <c r="AR217" s="42">
        <f>VLOOKUP(A217,'[1]Chứng chỉ'!$B$8:$Q$1111,11,0)</f>
        <v>0</v>
      </c>
      <c r="AS217" s="42">
        <f>VLOOKUP(A217,'[1]Chứng chỉ'!$B$8:$Q$1111,12,0)</f>
        <v>0</v>
      </c>
      <c r="AT217" s="47">
        <f>VLOOKUP(A217,'[1]Chứng chỉ'!$B$8:$Q$1111,13,0)</f>
        <v>0</v>
      </c>
      <c r="AU217" s="42" t="str">
        <f>VLOOKUP(A217,'[1]Chứng chỉ'!$B$8:$Q$1111,14,0)</f>
        <v>Anh B</v>
      </c>
      <c r="AV217" s="42">
        <f>VLOOKUP(A217,'[1]Chứng chỉ'!$B$8:$Q$1111,15,0)</f>
        <v>0</v>
      </c>
      <c r="AW217" s="42" t="str">
        <f>VLOOKUP(A217,'[1]Chứng chỉ'!$B$8:$Q$1111,16,0)</f>
        <v>Cơ bản</v>
      </c>
      <c r="AX217" s="6"/>
      <c r="AY217" s="98" t="s">
        <v>85</v>
      </c>
      <c r="AZ217" s="65"/>
      <c r="BA217" s="74"/>
      <c r="BB217" s="74"/>
      <c r="BC217" s="79" t="s">
        <v>1698</v>
      </c>
      <c r="BD217" s="64"/>
    </row>
    <row r="218" spans="1:56" ht="51" x14ac:dyDescent="0.3">
      <c r="A218" s="41" t="s">
        <v>1699</v>
      </c>
      <c r="B218" s="42">
        <f t="shared" si="0"/>
        <v>212</v>
      </c>
      <c r="C218" s="68" t="s">
        <v>1700</v>
      </c>
      <c r="D218" s="41" t="s">
        <v>1699</v>
      </c>
      <c r="E218" s="61">
        <v>1506001852</v>
      </c>
      <c r="F218" s="64"/>
      <c r="G218" s="49" t="s">
        <v>1701</v>
      </c>
      <c r="H218" s="76"/>
      <c r="I218" s="76">
        <v>29854</v>
      </c>
      <c r="J218" s="66">
        <f t="shared" ca="1" si="97"/>
        <v>44</v>
      </c>
      <c r="K218" s="75" t="s">
        <v>1702</v>
      </c>
      <c r="L218" s="83" t="s">
        <v>1703</v>
      </c>
      <c r="M218" s="53" t="s">
        <v>67</v>
      </c>
      <c r="N218" s="66" t="s">
        <v>94</v>
      </c>
      <c r="O218" s="53" t="s">
        <v>460</v>
      </c>
      <c r="P218" s="49" t="s">
        <v>108</v>
      </c>
      <c r="Q218" s="49" t="s">
        <v>94</v>
      </c>
      <c r="R218" s="49" t="s">
        <v>1300</v>
      </c>
      <c r="S218" s="49" t="s">
        <v>460</v>
      </c>
      <c r="T218" s="49" t="s">
        <v>108</v>
      </c>
      <c r="U218" s="49" t="s">
        <v>94</v>
      </c>
      <c r="V218" s="49" t="str">
        <f t="shared" ref="V218:V264" si="98">S218&amp;", "&amp;T218&amp;", "&amp;U218</f>
        <v>Thị trấn Cao Lộc, Huyện Cao Lộc, Tỉnh Lạng Sơn</v>
      </c>
      <c r="W218" s="55" t="s">
        <v>98</v>
      </c>
      <c r="X218" s="41" t="s">
        <v>1149</v>
      </c>
      <c r="Y218" s="41"/>
      <c r="Z218" s="41"/>
      <c r="AA218" s="68">
        <f>VLOOKUP(A218,'[1]DANH SÁCH'!$B$8:$AD$841,12,0)</f>
        <v>0</v>
      </c>
      <c r="AB218" s="49" t="str">
        <f>VLOOKUP(A218,'[1]DANH SÁCH'!$B$8:$H$841,6,0)</f>
        <v>TĐ011</v>
      </c>
      <c r="AC218" s="69" t="str">
        <f>VLOOKUP(A218,'[1]DANH SÁCH'!$B$8:$J$841,9,0)</f>
        <v>Nhi</v>
      </c>
      <c r="AD218" s="69" t="str">
        <f>VLOOKUP(A218,'[1]DANH SÁCH'!$B$8:$AC$841,10,0)</f>
        <v>KP017</v>
      </c>
      <c r="AE218" s="69" t="str">
        <f>VLOOKUP(A218,'[1]DANH SÁCH'!$B$8:$AD$841,13,0)</f>
        <v>Viên chức</v>
      </c>
      <c r="AF218" s="41" t="s">
        <v>147</v>
      </c>
      <c r="AG218" s="42" t="str">
        <f>VLOOKUP(A218,'[1]DANH SÁCH'!$B$8:$H$841,7,0)</f>
        <v>Điều dưỡng (hạng III)</v>
      </c>
      <c r="AH218" s="45">
        <v>3.99</v>
      </c>
      <c r="AI218" s="42">
        <v>6</v>
      </c>
      <c r="AJ218" s="70">
        <v>0</v>
      </c>
      <c r="AK218" s="69">
        <v>45809</v>
      </c>
      <c r="AL218" s="71" t="s">
        <v>80</v>
      </c>
      <c r="AM218" s="53" t="str">
        <f>VLOOKUP(A218,'[1]DANH SÁCH'!$B$8:$F$841,5,0)</f>
        <v>Điều dưỡng ĐH</v>
      </c>
      <c r="AN218" s="53"/>
      <c r="AO218" s="53" t="s">
        <v>365</v>
      </c>
      <c r="AP218" s="53">
        <v>2005</v>
      </c>
      <c r="AQ218" s="99" t="s">
        <v>113</v>
      </c>
      <c r="AR218" s="42">
        <f>VLOOKUP(A218,'[1]Chứng chỉ'!$B$8:$Q$1111,11,0)</f>
        <v>0</v>
      </c>
      <c r="AS218" s="42">
        <f>VLOOKUP(A218,'[1]Chứng chỉ'!$B$8:$Q$1111,12,0)</f>
        <v>0</v>
      </c>
      <c r="AT218" s="47" t="s">
        <v>139</v>
      </c>
      <c r="AU218" s="42" t="str">
        <f>VLOOKUP(A218,'[1]Chứng chỉ'!$B$8:$Q$1111,14,0)</f>
        <v>Anh B</v>
      </c>
      <c r="AV218" s="42" t="str">
        <f>VLOOKUP(A218,'[1]Chứng chỉ'!$B$8:$Q$1111,15,0)</f>
        <v>Tày</v>
      </c>
      <c r="AW218" s="42" t="str">
        <f>VLOOKUP(A218,'[1]Chứng chỉ'!$B$8:$Q$1111,16,0)</f>
        <v>Tin B</v>
      </c>
      <c r="AX218" s="42"/>
      <c r="AY218" s="57" t="s">
        <v>85</v>
      </c>
      <c r="AZ218" s="65">
        <v>44614</v>
      </c>
      <c r="BA218" s="74" t="e">
        <f t="shared" ref="BA218:BA239" si="99">VLOOKUP(A218,#REF!,4,0)</f>
        <v>#REF!</v>
      </c>
      <c r="BB218" s="74" t="e">
        <f t="shared" ref="BB218:BB239" si="100">VLOOKUP(A218,#REF!,5,0)</f>
        <v>#REF!</v>
      </c>
      <c r="BC218" s="46"/>
      <c r="BD218" s="47"/>
    </row>
    <row r="219" spans="1:56" ht="61.2" x14ac:dyDescent="0.3">
      <c r="A219" s="41" t="s">
        <v>1704</v>
      </c>
      <c r="B219" s="42">
        <f t="shared" si="0"/>
        <v>213</v>
      </c>
      <c r="C219" s="68" t="s">
        <v>1705</v>
      </c>
      <c r="D219" s="41" t="s">
        <v>1704</v>
      </c>
      <c r="E219" s="61">
        <v>1506002920</v>
      </c>
      <c r="F219" s="64"/>
      <c r="G219" s="49" t="s">
        <v>1706</v>
      </c>
      <c r="H219" s="76"/>
      <c r="I219" s="76">
        <v>30494</v>
      </c>
      <c r="J219" s="66">
        <f t="shared" ca="1" si="97"/>
        <v>43</v>
      </c>
      <c r="K219" s="75" t="s">
        <v>1707</v>
      </c>
      <c r="L219" s="41" t="s">
        <v>1708</v>
      </c>
      <c r="M219" s="53" t="s">
        <v>67</v>
      </c>
      <c r="N219" s="66"/>
      <c r="O219" s="53"/>
      <c r="P219" s="49" t="s">
        <v>93</v>
      </c>
      <c r="Q219" s="49" t="s">
        <v>94</v>
      </c>
      <c r="R219" s="49"/>
      <c r="S219" s="49" t="s">
        <v>166</v>
      </c>
      <c r="T219" s="49" t="s">
        <v>97</v>
      </c>
      <c r="U219" s="49" t="s">
        <v>94</v>
      </c>
      <c r="V219" s="49" t="str">
        <f t="shared" si="98"/>
        <v>Phường Tam Thanh, Thành phố Lạng Sơn, Tỉnh Lạng Sơn</v>
      </c>
      <c r="W219" s="55" t="s">
        <v>146</v>
      </c>
      <c r="X219" s="41"/>
      <c r="Y219" s="41"/>
      <c r="Z219" s="41"/>
      <c r="AA219" s="68" t="str">
        <f>VLOOKUP(A219,'[1]DANH SÁCH'!$B$8:$AD$841,12,0)</f>
        <v>Điều dưỡng trưởng</v>
      </c>
      <c r="AB219" s="49" t="str">
        <f>VLOOKUP(A219,'[1]DANH SÁCH'!$B$8:$H$841,6,0)</f>
        <v>TĐ011</v>
      </c>
      <c r="AC219" s="69" t="str">
        <f>VLOOKUP(A219,'[1]DANH SÁCH'!$B$8:$J$841,9,0)</f>
        <v>Nhi</v>
      </c>
      <c r="AD219" s="69" t="str">
        <f>VLOOKUP(A219,'[1]DANH SÁCH'!$B$8:$AC$841,10,0)</f>
        <v>KP017</v>
      </c>
      <c r="AE219" s="69" t="str">
        <f>VLOOKUP(A219,'[1]DANH SÁCH'!$B$8:$AD$841,13,0)</f>
        <v>Viên chức</v>
      </c>
      <c r="AF219" s="41" t="s">
        <v>147</v>
      </c>
      <c r="AG219" s="42" t="str">
        <f>VLOOKUP(A219,'[1]DANH SÁCH'!$B$8:$H$841,7,0)</f>
        <v>Điều dưỡng (hạng III)</v>
      </c>
      <c r="AH219" s="45">
        <v>3.99</v>
      </c>
      <c r="AI219" s="42">
        <v>6</v>
      </c>
      <c r="AJ219" s="70">
        <v>0</v>
      </c>
      <c r="AK219" s="69">
        <v>45778</v>
      </c>
      <c r="AL219" s="71" t="s">
        <v>80</v>
      </c>
      <c r="AM219" s="53" t="str">
        <f>VLOOKUP(A219,'[1]DANH SÁCH'!$B$8:$F$841,5,0)</f>
        <v>Điều dưỡng ĐH</v>
      </c>
      <c r="AN219" s="53"/>
      <c r="AO219" s="53"/>
      <c r="AP219" s="53"/>
      <c r="AQ219" s="53"/>
      <c r="AR219" s="42" t="s">
        <v>82</v>
      </c>
      <c r="AS219" s="42">
        <f>VLOOKUP(A219,'[1]Chứng chỉ'!$B$8:$Q$1111,12,0)</f>
        <v>0</v>
      </c>
      <c r="AT219" s="47" t="s">
        <v>139</v>
      </c>
      <c r="AU219" s="42" t="str">
        <f>VLOOKUP(A219,'[1]Chứng chỉ'!$B$8:$Q$1111,14,0)</f>
        <v>Anh B</v>
      </c>
      <c r="AV219" s="42" t="str">
        <f>VLOOKUP(A219,'[1]Chứng chỉ'!$B$8:$Q$1111,15,0)</f>
        <v>Tày</v>
      </c>
      <c r="AW219" s="42" t="str">
        <f>VLOOKUP(A219,'[1]Chứng chỉ'!$B$8:$Q$1111,16,0)</f>
        <v>Tin B</v>
      </c>
      <c r="AX219" s="42"/>
      <c r="AY219" s="57" t="s">
        <v>85</v>
      </c>
      <c r="AZ219" s="65">
        <v>42677</v>
      </c>
      <c r="BA219" s="74" t="e">
        <f t="shared" si="99"/>
        <v>#REF!</v>
      </c>
      <c r="BB219" s="74" t="e">
        <f t="shared" si="100"/>
        <v>#REF!</v>
      </c>
      <c r="BC219" s="79" t="s">
        <v>114</v>
      </c>
      <c r="BD219" s="64"/>
    </row>
    <row r="220" spans="1:56" ht="51" x14ac:dyDescent="0.3">
      <c r="A220" s="41" t="s">
        <v>1709</v>
      </c>
      <c r="B220" s="42">
        <f t="shared" si="0"/>
        <v>214</v>
      </c>
      <c r="C220" s="68" t="s">
        <v>1710</v>
      </c>
      <c r="D220" s="41" t="s">
        <v>1709</v>
      </c>
      <c r="E220" s="61">
        <v>2013002123</v>
      </c>
      <c r="F220" s="64"/>
      <c r="G220" s="49" t="s">
        <v>1711</v>
      </c>
      <c r="H220" s="76"/>
      <c r="I220" s="76">
        <v>32932</v>
      </c>
      <c r="J220" s="66">
        <f t="shared" ca="1" si="97"/>
        <v>36</v>
      </c>
      <c r="K220" s="75" t="s">
        <v>1712</v>
      </c>
      <c r="L220" s="83" t="s">
        <v>1713</v>
      </c>
      <c r="M220" s="53" t="s">
        <v>67</v>
      </c>
      <c r="N220" s="66" t="s">
        <v>94</v>
      </c>
      <c r="O220" s="85" t="s">
        <v>1714</v>
      </c>
      <c r="P220" s="49" t="s">
        <v>282</v>
      </c>
      <c r="Q220" s="49" t="s">
        <v>94</v>
      </c>
      <c r="R220" s="76"/>
      <c r="S220" s="76" t="s">
        <v>1714</v>
      </c>
      <c r="T220" s="49" t="s">
        <v>282</v>
      </c>
      <c r="U220" s="49" t="s">
        <v>94</v>
      </c>
      <c r="V220" s="49" t="str">
        <f t="shared" si="98"/>
        <v>Xã Hòa Thắng, Huyện Hữu Lũng, Tỉnh Lạng Sơn</v>
      </c>
      <c r="W220" s="55" t="s">
        <v>156</v>
      </c>
      <c r="X220" s="41"/>
      <c r="Y220" s="41"/>
      <c r="Z220" s="41"/>
      <c r="AA220" s="68">
        <f>VLOOKUP(A220,'[1]DANH SÁCH'!$B$8:$AD$841,12,0)</f>
        <v>0</v>
      </c>
      <c r="AB220" s="49" t="str">
        <f>VLOOKUP(A220,'[1]DANH SÁCH'!$B$8:$H$841,6,0)</f>
        <v>TĐ011</v>
      </c>
      <c r="AC220" s="69" t="str">
        <f>VLOOKUP(A220,'[1]DANH SÁCH'!$B$8:$J$841,9,0)</f>
        <v>Nhi</v>
      </c>
      <c r="AD220" s="69" t="str">
        <f>VLOOKUP(A220,'[1]DANH SÁCH'!$B$8:$AC$841,10,0)</f>
        <v>KP017</v>
      </c>
      <c r="AE220" s="69" t="str">
        <f>VLOOKUP(A220,'[1]DANH SÁCH'!$B$8:$AD$841,13,0)</f>
        <v>Viên chức</v>
      </c>
      <c r="AF220" s="41" t="s">
        <v>147</v>
      </c>
      <c r="AG220" s="42" t="str">
        <f>VLOOKUP(A220,'[1]DANH SÁCH'!$B$8:$H$841,7,0)</f>
        <v>Điều dưỡng (hạng III)</v>
      </c>
      <c r="AH220" s="45" t="s">
        <v>1715</v>
      </c>
      <c r="AI220" s="42">
        <v>6</v>
      </c>
      <c r="AJ220" s="70">
        <v>0</v>
      </c>
      <c r="AK220" s="69">
        <v>45818</v>
      </c>
      <c r="AL220" s="71" t="s">
        <v>158</v>
      </c>
      <c r="AM220" s="53" t="str">
        <f>VLOOKUP(A220,'[1]DANH SÁCH'!$B$8:$F$841,5,0)</f>
        <v>Điều dưỡng ĐH</v>
      </c>
      <c r="AN220" s="53"/>
      <c r="AO220" s="53" t="s">
        <v>1093</v>
      </c>
      <c r="AP220" s="53">
        <v>2011</v>
      </c>
      <c r="AQ220" s="99" t="s">
        <v>113</v>
      </c>
      <c r="AR220" s="42">
        <f>VLOOKUP(A220,'[1]Chứng chỉ'!$B$8:$Q$1111,11,0)</f>
        <v>0</v>
      </c>
      <c r="AS220" s="42">
        <f>VLOOKUP(A220,'[1]Chứng chỉ'!$B$8:$Q$1111,12,0)</f>
        <v>0</v>
      </c>
      <c r="AT220" s="47" t="s">
        <v>139</v>
      </c>
      <c r="AU220" s="42" t="str">
        <f>VLOOKUP(A220,'[1]Chứng chỉ'!$B$8:$Q$1111,14,0)</f>
        <v>Anh A2</v>
      </c>
      <c r="AV220" s="42">
        <f>VLOOKUP(A220,'[1]Chứng chỉ'!$B$8:$Q$1111,15,0)</f>
        <v>0</v>
      </c>
      <c r="AW220" s="42" t="str">
        <f>VLOOKUP(A220,'[1]Chứng chỉ'!$B$8:$Q$1111,16,0)</f>
        <v>Cơ bản</v>
      </c>
      <c r="AX220" s="42"/>
      <c r="AY220" s="57" t="s">
        <v>127</v>
      </c>
      <c r="AZ220" s="65"/>
      <c r="BA220" s="74" t="e">
        <f t="shared" si="99"/>
        <v>#REF!</v>
      </c>
      <c r="BB220" s="74" t="e">
        <f t="shared" si="100"/>
        <v>#REF!</v>
      </c>
      <c r="BC220" s="79" t="s">
        <v>1163</v>
      </c>
      <c r="BD220" s="64"/>
    </row>
    <row r="221" spans="1:56" ht="51" x14ac:dyDescent="0.3">
      <c r="A221" s="41" t="s">
        <v>1716</v>
      </c>
      <c r="B221" s="42">
        <f t="shared" si="0"/>
        <v>215</v>
      </c>
      <c r="C221" s="68" t="s">
        <v>1717</v>
      </c>
      <c r="D221" s="41" t="s">
        <v>1716</v>
      </c>
      <c r="E221" s="61">
        <v>2010000179</v>
      </c>
      <c r="F221" s="64"/>
      <c r="G221" s="49" t="s">
        <v>1718</v>
      </c>
      <c r="H221" s="76"/>
      <c r="I221" s="76">
        <v>31644</v>
      </c>
      <c r="J221" s="66">
        <f t="shared" ca="1" si="97"/>
        <v>39</v>
      </c>
      <c r="K221" s="75" t="s">
        <v>1719</v>
      </c>
      <c r="L221" s="83" t="s">
        <v>704</v>
      </c>
      <c r="M221" s="53" t="s">
        <v>67</v>
      </c>
      <c r="N221" s="66" t="s">
        <v>94</v>
      </c>
      <c r="O221" s="53" t="s">
        <v>918</v>
      </c>
      <c r="P221" s="49" t="s">
        <v>155</v>
      </c>
      <c r="Q221" s="49" t="s">
        <v>94</v>
      </c>
      <c r="R221" s="49"/>
      <c r="S221" s="49" t="s">
        <v>918</v>
      </c>
      <c r="T221" s="49" t="s">
        <v>155</v>
      </c>
      <c r="U221" s="49" t="s">
        <v>94</v>
      </c>
      <c r="V221" s="49" t="str">
        <f t="shared" si="98"/>
        <v>Xã Tràng Phái, Huyện Văn Quan, Tỉnh Lạng Sơn</v>
      </c>
      <c r="W221" s="55" t="s">
        <v>236</v>
      </c>
      <c r="X221" s="41"/>
      <c r="Y221" s="41"/>
      <c r="Z221" s="41"/>
      <c r="AA221" s="68">
        <f>VLOOKUP(A221,'[1]DANH SÁCH'!$B$8:$AD$841,12,0)</f>
        <v>0</v>
      </c>
      <c r="AB221" s="49" t="str">
        <f>VLOOKUP(A221,'[1]DANH SÁCH'!$B$8:$H$841,6,0)</f>
        <v>TĐ012</v>
      </c>
      <c r="AC221" s="69" t="str">
        <f>VLOOKUP(A221,'[1]DANH SÁCH'!$B$8:$J$841,9,0)</f>
        <v>Nhi</v>
      </c>
      <c r="AD221" s="69" t="str">
        <f>VLOOKUP(A221,'[1]DANH SÁCH'!$B$8:$AC$841,10,0)</f>
        <v>KP017</v>
      </c>
      <c r="AE221" s="69" t="str">
        <f>VLOOKUP(A221,'[1]DANH SÁCH'!$B$8:$AD$841,13,0)</f>
        <v>Viên chức</v>
      </c>
      <c r="AF221" s="41" t="s">
        <v>157</v>
      </c>
      <c r="AG221" s="42" t="str">
        <f>VLOOKUP(A221,'[1]DANH SÁCH'!$B$8:$H$841,7,0)</f>
        <v>Điều dưỡng (hạng IV)</v>
      </c>
      <c r="AH221" s="45">
        <v>3.34</v>
      </c>
      <c r="AI221" s="42">
        <v>5</v>
      </c>
      <c r="AJ221" s="70">
        <v>0</v>
      </c>
      <c r="AK221" s="69">
        <v>45275</v>
      </c>
      <c r="AL221" s="71" t="s">
        <v>158</v>
      </c>
      <c r="AM221" s="53" t="str">
        <f>VLOOKUP(A221,'[1]DANH SÁCH'!$B$8:$F$841,5,0)</f>
        <v>Điều dưỡng CĐ</v>
      </c>
      <c r="AN221" s="53"/>
      <c r="AO221" s="53" t="s">
        <v>1093</v>
      </c>
      <c r="AP221" s="53">
        <v>2007</v>
      </c>
      <c r="AQ221" s="99" t="s">
        <v>113</v>
      </c>
      <c r="AR221" s="42">
        <f>VLOOKUP(A221,'[1]Chứng chỉ'!$B$8:$Q$1111,11,0)</f>
        <v>0</v>
      </c>
      <c r="AS221" s="42">
        <f>VLOOKUP(A221,'[1]Chứng chỉ'!$B$8:$Q$1111,12,0)</f>
        <v>0</v>
      </c>
      <c r="AT221" s="47" t="str">
        <f>VLOOKUP(A221,'[1]Chứng chỉ'!$B$8:$Q$1111,13,0)</f>
        <v xml:space="preserve">K </v>
      </c>
      <c r="AU221" s="42" t="str">
        <f>VLOOKUP(A221,'[1]Chứng chỉ'!$B$8:$Q$1111,14,0)</f>
        <v>Toefl</v>
      </c>
      <c r="AV221" s="42" t="str">
        <f>VLOOKUP(A221,'[1]Chứng chỉ'!$B$8:$Q$1111,15,0)</f>
        <v xml:space="preserve">K </v>
      </c>
      <c r="AW221" s="42" t="str">
        <f>VLOOKUP(A221,'[1]Chứng chỉ'!$B$8:$Q$1111,16,0)</f>
        <v>Cơ bản</v>
      </c>
      <c r="AX221" s="42"/>
      <c r="AY221" s="57" t="s">
        <v>127</v>
      </c>
      <c r="AZ221" s="65"/>
      <c r="BA221" s="74" t="e">
        <f t="shared" si="99"/>
        <v>#REF!</v>
      </c>
      <c r="BB221" s="74" t="e">
        <f t="shared" si="100"/>
        <v>#REF!</v>
      </c>
      <c r="BC221" s="79" t="s">
        <v>1163</v>
      </c>
      <c r="BD221" s="64"/>
    </row>
    <row r="222" spans="1:56" ht="51" x14ac:dyDescent="0.3">
      <c r="A222" s="41" t="s">
        <v>1720</v>
      </c>
      <c r="B222" s="42">
        <f t="shared" si="0"/>
        <v>216</v>
      </c>
      <c r="C222" s="68" t="s">
        <v>1721</v>
      </c>
      <c r="D222" s="41" t="s">
        <v>1720</v>
      </c>
      <c r="E222" s="61">
        <v>2011002111</v>
      </c>
      <c r="F222" s="64"/>
      <c r="G222" s="49" t="s">
        <v>1722</v>
      </c>
      <c r="H222" s="76"/>
      <c r="I222" s="76">
        <v>31973</v>
      </c>
      <c r="J222" s="66">
        <f t="shared" ca="1" si="97"/>
        <v>39</v>
      </c>
      <c r="K222" s="75" t="s">
        <v>1723</v>
      </c>
      <c r="L222" s="83" t="s">
        <v>1724</v>
      </c>
      <c r="M222" s="53" t="s">
        <v>67</v>
      </c>
      <c r="N222" s="66" t="s">
        <v>94</v>
      </c>
      <c r="O222" s="53" t="s">
        <v>1725</v>
      </c>
      <c r="P222" s="49" t="s">
        <v>108</v>
      </c>
      <c r="Q222" s="49" t="s">
        <v>94</v>
      </c>
      <c r="R222" s="49"/>
      <c r="S222" s="49" t="s">
        <v>1725</v>
      </c>
      <c r="T222" s="49" t="s">
        <v>108</v>
      </c>
      <c r="U222" s="49" t="s">
        <v>94</v>
      </c>
      <c r="V222" s="49" t="str">
        <f t="shared" si="98"/>
        <v>Xã Thạch Đạn, Huyện Cao Lộc, Tỉnh Lạng Sơn</v>
      </c>
      <c r="W222" s="55" t="s">
        <v>224</v>
      </c>
      <c r="X222" s="41"/>
      <c r="Y222" s="41"/>
      <c r="Z222" s="41"/>
      <c r="AA222" s="68">
        <f>VLOOKUP(A222,'[1]DANH SÁCH'!$B$8:$AD$841,12,0)</f>
        <v>0</v>
      </c>
      <c r="AB222" s="49" t="str">
        <f>VLOOKUP(A222,'[1]DANH SÁCH'!$B$8:$H$841,6,0)</f>
        <v>TĐ012</v>
      </c>
      <c r="AC222" s="69" t="str">
        <f>VLOOKUP(A222,'[1]DANH SÁCH'!$B$8:$J$841,9,0)</f>
        <v>Nhi</v>
      </c>
      <c r="AD222" s="69" t="str">
        <f>VLOOKUP(A222,'[1]DANH SÁCH'!$B$8:$AC$841,10,0)</f>
        <v>KP017</v>
      </c>
      <c r="AE222" s="69" t="str">
        <f>VLOOKUP(A222,'[1]DANH SÁCH'!$B$8:$AD$841,13,0)</f>
        <v>Viên chức</v>
      </c>
      <c r="AF222" s="41" t="s">
        <v>157</v>
      </c>
      <c r="AG222" s="42" t="str">
        <f>VLOOKUP(A222,'[1]DANH SÁCH'!$B$8:$H$841,7,0)</f>
        <v>Điều dưỡng (hạng IV)</v>
      </c>
      <c r="AH222" s="45">
        <v>3.34</v>
      </c>
      <c r="AI222" s="42">
        <v>5</v>
      </c>
      <c r="AJ222" s="70">
        <v>0</v>
      </c>
      <c r="AK222" s="69">
        <v>45566</v>
      </c>
      <c r="AL222" s="71" t="s">
        <v>158</v>
      </c>
      <c r="AM222" s="53" t="str">
        <f>VLOOKUP(A222,'[1]DANH SÁCH'!$B$8:$F$841,5,0)</f>
        <v>Điều dưỡng CĐ</v>
      </c>
      <c r="AN222" s="53"/>
      <c r="AO222" s="53" t="s">
        <v>1093</v>
      </c>
      <c r="AP222" s="53">
        <v>2008</v>
      </c>
      <c r="AQ222" s="99" t="s">
        <v>113</v>
      </c>
      <c r="AR222" s="42">
        <f>VLOOKUP(A222,'[1]Chứng chỉ'!$B$8:$Q$1111,11,0)</f>
        <v>0</v>
      </c>
      <c r="AS222" s="42">
        <f>VLOOKUP(A222,'[1]Chứng chỉ'!$B$8:$Q$1111,12,0)</f>
        <v>0</v>
      </c>
      <c r="AT222" s="47">
        <f>VLOOKUP(A222,'[1]Chứng chỉ'!$B$8:$Q$1111,13,0)</f>
        <v>0</v>
      </c>
      <c r="AU222" s="42" t="str">
        <f>VLOOKUP(A222,'[1]Chứng chỉ'!$B$8:$Q$1111,14,0)</f>
        <v>Anh B</v>
      </c>
      <c r="AV222" s="42">
        <f>VLOOKUP(A222,'[1]Chứng chỉ'!$B$8:$Q$1111,15,0)</f>
        <v>0</v>
      </c>
      <c r="AW222" s="42" t="str">
        <f>VLOOKUP(A222,'[1]Chứng chỉ'!$B$8:$Q$1111,16,0)</f>
        <v>Cơ bản</v>
      </c>
      <c r="AX222" s="42"/>
      <c r="AY222" s="57" t="s">
        <v>127</v>
      </c>
      <c r="AZ222" s="65"/>
      <c r="BA222" s="74" t="e">
        <f t="shared" si="99"/>
        <v>#REF!</v>
      </c>
      <c r="BB222" s="74" t="e">
        <f t="shared" si="100"/>
        <v>#REF!</v>
      </c>
      <c r="BC222" s="79" t="s">
        <v>1163</v>
      </c>
      <c r="BD222" s="64"/>
    </row>
    <row r="223" spans="1:56" ht="61.2" x14ac:dyDescent="0.3">
      <c r="A223" s="41" t="s">
        <v>1726</v>
      </c>
      <c r="B223" s="42">
        <f t="shared" si="0"/>
        <v>217</v>
      </c>
      <c r="C223" s="68" t="s">
        <v>1727</v>
      </c>
      <c r="D223" s="41" t="s">
        <v>1726</v>
      </c>
      <c r="E223" s="61">
        <v>2014000514</v>
      </c>
      <c r="F223" s="64"/>
      <c r="G223" s="49" t="s">
        <v>1728</v>
      </c>
      <c r="H223" s="76"/>
      <c r="I223" s="76">
        <v>32077</v>
      </c>
      <c r="J223" s="66">
        <f t="shared" ca="1" si="97"/>
        <v>38</v>
      </c>
      <c r="K223" s="75" t="s">
        <v>1729</v>
      </c>
      <c r="L223" s="83" t="s">
        <v>1730</v>
      </c>
      <c r="M223" s="53" t="s">
        <v>67</v>
      </c>
      <c r="N223" s="66" t="s">
        <v>94</v>
      </c>
      <c r="O223" s="85" t="s">
        <v>96</v>
      </c>
      <c r="P223" s="76" t="s">
        <v>97</v>
      </c>
      <c r="Q223" s="76" t="s">
        <v>94</v>
      </c>
      <c r="R223" s="49"/>
      <c r="S223" s="76" t="s">
        <v>96</v>
      </c>
      <c r="T223" s="76" t="s">
        <v>97</v>
      </c>
      <c r="U223" s="76" t="s">
        <v>94</v>
      </c>
      <c r="V223" s="49" t="str">
        <f t="shared" si="98"/>
        <v>Phường Hoàng Văn Thụ, Thành phố Lạng Sơn, Tỉnh Lạng Sơn</v>
      </c>
      <c r="W223" s="86" t="s">
        <v>249</v>
      </c>
      <c r="X223" s="41"/>
      <c r="Y223" s="41"/>
      <c r="Z223" s="41"/>
      <c r="AA223" s="68">
        <f>VLOOKUP(A223,'[1]DANH SÁCH'!$B$8:$AD$841,12,0)</f>
        <v>0</v>
      </c>
      <c r="AB223" s="49" t="str">
        <f>VLOOKUP(A223,'[1]DANH SÁCH'!$B$8:$H$841,6,0)</f>
        <v>TĐ012</v>
      </c>
      <c r="AC223" s="69" t="str">
        <f>VLOOKUP(A223,'[1]DANH SÁCH'!$B$8:$J$841,9,0)</f>
        <v>Nhi</v>
      </c>
      <c r="AD223" s="69" t="str">
        <f>VLOOKUP(A223,'[1]DANH SÁCH'!$B$8:$AC$841,10,0)</f>
        <v>KP017</v>
      </c>
      <c r="AE223" s="69" t="str">
        <f>VLOOKUP(A223,'[1]DANH SÁCH'!$B$8:$AD$841,13,0)</f>
        <v>Viên chức</v>
      </c>
      <c r="AF223" s="41" t="s">
        <v>157</v>
      </c>
      <c r="AG223" s="42" t="str">
        <f>VLOOKUP(A223,'[1]DANH SÁCH'!$B$8:$H$841,7,0)</f>
        <v>Điều dưỡng (hạng IV)</v>
      </c>
      <c r="AH223" s="45">
        <v>2.72</v>
      </c>
      <c r="AI223" s="42">
        <v>3</v>
      </c>
      <c r="AJ223" s="70">
        <v>0</v>
      </c>
      <c r="AK223" s="69">
        <v>44927</v>
      </c>
      <c r="AL223" s="71" t="s">
        <v>158</v>
      </c>
      <c r="AM223" s="53" t="str">
        <f>VLOOKUP(A223,'[1]DANH SÁCH'!$B$8:$F$841,5,0)</f>
        <v>Điều dưỡng CĐ</v>
      </c>
      <c r="AN223" s="53"/>
      <c r="AO223" s="53"/>
      <c r="AP223" s="53"/>
      <c r="AQ223" s="99" t="s">
        <v>113</v>
      </c>
      <c r="AR223" s="42">
        <f>VLOOKUP(A223,'[1]Chứng chỉ'!$B$8:$Q$1111,11,0)</f>
        <v>0</v>
      </c>
      <c r="AS223" s="42">
        <f>VLOOKUP(A223,'[1]Chứng chỉ'!$B$8:$Q$1111,12,0)</f>
        <v>0</v>
      </c>
      <c r="AT223" s="47" t="s">
        <v>139</v>
      </c>
      <c r="AU223" s="42" t="str">
        <f>VLOOKUP(A223,'[1]Chứng chỉ'!$B$8:$Q$1111,14,0)</f>
        <v>Anh B</v>
      </c>
      <c r="AV223" s="42">
        <f>VLOOKUP(A223,'[1]Chứng chỉ'!$B$8:$Q$1111,15,0)</f>
        <v>0</v>
      </c>
      <c r="AW223" s="42" t="str">
        <f>VLOOKUP(A223,'[1]Chứng chỉ'!$B$8:$Q$1111,16,0)</f>
        <v>B</v>
      </c>
      <c r="AX223" s="42"/>
      <c r="AY223" s="57" t="s">
        <v>127</v>
      </c>
      <c r="AZ223" s="65"/>
      <c r="BA223" s="74" t="e">
        <f t="shared" si="99"/>
        <v>#REF!</v>
      </c>
      <c r="BB223" s="74" t="e">
        <f t="shared" si="100"/>
        <v>#REF!</v>
      </c>
      <c r="BC223" s="41" t="s">
        <v>1731</v>
      </c>
      <c r="BD223" s="64"/>
    </row>
    <row r="224" spans="1:56" ht="40.799999999999997" x14ac:dyDescent="0.3">
      <c r="A224" s="41" t="s">
        <v>1732</v>
      </c>
      <c r="B224" s="42">
        <f t="shared" si="0"/>
        <v>218</v>
      </c>
      <c r="C224" s="68" t="s">
        <v>1733</v>
      </c>
      <c r="D224" s="41" t="s">
        <v>1732</v>
      </c>
      <c r="E224" s="61">
        <v>2009000910</v>
      </c>
      <c r="F224" s="64"/>
      <c r="G224" s="49" t="s">
        <v>1734</v>
      </c>
      <c r="H224" s="76"/>
      <c r="I224" s="76">
        <v>32367</v>
      </c>
      <c r="J224" s="66">
        <f t="shared" ca="1" si="97"/>
        <v>37</v>
      </c>
      <c r="K224" s="75" t="s">
        <v>1735</v>
      </c>
      <c r="L224" s="83" t="s">
        <v>1736</v>
      </c>
      <c r="M224" s="53" t="s">
        <v>67</v>
      </c>
      <c r="N224" s="66"/>
      <c r="O224" s="53"/>
      <c r="P224" s="49" t="s">
        <v>108</v>
      </c>
      <c r="Q224" s="49" t="s">
        <v>94</v>
      </c>
      <c r="R224" s="49"/>
      <c r="S224" s="49"/>
      <c r="T224" s="49" t="s">
        <v>108</v>
      </c>
      <c r="U224" s="49" t="s">
        <v>94</v>
      </c>
      <c r="V224" s="49" t="str">
        <f t="shared" si="98"/>
        <v>, Huyện Cao Lộc, Tỉnh Lạng Sơn</v>
      </c>
      <c r="W224" s="86" t="s">
        <v>1737</v>
      </c>
      <c r="X224" s="41"/>
      <c r="Y224" s="41"/>
      <c r="Z224" s="41"/>
      <c r="AA224" s="68">
        <f>VLOOKUP(A224,'[1]DANH SÁCH'!$B$8:$AD$841,12,0)</f>
        <v>0</v>
      </c>
      <c r="AB224" s="49" t="str">
        <f>VLOOKUP(A224,'[1]DANH SÁCH'!$B$8:$H$841,6,0)</f>
        <v>TĐ011</v>
      </c>
      <c r="AC224" s="69" t="str">
        <f>VLOOKUP(A224,'[1]DANH SÁCH'!$B$8:$J$841,9,0)</f>
        <v>Nhi</v>
      </c>
      <c r="AD224" s="69" t="str">
        <f>VLOOKUP(A224,'[1]DANH SÁCH'!$B$8:$AC$841,10,0)</f>
        <v>KP017</v>
      </c>
      <c r="AE224" s="69" t="str">
        <f>VLOOKUP(A224,'[1]DANH SÁCH'!$B$8:$AD$841,13,0)</f>
        <v>Viên chức</v>
      </c>
      <c r="AF224" s="41" t="s">
        <v>147</v>
      </c>
      <c r="AG224" s="42" t="str">
        <f>VLOOKUP(A224,'[1]DANH SÁCH'!$B$8:$H$841,7,0)</f>
        <v>Điều dưỡng (hạng III)</v>
      </c>
      <c r="AH224" s="45">
        <v>3.66</v>
      </c>
      <c r="AI224" s="42">
        <v>5</v>
      </c>
      <c r="AJ224" s="70">
        <v>0</v>
      </c>
      <c r="AK224" s="69">
        <v>45383</v>
      </c>
      <c r="AL224" s="71" t="s">
        <v>80</v>
      </c>
      <c r="AM224" s="72" t="str">
        <f>VLOOKUP(A224,'[1]DANH SÁCH'!$B$8:$F$841,5,0)</f>
        <v>Điều dưỡng ĐH</v>
      </c>
      <c r="AN224" s="53"/>
      <c r="AO224" s="53"/>
      <c r="AP224" s="53"/>
      <c r="AQ224" s="72"/>
      <c r="AR224" s="42">
        <f>VLOOKUP(A224,'[1]Chứng chỉ'!$B$8:$Q$1111,11,0)</f>
        <v>0</v>
      </c>
      <c r="AS224" s="42">
        <f>VLOOKUP(A224,'[1]Chứng chỉ'!$B$8:$Q$1111,12,0)</f>
        <v>0</v>
      </c>
      <c r="AT224" s="47" t="s">
        <v>139</v>
      </c>
      <c r="AU224" s="42" t="str">
        <f>VLOOKUP(A224,'[1]Chứng chỉ'!$B$8:$Q$1111,14,0)</f>
        <v>TOEIC</v>
      </c>
      <c r="AV224" s="42">
        <f>VLOOKUP(A224,'[1]Chứng chỉ'!$B$8:$Q$1111,15,0)</f>
        <v>0</v>
      </c>
      <c r="AW224" s="42" t="str">
        <f>VLOOKUP(A224,'[1]Chứng chỉ'!$B$8:$Q$1111,16,0)</f>
        <v>Cơ bản</v>
      </c>
      <c r="AX224" s="42"/>
      <c r="AY224" s="57" t="s">
        <v>127</v>
      </c>
      <c r="AZ224" s="65">
        <v>43417</v>
      </c>
      <c r="BA224" s="74" t="e">
        <f t="shared" si="99"/>
        <v>#REF!</v>
      </c>
      <c r="BB224" s="74" t="e">
        <f t="shared" si="100"/>
        <v>#REF!</v>
      </c>
      <c r="BC224" s="79" t="s">
        <v>114</v>
      </c>
      <c r="BD224" s="64"/>
    </row>
    <row r="225" spans="1:56" ht="61.2" x14ac:dyDescent="0.3">
      <c r="A225" s="41" t="s">
        <v>1738</v>
      </c>
      <c r="B225" s="42">
        <f t="shared" si="0"/>
        <v>219</v>
      </c>
      <c r="C225" s="68" t="s">
        <v>1739</v>
      </c>
      <c r="D225" s="41" t="s">
        <v>1738</v>
      </c>
      <c r="E225" s="61">
        <v>2009000907</v>
      </c>
      <c r="F225" s="64"/>
      <c r="G225" s="49" t="s">
        <v>1740</v>
      </c>
      <c r="H225" s="76">
        <v>30689</v>
      </c>
      <c r="I225" s="76"/>
      <c r="J225" s="66">
        <f ca="1">INT(DATEDIF(H225,$J$2,"d")/365)</f>
        <v>42</v>
      </c>
      <c r="K225" s="75" t="s">
        <v>1741</v>
      </c>
      <c r="L225" s="83" t="s">
        <v>1742</v>
      </c>
      <c r="M225" s="53" t="s">
        <v>67</v>
      </c>
      <c r="N225" s="66" t="s">
        <v>94</v>
      </c>
      <c r="O225" s="53" t="s">
        <v>1743</v>
      </c>
      <c r="P225" s="49" t="s">
        <v>195</v>
      </c>
      <c r="Q225" s="49" t="s">
        <v>94</v>
      </c>
      <c r="R225" s="49"/>
      <c r="S225" s="49" t="s">
        <v>166</v>
      </c>
      <c r="T225" s="49" t="s">
        <v>97</v>
      </c>
      <c r="U225" s="49" t="s">
        <v>94</v>
      </c>
      <c r="V225" s="49" t="str">
        <f t="shared" si="98"/>
        <v>Phường Tam Thanh, Thành phố Lạng Sơn, Tỉnh Lạng Sơn</v>
      </c>
      <c r="W225" s="55" t="s">
        <v>627</v>
      </c>
      <c r="X225" s="41"/>
      <c r="Y225" s="41"/>
      <c r="Z225" s="41"/>
      <c r="AA225" s="68">
        <f>VLOOKUP(A225,'[1]DANH SÁCH'!$B$8:$AD$841,12,0)</f>
        <v>0</v>
      </c>
      <c r="AB225" s="49" t="str">
        <f>VLOOKUP(A225,'[1]DANH SÁCH'!$B$8:$H$841,6,0)</f>
        <v>TĐ012</v>
      </c>
      <c r="AC225" s="69" t="str">
        <f>VLOOKUP(A225,'[1]DANH SÁCH'!$B$8:$J$841,9,0)</f>
        <v>Nhi</v>
      </c>
      <c r="AD225" s="69" t="str">
        <f>VLOOKUP(A225,'[1]DANH SÁCH'!$B$8:$AC$841,10,0)</f>
        <v>KP017</v>
      </c>
      <c r="AE225" s="69" t="str">
        <f>VLOOKUP(A225,'[1]DANH SÁCH'!$B$8:$AD$841,13,0)</f>
        <v>Viên chức</v>
      </c>
      <c r="AF225" s="41" t="s">
        <v>157</v>
      </c>
      <c r="AG225" s="42" t="str">
        <f>VLOOKUP(A225,'[1]DANH SÁCH'!$B$8:$H$841,7,0)</f>
        <v>Điều dưỡng (hạng IV)</v>
      </c>
      <c r="AH225" s="45">
        <v>3.65</v>
      </c>
      <c r="AI225" s="42">
        <v>6</v>
      </c>
      <c r="AJ225" s="70">
        <v>0</v>
      </c>
      <c r="AK225" s="69">
        <v>45839</v>
      </c>
      <c r="AL225" s="71" t="s">
        <v>158</v>
      </c>
      <c r="AM225" s="53" t="str">
        <f>VLOOKUP(A225,'[1]DANH SÁCH'!$B$8:$F$841,5,0)</f>
        <v>Điều dưỡng CĐ</v>
      </c>
      <c r="AN225" s="53"/>
      <c r="AO225" s="53" t="s">
        <v>1093</v>
      </c>
      <c r="AP225" s="53">
        <v>2007</v>
      </c>
      <c r="AQ225" s="99" t="s">
        <v>113</v>
      </c>
      <c r="AR225" s="42">
        <f>VLOOKUP(A225,'[1]Chứng chỉ'!$B$8:$Q$1111,11,0)</f>
        <v>0</v>
      </c>
      <c r="AS225" s="42">
        <f>VLOOKUP(A225,'[1]Chứng chỉ'!$B$8:$Q$1111,12,0)</f>
        <v>0</v>
      </c>
      <c r="AT225" s="47" t="str">
        <f>VLOOKUP(A225,'[1]Chứng chỉ'!$B$8:$Q$1111,13,0)</f>
        <v xml:space="preserve">K </v>
      </c>
      <c r="AU225" s="42" t="str">
        <f>VLOOKUP(A225,'[1]Chứng chỉ'!$B$8:$Q$1111,14,0)</f>
        <v>Toefl</v>
      </c>
      <c r="AV225" s="42" t="str">
        <f>VLOOKUP(A225,'[1]Chứng chỉ'!$B$8:$Q$1111,15,0)</f>
        <v xml:space="preserve">K </v>
      </c>
      <c r="AW225" s="42" t="str">
        <f>VLOOKUP(A225,'[1]Chứng chỉ'!$B$8:$Q$1111,16,0)</f>
        <v>Cơ bản</v>
      </c>
      <c r="AX225" s="42"/>
      <c r="AY225" s="57" t="s">
        <v>85</v>
      </c>
      <c r="AZ225" s="65"/>
      <c r="BA225" s="74" t="e">
        <f t="shared" si="99"/>
        <v>#REF!</v>
      </c>
      <c r="BB225" s="74" t="e">
        <f t="shared" si="100"/>
        <v>#REF!</v>
      </c>
      <c r="BC225" s="79" t="s">
        <v>1744</v>
      </c>
      <c r="BD225" s="64"/>
    </row>
    <row r="226" spans="1:56" ht="40.799999999999997" x14ac:dyDescent="0.3">
      <c r="A226" s="41" t="s">
        <v>1745</v>
      </c>
      <c r="B226" s="42">
        <f t="shared" si="0"/>
        <v>220</v>
      </c>
      <c r="C226" s="68" t="s">
        <v>1746</v>
      </c>
      <c r="D226" s="41" t="s">
        <v>1745</v>
      </c>
      <c r="E226" s="61">
        <v>2010000150</v>
      </c>
      <c r="F226" s="64"/>
      <c r="G226" s="49" t="s">
        <v>1747</v>
      </c>
      <c r="H226" s="76"/>
      <c r="I226" s="76">
        <v>31171</v>
      </c>
      <c r="J226" s="66">
        <f t="shared" ref="J226:J231" ca="1" si="101">INT(DATEDIF(I226,$J$2,"d")/365)</f>
        <v>41</v>
      </c>
      <c r="K226" s="75" t="s">
        <v>1748</v>
      </c>
      <c r="L226" s="83" t="s">
        <v>806</v>
      </c>
      <c r="M226" s="53" t="s">
        <v>67</v>
      </c>
      <c r="N226" s="66" t="s">
        <v>94</v>
      </c>
      <c r="O226" s="53" t="s">
        <v>194</v>
      </c>
      <c r="P226" s="49" t="s">
        <v>195</v>
      </c>
      <c r="Q226" s="49" t="s">
        <v>94</v>
      </c>
      <c r="R226" s="49"/>
      <c r="S226" s="49" t="s">
        <v>194</v>
      </c>
      <c r="T226" s="49" t="s">
        <v>195</v>
      </c>
      <c r="U226" s="49" t="s">
        <v>94</v>
      </c>
      <c r="V226" s="49" t="str">
        <f t="shared" si="98"/>
        <v>Xã Chi Lăng, Huyện Tràng Định, Tỉnh Lạng Sơn</v>
      </c>
      <c r="W226" s="55" t="s">
        <v>236</v>
      </c>
      <c r="X226" s="41"/>
      <c r="Y226" s="41"/>
      <c r="Z226" s="41"/>
      <c r="AA226" s="68">
        <f>VLOOKUP(A226,'[1]DANH SÁCH'!$B$8:$AD$841,12,0)</f>
        <v>0</v>
      </c>
      <c r="AB226" s="49" t="str">
        <f>VLOOKUP(A226,'[1]DANH SÁCH'!$B$8:$H$841,6,0)</f>
        <v>TĐ011</v>
      </c>
      <c r="AC226" s="69" t="str">
        <f>VLOOKUP(A226,'[1]DANH SÁCH'!$B$8:$J$841,9,0)</f>
        <v>Nhi</v>
      </c>
      <c r="AD226" s="69" t="str">
        <f>VLOOKUP(A226,'[1]DANH SÁCH'!$B$8:$AC$841,10,0)</f>
        <v>KP017</v>
      </c>
      <c r="AE226" s="69" t="str">
        <f>VLOOKUP(A226,'[1]DANH SÁCH'!$B$8:$AD$841,13,0)</f>
        <v>Viên chức</v>
      </c>
      <c r="AF226" s="41" t="s">
        <v>147</v>
      </c>
      <c r="AG226" s="42" t="str">
        <f>VLOOKUP(A226,'[1]DANH SÁCH'!$B$8:$H$841,7,0)</f>
        <v>Điều dưỡng (hạng III)</v>
      </c>
      <c r="AH226" s="45">
        <v>3.66</v>
      </c>
      <c r="AI226" s="42">
        <v>5</v>
      </c>
      <c r="AJ226" s="70">
        <v>0</v>
      </c>
      <c r="AK226" s="69">
        <v>45383</v>
      </c>
      <c r="AL226" s="71" t="s">
        <v>80</v>
      </c>
      <c r="AM226" s="53" t="str">
        <f>VLOOKUP(A226,'[1]DANH SÁCH'!$B$8:$F$841,5,0)</f>
        <v>Điều dưỡng ĐH</v>
      </c>
      <c r="AN226" s="53"/>
      <c r="AO226" s="53" t="s">
        <v>365</v>
      </c>
      <c r="AP226" s="53">
        <v>2006</v>
      </c>
      <c r="AQ226" s="99" t="s">
        <v>113</v>
      </c>
      <c r="AR226" s="42">
        <f>VLOOKUP(A226,'[1]Chứng chỉ'!$B$8:$Q$1111,11,0)</f>
        <v>0</v>
      </c>
      <c r="AS226" s="42">
        <f>VLOOKUP(A226,'[1]Chứng chỉ'!$B$8:$Q$1111,12,0)</f>
        <v>0</v>
      </c>
      <c r="AT226" s="47">
        <f>VLOOKUP(A226,'[1]Chứng chỉ'!$B$8:$Q$1111,13,0)</f>
        <v>0</v>
      </c>
      <c r="AU226" s="42" t="str">
        <f>VLOOKUP(A226,'[1]Chứng chỉ'!$B$8:$Q$1111,14,0)</f>
        <v>Anh A2</v>
      </c>
      <c r="AV226" s="42">
        <f>VLOOKUP(A226,'[1]Chứng chỉ'!$B$8:$Q$1111,15,0)</f>
        <v>0</v>
      </c>
      <c r="AW226" s="42" t="str">
        <f>VLOOKUP(A226,'[1]Chứng chỉ'!$B$8:$Q$1111,16,0)</f>
        <v>Cơ bản</v>
      </c>
      <c r="AX226" s="42"/>
      <c r="AY226" s="57" t="s">
        <v>85</v>
      </c>
      <c r="AZ226" s="65"/>
      <c r="BA226" s="74" t="e">
        <f t="shared" si="99"/>
        <v>#REF!</v>
      </c>
      <c r="BB226" s="74" t="e">
        <f t="shared" si="100"/>
        <v>#REF!</v>
      </c>
      <c r="BC226" s="79" t="s">
        <v>1749</v>
      </c>
      <c r="BD226" s="64"/>
    </row>
    <row r="227" spans="1:56" ht="51" x14ac:dyDescent="0.3">
      <c r="A227" s="41" t="s">
        <v>1750</v>
      </c>
      <c r="B227" s="42">
        <f t="shared" si="0"/>
        <v>221</v>
      </c>
      <c r="C227" s="68" t="s">
        <v>1751</v>
      </c>
      <c r="D227" s="41" t="s">
        <v>1750</v>
      </c>
      <c r="E227" s="61">
        <v>2010000147</v>
      </c>
      <c r="F227" s="64"/>
      <c r="G227" s="49" t="s">
        <v>1752</v>
      </c>
      <c r="H227" s="76"/>
      <c r="I227" s="76">
        <v>31978</v>
      </c>
      <c r="J227" s="66">
        <f t="shared" ca="1" si="101"/>
        <v>39</v>
      </c>
      <c r="K227" s="75" t="s">
        <v>1753</v>
      </c>
      <c r="L227" s="83" t="s">
        <v>1754</v>
      </c>
      <c r="M227" s="53" t="s">
        <v>67</v>
      </c>
      <c r="N227" s="66" t="s">
        <v>94</v>
      </c>
      <c r="O227" s="53" t="s">
        <v>1755</v>
      </c>
      <c r="P227" s="49" t="s">
        <v>108</v>
      </c>
      <c r="Q227" s="49" t="s">
        <v>94</v>
      </c>
      <c r="R227" s="49"/>
      <c r="S227" s="49" t="s">
        <v>1755</v>
      </c>
      <c r="T227" s="49" t="s">
        <v>108</v>
      </c>
      <c r="U227" s="49" t="s">
        <v>94</v>
      </c>
      <c r="V227" s="49" t="str">
        <f t="shared" si="98"/>
        <v>Xã Thụy Hùng, Huyện Cao Lộc, Tỉnh Lạng Sơn</v>
      </c>
      <c r="W227" s="55" t="s">
        <v>236</v>
      </c>
      <c r="X227" s="41"/>
      <c r="Y227" s="41"/>
      <c r="Z227" s="41"/>
      <c r="AA227" s="68">
        <f>VLOOKUP(A227,'[1]DANH SÁCH'!$B$8:$AD$841,12,0)</f>
        <v>0</v>
      </c>
      <c r="AB227" s="49" t="str">
        <f>VLOOKUP(A227,'[1]DANH SÁCH'!$B$8:$H$841,6,0)</f>
        <v>TĐ012</v>
      </c>
      <c r="AC227" s="69" t="str">
        <f>VLOOKUP(A227,'[1]DANH SÁCH'!$B$8:$J$841,9,0)</f>
        <v>Nhi</v>
      </c>
      <c r="AD227" s="69" t="str">
        <f>VLOOKUP(A227,'[1]DANH SÁCH'!$B$8:$AC$841,10,0)</f>
        <v>KP017</v>
      </c>
      <c r="AE227" s="69" t="str">
        <f>VLOOKUP(A227,'[1]DANH SÁCH'!$B$8:$AD$841,13,0)</f>
        <v>Viên chức</v>
      </c>
      <c r="AF227" s="41" t="s">
        <v>157</v>
      </c>
      <c r="AG227" s="42" t="str">
        <f>VLOOKUP(A227,'[1]DANH SÁCH'!$B$8:$H$841,7,0)</f>
        <v>Điều dưỡng (hạng IV)</v>
      </c>
      <c r="AH227" s="45">
        <v>3.34</v>
      </c>
      <c r="AI227" s="42">
        <v>5</v>
      </c>
      <c r="AJ227" s="70">
        <v>0</v>
      </c>
      <c r="AK227" s="69">
        <v>44927</v>
      </c>
      <c r="AL227" s="71" t="s">
        <v>158</v>
      </c>
      <c r="AM227" s="53" t="str">
        <f>VLOOKUP(A227,'[1]DANH SÁCH'!$B$8:$F$841,5,0)</f>
        <v>Điều dưỡng CĐ</v>
      </c>
      <c r="AN227" s="53"/>
      <c r="AO227" s="53" t="s">
        <v>1093</v>
      </c>
      <c r="AP227" s="53">
        <v>2008</v>
      </c>
      <c r="AQ227" s="99" t="s">
        <v>113</v>
      </c>
      <c r="AR227" s="42">
        <f>VLOOKUP(A227,'[1]Chứng chỉ'!$B$8:$Q$1111,11,0)</f>
        <v>0</v>
      </c>
      <c r="AS227" s="42">
        <f>VLOOKUP(A227,'[1]Chứng chỉ'!$B$8:$Q$1111,12,0)</f>
        <v>0</v>
      </c>
      <c r="AT227" s="47" t="str">
        <f>VLOOKUP(A227,'[1]Chứng chỉ'!$B$8:$Q$1111,13,0)</f>
        <v xml:space="preserve">K </v>
      </c>
      <c r="AU227" s="42" t="str">
        <f>VLOOKUP(A227,'[1]Chứng chỉ'!$B$8:$Q$1111,14,0)</f>
        <v>Toefl</v>
      </c>
      <c r="AV227" s="42" t="str">
        <f>VLOOKUP(A227,'[1]Chứng chỉ'!$B$8:$Q$1111,15,0)</f>
        <v xml:space="preserve">K </v>
      </c>
      <c r="AW227" s="42" t="str">
        <f>VLOOKUP(A227,'[1]Chứng chỉ'!$B$8:$Q$1111,16,0)</f>
        <v>Cơ bản</v>
      </c>
      <c r="AX227" s="42"/>
      <c r="AY227" s="57" t="s">
        <v>127</v>
      </c>
      <c r="AZ227" s="65"/>
      <c r="BA227" s="74" t="e">
        <f t="shared" si="99"/>
        <v>#REF!</v>
      </c>
      <c r="BB227" s="74" t="e">
        <f t="shared" si="100"/>
        <v>#REF!</v>
      </c>
      <c r="BC227" s="79" t="s">
        <v>114</v>
      </c>
      <c r="BD227" s="64"/>
    </row>
    <row r="228" spans="1:56" ht="51" x14ac:dyDescent="0.3">
      <c r="A228" s="41" t="s">
        <v>1756</v>
      </c>
      <c r="B228" s="42">
        <f t="shared" si="0"/>
        <v>222</v>
      </c>
      <c r="C228" s="68" t="s">
        <v>1757</v>
      </c>
      <c r="D228" s="41" t="s">
        <v>1756</v>
      </c>
      <c r="E228" s="61">
        <v>2009000932</v>
      </c>
      <c r="F228" s="64"/>
      <c r="G228" s="49" t="s">
        <v>1758</v>
      </c>
      <c r="H228" s="76"/>
      <c r="I228" s="76">
        <v>31772</v>
      </c>
      <c r="J228" s="66">
        <f t="shared" ca="1" si="101"/>
        <v>39</v>
      </c>
      <c r="K228" s="75" t="s">
        <v>1759</v>
      </c>
      <c r="L228" s="83" t="s">
        <v>1760</v>
      </c>
      <c r="M228" s="53" t="s">
        <v>67</v>
      </c>
      <c r="N228" s="66" t="s">
        <v>94</v>
      </c>
      <c r="O228" s="53" t="s">
        <v>1761</v>
      </c>
      <c r="P228" s="49" t="s">
        <v>93</v>
      </c>
      <c r="Q228" s="49" t="s">
        <v>94</v>
      </c>
      <c r="R228" s="49"/>
      <c r="S228" s="49" t="s">
        <v>136</v>
      </c>
      <c r="T228" s="49" t="s">
        <v>97</v>
      </c>
      <c r="U228" s="49" t="s">
        <v>94</v>
      </c>
      <c r="V228" s="49" t="str">
        <f t="shared" si="98"/>
        <v>Phường Chi Lăng, Thành phố Lạng Sơn, Tỉnh Lạng Sơn</v>
      </c>
      <c r="W228" s="55" t="s">
        <v>98</v>
      </c>
      <c r="X228" s="41"/>
      <c r="Y228" s="41"/>
      <c r="Z228" s="41"/>
      <c r="AA228" s="68">
        <f>VLOOKUP(A228,'[1]DANH SÁCH'!$B$8:$AD$841,12,0)</f>
        <v>0</v>
      </c>
      <c r="AB228" s="49" t="str">
        <f>VLOOKUP(A228,'[1]DANH SÁCH'!$B$8:$H$841,6,0)</f>
        <v>TĐ011</v>
      </c>
      <c r="AC228" s="69" t="str">
        <f>VLOOKUP(A228,'[1]DANH SÁCH'!$B$8:$J$841,9,0)</f>
        <v>Nhi</v>
      </c>
      <c r="AD228" s="69" t="str">
        <f>VLOOKUP(A228,'[1]DANH SÁCH'!$B$8:$AC$841,10,0)</f>
        <v>KP017</v>
      </c>
      <c r="AE228" s="69" t="str">
        <f>VLOOKUP(A228,'[1]DANH SÁCH'!$B$8:$AD$841,13,0)</f>
        <v>Viên chức</v>
      </c>
      <c r="AF228" s="41" t="s">
        <v>147</v>
      </c>
      <c r="AG228" s="42" t="str">
        <f>VLOOKUP(A228,'[1]DANH SÁCH'!$B$8:$H$841,7,0)</f>
        <v>Điều dưỡng (hạng III)</v>
      </c>
      <c r="AH228" s="45">
        <v>3.66</v>
      </c>
      <c r="AI228" s="42">
        <v>5</v>
      </c>
      <c r="AJ228" s="70">
        <v>0</v>
      </c>
      <c r="AK228" s="69">
        <v>45383</v>
      </c>
      <c r="AL228" s="71" t="s">
        <v>80</v>
      </c>
      <c r="AM228" s="72" t="str">
        <f>VLOOKUP(A228,'[1]DANH SÁCH'!$B$8:$F$841,5,0)</f>
        <v>Điều dưỡng ĐH</v>
      </c>
      <c r="AN228" s="53"/>
      <c r="AO228" s="53" t="s">
        <v>1093</v>
      </c>
      <c r="AP228" s="53">
        <v>2007</v>
      </c>
      <c r="AQ228" s="99" t="s">
        <v>113</v>
      </c>
      <c r="AR228" s="42">
        <f>VLOOKUP(A228,'[1]Chứng chỉ'!$B$8:$Q$1111,11,0)</f>
        <v>0</v>
      </c>
      <c r="AS228" s="42">
        <f>VLOOKUP(A228,'[1]Chứng chỉ'!$B$8:$Q$1111,12,0)</f>
        <v>0</v>
      </c>
      <c r="AT228" s="47">
        <f>VLOOKUP(A228,'[1]Chứng chỉ'!$B$8:$Q$1111,13,0)</f>
        <v>0</v>
      </c>
      <c r="AU228" s="42" t="str">
        <f>VLOOKUP(A228,'[1]Chứng chỉ'!$B$8:$Q$1111,14,0)</f>
        <v>TOEIC</v>
      </c>
      <c r="AV228" s="42">
        <f>VLOOKUP(A228,'[1]Chứng chỉ'!$B$8:$Q$1111,15,0)</f>
        <v>0</v>
      </c>
      <c r="AW228" s="42" t="str">
        <f>VLOOKUP(A228,'[1]Chứng chỉ'!$B$8:$Q$1111,16,0)</f>
        <v>Cơ bản</v>
      </c>
      <c r="AX228" s="42"/>
      <c r="AY228" s="57" t="s">
        <v>85</v>
      </c>
      <c r="AZ228" s="65"/>
      <c r="BA228" s="74" t="e">
        <f t="shared" si="99"/>
        <v>#REF!</v>
      </c>
      <c r="BB228" s="74" t="e">
        <f t="shared" si="100"/>
        <v>#REF!</v>
      </c>
      <c r="BC228" s="79" t="s">
        <v>114</v>
      </c>
      <c r="BD228" s="64"/>
    </row>
    <row r="229" spans="1:56" ht="51" x14ac:dyDescent="0.3">
      <c r="A229" s="41" t="s">
        <v>1762</v>
      </c>
      <c r="B229" s="42">
        <f t="shared" si="0"/>
        <v>223</v>
      </c>
      <c r="C229" s="68" t="s">
        <v>1763</v>
      </c>
      <c r="D229" s="41" t="s">
        <v>1762</v>
      </c>
      <c r="E229" s="61">
        <v>2011000022</v>
      </c>
      <c r="F229" s="64"/>
      <c r="G229" s="49" t="s">
        <v>1764</v>
      </c>
      <c r="H229" s="76"/>
      <c r="I229" s="76">
        <v>31002</v>
      </c>
      <c r="J229" s="66">
        <f t="shared" ca="1" si="101"/>
        <v>41</v>
      </c>
      <c r="K229" s="75" t="s">
        <v>1765</v>
      </c>
      <c r="L229" s="83" t="s">
        <v>1766</v>
      </c>
      <c r="M229" s="53" t="s">
        <v>67</v>
      </c>
      <c r="N229" s="66" t="s">
        <v>94</v>
      </c>
      <c r="O229" s="53" t="s">
        <v>1108</v>
      </c>
      <c r="P229" s="49" t="s">
        <v>222</v>
      </c>
      <c r="Q229" s="49" t="s">
        <v>94</v>
      </c>
      <c r="R229" s="49"/>
      <c r="S229" s="49" t="s">
        <v>1108</v>
      </c>
      <c r="T229" s="49" t="s">
        <v>222</v>
      </c>
      <c r="U229" s="49" t="s">
        <v>94</v>
      </c>
      <c r="V229" s="49" t="str">
        <f t="shared" si="98"/>
        <v>Xã Quang Lang, Huyện Chi Lăng, Tỉnh Lạng Sơn</v>
      </c>
      <c r="W229" s="55" t="s">
        <v>224</v>
      </c>
      <c r="X229" s="41"/>
      <c r="Y229" s="41"/>
      <c r="Z229" s="41"/>
      <c r="AA229" s="68">
        <f>VLOOKUP(A229,'[1]DANH SÁCH'!$B$8:$AD$841,12,0)</f>
        <v>0</v>
      </c>
      <c r="AB229" s="49" t="str">
        <f>VLOOKUP(A229,'[1]DANH SÁCH'!$B$8:$H$841,6,0)</f>
        <v>TĐ012</v>
      </c>
      <c r="AC229" s="69" t="str">
        <f>VLOOKUP(A229,'[1]DANH SÁCH'!$B$8:$J$841,9,0)</f>
        <v>Nhi</v>
      </c>
      <c r="AD229" s="69" t="str">
        <f>VLOOKUP(A229,'[1]DANH SÁCH'!$B$8:$AC$841,10,0)</f>
        <v>KP017</v>
      </c>
      <c r="AE229" s="69" t="str">
        <f>VLOOKUP(A229,'[1]DANH SÁCH'!$B$8:$AD$841,13,0)</f>
        <v>Viên chức</v>
      </c>
      <c r="AF229" s="41" t="s">
        <v>157</v>
      </c>
      <c r="AG229" s="42" t="str">
        <f>VLOOKUP(A229,'[1]DANH SÁCH'!$B$8:$H$841,7,0)</f>
        <v>Điều dưỡng (hạng IV)</v>
      </c>
      <c r="AH229" s="45">
        <v>3.34</v>
      </c>
      <c r="AI229" s="42">
        <v>5</v>
      </c>
      <c r="AJ229" s="70">
        <v>0</v>
      </c>
      <c r="AK229" s="69">
        <v>45444</v>
      </c>
      <c r="AL229" s="71" t="s">
        <v>158</v>
      </c>
      <c r="AM229" s="53" t="str">
        <f>VLOOKUP(A229,'[1]DANH SÁCH'!$B$8:$F$841,5,0)</f>
        <v>Điều dưỡng CĐ</v>
      </c>
      <c r="AN229" s="53"/>
      <c r="AO229" s="53" t="s">
        <v>1093</v>
      </c>
      <c r="AP229" s="53">
        <v>2008</v>
      </c>
      <c r="AQ229" s="99" t="s">
        <v>113</v>
      </c>
      <c r="AR229" s="42">
        <f>VLOOKUP(A229,'[1]Chứng chỉ'!$B$8:$Q$1111,11,0)</f>
        <v>0</v>
      </c>
      <c r="AS229" s="42">
        <f>VLOOKUP(A229,'[1]Chứng chỉ'!$B$8:$Q$1111,12,0)</f>
        <v>0</v>
      </c>
      <c r="AT229" s="47" t="str">
        <f>VLOOKUP(A229,'[1]Chứng chỉ'!$B$8:$Q$1111,13,0)</f>
        <v xml:space="preserve">K </v>
      </c>
      <c r="AU229" s="42" t="str">
        <f>VLOOKUP(A229,'[1]Chứng chỉ'!$B$8:$Q$1111,14,0)</f>
        <v>Toefl</v>
      </c>
      <c r="AV229" s="42" t="str">
        <f>VLOOKUP(A229,'[1]Chứng chỉ'!$B$8:$Q$1111,15,0)</f>
        <v xml:space="preserve">K </v>
      </c>
      <c r="AW229" s="42" t="str">
        <f>VLOOKUP(A229,'[1]Chứng chỉ'!$B$8:$Q$1111,16,0)</f>
        <v>Cơ bản</v>
      </c>
      <c r="AX229" s="42"/>
      <c r="AY229" s="57" t="s">
        <v>85</v>
      </c>
      <c r="AZ229" s="65"/>
      <c r="BA229" s="74" t="e">
        <f t="shared" si="99"/>
        <v>#REF!</v>
      </c>
      <c r="BB229" s="74" t="e">
        <f t="shared" si="100"/>
        <v>#REF!</v>
      </c>
      <c r="BC229" s="79" t="s">
        <v>1412</v>
      </c>
      <c r="BD229" s="64"/>
    </row>
    <row r="230" spans="1:56" ht="40.799999999999997" x14ac:dyDescent="0.3">
      <c r="A230" s="41" t="s">
        <v>1767</v>
      </c>
      <c r="B230" s="42">
        <f t="shared" si="0"/>
        <v>224</v>
      </c>
      <c r="C230" s="68" t="s">
        <v>1768</v>
      </c>
      <c r="D230" s="41" t="s">
        <v>1767</v>
      </c>
      <c r="E230" s="61">
        <v>2010000146</v>
      </c>
      <c r="F230" s="64"/>
      <c r="G230" s="49" t="s">
        <v>1769</v>
      </c>
      <c r="H230" s="76"/>
      <c r="I230" s="76">
        <v>31692</v>
      </c>
      <c r="J230" s="66">
        <f t="shared" ca="1" si="101"/>
        <v>39</v>
      </c>
      <c r="K230" s="75" t="s">
        <v>1770</v>
      </c>
      <c r="L230" s="83" t="s">
        <v>1771</v>
      </c>
      <c r="M230" s="53" t="s">
        <v>67</v>
      </c>
      <c r="N230" s="66" t="s">
        <v>94</v>
      </c>
      <c r="O230" s="53" t="s">
        <v>1772</v>
      </c>
      <c r="P230" s="49" t="s">
        <v>182</v>
      </c>
      <c r="Q230" s="49" t="s">
        <v>94</v>
      </c>
      <c r="R230" s="49"/>
      <c r="S230" s="49" t="s">
        <v>1773</v>
      </c>
      <c r="T230" s="49" t="s">
        <v>182</v>
      </c>
      <c r="U230" s="49" t="s">
        <v>94</v>
      </c>
      <c r="V230" s="49" t="str">
        <f t="shared" si="98"/>
        <v>Xã Tú Mịch, Huyện Lộc Bình, Tỉnh Lạng Sơn</v>
      </c>
      <c r="W230" s="55" t="s">
        <v>236</v>
      </c>
      <c r="X230" s="41"/>
      <c r="Y230" s="41"/>
      <c r="Z230" s="41"/>
      <c r="AA230" s="68">
        <f>VLOOKUP(A230,'[1]DANH SÁCH'!$B$8:$AD$841,12,0)</f>
        <v>0</v>
      </c>
      <c r="AB230" s="49" t="str">
        <f>VLOOKUP(A230,'[1]DANH SÁCH'!$B$8:$H$841,6,0)</f>
        <v>TĐ012</v>
      </c>
      <c r="AC230" s="69" t="str">
        <f>VLOOKUP(A230,'[1]DANH SÁCH'!$B$8:$J$841,9,0)</f>
        <v>Nhi</v>
      </c>
      <c r="AD230" s="69" t="str">
        <f>VLOOKUP(A230,'[1]DANH SÁCH'!$B$8:$AC$841,10,0)</f>
        <v>KP017</v>
      </c>
      <c r="AE230" s="69" t="str">
        <f>VLOOKUP(A230,'[1]DANH SÁCH'!$B$8:$AD$841,13,0)</f>
        <v>Viên chức</v>
      </c>
      <c r="AF230" s="41" t="s">
        <v>157</v>
      </c>
      <c r="AG230" s="42" t="str">
        <f>VLOOKUP(A230,'[1]DANH SÁCH'!$B$8:$H$841,7,0)</f>
        <v>Điều dưỡng (hạng IV)</v>
      </c>
      <c r="AH230" s="45">
        <v>3.65</v>
      </c>
      <c r="AI230" s="42">
        <v>6</v>
      </c>
      <c r="AJ230" s="70">
        <v>0</v>
      </c>
      <c r="AK230" s="69">
        <v>45839</v>
      </c>
      <c r="AL230" s="71" t="s">
        <v>158</v>
      </c>
      <c r="AM230" s="53" t="str">
        <f>VLOOKUP(A230,'[1]DANH SÁCH'!$B$8:$F$841,5,0)</f>
        <v>Điều dưỡng CĐ</v>
      </c>
      <c r="AN230" s="53"/>
      <c r="AO230" s="53" t="s">
        <v>1093</v>
      </c>
      <c r="AP230" s="53">
        <v>2007</v>
      </c>
      <c r="AQ230" s="99" t="s">
        <v>113</v>
      </c>
      <c r="AR230" s="42">
        <f>VLOOKUP(A230,'[1]Chứng chỉ'!$B$8:$Q$1111,11,0)</f>
        <v>0</v>
      </c>
      <c r="AS230" s="42">
        <f>VLOOKUP(A230,'[1]Chứng chỉ'!$B$8:$Q$1111,12,0)</f>
        <v>0</v>
      </c>
      <c r="AT230" s="47" t="str">
        <f>VLOOKUP(A230,'[1]Chứng chỉ'!$B$8:$Q$1111,13,0)</f>
        <v xml:space="preserve">K </v>
      </c>
      <c r="AU230" s="42" t="str">
        <f>VLOOKUP(A230,'[1]Chứng chỉ'!$B$8:$Q$1111,14,0)</f>
        <v>Toefl</v>
      </c>
      <c r="AV230" s="42" t="str">
        <f>VLOOKUP(A230,'[1]Chứng chỉ'!$B$8:$Q$1111,15,0)</f>
        <v xml:space="preserve">K </v>
      </c>
      <c r="AW230" s="42" t="str">
        <f>VLOOKUP(A230,'[1]Chứng chỉ'!$B$8:$Q$1111,16,0)</f>
        <v>Cơ bản</v>
      </c>
      <c r="AX230" s="42"/>
      <c r="AY230" s="57" t="s">
        <v>85</v>
      </c>
      <c r="AZ230" s="65"/>
      <c r="BA230" s="74" t="e">
        <f t="shared" si="99"/>
        <v>#REF!</v>
      </c>
      <c r="BB230" s="74" t="e">
        <f t="shared" si="100"/>
        <v>#REF!</v>
      </c>
      <c r="BC230" s="79" t="s">
        <v>114</v>
      </c>
      <c r="BD230" s="64"/>
    </row>
    <row r="231" spans="1:56" ht="51" x14ac:dyDescent="0.3">
      <c r="A231" s="41" t="s">
        <v>1774</v>
      </c>
      <c r="B231" s="42">
        <f t="shared" si="0"/>
        <v>225</v>
      </c>
      <c r="C231" s="68" t="s">
        <v>1775</v>
      </c>
      <c r="D231" s="41" t="s">
        <v>1774</v>
      </c>
      <c r="E231" s="61">
        <v>2010001251</v>
      </c>
      <c r="F231" s="64"/>
      <c r="G231" s="49" t="s">
        <v>1776</v>
      </c>
      <c r="H231" s="76"/>
      <c r="I231" s="76">
        <v>31820</v>
      </c>
      <c r="J231" s="66">
        <f t="shared" ca="1" si="101"/>
        <v>39</v>
      </c>
      <c r="K231" s="75" t="s">
        <v>1777</v>
      </c>
      <c r="L231" s="83" t="s">
        <v>1778</v>
      </c>
      <c r="M231" s="53" t="s">
        <v>67</v>
      </c>
      <c r="N231" s="66" t="s">
        <v>94</v>
      </c>
      <c r="O231" s="53" t="s">
        <v>551</v>
      </c>
      <c r="P231" s="49" t="s">
        <v>222</v>
      </c>
      <c r="Q231" s="49" t="s">
        <v>94</v>
      </c>
      <c r="R231" s="49"/>
      <c r="S231" s="49" t="s">
        <v>1081</v>
      </c>
      <c r="T231" s="49" t="s">
        <v>222</v>
      </c>
      <c r="U231" s="49" t="s">
        <v>94</v>
      </c>
      <c r="V231" s="49" t="str">
        <f t="shared" si="98"/>
        <v>Thị trấn Đồng Mỏ, Huyện Chi Lăng, Tỉnh Lạng Sơn</v>
      </c>
      <c r="W231" s="55" t="s">
        <v>315</v>
      </c>
      <c r="X231" s="41"/>
      <c r="Y231" s="41"/>
      <c r="Z231" s="41"/>
      <c r="AA231" s="68">
        <f>VLOOKUP(A231,'[1]DANH SÁCH'!$B$8:$AD$841,12,0)</f>
        <v>0</v>
      </c>
      <c r="AB231" s="49" t="str">
        <f>VLOOKUP(A231,'[1]DANH SÁCH'!$B$8:$H$841,6,0)</f>
        <v>TĐ012</v>
      </c>
      <c r="AC231" s="69" t="str">
        <f>VLOOKUP(A231,'[1]DANH SÁCH'!$B$8:$J$841,9,0)</f>
        <v>Nhi</v>
      </c>
      <c r="AD231" s="69" t="str">
        <f>VLOOKUP(A231,'[1]DANH SÁCH'!$B$8:$AC$841,10,0)</f>
        <v>KP017</v>
      </c>
      <c r="AE231" s="69" t="str">
        <f>VLOOKUP(A231,'[1]DANH SÁCH'!$B$8:$AD$841,13,0)</f>
        <v>Viên chức</v>
      </c>
      <c r="AF231" s="41" t="s">
        <v>157</v>
      </c>
      <c r="AG231" s="42" t="str">
        <f>VLOOKUP(A231,'[1]DANH SÁCH'!$B$8:$H$841,7,0)</f>
        <v>Điều dưỡng (hạng IV)</v>
      </c>
      <c r="AH231" s="45">
        <v>3.34</v>
      </c>
      <c r="AI231" s="42">
        <v>5</v>
      </c>
      <c r="AJ231" s="70">
        <v>0</v>
      </c>
      <c r="AK231" s="69">
        <v>45813</v>
      </c>
      <c r="AL231" s="71" t="s">
        <v>158</v>
      </c>
      <c r="AM231" s="53" t="str">
        <f>VLOOKUP(A231,'[1]DANH SÁCH'!$B$8:$F$841,5,0)</f>
        <v>Điều dưỡng CĐ</v>
      </c>
      <c r="AN231" s="53"/>
      <c r="AO231" s="53" t="s">
        <v>1093</v>
      </c>
      <c r="AP231" s="53">
        <v>2008</v>
      </c>
      <c r="AQ231" s="99" t="s">
        <v>113</v>
      </c>
      <c r="AR231" s="42">
        <f>VLOOKUP(A231,'[1]Chứng chỉ'!$B$8:$Q$1111,11,0)</f>
        <v>0</v>
      </c>
      <c r="AS231" s="42">
        <f>VLOOKUP(A231,'[1]Chứng chỉ'!$B$8:$Q$1111,12,0)</f>
        <v>0</v>
      </c>
      <c r="AT231" s="47" t="str">
        <f>VLOOKUP(A231,'[1]Chứng chỉ'!$B$8:$Q$1111,13,0)</f>
        <v xml:space="preserve">K </v>
      </c>
      <c r="AU231" s="42" t="str">
        <f>VLOOKUP(A231,'[1]Chứng chỉ'!$B$8:$Q$1111,14,0)</f>
        <v>Toefl</v>
      </c>
      <c r="AV231" s="42" t="str">
        <f>VLOOKUP(A231,'[1]Chứng chỉ'!$B$8:$Q$1111,15,0)</f>
        <v xml:space="preserve">K </v>
      </c>
      <c r="AW231" s="42" t="str">
        <f>VLOOKUP(A231,'[1]Chứng chỉ'!$B$8:$Q$1111,16,0)</f>
        <v>Cơ bản</v>
      </c>
      <c r="AX231" s="42"/>
      <c r="AY231" s="57" t="s">
        <v>127</v>
      </c>
      <c r="AZ231" s="65"/>
      <c r="BA231" s="74" t="e">
        <f t="shared" si="99"/>
        <v>#REF!</v>
      </c>
      <c r="BB231" s="74" t="e">
        <f t="shared" si="100"/>
        <v>#REF!</v>
      </c>
      <c r="BC231" s="79" t="s">
        <v>114</v>
      </c>
      <c r="BD231" s="64"/>
    </row>
    <row r="232" spans="1:56" ht="51" x14ac:dyDescent="0.3">
      <c r="A232" s="41" t="s">
        <v>1779</v>
      </c>
      <c r="B232" s="42">
        <f t="shared" si="0"/>
        <v>226</v>
      </c>
      <c r="C232" s="68" t="s">
        <v>1780</v>
      </c>
      <c r="D232" s="41" t="s">
        <v>1779</v>
      </c>
      <c r="E232" s="61">
        <v>2010000148</v>
      </c>
      <c r="F232" s="64"/>
      <c r="G232" s="49" t="s">
        <v>1781</v>
      </c>
      <c r="H232" s="76">
        <v>32175</v>
      </c>
      <c r="I232" s="76"/>
      <c r="J232" s="66">
        <f ca="1">INT(DATEDIF(H232,$J$2,"d")/365)</f>
        <v>38</v>
      </c>
      <c r="K232" s="75" t="s">
        <v>1782</v>
      </c>
      <c r="L232" s="83" t="s">
        <v>1730</v>
      </c>
      <c r="M232" s="53" t="s">
        <v>67</v>
      </c>
      <c r="N232" s="66" t="s">
        <v>94</v>
      </c>
      <c r="O232" s="53" t="s">
        <v>619</v>
      </c>
      <c r="P232" s="49" t="s">
        <v>108</v>
      </c>
      <c r="Q232" s="49" t="s">
        <v>94</v>
      </c>
      <c r="R232" s="49" t="s">
        <v>1783</v>
      </c>
      <c r="S232" s="49" t="s">
        <v>73</v>
      </c>
      <c r="T232" s="49" t="s">
        <v>97</v>
      </c>
      <c r="U232" s="49" t="s">
        <v>94</v>
      </c>
      <c r="V232" s="49" t="str">
        <f t="shared" si="98"/>
        <v>Phường Vĩnh Trại, Thành phố Lạng Sơn, Tỉnh Lạng Sơn</v>
      </c>
      <c r="W232" s="86" t="s">
        <v>1682</v>
      </c>
      <c r="X232" s="41"/>
      <c r="Y232" s="41"/>
      <c r="Z232" s="41"/>
      <c r="AA232" s="68">
        <f>VLOOKUP(A232,'[1]DANH SÁCH'!$B$8:$AD$841,12,0)</f>
        <v>0</v>
      </c>
      <c r="AB232" s="49" t="str">
        <f>VLOOKUP(A232,'[1]DANH SÁCH'!$B$8:$H$841,6,0)</f>
        <v>TĐ012</v>
      </c>
      <c r="AC232" s="69" t="str">
        <f>VLOOKUP(A232,'[1]DANH SÁCH'!$B$8:$J$841,9,0)</f>
        <v>Nhi</v>
      </c>
      <c r="AD232" s="69" t="str">
        <f>VLOOKUP(A232,'[1]DANH SÁCH'!$B$8:$AC$841,10,0)</f>
        <v>KP017</v>
      </c>
      <c r="AE232" s="69" t="str">
        <f>VLOOKUP(A232,'[1]DANH SÁCH'!$B$8:$AD$841,13,0)</f>
        <v>Viên chức</v>
      </c>
      <c r="AF232" s="41" t="s">
        <v>157</v>
      </c>
      <c r="AG232" s="42" t="str">
        <f>VLOOKUP(A232,'[1]DANH SÁCH'!$B$8:$H$841,7,0)</f>
        <v>Điều dưỡng (hạng IV)</v>
      </c>
      <c r="AH232" s="45">
        <v>3.34</v>
      </c>
      <c r="AI232" s="42">
        <v>5</v>
      </c>
      <c r="AJ232" s="70">
        <v>0</v>
      </c>
      <c r="AK232" s="69">
        <v>44927</v>
      </c>
      <c r="AL232" s="71" t="s">
        <v>158</v>
      </c>
      <c r="AM232" s="53" t="str">
        <f>VLOOKUP(A232,'[1]DANH SÁCH'!$B$8:$F$841,5,0)</f>
        <v>Điều dưỡng CĐ</v>
      </c>
      <c r="AN232" s="53"/>
      <c r="AO232" s="53" t="s">
        <v>1093</v>
      </c>
      <c r="AP232" s="53">
        <v>2008</v>
      </c>
      <c r="AQ232" s="99" t="s">
        <v>113</v>
      </c>
      <c r="AR232" s="42">
        <f>VLOOKUP(A232,'[1]Chứng chỉ'!$B$8:$Q$1111,11,0)</f>
        <v>0</v>
      </c>
      <c r="AS232" s="42">
        <f>VLOOKUP(A232,'[1]Chứng chỉ'!$B$8:$Q$1111,12,0)</f>
        <v>0</v>
      </c>
      <c r="AT232" s="47">
        <f>VLOOKUP(A232,'[1]Chứng chỉ'!$B$8:$Q$1111,13,0)</f>
        <v>0</v>
      </c>
      <c r="AU232" s="42" t="str">
        <f>VLOOKUP(A232,'[1]Chứng chỉ'!$B$8:$Q$1111,14,0)</f>
        <v>Anh A</v>
      </c>
      <c r="AV232" s="42">
        <f>VLOOKUP(A232,'[1]Chứng chỉ'!$B$8:$Q$1111,15,0)</f>
        <v>0</v>
      </c>
      <c r="AW232" s="42" t="str">
        <f>VLOOKUP(A232,'[1]Chứng chỉ'!$B$8:$Q$1111,16,0)</f>
        <v>A</v>
      </c>
      <c r="AX232" s="42"/>
      <c r="AY232" s="57" t="s">
        <v>85</v>
      </c>
      <c r="AZ232" s="65">
        <v>42163</v>
      </c>
      <c r="BA232" s="74" t="e">
        <f t="shared" si="99"/>
        <v>#REF!</v>
      </c>
      <c r="BB232" s="74" t="e">
        <f t="shared" si="100"/>
        <v>#REF!</v>
      </c>
      <c r="BC232" s="81"/>
      <c r="BD232" s="47"/>
    </row>
    <row r="233" spans="1:56" ht="61.2" x14ac:dyDescent="0.3">
      <c r="A233" s="41" t="s">
        <v>1784</v>
      </c>
      <c r="B233" s="42">
        <f t="shared" si="0"/>
        <v>227</v>
      </c>
      <c r="C233" s="68" t="s">
        <v>1785</v>
      </c>
      <c r="D233" s="41" t="s">
        <v>1784</v>
      </c>
      <c r="E233" s="61">
        <v>2008002391</v>
      </c>
      <c r="F233" s="64"/>
      <c r="G233" s="49" t="s">
        <v>1786</v>
      </c>
      <c r="H233" s="76"/>
      <c r="I233" s="76">
        <v>32012</v>
      </c>
      <c r="J233" s="66">
        <f t="shared" ref="J233:J234" ca="1" si="102">INT(DATEDIF(I233,$J$2,"d")/365)</f>
        <v>38</v>
      </c>
      <c r="K233" s="75" t="s">
        <v>1787</v>
      </c>
      <c r="L233" s="83" t="s">
        <v>1788</v>
      </c>
      <c r="M233" s="53" t="s">
        <v>67</v>
      </c>
      <c r="N233" s="66" t="s">
        <v>94</v>
      </c>
      <c r="O233" s="53" t="s">
        <v>1789</v>
      </c>
      <c r="P233" s="49" t="s">
        <v>145</v>
      </c>
      <c r="Q233" s="49" t="s">
        <v>94</v>
      </c>
      <c r="R233" s="49"/>
      <c r="S233" s="49" t="s">
        <v>124</v>
      </c>
      <c r="T233" s="49" t="s">
        <v>97</v>
      </c>
      <c r="U233" s="49" t="s">
        <v>94</v>
      </c>
      <c r="V233" s="49" t="str">
        <f t="shared" si="98"/>
        <v>Phường Đông Kinh, Thành phố Lạng Sơn, Tỉnh Lạng Sơn</v>
      </c>
      <c r="W233" s="55" t="s">
        <v>461</v>
      </c>
      <c r="X233" s="41"/>
      <c r="Y233" s="41"/>
      <c r="Z233" s="41"/>
      <c r="AA233" s="68">
        <f>VLOOKUP(A233,'[1]DANH SÁCH'!$B$8:$AD$841,12,0)</f>
        <v>0</v>
      </c>
      <c r="AB233" s="49" t="str">
        <f>VLOOKUP(A233,'[1]DANH SÁCH'!$B$8:$H$841,6,0)</f>
        <v>TĐ012</v>
      </c>
      <c r="AC233" s="69" t="str">
        <f>VLOOKUP(A233,'[1]DANH SÁCH'!$B$8:$J$841,9,0)</f>
        <v>Nhi</v>
      </c>
      <c r="AD233" s="69" t="str">
        <f>VLOOKUP(A233,'[1]DANH SÁCH'!$B$8:$AC$841,10,0)</f>
        <v>KP017</v>
      </c>
      <c r="AE233" s="69" t="str">
        <f>VLOOKUP(A233,'[1]DANH SÁCH'!$B$8:$AD$841,13,0)</f>
        <v>Viên chức</v>
      </c>
      <c r="AF233" s="41" t="s">
        <v>157</v>
      </c>
      <c r="AG233" s="42" t="str">
        <f>VLOOKUP(A233,'[1]DANH SÁCH'!$B$8:$H$841,7,0)</f>
        <v>Điều dưỡng (hạng IV)</v>
      </c>
      <c r="AH233" s="45">
        <v>3.34</v>
      </c>
      <c r="AI233" s="42">
        <v>5</v>
      </c>
      <c r="AJ233" s="70">
        <v>0</v>
      </c>
      <c r="AK233" s="69">
        <v>45292</v>
      </c>
      <c r="AL233" s="71" t="s">
        <v>158</v>
      </c>
      <c r="AM233" s="53" t="str">
        <f>VLOOKUP(A233,'[1]DANH SÁCH'!$B$8:$F$841,5,0)</f>
        <v>Điều dưỡng CĐ</v>
      </c>
      <c r="AN233" s="53"/>
      <c r="AO233" s="53" t="s">
        <v>1093</v>
      </c>
      <c r="AP233" s="53">
        <v>2007</v>
      </c>
      <c r="AQ233" s="99" t="s">
        <v>113</v>
      </c>
      <c r="AR233" s="42">
        <f>VLOOKUP(A233,'[1]Chứng chỉ'!$B$8:$Q$1111,11,0)</f>
        <v>0</v>
      </c>
      <c r="AS233" s="42">
        <f>VLOOKUP(A233,'[1]Chứng chỉ'!$B$8:$Q$1111,12,0)</f>
        <v>0</v>
      </c>
      <c r="AT233" s="47">
        <f>VLOOKUP(A233,'[1]Chứng chỉ'!$B$8:$Q$1111,13,0)</f>
        <v>0</v>
      </c>
      <c r="AU233" s="42" t="str">
        <f>VLOOKUP(A233,'[1]Chứng chỉ'!$B$8:$Q$1111,14,0)</f>
        <v>Toefl</v>
      </c>
      <c r="AV233" s="42">
        <f>VLOOKUP(A233,'[1]Chứng chỉ'!$B$8:$Q$1111,15,0)</f>
        <v>0</v>
      </c>
      <c r="AW233" s="42" t="str">
        <f>VLOOKUP(A233,'[1]Chứng chỉ'!$B$8:$Q$1111,16,0)</f>
        <v>B</v>
      </c>
      <c r="AX233" s="42"/>
      <c r="AY233" s="57" t="s">
        <v>87</v>
      </c>
      <c r="AZ233" s="65"/>
      <c r="BA233" s="74" t="e">
        <f t="shared" si="99"/>
        <v>#REF!</v>
      </c>
      <c r="BB233" s="74" t="e">
        <f t="shared" si="100"/>
        <v>#REF!</v>
      </c>
      <c r="BC233" s="81"/>
      <c r="BD233" s="47"/>
    </row>
    <row r="234" spans="1:56" ht="61.2" x14ac:dyDescent="0.3">
      <c r="A234" s="41" t="s">
        <v>1790</v>
      </c>
      <c r="B234" s="42">
        <f t="shared" si="0"/>
        <v>228</v>
      </c>
      <c r="C234" s="68" t="s">
        <v>1791</v>
      </c>
      <c r="D234" s="41" t="s">
        <v>1790</v>
      </c>
      <c r="E234" s="61">
        <v>1506002929</v>
      </c>
      <c r="F234" s="64"/>
      <c r="G234" s="49" t="s">
        <v>1792</v>
      </c>
      <c r="H234" s="76"/>
      <c r="I234" s="76">
        <v>30609</v>
      </c>
      <c r="J234" s="66">
        <f t="shared" ca="1" si="102"/>
        <v>42</v>
      </c>
      <c r="K234" s="75" t="s">
        <v>1793</v>
      </c>
      <c r="L234" s="41" t="s">
        <v>1794</v>
      </c>
      <c r="M234" s="53" t="s">
        <v>67</v>
      </c>
      <c r="N234" s="66" t="s">
        <v>1795</v>
      </c>
      <c r="O234" s="53"/>
      <c r="P234" s="49" t="s">
        <v>222</v>
      </c>
      <c r="Q234" s="49" t="s">
        <v>94</v>
      </c>
      <c r="R234" s="49"/>
      <c r="S234" s="49" t="s">
        <v>166</v>
      </c>
      <c r="T234" s="53" t="s">
        <v>97</v>
      </c>
      <c r="U234" s="53" t="s">
        <v>94</v>
      </c>
      <c r="V234" s="49" t="str">
        <f t="shared" si="98"/>
        <v>Phường Tam Thanh, Thành phố Lạng Sơn, Tỉnh Lạng Sơn</v>
      </c>
      <c r="W234" s="55" t="s">
        <v>411</v>
      </c>
      <c r="X234" s="41"/>
      <c r="Y234" s="41"/>
      <c r="Z234" s="41"/>
      <c r="AA234" s="68">
        <f>VLOOKUP(A234,'[1]DANH SÁCH'!$B$8:$AD$841,12,0)</f>
        <v>0</v>
      </c>
      <c r="AB234" s="49" t="str">
        <f>VLOOKUP(A234,'[1]DANH SÁCH'!$B$8:$H$841,6,0)</f>
        <v>TĐ003</v>
      </c>
      <c r="AC234" s="69" t="str">
        <f>VLOOKUP(A234,'[1]DANH SÁCH'!$B$8:$J$841,9,0)</f>
        <v>Tâm thần - Thần kinh</v>
      </c>
      <c r="AD234" s="69" t="str">
        <f>VLOOKUP(A234,'[1]DANH SÁCH'!$B$8:$AC$841,10,0)</f>
        <v>KP006</v>
      </c>
      <c r="AE234" s="69" t="str">
        <f>VLOOKUP(A234,'[1]DANH SÁCH'!$B$8:$AD$841,13,0)</f>
        <v>Viên chức</v>
      </c>
      <c r="AF234" s="41" t="s">
        <v>1796</v>
      </c>
      <c r="AG234" s="42" t="str">
        <f>VLOOKUP(A234,'[1]DANH SÁCH'!$B$8:$H$841,7,0)</f>
        <v>Bác sĩ (hạng III)</v>
      </c>
      <c r="AH234" s="45">
        <v>3.99</v>
      </c>
      <c r="AI234" s="42">
        <v>6</v>
      </c>
      <c r="AJ234" s="70">
        <v>0</v>
      </c>
      <c r="AK234" s="69">
        <v>45778</v>
      </c>
      <c r="AL234" s="71" t="s">
        <v>80</v>
      </c>
      <c r="AM234" s="53" t="str">
        <f>VLOOKUP(A234,'[1]DANH SÁCH'!$B$8:$F$841,5,0)</f>
        <v>BSCKI</v>
      </c>
      <c r="AN234" s="53" t="s">
        <v>372</v>
      </c>
      <c r="AO234" s="53" t="s">
        <v>297</v>
      </c>
      <c r="AP234" s="53">
        <v>2018</v>
      </c>
      <c r="AQ234" s="72" t="s">
        <v>113</v>
      </c>
      <c r="AR234" s="42">
        <f>VLOOKUP(A234,'[1]Chứng chỉ'!$B$8:$Q$1111,11,0)</f>
        <v>0</v>
      </c>
      <c r="AS234" s="42">
        <f>VLOOKUP(A234,'[1]Chứng chỉ'!$B$8:$Q$1111,12,0)</f>
        <v>0</v>
      </c>
      <c r="AT234" s="47">
        <f>VLOOKUP(A234,'[1]Chứng chỉ'!$B$8:$Q$1111,13,0)</f>
        <v>0</v>
      </c>
      <c r="AU234" s="42" t="str">
        <f>VLOOKUP(A234,'[1]Chứng chỉ'!$B$8:$Q$1111,14,0)</f>
        <v>Anh B</v>
      </c>
      <c r="AV234" s="42" t="str">
        <f>VLOOKUP(A234,'[1]Chứng chỉ'!$B$8:$Q$1111,15,0)</f>
        <v>Tày</v>
      </c>
      <c r="AW234" s="42" t="str">
        <f>VLOOKUP(A234,'[1]Chứng chỉ'!$B$8:$Q$1111,16,0)</f>
        <v>Cơ bản</v>
      </c>
      <c r="AX234" s="53"/>
      <c r="AY234" s="57" t="s">
        <v>85</v>
      </c>
      <c r="AZ234" s="65">
        <v>41525</v>
      </c>
      <c r="BA234" s="74" t="e">
        <f t="shared" si="99"/>
        <v>#REF!</v>
      </c>
      <c r="BB234" s="74" t="e">
        <f t="shared" si="100"/>
        <v>#REF!</v>
      </c>
      <c r="BC234" s="79" t="s">
        <v>114</v>
      </c>
      <c r="BD234" s="64"/>
    </row>
    <row r="235" spans="1:56" ht="51" x14ac:dyDescent="0.3">
      <c r="A235" s="41" t="s">
        <v>1797</v>
      </c>
      <c r="B235" s="42">
        <f t="shared" si="0"/>
        <v>229</v>
      </c>
      <c r="C235" s="68" t="s">
        <v>1798</v>
      </c>
      <c r="D235" s="41" t="s">
        <v>1797</v>
      </c>
      <c r="E235" s="61">
        <v>1596012044</v>
      </c>
      <c r="F235" s="64"/>
      <c r="G235" s="49" t="s">
        <v>1799</v>
      </c>
      <c r="H235" s="76">
        <v>24795</v>
      </c>
      <c r="I235" s="76"/>
      <c r="J235" s="66">
        <f ca="1">INT(DATEDIF(H235,$J$2,"d")/365)</f>
        <v>58</v>
      </c>
      <c r="K235" s="75" t="s">
        <v>1800</v>
      </c>
      <c r="L235" s="41" t="s">
        <v>1801</v>
      </c>
      <c r="M235" s="53" t="s">
        <v>67</v>
      </c>
      <c r="N235" s="66"/>
      <c r="O235" s="53"/>
      <c r="P235" s="49" t="s">
        <v>195</v>
      </c>
      <c r="Q235" s="49" t="s">
        <v>94</v>
      </c>
      <c r="R235" s="49"/>
      <c r="S235" s="49" t="s">
        <v>214</v>
      </c>
      <c r="T235" s="49" t="s">
        <v>97</v>
      </c>
      <c r="U235" s="49" t="s">
        <v>94</v>
      </c>
      <c r="V235" s="49" t="str">
        <f t="shared" si="98"/>
        <v>Xã Hoàng Đồng, Thành phố Lạng Sơn, Tỉnh Lạng Sơn</v>
      </c>
      <c r="W235" s="55" t="s">
        <v>1802</v>
      </c>
      <c r="X235" s="41"/>
      <c r="Y235" s="41"/>
      <c r="Z235" s="41"/>
      <c r="AA235" s="68" t="str">
        <f>VLOOKUP(A235,'[1]DANH SÁCH'!$B$8:$AD$841,12,0)</f>
        <v>Trưởng khoa</v>
      </c>
      <c r="AB235" s="49" t="str">
        <f>VLOOKUP(A235,'[1]DANH SÁCH'!$B$8:$H$841,6,0)</f>
        <v>TĐ003</v>
      </c>
      <c r="AC235" s="69" t="str">
        <f>VLOOKUP(A235,'[1]DANH SÁCH'!$B$8:$J$841,9,0)</f>
        <v>Truyền nhiễm</v>
      </c>
      <c r="AD235" s="69" t="str">
        <f>VLOOKUP(A235,'[1]DANH SÁCH'!$B$8:$AC$841,10,0)</f>
        <v>KP018</v>
      </c>
      <c r="AE235" s="69" t="str">
        <f>VLOOKUP(A235,'[1]DANH SÁCH'!$B$8:$AD$841,13,0)</f>
        <v>Viên chức</v>
      </c>
      <c r="AF235" s="41" t="s">
        <v>274</v>
      </c>
      <c r="AG235" s="42" t="str">
        <f>VLOOKUP(A235,'[1]DANH SÁCH'!$B$8:$H$841,7,0)</f>
        <v>Bác sĩ (hạng III)</v>
      </c>
      <c r="AH235" s="45">
        <v>4.9800000000000004</v>
      </c>
      <c r="AI235" s="42">
        <v>9</v>
      </c>
      <c r="AJ235" s="70">
        <v>7.0000000000000007E-2</v>
      </c>
      <c r="AK235" s="69">
        <v>45717</v>
      </c>
      <c r="AL235" s="71" t="s">
        <v>80</v>
      </c>
      <c r="AM235" s="53" t="str">
        <f>VLOOKUP(A235,'[1]DANH SÁCH'!$B$8:$F$841,5,0)</f>
        <v>BSCKI</v>
      </c>
      <c r="AN235" s="53" t="s">
        <v>1803</v>
      </c>
      <c r="AO235" s="53" t="s">
        <v>1804</v>
      </c>
      <c r="AP235" s="53">
        <v>2010</v>
      </c>
      <c r="AQ235" s="72" t="s">
        <v>113</v>
      </c>
      <c r="AR235" s="42">
        <f>VLOOKUP(A235,'[1]Chứng chỉ'!$B$8:$Q$1111,11,0)</f>
        <v>0</v>
      </c>
      <c r="AS235" s="42" t="s">
        <v>100</v>
      </c>
      <c r="AT235" s="47" t="s">
        <v>139</v>
      </c>
      <c r="AU235" s="42">
        <f>VLOOKUP(A235,'[1]Chứng chỉ'!$B$8:$Q$1111,14,0)</f>
        <v>0</v>
      </c>
      <c r="AV235" s="42">
        <f>VLOOKUP(A235,'[1]Chứng chỉ'!$B$8:$Q$1111,15,0)</f>
        <v>0</v>
      </c>
      <c r="AW235" s="42">
        <f>VLOOKUP(A235,'[1]Chứng chỉ'!$B$8:$Q$1111,16,0)</f>
        <v>0</v>
      </c>
      <c r="AX235" s="42"/>
      <c r="AY235" s="57" t="s">
        <v>85</v>
      </c>
      <c r="AZ235" s="65">
        <v>41100</v>
      </c>
      <c r="BA235" s="74" t="e">
        <f t="shared" si="99"/>
        <v>#REF!</v>
      </c>
      <c r="BB235" s="74" t="e">
        <f t="shared" si="100"/>
        <v>#REF!</v>
      </c>
      <c r="BC235" s="79" t="s">
        <v>114</v>
      </c>
      <c r="BD235" s="64"/>
    </row>
    <row r="236" spans="1:56" ht="40.799999999999997" x14ac:dyDescent="0.3">
      <c r="A236" s="41" t="s">
        <v>1805</v>
      </c>
      <c r="B236" s="42">
        <f t="shared" si="0"/>
        <v>230</v>
      </c>
      <c r="C236" s="68" t="s">
        <v>1806</v>
      </c>
      <c r="D236" s="41" t="s">
        <v>1805</v>
      </c>
      <c r="E236" s="61">
        <v>2015003280</v>
      </c>
      <c r="F236" s="64"/>
      <c r="G236" s="49" t="s">
        <v>1807</v>
      </c>
      <c r="H236" s="76"/>
      <c r="I236" s="76">
        <v>33162</v>
      </c>
      <c r="J236" s="66">
        <f t="shared" ref="J236:J239" ca="1" si="103">INT(DATEDIF(I236,$J$2,"d")/365)</f>
        <v>35</v>
      </c>
      <c r="K236" s="75" t="s">
        <v>1808</v>
      </c>
      <c r="L236" s="41"/>
      <c r="M236" s="53" t="s">
        <v>67</v>
      </c>
      <c r="N236" s="66"/>
      <c r="O236" s="53" t="s">
        <v>154</v>
      </c>
      <c r="P236" s="49" t="s">
        <v>155</v>
      </c>
      <c r="Q236" s="49" t="s">
        <v>94</v>
      </c>
      <c r="R236" s="49"/>
      <c r="S236" s="49" t="s">
        <v>154</v>
      </c>
      <c r="T236" s="49" t="s">
        <v>155</v>
      </c>
      <c r="U236" s="49" t="s">
        <v>94</v>
      </c>
      <c r="V236" s="49" t="str">
        <f t="shared" si="98"/>
        <v>Xã Chu Túc, Huyện Văn Quan, Tỉnh Lạng Sơn</v>
      </c>
      <c r="W236" s="55" t="s">
        <v>1809</v>
      </c>
      <c r="X236" s="41"/>
      <c r="Y236" s="41"/>
      <c r="Z236" s="41"/>
      <c r="AA236" s="68" t="str">
        <f>VLOOKUP(A236,'[1]DANH SÁCH'!$B$8:$AD$841,12,0)</f>
        <v>Phó trưởng khoa</v>
      </c>
      <c r="AB236" s="49" t="str">
        <f>VLOOKUP(A236,'[1]DANH SÁCH'!$B$8:$H$841,6,0)</f>
        <v>TĐ003</v>
      </c>
      <c r="AC236" s="69" t="str">
        <f>VLOOKUP(A236,'[1]DANH SÁCH'!$B$8:$J$841,9,0)</f>
        <v>Truyền nhiễm</v>
      </c>
      <c r="AD236" s="69" t="str">
        <f>VLOOKUP(A236,'[1]DANH SÁCH'!$B$8:$AC$841,10,0)</f>
        <v>KP018</v>
      </c>
      <c r="AE236" s="69" t="str">
        <f>VLOOKUP(A236,'[1]DANH SÁCH'!$B$8:$AD$841,13,0)</f>
        <v>Viên chức</v>
      </c>
      <c r="AF236" s="41" t="s">
        <v>274</v>
      </c>
      <c r="AG236" s="42" t="str">
        <f>VLOOKUP(A236,'[1]DANH SÁCH'!$B$8:$H$841,7,0)</f>
        <v>Bác sĩ (hạng III)</v>
      </c>
      <c r="AH236" s="45">
        <v>3.33</v>
      </c>
      <c r="AI236" s="42">
        <v>4</v>
      </c>
      <c r="AJ236" s="70">
        <v>0</v>
      </c>
      <c r="AK236" s="69">
        <v>45721</v>
      </c>
      <c r="AL236" s="71" t="s">
        <v>80</v>
      </c>
      <c r="AM236" s="53" t="str">
        <f>VLOOKUP(A236,'[1]DANH SÁCH'!$B$8:$F$841,5,0)</f>
        <v>BSCKI</v>
      </c>
      <c r="AN236" s="53" t="s">
        <v>1803</v>
      </c>
      <c r="AO236" s="53" t="s">
        <v>1130</v>
      </c>
      <c r="AP236" s="53">
        <v>2015</v>
      </c>
      <c r="AQ236" s="72" t="s">
        <v>113</v>
      </c>
      <c r="AR236" s="42" t="str">
        <f>VLOOKUP(A236,'[1]Chứng chỉ'!$B$8:$Q$1111,11,0)</f>
        <v>Chuyên viên</v>
      </c>
      <c r="AS236" s="42">
        <f>VLOOKUP(A236,'[1]Chứng chỉ'!$B$8:$Q$1111,12,0)</f>
        <v>0</v>
      </c>
      <c r="AT236" s="47" t="str">
        <f>VLOOKUP(A236,'[1]Chứng chỉ'!$B$8:$Q$1111,13,0)</f>
        <v>Sơ cấp</v>
      </c>
      <c r="AU236" s="42" t="str">
        <f>VLOOKUP(A236,'[1]Chứng chỉ'!$B$8:$Q$1111,14,0)</f>
        <v>Anh B</v>
      </c>
      <c r="AV236" s="42">
        <f>VLOOKUP(A236,'[1]Chứng chỉ'!$B$8:$Q$1111,15,0)</f>
        <v>0</v>
      </c>
      <c r="AW236" s="42" t="str">
        <f>VLOOKUP(A236,'[1]Chứng chỉ'!$B$8:$Q$1111,16,0)</f>
        <v>B</v>
      </c>
      <c r="AX236" s="42"/>
      <c r="AY236" s="57" t="s">
        <v>85</v>
      </c>
      <c r="AZ236" s="65"/>
      <c r="BA236" s="74" t="e">
        <f t="shared" si="99"/>
        <v>#REF!</v>
      </c>
      <c r="BB236" s="74" t="e">
        <f t="shared" si="100"/>
        <v>#REF!</v>
      </c>
      <c r="BC236" s="79" t="s">
        <v>114</v>
      </c>
      <c r="BD236" s="64"/>
    </row>
    <row r="237" spans="1:56" ht="61.2" x14ac:dyDescent="0.3">
      <c r="A237" s="41" t="s">
        <v>1810</v>
      </c>
      <c r="B237" s="42">
        <f t="shared" si="0"/>
        <v>231</v>
      </c>
      <c r="C237" s="68" t="s">
        <v>1811</v>
      </c>
      <c r="D237" s="41" t="s">
        <v>1810</v>
      </c>
      <c r="E237" s="61">
        <v>1506002934</v>
      </c>
      <c r="F237" s="64"/>
      <c r="G237" s="49" t="s">
        <v>1812</v>
      </c>
      <c r="H237" s="76"/>
      <c r="I237" s="76">
        <v>30818</v>
      </c>
      <c r="J237" s="66">
        <f t="shared" ca="1" si="103"/>
        <v>42</v>
      </c>
      <c r="K237" s="75" t="s">
        <v>1813</v>
      </c>
      <c r="L237" s="83" t="s">
        <v>1814</v>
      </c>
      <c r="M237" s="53" t="s">
        <v>67</v>
      </c>
      <c r="N237" s="66" t="s">
        <v>94</v>
      </c>
      <c r="O237" s="85" t="s">
        <v>96</v>
      </c>
      <c r="P237" s="76" t="s">
        <v>97</v>
      </c>
      <c r="Q237" s="76" t="s">
        <v>94</v>
      </c>
      <c r="R237" s="49"/>
      <c r="S237" s="76" t="s">
        <v>96</v>
      </c>
      <c r="T237" s="76" t="s">
        <v>97</v>
      </c>
      <c r="U237" s="76" t="s">
        <v>94</v>
      </c>
      <c r="V237" s="49" t="str">
        <f t="shared" si="98"/>
        <v>Phường Hoàng Văn Thụ, Thành phố Lạng Sơn, Tỉnh Lạng Sơn</v>
      </c>
      <c r="W237" s="55" t="s">
        <v>146</v>
      </c>
      <c r="X237" s="41"/>
      <c r="Y237" s="41"/>
      <c r="Z237" s="41"/>
      <c r="AA237" s="68">
        <f>VLOOKUP(A237,'[1]DANH SÁCH'!$B$8:$AD$841,12,0)</f>
        <v>0</v>
      </c>
      <c r="AB237" s="49" t="str">
        <f>VLOOKUP(A237,'[1]DANH SÁCH'!$B$8:$H$841,6,0)</f>
        <v>TĐ003</v>
      </c>
      <c r="AC237" s="69" t="str">
        <f>VLOOKUP(A237,'[1]DANH SÁCH'!$B$8:$J$841,9,0)</f>
        <v>Truyền nhiễm</v>
      </c>
      <c r="AD237" s="69" t="str">
        <f>VLOOKUP(A237,'[1]DANH SÁCH'!$B$8:$AC$841,10,0)</f>
        <v>KP018</v>
      </c>
      <c r="AE237" s="69" t="str">
        <f>VLOOKUP(A237,'[1]DANH SÁCH'!$B$8:$AD$841,13,0)</f>
        <v>Viên chức</v>
      </c>
      <c r="AF237" s="41" t="s">
        <v>1796</v>
      </c>
      <c r="AG237" s="42" t="str">
        <f>VLOOKUP(A237,'[1]DANH SÁCH'!$B$8:$H$841,7,0)</f>
        <v>Bác sĩ (hạng III)</v>
      </c>
      <c r="AH237" s="45">
        <v>3.99</v>
      </c>
      <c r="AI237" s="42">
        <v>6</v>
      </c>
      <c r="AJ237" s="70">
        <v>0</v>
      </c>
      <c r="AK237" s="69">
        <v>45778</v>
      </c>
      <c r="AL237" s="71" t="s">
        <v>80</v>
      </c>
      <c r="AM237" s="53" t="str">
        <f>VLOOKUP(A237,'[1]DANH SÁCH'!$B$8:$F$841,5,0)</f>
        <v>BSCKI</v>
      </c>
      <c r="AN237" s="53" t="s">
        <v>372</v>
      </c>
      <c r="AO237" s="53" t="s">
        <v>765</v>
      </c>
      <c r="AP237" s="53">
        <v>2018</v>
      </c>
      <c r="AQ237" s="99" t="s">
        <v>113</v>
      </c>
      <c r="AR237" s="42">
        <f>VLOOKUP(A237,'[1]Chứng chỉ'!$B$8:$Q$1111,11,0)</f>
        <v>0</v>
      </c>
      <c r="AS237" s="42" t="str">
        <f>VLOOKUP(A237,'[1]Chứng chỉ'!$B$8:$Q$1111,12,0)</f>
        <v>x</v>
      </c>
      <c r="AT237" s="47" t="s">
        <v>139</v>
      </c>
      <c r="AU237" s="42">
        <f>VLOOKUP(A237,'[1]Chứng chỉ'!$B$8:$Q$1111,14,0)</f>
        <v>0</v>
      </c>
      <c r="AV237" s="42" t="str">
        <f>VLOOKUP(A237,'[1]Chứng chỉ'!$B$8:$Q$1111,15,0)</f>
        <v>Tày</v>
      </c>
      <c r="AW237" s="42" t="str">
        <f>VLOOKUP(A237,'[1]Chứng chỉ'!$B$8:$Q$1111,16,0)</f>
        <v>B</v>
      </c>
      <c r="AX237" s="42"/>
      <c r="AY237" s="57" t="s">
        <v>85</v>
      </c>
      <c r="AZ237" s="65">
        <v>41767</v>
      </c>
      <c r="BA237" s="74" t="e">
        <f t="shared" si="99"/>
        <v>#REF!</v>
      </c>
      <c r="BB237" s="74" t="e">
        <f t="shared" si="100"/>
        <v>#REF!</v>
      </c>
      <c r="BC237" s="79" t="s">
        <v>114</v>
      </c>
      <c r="BD237" s="64"/>
    </row>
    <row r="238" spans="1:56" ht="61.2" x14ac:dyDescent="0.3">
      <c r="A238" s="41" t="s">
        <v>1815</v>
      </c>
      <c r="B238" s="42">
        <f t="shared" si="0"/>
        <v>232</v>
      </c>
      <c r="C238" s="68" t="s">
        <v>1816</v>
      </c>
      <c r="D238" s="41" t="s">
        <v>1815</v>
      </c>
      <c r="E238" s="61">
        <v>1505002587</v>
      </c>
      <c r="F238" s="64"/>
      <c r="G238" s="49" t="s">
        <v>1817</v>
      </c>
      <c r="H238" s="76"/>
      <c r="I238" s="76">
        <v>28781</v>
      </c>
      <c r="J238" s="66">
        <f t="shared" ca="1" si="103"/>
        <v>47</v>
      </c>
      <c r="K238" s="75" t="s">
        <v>1818</v>
      </c>
      <c r="L238" s="41" t="s">
        <v>1819</v>
      </c>
      <c r="M238" s="53" t="s">
        <v>67</v>
      </c>
      <c r="N238" s="66"/>
      <c r="O238" s="53" t="s">
        <v>1820</v>
      </c>
      <c r="P238" s="76" t="s">
        <v>145</v>
      </c>
      <c r="Q238" s="49" t="s">
        <v>94</v>
      </c>
      <c r="R238" s="49"/>
      <c r="S238" s="49" t="s">
        <v>124</v>
      </c>
      <c r="T238" s="49" t="s">
        <v>97</v>
      </c>
      <c r="U238" s="49" t="s">
        <v>94</v>
      </c>
      <c r="V238" s="49" t="str">
        <f t="shared" si="98"/>
        <v>Phường Đông Kinh, Thành phố Lạng Sơn, Tỉnh Lạng Sơn</v>
      </c>
      <c r="W238" s="55" t="s">
        <v>215</v>
      </c>
      <c r="X238" s="41"/>
      <c r="Y238" s="41"/>
      <c r="Z238" s="41"/>
      <c r="AA238" s="68">
        <f>VLOOKUP(A238,'[1]DANH SÁCH'!$B$8:$AD$841,12,0)</f>
        <v>0</v>
      </c>
      <c r="AB238" s="49" t="str">
        <f>VLOOKUP(A238,'[1]DANH SÁCH'!$B$8:$H$841,6,0)</f>
        <v>TĐ011</v>
      </c>
      <c r="AC238" s="69" t="str">
        <f>VLOOKUP(A238,'[1]DANH SÁCH'!$B$8:$J$841,9,0)</f>
        <v>Truyền nhiễm</v>
      </c>
      <c r="AD238" s="69" t="str">
        <f>VLOOKUP(A238,'[1]DANH SÁCH'!$B$8:$AC$841,10,0)</f>
        <v>KP018</v>
      </c>
      <c r="AE238" s="69" t="str">
        <f>VLOOKUP(A238,'[1]DANH SÁCH'!$B$8:$AD$841,13,0)</f>
        <v>Viên chức</v>
      </c>
      <c r="AF238" s="41" t="s">
        <v>147</v>
      </c>
      <c r="AG238" s="42" t="str">
        <f>VLOOKUP(A238,'[1]DANH SÁCH'!$B$8:$H$841,7,0)</f>
        <v>Điều dưỡng (hạng III)</v>
      </c>
      <c r="AH238" s="45">
        <v>3.99</v>
      </c>
      <c r="AI238" s="42">
        <v>6</v>
      </c>
      <c r="AJ238" s="70">
        <v>0</v>
      </c>
      <c r="AK238" s="69">
        <v>45323</v>
      </c>
      <c r="AL238" s="71" t="s">
        <v>80</v>
      </c>
      <c r="AM238" s="53" t="str">
        <f>VLOOKUP(A238,'[1]DANH SÁCH'!$B$8:$F$841,5,0)</f>
        <v>Điều dưỡng ĐH</v>
      </c>
      <c r="AN238" s="53"/>
      <c r="AO238" s="53" t="s">
        <v>1130</v>
      </c>
      <c r="AP238" s="53">
        <v>2013</v>
      </c>
      <c r="AQ238" s="72" t="s">
        <v>113</v>
      </c>
      <c r="AR238" s="42">
        <f>VLOOKUP(A238,'[1]Chứng chỉ'!$B$8:$Q$1111,11,0)</f>
        <v>0</v>
      </c>
      <c r="AS238" s="42">
        <f>VLOOKUP(A238,'[1]Chứng chỉ'!$B$8:$Q$1111,12,0)</f>
        <v>0</v>
      </c>
      <c r="AT238" s="47" t="s">
        <v>139</v>
      </c>
      <c r="AU238" s="42">
        <f>VLOOKUP(A238,'[1]Chứng chỉ'!$B$8:$Q$1111,14,0)</f>
        <v>0</v>
      </c>
      <c r="AV238" s="42">
        <f>VLOOKUP(A238,'[1]Chứng chỉ'!$B$8:$Q$1111,15,0)</f>
        <v>0</v>
      </c>
      <c r="AW238" s="42">
        <f>VLOOKUP(A238,'[1]Chứng chỉ'!$B$8:$Q$1111,16,0)</f>
        <v>0</v>
      </c>
      <c r="AX238" s="42"/>
      <c r="AY238" s="57" t="s">
        <v>85</v>
      </c>
      <c r="AZ238" s="65"/>
      <c r="BA238" s="74" t="e">
        <f t="shared" si="99"/>
        <v>#REF!</v>
      </c>
      <c r="BB238" s="74" t="e">
        <f t="shared" si="100"/>
        <v>#REF!</v>
      </c>
      <c r="BC238" s="79" t="s">
        <v>114</v>
      </c>
      <c r="BD238" s="64"/>
    </row>
    <row r="239" spans="1:56" ht="51" x14ac:dyDescent="0.3">
      <c r="A239" s="41" t="s">
        <v>1821</v>
      </c>
      <c r="B239" s="42">
        <f t="shared" si="0"/>
        <v>233</v>
      </c>
      <c r="C239" s="68" t="s">
        <v>1822</v>
      </c>
      <c r="D239" s="41" t="s">
        <v>1821</v>
      </c>
      <c r="E239" s="61">
        <v>1504002807</v>
      </c>
      <c r="F239" s="64"/>
      <c r="G239" s="49" t="s">
        <v>1823</v>
      </c>
      <c r="H239" s="76"/>
      <c r="I239" s="76">
        <v>29580</v>
      </c>
      <c r="J239" s="66">
        <f t="shared" ca="1" si="103"/>
        <v>45</v>
      </c>
      <c r="K239" s="75" t="s">
        <v>1824</v>
      </c>
      <c r="L239" s="41" t="s">
        <v>1825</v>
      </c>
      <c r="M239" s="53" t="s">
        <v>67</v>
      </c>
      <c r="N239" s="66" t="s">
        <v>1826</v>
      </c>
      <c r="O239" s="53"/>
      <c r="P239" s="49" t="s">
        <v>1827</v>
      </c>
      <c r="Q239" s="49" t="s">
        <v>1828</v>
      </c>
      <c r="R239" s="49"/>
      <c r="S239" s="49" t="s">
        <v>1829</v>
      </c>
      <c r="T239" s="53" t="s">
        <v>182</v>
      </c>
      <c r="U239" s="53" t="s">
        <v>94</v>
      </c>
      <c r="V239" s="49" t="str">
        <f t="shared" si="98"/>
        <v>Thị trấn Na Dương, Huyện Lộc Bình, Tỉnh Lạng Sơn</v>
      </c>
      <c r="W239" s="55" t="s">
        <v>266</v>
      </c>
      <c r="X239" s="41"/>
      <c r="Y239" s="41"/>
      <c r="Z239" s="41"/>
      <c r="AA239" s="68" t="str">
        <f>VLOOKUP(A239,'[1]DANH SÁCH'!$B$8:$AD$841,12,0)</f>
        <v>Điều dưỡng trưởng</v>
      </c>
      <c r="AB239" s="49" t="str">
        <f>VLOOKUP(A239,'[1]DANH SÁCH'!$B$8:$H$841,6,0)</f>
        <v>TĐ011</v>
      </c>
      <c r="AC239" s="69" t="str">
        <f>VLOOKUP(A239,'[1]DANH SÁCH'!$B$8:$J$841,9,0)</f>
        <v>Truyền nhiễm</v>
      </c>
      <c r="AD239" s="69" t="str">
        <f>VLOOKUP(A239,'[1]DANH SÁCH'!$B$8:$AC$841,10,0)</f>
        <v>KP018</v>
      </c>
      <c r="AE239" s="69" t="str">
        <f>VLOOKUP(A239,'[1]DANH SÁCH'!$B$8:$AD$841,13,0)</f>
        <v>Viên chức</v>
      </c>
      <c r="AF239" s="41" t="s">
        <v>147</v>
      </c>
      <c r="AG239" s="42" t="str">
        <f>VLOOKUP(A239,'[1]DANH SÁCH'!$B$8:$H$841,7,0)</f>
        <v>Điều dưỡng (hạng III)</v>
      </c>
      <c r="AH239" s="45">
        <v>4.32</v>
      </c>
      <c r="AI239" s="42">
        <v>7</v>
      </c>
      <c r="AJ239" s="70">
        <v>0</v>
      </c>
      <c r="AK239" s="69">
        <v>46023</v>
      </c>
      <c r="AL239" s="71" t="s">
        <v>80</v>
      </c>
      <c r="AM239" s="53" t="str">
        <f>VLOOKUP(A239,'[1]DANH SÁCH'!$B$8:$F$841,5,0)</f>
        <v>Điều dưỡng ĐH</v>
      </c>
      <c r="AN239" s="53"/>
      <c r="AO239" s="53" t="s">
        <v>297</v>
      </c>
      <c r="AP239" s="53">
        <v>2017</v>
      </c>
      <c r="AQ239" s="72" t="s">
        <v>113</v>
      </c>
      <c r="AR239" s="42">
        <f>VLOOKUP(A239,'[1]Chứng chỉ'!$B$8:$Q$1111,11,0)</f>
        <v>0</v>
      </c>
      <c r="AS239" s="42">
        <f>VLOOKUP(A239,'[1]Chứng chỉ'!$B$8:$Q$1111,12,0)</f>
        <v>0</v>
      </c>
      <c r="AT239" s="47" t="s">
        <v>139</v>
      </c>
      <c r="AU239" s="42" t="str">
        <f>VLOOKUP(A239,'[1]Chứng chỉ'!$B$8:$Q$1111,14,0)</f>
        <v>Anh B</v>
      </c>
      <c r="AV239" s="42" t="str">
        <f>VLOOKUP(A239,'[1]Chứng chỉ'!$B$8:$Q$1111,15,0)</f>
        <v>Tày</v>
      </c>
      <c r="AW239" s="42" t="str">
        <f>VLOOKUP(A239,'[1]Chứng chỉ'!$B$8:$Q$1111,16,0)</f>
        <v>B</v>
      </c>
      <c r="AX239" s="53"/>
      <c r="AY239" s="57" t="s">
        <v>87</v>
      </c>
      <c r="AZ239" s="65">
        <v>41072</v>
      </c>
      <c r="BA239" s="74" t="e">
        <f t="shared" si="99"/>
        <v>#REF!</v>
      </c>
      <c r="BB239" s="74" t="e">
        <f t="shared" si="100"/>
        <v>#REF!</v>
      </c>
      <c r="BC239" s="79" t="s">
        <v>114</v>
      </c>
      <c r="BD239" s="64"/>
    </row>
    <row r="240" spans="1:56" ht="40.799999999999997" x14ac:dyDescent="0.3">
      <c r="A240" s="46" t="s">
        <v>1830</v>
      </c>
      <c r="B240" s="42">
        <f t="shared" si="0"/>
        <v>234</v>
      </c>
      <c r="C240" s="63" t="s">
        <v>1831</v>
      </c>
      <c r="D240" s="46" t="s">
        <v>1830</v>
      </c>
      <c r="E240" s="61" t="s">
        <v>1832</v>
      </c>
      <c r="F240" s="64"/>
      <c r="G240" s="49" t="s">
        <v>1833</v>
      </c>
      <c r="H240" s="118" t="s">
        <v>1834</v>
      </c>
      <c r="I240" s="76"/>
      <c r="J240" s="66">
        <f ca="1">INT(DATEDIF(H240,$J$2,"d")/365)</f>
        <v>34</v>
      </c>
      <c r="K240" s="75" t="s">
        <v>1835</v>
      </c>
      <c r="L240" s="83" t="s">
        <v>1836</v>
      </c>
      <c r="M240" s="53" t="s">
        <v>67</v>
      </c>
      <c r="N240" s="66" t="s">
        <v>1837</v>
      </c>
      <c r="O240" s="85" t="s">
        <v>1838</v>
      </c>
      <c r="P240" s="76" t="s">
        <v>1116</v>
      </c>
      <c r="Q240" s="76" t="s">
        <v>71</v>
      </c>
      <c r="R240" s="76" t="s">
        <v>1839</v>
      </c>
      <c r="S240" s="76" t="s">
        <v>1838</v>
      </c>
      <c r="T240" s="76" t="s">
        <v>1116</v>
      </c>
      <c r="U240" s="76" t="s">
        <v>71</v>
      </c>
      <c r="V240" s="49" t="str">
        <f t="shared" si="98"/>
        <v>Minh Khai, Bình Gia, Lạng Sơn</v>
      </c>
      <c r="W240" s="55" t="s">
        <v>1840</v>
      </c>
      <c r="X240" s="41"/>
      <c r="Y240" s="41"/>
      <c r="Z240" s="41"/>
      <c r="AA240" s="68">
        <f>VLOOKUP(A240,'[1]DANH SÁCH'!$B$8:$AD$841,12,0)</f>
        <v>0</v>
      </c>
      <c r="AB240" s="49" t="str">
        <f>VLOOKUP(A240,'[1]DANH SÁCH'!$B$8:$H$841,6,0)</f>
        <v>TĐ012</v>
      </c>
      <c r="AC240" s="69" t="str">
        <f>VLOOKUP(A240,'[1]DANH SÁCH'!$B$8:$J$841,9,0)</f>
        <v>Truyền nhiễm</v>
      </c>
      <c r="AD240" s="69" t="str">
        <f>VLOOKUP(A240,'[1]DANH SÁCH'!$B$8:$AC$841,10,0)</f>
        <v>KP018</v>
      </c>
      <c r="AE240" s="69" t="str">
        <f>VLOOKUP(A240,'[1]DANH SÁCH'!$B$8:$AD$841,13,0)</f>
        <v>Viên chức</v>
      </c>
      <c r="AF240" s="41" t="s">
        <v>157</v>
      </c>
      <c r="AG240" s="42" t="str">
        <f>VLOOKUP(A240,'[1]DANH SÁCH'!$B$8:$H$841,7,0)</f>
        <v>Điều dưỡng (hạng IV)</v>
      </c>
      <c r="AH240" s="45" t="s">
        <v>1841</v>
      </c>
      <c r="AI240" s="42">
        <v>3</v>
      </c>
      <c r="AJ240" s="70">
        <v>0</v>
      </c>
      <c r="AK240" s="127" t="s">
        <v>1842</v>
      </c>
      <c r="AL240" s="71" t="s">
        <v>158</v>
      </c>
      <c r="AM240" s="53" t="str">
        <f>VLOOKUP(A240,'[1]DANH SÁCH'!$B$8:$F$841,5,0)</f>
        <v>Điều dưỡng CĐ</v>
      </c>
      <c r="AN240" s="53"/>
      <c r="AO240" s="53" t="s">
        <v>1843</v>
      </c>
      <c r="AP240" s="53">
        <v>2014</v>
      </c>
      <c r="AQ240" s="72" t="s">
        <v>113</v>
      </c>
      <c r="AR240" s="42">
        <f>VLOOKUP(A240,'[1]Chứng chỉ'!$B$8:$Q$1111,11,0)</f>
        <v>0</v>
      </c>
      <c r="AS240" s="42">
        <f>VLOOKUP(A240,'[1]Chứng chỉ'!$B$8:$Q$1111,12,0)</f>
        <v>0</v>
      </c>
      <c r="AT240" s="47" t="s">
        <v>139</v>
      </c>
      <c r="AU240" s="42">
        <f>VLOOKUP(A240,'[1]Chứng chỉ'!$B$8:$Q$1111,14,0)</f>
        <v>0</v>
      </c>
      <c r="AV240" s="42">
        <f>VLOOKUP(A240,'[1]Chứng chỉ'!$B$8:$Q$1111,15,0)</f>
        <v>0</v>
      </c>
      <c r="AW240" s="42">
        <f>VLOOKUP(A240,'[1]Chứng chỉ'!$B$8:$Q$1111,16,0)</f>
        <v>0</v>
      </c>
      <c r="AX240" s="42"/>
      <c r="AY240" s="57" t="s">
        <v>127</v>
      </c>
      <c r="AZ240" s="65"/>
      <c r="BA240" s="74"/>
      <c r="BB240" s="74"/>
      <c r="BC240" s="79" t="s">
        <v>114</v>
      </c>
      <c r="BD240" s="64"/>
    </row>
    <row r="241" spans="1:56" ht="51" x14ac:dyDescent="0.3">
      <c r="A241" s="41" t="s">
        <v>1844</v>
      </c>
      <c r="B241" s="42">
        <f t="shared" si="0"/>
        <v>235</v>
      </c>
      <c r="C241" s="68" t="s">
        <v>1845</v>
      </c>
      <c r="D241" s="41" t="s">
        <v>1844</v>
      </c>
      <c r="E241" s="61">
        <v>2013002130</v>
      </c>
      <c r="F241" s="64"/>
      <c r="G241" s="49" t="s">
        <v>1846</v>
      </c>
      <c r="H241" s="76"/>
      <c r="I241" s="76">
        <v>31699</v>
      </c>
      <c r="J241" s="66">
        <f ca="1">INT(DATEDIF(I241,$J$2,"d")/365)</f>
        <v>39</v>
      </c>
      <c r="K241" s="75" t="s">
        <v>1847</v>
      </c>
      <c r="L241" s="41" t="s">
        <v>1848</v>
      </c>
      <c r="M241" s="53" t="s">
        <v>67</v>
      </c>
      <c r="N241" s="66"/>
      <c r="O241" s="85" t="s">
        <v>619</v>
      </c>
      <c r="P241" s="49" t="s">
        <v>108</v>
      </c>
      <c r="Q241" s="49" t="s">
        <v>94</v>
      </c>
      <c r="R241" s="76"/>
      <c r="S241" s="76" t="s">
        <v>619</v>
      </c>
      <c r="T241" s="49" t="s">
        <v>108</v>
      </c>
      <c r="U241" s="49" t="s">
        <v>94</v>
      </c>
      <c r="V241" s="49" t="str">
        <f t="shared" si="98"/>
        <v>Xã Hợp Thành, Huyện Cao Lộc, Tỉnh Lạng Sơn</v>
      </c>
      <c r="W241" s="55" t="s">
        <v>315</v>
      </c>
      <c r="X241" s="41"/>
      <c r="Y241" s="41"/>
      <c r="Z241" s="41"/>
      <c r="AA241" s="68">
        <f>VLOOKUP(A241,'[1]DANH SÁCH'!$B$8:$AD$841,12,0)</f>
        <v>0</v>
      </c>
      <c r="AB241" s="49" t="str">
        <f>VLOOKUP(A241,'[1]DANH SÁCH'!$B$8:$H$841,6,0)</f>
        <v>TĐ012</v>
      </c>
      <c r="AC241" s="69" t="str">
        <f>VLOOKUP(A241,'[1]DANH SÁCH'!$B$8:$J$841,9,0)</f>
        <v>Truyền nhiễm</v>
      </c>
      <c r="AD241" s="69" t="str">
        <f>VLOOKUP(A241,'[1]DANH SÁCH'!$B$8:$AC$841,10,0)</f>
        <v>KP018</v>
      </c>
      <c r="AE241" s="69" t="str">
        <f>VLOOKUP(A241,'[1]DANH SÁCH'!$B$8:$AD$841,13,0)</f>
        <v>Viên chức</v>
      </c>
      <c r="AF241" s="41" t="s">
        <v>157</v>
      </c>
      <c r="AG241" s="42" t="str">
        <f>VLOOKUP(A241,'[1]DANH SÁCH'!$B$8:$H$841,7,0)</f>
        <v>Điều dưỡng (hạng IV)</v>
      </c>
      <c r="AH241" s="45">
        <v>3.03</v>
      </c>
      <c r="AI241" s="42">
        <v>4</v>
      </c>
      <c r="AJ241" s="70">
        <v>0</v>
      </c>
      <c r="AK241" s="69">
        <v>45453</v>
      </c>
      <c r="AL241" s="71" t="s">
        <v>158</v>
      </c>
      <c r="AM241" s="53" t="str">
        <f>VLOOKUP(A241,'[1]DANH SÁCH'!$B$8:$F$841,5,0)</f>
        <v>Điều dưỡng CĐ</v>
      </c>
      <c r="AN241" s="53"/>
      <c r="AO241" s="53" t="s">
        <v>1849</v>
      </c>
      <c r="AP241" s="53">
        <v>2009</v>
      </c>
      <c r="AQ241" s="72" t="s">
        <v>113</v>
      </c>
      <c r="AR241" s="42">
        <f>VLOOKUP(A241,'[1]Chứng chỉ'!$B$8:$Q$1111,11,0)</f>
        <v>0</v>
      </c>
      <c r="AS241" s="42">
        <f>VLOOKUP(A241,'[1]Chứng chỉ'!$B$8:$Q$1111,12,0)</f>
        <v>0</v>
      </c>
      <c r="AT241" s="47">
        <f>VLOOKUP(A241,'[1]Chứng chỉ'!$B$8:$Q$1111,13,0)</f>
        <v>0</v>
      </c>
      <c r="AU241" s="42">
        <f>VLOOKUP(A241,'[1]Chứng chỉ'!$B$8:$Q$1111,14,0)</f>
        <v>0</v>
      </c>
      <c r="AV241" s="42">
        <f>VLOOKUP(A241,'[1]Chứng chỉ'!$B$8:$Q$1111,15,0)</f>
        <v>0</v>
      </c>
      <c r="AW241" s="42" t="str">
        <f>VLOOKUP(A241,'[1]Chứng chỉ'!$B$8:$Q$1111,16,0)</f>
        <v>Cơ bản</v>
      </c>
      <c r="AX241" s="42"/>
      <c r="AY241" s="57" t="s">
        <v>85</v>
      </c>
      <c r="AZ241" s="65">
        <v>44614</v>
      </c>
      <c r="BA241" s="74" t="e">
        <f t="shared" ref="BA241:BA264" si="104">VLOOKUP(A241,#REF!,4,0)</f>
        <v>#REF!</v>
      </c>
      <c r="BB241" s="74" t="e">
        <f t="shared" ref="BB241:BB264" si="105">VLOOKUP(A241,#REF!,5,0)</f>
        <v>#REF!</v>
      </c>
      <c r="BC241" s="79" t="s">
        <v>114</v>
      </c>
      <c r="BD241" s="64"/>
    </row>
    <row r="242" spans="1:56" ht="61.2" x14ac:dyDescent="0.3">
      <c r="A242" s="41" t="s">
        <v>1850</v>
      </c>
      <c r="B242" s="42">
        <f t="shared" si="0"/>
        <v>236</v>
      </c>
      <c r="C242" s="68" t="s">
        <v>1851</v>
      </c>
      <c r="D242" s="41" t="s">
        <v>1850</v>
      </c>
      <c r="E242" s="61">
        <v>1596007618</v>
      </c>
      <c r="F242" s="64"/>
      <c r="G242" s="49" t="s">
        <v>1852</v>
      </c>
      <c r="H242" s="76">
        <v>26470</v>
      </c>
      <c r="I242" s="76"/>
      <c r="J242" s="66">
        <f ca="1">INT(DATEDIF(H242,$J$2,"d")/365)</f>
        <v>54</v>
      </c>
      <c r="K242" s="75" t="s">
        <v>1853</v>
      </c>
      <c r="L242" s="41" t="s">
        <v>1854</v>
      </c>
      <c r="M242" s="53" t="s">
        <v>67</v>
      </c>
      <c r="N242" s="66"/>
      <c r="O242" s="53"/>
      <c r="P242" s="49" t="s">
        <v>93</v>
      </c>
      <c r="Q242" s="49" t="s">
        <v>94</v>
      </c>
      <c r="R242" s="49"/>
      <c r="S242" s="49" t="s">
        <v>166</v>
      </c>
      <c r="T242" s="49" t="s">
        <v>97</v>
      </c>
      <c r="U242" s="49" t="s">
        <v>94</v>
      </c>
      <c r="V242" s="49" t="str">
        <f t="shared" si="98"/>
        <v>Phường Tam Thanh, Thành phố Lạng Sơn, Tỉnh Lạng Sơn</v>
      </c>
      <c r="W242" s="55" t="s">
        <v>526</v>
      </c>
      <c r="X242" s="41"/>
      <c r="Y242" s="41"/>
      <c r="Z242" s="41"/>
      <c r="AA242" s="68">
        <f>VLOOKUP(A242,'[1]DANH SÁCH'!$B$8:$AD$841,12,0)</f>
        <v>0</v>
      </c>
      <c r="AB242" s="49" t="str">
        <f>VLOOKUP(A242,'[1]DANH SÁCH'!$B$8:$H$841,6,0)</f>
        <v>TĐ012</v>
      </c>
      <c r="AC242" s="69" t="str">
        <f>VLOOKUP(A242,'[1]DANH SÁCH'!$B$8:$J$841,9,0)</f>
        <v>Truyền nhiễm</v>
      </c>
      <c r="AD242" s="69" t="str">
        <f>VLOOKUP(A242,'[1]DANH SÁCH'!$B$8:$AC$841,10,0)</f>
        <v>KP018</v>
      </c>
      <c r="AE242" s="69" t="str">
        <f>VLOOKUP(A242,'[1]DANH SÁCH'!$B$8:$AD$841,13,0)</f>
        <v>Viên chức</v>
      </c>
      <c r="AF242" s="41" t="s">
        <v>157</v>
      </c>
      <c r="AG242" s="42" t="str">
        <f>VLOOKUP(A242,'[1]DANH SÁCH'!$B$8:$H$841,7,0)</f>
        <v>Điều dưỡng (hạng IV)</v>
      </c>
      <c r="AH242" s="45">
        <v>4.58</v>
      </c>
      <c r="AI242" s="42">
        <v>9</v>
      </c>
      <c r="AJ242" s="70" t="s">
        <v>1855</v>
      </c>
      <c r="AK242" s="69">
        <v>46023</v>
      </c>
      <c r="AL242" s="71" t="s">
        <v>101</v>
      </c>
      <c r="AM242" s="53" t="str">
        <f>VLOOKUP(A242,'[1]DANH SÁCH'!$B$8:$F$841,5,0)</f>
        <v>Điều dưỡng CĐ</v>
      </c>
      <c r="AN242" s="53"/>
      <c r="AO242" s="53"/>
      <c r="AP242" s="53"/>
      <c r="AQ242" s="72"/>
      <c r="AR242" s="42">
        <f>VLOOKUP(A242,'[1]Chứng chỉ'!$B$8:$Q$1111,11,0)</f>
        <v>0</v>
      </c>
      <c r="AS242" s="42">
        <f>VLOOKUP(A242,'[1]Chứng chỉ'!$B$8:$Q$1111,12,0)</f>
        <v>0</v>
      </c>
      <c r="AT242" s="47" t="s">
        <v>139</v>
      </c>
      <c r="AU242" s="42">
        <f>VLOOKUP(A242,'[1]Chứng chỉ'!$B$8:$Q$1111,14,0)</f>
        <v>0</v>
      </c>
      <c r="AV242" s="42">
        <f>VLOOKUP(A242,'[1]Chứng chỉ'!$B$8:$Q$1111,15,0)</f>
        <v>0</v>
      </c>
      <c r="AW242" s="42" t="str">
        <f>VLOOKUP(A242,'[1]Chứng chỉ'!$B$8:$Q$1111,16,0)</f>
        <v>A</v>
      </c>
      <c r="AX242" s="42"/>
      <c r="AY242" s="57" t="s">
        <v>87</v>
      </c>
      <c r="AZ242" s="65"/>
      <c r="BA242" s="74" t="e">
        <f t="shared" si="104"/>
        <v>#REF!</v>
      </c>
      <c r="BB242" s="74" t="e">
        <f t="shared" si="105"/>
        <v>#REF!</v>
      </c>
      <c r="BC242" s="41" t="s">
        <v>597</v>
      </c>
      <c r="BD242" s="64"/>
    </row>
    <row r="243" spans="1:56" ht="40.799999999999997" x14ac:dyDescent="0.3">
      <c r="A243" s="41" t="s">
        <v>1856</v>
      </c>
      <c r="B243" s="42">
        <f t="shared" si="0"/>
        <v>237</v>
      </c>
      <c r="C243" s="68" t="s">
        <v>1857</v>
      </c>
      <c r="D243" s="41" t="s">
        <v>1856</v>
      </c>
      <c r="E243" s="61">
        <v>2010000153</v>
      </c>
      <c r="F243" s="64"/>
      <c r="G243" s="49" t="s">
        <v>1858</v>
      </c>
      <c r="H243" s="76"/>
      <c r="I243" s="76">
        <v>31423</v>
      </c>
      <c r="J243" s="66">
        <f t="shared" ref="J243:J246" ca="1" si="106">INT(DATEDIF(I243,$J$2,"d")/365)</f>
        <v>40</v>
      </c>
      <c r="K243" s="75" t="s">
        <v>1859</v>
      </c>
      <c r="L243" s="41" t="s">
        <v>1860</v>
      </c>
      <c r="M243" s="53" t="s">
        <v>67</v>
      </c>
      <c r="N243" s="66"/>
      <c r="O243" s="53" t="s">
        <v>677</v>
      </c>
      <c r="P243" s="49" t="s">
        <v>222</v>
      </c>
      <c r="Q243" s="49" t="s">
        <v>94</v>
      </c>
      <c r="R243" s="49"/>
      <c r="S243" s="49" t="s">
        <v>342</v>
      </c>
      <c r="T243" s="49" t="s">
        <v>343</v>
      </c>
      <c r="U243" s="49" t="s">
        <v>94</v>
      </c>
      <c r="V243" s="49" t="str">
        <f t="shared" si="98"/>
        <v>Xã Tân Văn, Huyện Bình Gia, Tỉnh Lạng Sơn</v>
      </c>
      <c r="W243" s="55" t="s">
        <v>236</v>
      </c>
      <c r="X243" s="41"/>
      <c r="Y243" s="41"/>
      <c r="Z243" s="41"/>
      <c r="AA243" s="68">
        <f>VLOOKUP(A243,'[1]DANH SÁCH'!$B$8:$AD$841,12,0)</f>
        <v>0</v>
      </c>
      <c r="AB243" s="49" t="str">
        <f>VLOOKUP(A243,'[1]DANH SÁCH'!$B$8:$H$841,6,0)</f>
        <v>TĐ011</v>
      </c>
      <c r="AC243" s="69" t="str">
        <f>VLOOKUP(A243,'[1]DANH SÁCH'!$B$8:$J$841,9,0)</f>
        <v>Truyền nhiễm</v>
      </c>
      <c r="AD243" s="69" t="str">
        <f>VLOOKUP(A243,'[1]DANH SÁCH'!$B$8:$AC$841,10,0)</f>
        <v>KP018</v>
      </c>
      <c r="AE243" s="69" t="str">
        <f>VLOOKUP(A243,'[1]DANH SÁCH'!$B$8:$AD$841,13,0)</f>
        <v>Viên chức</v>
      </c>
      <c r="AF243" s="41" t="s">
        <v>157</v>
      </c>
      <c r="AG243" s="42" t="str">
        <f>VLOOKUP(A243,'[1]DANH SÁCH'!$B$8:$H$841,7,0)</f>
        <v>Điều dưỡng (hạng III)</v>
      </c>
      <c r="AH243" s="45">
        <v>3.66</v>
      </c>
      <c r="AI243" s="42">
        <v>5</v>
      </c>
      <c r="AJ243" s="70">
        <v>0</v>
      </c>
      <c r="AK243" s="69">
        <v>45778</v>
      </c>
      <c r="AL243" s="71" t="s">
        <v>80</v>
      </c>
      <c r="AM243" s="53" t="str">
        <f>VLOOKUP(A243,'[1]DANH SÁCH'!$B$8:$F$841,5,0)</f>
        <v>Điều dưỡng ĐH</v>
      </c>
      <c r="AN243" s="53"/>
      <c r="AO243" s="53" t="s">
        <v>1849</v>
      </c>
      <c r="AP243" s="53">
        <v>2006</v>
      </c>
      <c r="AQ243" s="72" t="s">
        <v>113</v>
      </c>
      <c r="AR243" s="42">
        <f>VLOOKUP(A243,'[1]Chứng chỉ'!$B$8:$Q$1111,11,0)</f>
        <v>0</v>
      </c>
      <c r="AS243" s="42">
        <f>VLOOKUP(A243,'[1]Chứng chỉ'!$B$8:$Q$1111,12,0)</f>
        <v>0</v>
      </c>
      <c r="AT243" s="47">
        <f>VLOOKUP(A243,'[1]Chứng chỉ'!$B$8:$Q$1111,13,0)</f>
        <v>0</v>
      </c>
      <c r="AU243" s="42" t="str">
        <f>VLOOKUP(A243,'[1]Chứng chỉ'!$B$8:$Q$1111,14,0)</f>
        <v>A2</v>
      </c>
      <c r="AV243" s="42">
        <f>VLOOKUP(A243,'[1]Chứng chỉ'!$B$8:$Q$1111,15,0)</f>
        <v>0</v>
      </c>
      <c r="AW243" s="42" t="str">
        <f>VLOOKUP(A243,'[1]Chứng chỉ'!$B$8:$Q$1111,16,0)</f>
        <v>Cơ bản</v>
      </c>
      <c r="AX243" s="42"/>
      <c r="AY243" s="57" t="s">
        <v>127</v>
      </c>
      <c r="AZ243" s="65">
        <v>42677</v>
      </c>
      <c r="BA243" s="74" t="e">
        <f t="shared" si="104"/>
        <v>#REF!</v>
      </c>
      <c r="BB243" s="74" t="e">
        <f t="shared" si="105"/>
        <v>#REF!</v>
      </c>
      <c r="BC243" s="79" t="s">
        <v>1412</v>
      </c>
      <c r="BD243" s="64"/>
    </row>
    <row r="244" spans="1:56" ht="61.2" x14ac:dyDescent="0.3">
      <c r="A244" s="41" t="s">
        <v>1861</v>
      </c>
      <c r="B244" s="42">
        <f t="shared" si="0"/>
        <v>238</v>
      </c>
      <c r="C244" s="68" t="s">
        <v>1862</v>
      </c>
      <c r="D244" s="41" t="s">
        <v>1861</v>
      </c>
      <c r="E244" s="61">
        <v>2012000200</v>
      </c>
      <c r="F244" s="64"/>
      <c r="G244" s="49" t="s">
        <v>1863</v>
      </c>
      <c r="H244" s="76"/>
      <c r="I244" s="76">
        <v>33161</v>
      </c>
      <c r="J244" s="66">
        <f t="shared" ca="1" si="106"/>
        <v>35</v>
      </c>
      <c r="K244" s="109" t="s">
        <v>1864</v>
      </c>
      <c r="L244" s="41" t="s">
        <v>1865</v>
      </c>
      <c r="M244" s="53" t="s">
        <v>67</v>
      </c>
      <c r="N244" s="66"/>
      <c r="O244" s="53"/>
      <c r="P244" s="76" t="s">
        <v>343</v>
      </c>
      <c r="Q244" s="49" t="s">
        <v>94</v>
      </c>
      <c r="R244" s="49"/>
      <c r="S244" s="49" t="s">
        <v>166</v>
      </c>
      <c r="T244" s="49" t="s">
        <v>97</v>
      </c>
      <c r="U244" s="49" t="s">
        <v>94</v>
      </c>
      <c r="V244" s="49" t="str">
        <f t="shared" si="98"/>
        <v>Phường Tam Thanh, Thành phố Lạng Sơn, Tỉnh Lạng Sơn</v>
      </c>
      <c r="W244" s="55" t="s">
        <v>315</v>
      </c>
      <c r="X244" s="41"/>
      <c r="Y244" s="41"/>
      <c r="Z244" s="41"/>
      <c r="AA244" s="68">
        <f>VLOOKUP(A244,'[1]DANH SÁCH'!$B$8:$AD$841,12,0)</f>
        <v>0</v>
      </c>
      <c r="AB244" s="49" t="str">
        <f>VLOOKUP(A244,'[1]DANH SÁCH'!$B$8:$H$841,6,0)</f>
        <v>TĐ012</v>
      </c>
      <c r="AC244" s="69" t="str">
        <f>VLOOKUP(A244,'[1]DANH SÁCH'!$B$8:$J$841,9,0)</f>
        <v>Truyền nhiễm</v>
      </c>
      <c r="AD244" s="69" t="str">
        <f>VLOOKUP(A244,'[1]DANH SÁCH'!$B$8:$AC$841,10,0)</f>
        <v>KP018</v>
      </c>
      <c r="AE244" s="69" t="str">
        <f>VLOOKUP(A244,'[1]DANH SÁCH'!$B$8:$AD$841,13,0)</f>
        <v>Viên chức</v>
      </c>
      <c r="AF244" s="41" t="s">
        <v>157</v>
      </c>
      <c r="AG244" s="42" t="str">
        <f>VLOOKUP(A244,'[1]DANH SÁCH'!$B$8:$H$841,7,0)</f>
        <v>Điều dưỡng (hạng IV)</v>
      </c>
      <c r="AH244" s="45">
        <v>3.03</v>
      </c>
      <c r="AI244" s="42">
        <v>4</v>
      </c>
      <c r="AJ244" s="70">
        <v>0</v>
      </c>
      <c r="AK244" s="69">
        <v>45265</v>
      </c>
      <c r="AL244" s="71" t="s">
        <v>158</v>
      </c>
      <c r="AM244" s="53" t="str">
        <f>VLOOKUP(A244,'[1]DANH SÁCH'!$B$8:$F$841,5,0)</f>
        <v>Điều dưỡng CĐ</v>
      </c>
      <c r="AN244" s="53"/>
      <c r="AO244" s="53" t="s">
        <v>1849</v>
      </c>
      <c r="AP244" s="53">
        <v>2011</v>
      </c>
      <c r="AQ244" s="72" t="s">
        <v>113</v>
      </c>
      <c r="AR244" s="42">
        <f>VLOOKUP(A244,'[1]Chứng chỉ'!$B$8:$Q$1111,11,0)</f>
        <v>0</v>
      </c>
      <c r="AS244" s="42">
        <f>VLOOKUP(A244,'[1]Chứng chỉ'!$B$8:$Q$1111,12,0)</f>
        <v>0</v>
      </c>
      <c r="AT244" s="47">
        <f>VLOOKUP(A244,'[1]Chứng chỉ'!$B$8:$Q$1111,13,0)</f>
        <v>0</v>
      </c>
      <c r="AU244" s="42">
        <f>VLOOKUP(A244,'[1]Chứng chỉ'!$B$8:$Q$1111,14,0)</f>
        <v>0</v>
      </c>
      <c r="AV244" s="42">
        <f>VLOOKUP(A244,'[1]Chứng chỉ'!$B$8:$Q$1111,15,0)</f>
        <v>0</v>
      </c>
      <c r="AW244" s="42">
        <f>VLOOKUP(A244,'[1]Chứng chỉ'!$B$8:$Q$1111,16,0)</f>
        <v>0</v>
      </c>
      <c r="AX244" s="42"/>
      <c r="AY244" s="57" t="s">
        <v>85</v>
      </c>
      <c r="AZ244" s="65"/>
      <c r="BA244" s="74" t="e">
        <f t="shared" si="104"/>
        <v>#REF!</v>
      </c>
      <c r="BB244" s="74" t="e">
        <f t="shared" si="105"/>
        <v>#REF!</v>
      </c>
      <c r="BC244" s="41" t="s">
        <v>128</v>
      </c>
      <c r="BD244" s="64"/>
    </row>
    <row r="245" spans="1:56" ht="61.2" x14ac:dyDescent="0.3">
      <c r="A245" s="41" t="s">
        <v>1866</v>
      </c>
      <c r="B245" s="42">
        <f t="shared" si="0"/>
        <v>239</v>
      </c>
      <c r="C245" s="60" t="s">
        <v>1867</v>
      </c>
      <c r="D245" s="41" t="s">
        <v>1866</v>
      </c>
      <c r="E245" s="61">
        <v>2012000291</v>
      </c>
      <c r="F245" s="64"/>
      <c r="G245" s="49" t="s">
        <v>1868</v>
      </c>
      <c r="H245" s="76"/>
      <c r="I245" s="76">
        <v>32510</v>
      </c>
      <c r="J245" s="66">
        <f t="shared" ca="1" si="106"/>
        <v>37</v>
      </c>
      <c r="K245" s="75" t="s">
        <v>1869</v>
      </c>
      <c r="L245" s="41" t="s">
        <v>1870</v>
      </c>
      <c r="M245" s="53" t="s">
        <v>67</v>
      </c>
      <c r="N245" s="66"/>
      <c r="O245" s="53"/>
      <c r="P245" s="49" t="s">
        <v>195</v>
      </c>
      <c r="Q245" s="49" t="s">
        <v>94</v>
      </c>
      <c r="R245" s="49"/>
      <c r="S245" s="49" t="s">
        <v>166</v>
      </c>
      <c r="T245" s="49" t="s">
        <v>97</v>
      </c>
      <c r="U245" s="49" t="s">
        <v>94</v>
      </c>
      <c r="V245" s="49" t="str">
        <f t="shared" si="98"/>
        <v>Phường Tam Thanh, Thành phố Lạng Sơn, Tỉnh Lạng Sơn</v>
      </c>
      <c r="W245" s="55" t="s">
        <v>315</v>
      </c>
      <c r="X245" s="41"/>
      <c r="Y245" s="41"/>
      <c r="Z245" s="41"/>
      <c r="AA245" s="68">
        <f>VLOOKUP(A245,'[1]DANH SÁCH'!$B$8:$AD$841,12,0)</f>
        <v>0</v>
      </c>
      <c r="AB245" s="49" t="str">
        <f>VLOOKUP(A245,'[1]DANH SÁCH'!$B$8:$H$841,6,0)</f>
        <v>TĐ012</v>
      </c>
      <c r="AC245" s="69" t="str">
        <f>VLOOKUP(A245,'[1]DANH SÁCH'!$B$8:$J$841,9,0)</f>
        <v>Truyền nhiễm</v>
      </c>
      <c r="AD245" s="69" t="str">
        <f>VLOOKUP(A245,'[1]DANH SÁCH'!$B$8:$AC$841,10,0)</f>
        <v>KP018</v>
      </c>
      <c r="AE245" s="69" t="str">
        <f>VLOOKUP(A245,'[1]DANH SÁCH'!$B$8:$AD$841,13,0)</f>
        <v>Viên chức</v>
      </c>
      <c r="AF245" s="41" t="s">
        <v>157</v>
      </c>
      <c r="AG245" s="42" t="str">
        <f>VLOOKUP(A245,'[1]DANH SÁCH'!$B$8:$H$841,7,0)</f>
        <v>Điều dưỡng (hạng IV)</v>
      </c>
      <c r="AH245" s="45">
        <v>3.03</v>
      </c>
      <c r="AI245" s="42">
        <v>4</v>
      </c>
      <c r="AJ245" s="70">
        <v>0</v>
      </c>
      <c r="AK245" s="69">
        <v>45631</v>
      </c>
      <c r="AL245" s="71" t="s">
        <v>158</v>
      </c>
      <c r="AM245" s="53" t="str">
        <f>VLOOKUP(A245,'[1]DANH SÁCH'!$B$8:$F$841,5,0)</f>
        <v>Điều dưỡng CĐ</v>
      </c>
      <c r="AN245" s="53"/>
      <c r="AO245" s="53"/>
      <c r="AP245" s="53"/>
      <c r="AQ245" s="72"/>
      <c r="AR245" s="42">
        <f>VLOOKUP(A245,'[1]Chứng chỉ'!$B$8:$Q$1111,11,0)</f>
        <v>0</v>
      </c>
      <c r="AS245" s="42">
        <f>VLOOKUP(A245,'[1]Chứng chỉ'!$B$8:$Q$1111,12,0)</f>
        <v>0</v>
      </c>
      <c r="AT245" s="47">
        <f>VLOOKUP(A245,'[1]Chứng chỉ'!$B$8:$Q$1111,13,0)</f>
        <v>0</v>
      </c>
      <c r="AU245" s="42">
        <f>VLOOKUP(A245,'[1]Chứng chỉ'!$B$8:$Q$1111,14,0)</f>
        <v>0</v>
      </c>
      <c r="AV245" s="42">
        <f>VLOOKUP(A245,'[1]Chứng chỉ'!$B$8:$Q$1111,15,0)</f>
        <v>0</v>
      </c>
      <c r="AW245" s="42" t="str">
        <f>VLOOKUP(A245,'[1]Chứng chỉ'!$B$8:$Q$1111,16,0)</f>
        <v>Cơ bản</v>
      </c>
      <c r="AX245" s="42"/>
      <c r="AY245" s="57" t="s">
        <v>85</v>
      </c>
      <c r="AZ245" s="65"/>
      <c r="BA245" s="74" t="e">
        <f t="shared" si="104"/>
        <v>#REF!</v>
      </c>
      <c r="BB245" s="74" t="e">
        <f t="shared" si="105"/>
        <v>#REF!</v>
      </c>
      <c r="BC245" s="41" t="s">
        <v>1871</v>
      </c>
      <c r="BD245" s="64"/>
    </row>
    <row r="246" spans="1:56" ht="51" x14ac:dyDescent="0.3">
      <c r="A246" s="41" t="s">
        <v>1872</v>
      </c>
      <c r="B246" s="42">
        <f t="shared" si="0"/>
        <v>240</v>
      </c>
      <c r="C246" s="68" t="s">
        <v>1873</v>
      </c>
      <c r="D246" s="41" t="s">
        <v>1872</v>
      </c>
      <c r="E246" s="61">
        <v>2010000181</v>
      </c>
      <c r="F246" s="64"/>
      <c r="G246" s="49" t="s">
        <v>1874</v>
      </c>
      <c r="H246" s="76"/>
      <c r="I246" s="76">
        <v>30845</v>
      </c>
      <c r="J246" s="66">
        <f t="shared" ca="1" si="106"/>
        <v>42</v>
      </c>
      <c r="K246" s="75" t="s">
        <v>1875</v>
      </c>
      <c r="L246" s="41" t="s">
        <v>1876</v>
      </c>
      <c r="M246" s="53" t="s">
        <v>67</v>
      </c>
      <c r="N246" s="66"/>
      <c r="O246" s="53" t="s">
        <v>1877</v>
      </c>
      <c r="P246" s="49" t="s">
        <v>1878</v>
      </c>
      <c r="Q246" s="49" t="s">
        <v>1578</v>
      </c>
      <c r="R246" s="49"/>
      <c r="S246" s="49" t="s">
        <v>136</v>
      </c>
      <c r="T246" s="49" t="s">
        <v>97</v>
      </c>
      <c r="U246" s="49" t="s">
        <v>94</v>
      </c>
      <c r="V246" s="49" t="str">
        <f t="shared" si="98"/>
        <v>Phường Chi Lăng, Thành phố Lạng Sơn, Tỉnh Lạng Sơn</v>
      </c>
      <c r="W246" s="55" t="s">
        <v>236</v>
      </c>
      <c r="X246" s="41"/>
      <c r="Y246" s="41"/>
      <c r="Z246" s="41"/>
      <c r="AA246" s="68">
        <f>VLOOKUP(A246,'[1]DANH SÁCH'!$B$8:$AD$841,12,0)</f>
        <v>0</v>
      </c>
      <c r="AB246" s="49" t="str">
        <f>VLOOKUP(A246,'[1]DANH SÁCH'!$B$8:$H$841,6,0)</f>
        <v>TĐ012</v>
      </c>
      <c r="AC246" s="69" t="str">
        <f>VLOOKUP(A246,'[1]DANH SÁCH'!$B$8:$J$841,9,0)</f>
        <v>Truyền nhiễm</v>
      </c>
      <c r="AD246" s="69" t="str">
        <f>VLOOKUP(A246,'[1]DANH SÁCH'!$B$8:$AC$841,10,0)</f>
        <v>KP018</v>
      </c>
      <c r="AE246" s="69" t="str">
        <f>VLOOKUP(A246,'[1]DANH SÁCH'!$B$8:$AD$841,13,0)</f>
        <v>Viên chức</v>
      </c>
      <c r="AF246" s="41" t="s">
        <v>157</v>
      </c>
      <c r="AG246" s="42" t="str">
        <f>VLOOKUP(A246,'[1]DANH SÁCH'!$B$8:$H$841,7,0)</f>
        <v>Điều dưỡng (hạng IV)</v>
      </c>
      <c r="AH246" s="45">
        <v>3.34</v>
      </c>
      <c r="AI246" s="42">
        <v>5</v>
      </c>
      <c r="AJ246" s="70">
        <v>0</v>
      </c>
      <c r="AK246" s="69">
        <v>44927</v>
      </c>
      <c r="AL246" s="71" t="s">
        <v>158</v>
      </c>
      <c r="AM246" s="53" t="str">
        <f>VLOOKUP(A246,'[1]DANH SÁCH'!$B$8:$F$841,5,0)</f>
        <v>Điều dưỡng CĐ</v>
      </c>
      <c r="AN246" s="53"/>
      <c r="AO246" s="53"/>
      <c r="AP246" s="53"/>
      <c r="AQ246" s="72"/>
      <c r="AR246" s="42">
        <f>VLOOKUP(A246,'[1]Chứng chỉ'!$B$8:$Q$1111,11,0)</f>
        <v>0</v>
      </c>
      <c r="AS246" s="42">
        <f>VLOOKUP(A246,'[1]Chứng chỉ'!$B$8:$Q$1111,12,0)</f>
        <v>0</v>
      </c>
      <c r="AT246" s="47">
        <f>VLOOKUP(A246,'[1]Chứng chỉ'!$B$8:$Q$1111,13,0)</f>
        <v>0</v>
      </c>
      <c r="AU246" s="42">
        <f>VLOOKUP(A246,'[1]Chứng chỉ'!$B$8:$Q$1111,14,0)</f>
        <v>0</v>
      </c>
      <c r="AV246" s="42">
        <f>VLOOKUP(A246,'[1]Chứng chỉ'!$B$8:$Q$1111,15,0)</f>
        <v>0</v>
      </c>
      <c r="AW246" s="42" t="str">
        <f>VLOOKUP(A246,'[1]Chứng chỉ'!$B$8:$Q$1111,16,0)</f>
        <v>Cơ bản</v>
      </c>
      <c r="AX246" s="42"/>
      <c r="AY246" s="57" t="s">
        <v>87</v>
      </c>
      <c r="AZ246" s="65"/>
      <c r="BA246" s="74" t="e">
        <f t="shared" si="104"/>
        <v>#REF!</v>
      </c>
      <c r="BB246" s="74" t="e">
        <f t="shared" si="105"/>
        <v>#REF!</v>
      </c>
      <c r="BC246" s="61"/>
      <c r="BD246" s="64"/>
    </row>
    <row r="247" spans="1:56" ht="61.2" x14ac:dyDescent="0.3">
      <c r="A247" s="41" t="s">
        <v>1879</v>
      </c>
      <c r="B247" s="42">
        <f t="shared" si="0"/>
        <v>241</v>
      </c>
      <c r="C247" s="68" t="s">
        <v>1880</v>
      </c>
      <c r="D247" s="41" t="s">
        <v>1879</v>
      </c>
      <c r="E247" s="61">
        <v>1596007558</v>
      </c>
      <c r="F247" s="64"/>
      <c r="G247" s="49" t="s">
        <v>1881</v>
      </c>
      <c r="H247" s="76">
        <v>26245</v>
      </c>
      <c r="I247" s="76"/>
      <c r="J247" s="66">
        <f t="shared" ref="J247:J248" ca="1" si="107">INT(DATEDIF(H247,$J$2,"d")/365)</f>
        <v>54</v>
      </c>
      <c r="K247" s="75" t="s">
        <v>1882</v>
      </c>
      <c r="L247" s="41" t="s">
        <v>1883</v>
      </c>
      <c r="M247" s="53" t="s">
        <v>67</v>
      </c>
      <c r="N247" s="66"/>
      <c r="O247" s="53" t="s">
        <v>1884</v>
      </c>
      <c r="P247" s="49" t="s">
        <v>145</v>
      </c>
      <c r="Q247" s="49" t="s">
        <v>94</v>
      </c>
      <c r="R247" s="49"/>
      <c r="S247" s="49" t="s">
        <v>124</v>
      </c>
      <c r="T247" s="49" t="s">
        <v>97</v>
      </c>
      <c r="U247" s="49" t="s">
        <v>94</v>
      </c>
      <c r="V247" s="49" t="str">
        <f t="shared" si="98"/>
        <v>Phường Đông Kinh, Thành phố Lạng Sơn, Tỉnh Lạng Sơn</v>
      </c>
      <c r="W247" s="55" t="s">
        <v>1885</v>
      </c>
      <c r="X247" s="41"/>
      <c r="Y247" s="41"/>
      <c r="Z247" s="41"/>
      <c r="AA247" s="68" t="str">
        <f>VLOOKUP(A247,'[1]DANH SÁCH'!$B$8:$AD$841,12,0)</f>
        <v>Trưởng khoa</v>
      </c>
      <c r="AB247" s="49" t="str">
        <f>VLOOKUP(A247,'[1]DANH SÁCH'!$B$8:$H$841,6,0)</f>
        <v>TĐ003</v>
      </c>
      <c r="AC247" s="69" t="str">
        <f>VLOOKUP(A247,'[1]DANH SÁCH'!$B$8:$J$841,9,0)</f>
        <v>Da liễu</v>
      </c>
      <c r="AD247" s="69" t="str">
        <f>VLOOKUP(A247,'[1]DANH SÁCH'!$B$8:$AC$841,10,0)</f>
        <v>KP019</v>
      </c>
      <c r="AE247" s="69" t="str">
        <f>VLOOKUP(A247,'[1]DANH SÁCH'!$B$8:$AD$841,13,0)</f>
        <v>Viên chức</v>
      </c>
      <c r="AF247" s="41" t="s">
        <v>79</v>
      </c>
      <c r="AG247" s="42" t="str">
        <f>VLOOKUP(A247,'[1]DANH SÁCH'!$B$8:$H$841,7,0)</f>
        <v>Bác sĩ chính (hạng II)</v>
      </c>
      <c r="AH247" s="45">
        <v>6.1</v>
      </c>
      <c r="AI247" s="42">
        <v>6</v>
      </c>
      <c r="AJ247" s="70">
        <v>0</v>
      </c>
      <c r="AK247" s="69">
        <v>46023</v>
      </c>
      <c r="AL247" s="71" t="s">
        <v>80</v>
      </c>
      <c r="AM247" s="53" t="str">
        <f>VLOOKUP(A247,'[1]DANH SÁCH'!$B$8:$F$841,5,0)</f>
        <v>BSCKI</v>
      </c>
      <c r="AN247" s="53" t="s">
        <v>1886</v>
      </c>
      <c r="AO247" s="53" t="s">
        <v>1804</v>
      </c>
      <c r="AP247" s="53"/>
      <c r="AQ247" s="72" t="s">
        <v>113</v>
      </c>
      <c r="AR247" s="42" t="s">
        <v>82</v>
      </c>
      <c r="AS247" s="42" t="s">
        <v>100</v>
      </c>
      <c r="AT247" s="47" t="s">
        <v>101</v>
      </c>
      <c r="AU247" s="42" t="str">
        <f>VLOOKUP(A247,'[1]Chứng chỉ'!$B$8:$Q$1111,14,0)</f>
        <v>B</v>
      </c>
      <c r="AV247" s="42">
        <f>VLOOKUP(A247,'[1]Chứng chỉ'!$B$8:$Q$1111,15,0)</f>
        <v>0</v>
      </c>
      <c r="AW247" s="42" t="str">
        <f>VLOOKUP(A247,'[1]Chứng chỉ'!$B$8:$Q$1111,16,0)</f>
        <v>A</v>
      </c>
      <c r="AX247" s="42"/>
      <c r="AY247" s="57" t="s">
        <v>127</v>
      </c>
      <c r="AZ247" s="65">
        <v>38832</v>
      </c>
      <c r="BA247" s="74" t="e">
        <f t="shared" si="104"/>
        <v>#REF!</v>
      </c>
      <c r="BB247" s="74" t="e">
        <f t="shared" si="105"/>
        <v>#REF!</v>
      </c>
      <c r="BC247" s="41" t="s">
        <v>1446</v>
      </c>
      <c r="BD247" s="64"/>
    </row>
    <row r="248" spans="1:56" ht="51" x14ac:dyDescent="0.3">
      <c r="A248" s="41" t="s">
        <v>1887</v>
      </c>
      <c r="B248" s="42">
        <f t="shared" si="0"/>
        <v>242</v>
      </c>
      <c r="C248" s="68" t="s">
        <v>1888</v>
      </c>
      <c r="D248" s="41" t="s">
        <v>1887</v>
      </c>
      <c r="E248" s="61">
        <v>1596010527</v>
      </c>
      <c r="F248" s="64"/>
      <c r="G248" s="49" t="s">
        <v>1889</v>
      </c>
      <c r="H248" s="76">
        <v>25516</v>
      </c>
      <c r="I248" s="76"/>
      <c r="J248" s="66">
        <f t="shared" ca="1" si="107"/>
        <v>56</v>
      </c>
      <c r="K248" s="75" t="s">
        <v>1890</v>
      </c>
      <c r="L248" s="41" t="s">
        <v>1891</v>
      </c>
      <c r="M248" s="53" t="s">
        <v>67</v>
      </c>
      <c r="N248" s="66"/>
      <c r="O248" s="53"/>
      <c r="P248" s="49" t="s">
        <v>97</v>
      </c>
      <c r="Q248" s="49" t="s">
        <v>94</v>
      </c>
      <c r="R248" s="49"/>
      <c r="S248" s="49" t="s">
        <v>136</v>
      </c>
      <c r="T248" s="49" t="s">
        <v>97</v>
      </c>
      <c r="U248" s="49" t="s">
        <v>94</v>
      </c>
      <c r="V248" s="49" t="str">
        <f t="shared" si="98"/>
        <v>Phường Chi Lăng, Thành phố Lạng Sơn, Tỉnh Lạng Sơn</v>
      </c>
      <c r="W248" s="55" t="s">
        <v>1892</v>
      </c>
      <c r="X248" s="41"/>
      <c r="Y248" s="41"/>
      <c r="Z248" s="41"/>
      <c r="AA248" s="68" t="str">
        <f>VLOOKUP(A248,'[1]DANH SÁCH'!$B$8:$AD$841,12,0)</f>
        <v>Phó trưởng khoa</v>
      </c>
      <c r="AB248" s="49" t="str">
        <f>VLOOKUP(A248,'[1]DANH SÁCH'!$B$8:$H$841,6,0)</f>
        <v>TĐ003</v>
      </c>
      <c r="AC248" s="69" t="str">
        <f>VLOOKUP(A248,'[1]DANH SÁCH'!$B$8:$J$841,9,0)</f>
        <v>Da liễu</v>
      </c>
      <c r="AD248" s="69" t="str">
        <f>VLOOKUP(A248,'[1]DANH SÁCH'!$B$8:$AC$841,10,0)</f>
        <v>KP019</v>
      </c>
      <c r="AE248" s="69" t="str">
        <f>VLOOKUP(A248,'[1]DANH SÁCH'!$B$8:$AD$841,13,0)</f>
        <v>Viên chức</v>
      </c>
      <c r="AF248" s="41" t="s">
        <v>274</v>
      </c>
      <c r="AG248" s="42" t="str">
        <f>VLOOKUP(A248,'[1]DANH SÁCH'!$B$8:$H$841,7,0)</f>
        <v>Bác sĩ (hạng III)</v>
      </c>
      <c r="AH248" s="45">
        <v>4.9800000000000004</v>
      </c>
      <c r="AI248" s="42">
        <v>9</v>
      </c>
      <c r="AJ248" s="70">
        <v>0</v>
      </c>
      <c r="AK248" s="69">
        <v>45383</v>
      </c>
      <c r="AL248" s="71" t="s">
        <v>80</v>
      </c>
      <c r="AM248" s="53" t="str">
        <f>VLOOKUP(A248,'[1]DANH SÁCH'!$B$8:$F$841,5,0)</f>
        <v>BSCKI</v>
      </c>
      <c r="AN248" s="53" t="s">
        <v>1886</v>
      </c>
      <c r="AO248" s="53" t="s">
        <v>1804</v>
      </c>
      <c r="AP248" s="53">
        <v>2016</v>
      </c>
      <c r="AQ248" s="72" t="s">
        <v>113</v>
      </c>
      <c r="AR248" s="42">
        <f>VLOOKUP(A248,'[1]Chứng chỉ'!$B$8:$Q$1111,11,0)</f>
        <v>0</v>
      </c>
      <c r="AS248" s="42" t="str">
        <f>VLOOKUP(A248,'[1]Chứng chỉ'!$B$8:$Q$1111,12,0)</f>
        <v>X</v>
      </c>
      <c r="AT248" s="47" t="s">
        <v>139</v>
      </c>
      <c r="AU248" s="42" t="str">
        <f>VLOOKUP(A248,'[1]Chứng chỉ'!$B$8:$Q$1111,14,0)</f>
        <v>B</v>
      </c>
      <c r="AV248" s="42">
        <f>VLOOKUP(A248,'[1]Chứng chỉ'!$B$8:$Q$1111,15,0)</f>
        <v>0</v>
      </c>
      <c r="AW248" s="42" t="str">
        <f>VLOOKUP(A248,'[1]Chứng chỉ'!$B$8:$Q$1111,16,0)</f>
        <v>B</v>
      </c>
      <c r="AX248" s="42"/>
      <c r="AY248" s="57" t="s">
        <v>87</v>
      </c>
      <c r="AZ248" s="65">
        <v>41898</v>
      </c>
      <c r="BA248" s="74" t="e">
        <f t="shared" si="104"/>
        <v>#REF!</v>
      </c>
      <c r="BB248" s="74" t="e">
        <f t="shared" si="105"/>
        <v>#REF!</v>
      </c>
      <c r="BC248" s="41"/>
      <c r="BD248" s="64"/>
    </row>
    <row r="249" spans="1:56" ht="40.799999999999997" x14ac:dyDescent="0.3">
      <c r="A249" s="102" t="s">
        <v>1893</v>
      </c>
      <c r="B249" s="42">
        <f t="shared" si="0"/>
        <v>243</v>
      </c>
      <c r="C249" s="93" t="s">
        <v>1894</v>
      </c>
      <c r="D249" s="102" t="s">
        <v>1893</v>
      </c>
      <c r="E249" s="61" t="s">
        <v>1895</v>
      </c>
      <c r="F249" s="122"/>
      <c r="G249" s="49" t="s">
        <v>1896</v>
      </c>
      <c r="H249" s="102"/>
      <c r="I249" s="102" t="s">
        <v>1897</v>
      </c>
      <c r="J249" s="66">
        <f t="shared" ref="J249:J257" ca="1" si="108">INT(DATEDIF(I249,$J$2,"d")/365)</f>
        <v>52</v>
      </c>
      <c r="K249" s="75" t="s">
        <v>1898</v>
      </c>
      <c r="L249" s="120" t="s">
        <v>1899</v>
      </c>
      <c r="M249" s="53" t="s">
        <v>67</v>
      </c>
      <c r="N249" s="131" t="s">
        <v>1900</v>
      </c>
      <c r="O249" s="132" t="s">
        <v>1901</v>
      </c>
      <c r="P249" s="115" t="s">
        <v>1902</v>
      </c>
      <c r="Q249" s="115" t="s">
        <v>71</v>
      </c>
      <c r="R249" s="115" t="s">
        <v>1903</v>
      </c>
      <c r="S249" s="115" t="s">
        <v>166</v>
      </c>
      <c r="T249" s="115" t="s">
        <v>379</v>
      </c>
      <c r="U249" s="115" t="s">
        <v>71</v>
      </c>
      <c r="V249" s="49" t="str">
        <f t="shared" si="98"/>
        <v>Phường Tam Thanh, TP. Lạng Sơn, Lạng Sơn</v>
      </c>
      <c r="W249" s="130" t="s">
        <v>1904</v>
      </c>
      <c r="X249" s="120" t="s">
        <v>1905</v>
      </c>
      <c r="Y249" s="120" t="s">
        <v>1906</v>
      </c>
      <c r="Z249" s="120" t="s">
        <v>1904</v>
      </c>
      <c r="AA249" s="68">
        <f>VLOOKUP(A249,'[1]DANH SÁCH'!$B$8:$AD$841,12,0)</f>
        <v>0</v>
      </c>
      <c r="AB249" s="49" t="str">
        <f>VLOOKUP(A249,'[1]DANH SÁCH'!$B$8:$H$841,6,0)</f>
        <v>TĐ005</v>
      </c>
      <c r="AC249" s="69" t="str">
        <f>VLOOKUP(A249,'[1]DANH SÁCH'!$B$8:$J$841,9,0)</f>
        <v>Da liễu</v>
      </c>
      <c r="AD249" s="69" t="str">
        <f>VLOOKUP(A249,'[1]DANH SÁCH'!$B$8:$AC$841,10,0)</f>
        <v>KP019</v>
      </c>
      <c r="AE249" s="69" t="str">
        <f>VLOOKUP(A249,'[1]DANH SÁCH'!$B$8:$AD$841,13,0)</f>
        <v>Viên chức</v>
      </c>
      <c r="AF249" s="41" t="s">
        <v>274</v>
      </c>
      <c r="AG249" s="122" t="s">
        <v>296</v>
      </c>
      <c r="AH249" s="45">
        <v>4.9800000000000004</v>
      </c>
      <c r="AI249" s="42">
        <v>9</v>
      </c>
      <c r="AJ249" s="70">
        <v>0</v>
      </c>
      <c r="AK249" s="69">
        <v>45658</v>
      </c>
      <c r="AL249" s="71" t="s">
        <v>80</v>
      </c>
      <c r="AM249" s="53" t="str">
        <f>VLOOKUP(A249,'[1]DANH SÁCH'!$B$8:$F$841,5,0)</f>
        <v>Bác sĩ</v>
      </c>
      <c r="AN249" s="53" t="s">
        <v>1886</v>
      </c>
      <c r="AO249" s="53"/>
      <c r="AP249" s="53"/>
      <c r="AQ249" s="72"/>
      <c r="AR249" s="42">
        <f>VLOOKUP(A249,'[1]Chứng chỉ'!$B$8:$Q$1111,11,0)</f>
        <v>0</v>
      </c>
      <c r="AS249" s="42">
        <f>VLOOKUP(A249,'[1]Chứng chỉ'!$B$8:$Q$1111,12,0)</f>
        <v>0</v>
      </c>
      <c r="AT249" s="47" t="str">
        <f>VLOOKUP(A249,'[1]Chứng chỉ'!$B$8:$Q$1111,13,0)</f>
        <v>x</v>
      </c>
      <c r="AU249" s="42">
        <f>VLOOKUP(A249,'[1]Chứng chỉ'!$B$8:$Q$1111,14,0)</f>
        <v>0</v>
      </c>
      <c r="AV249" s="42">
        <f>VLOOKUP(A249,'[1]Chứng chỉ'!$B$8:$Q$1111,15,0)</f>
        <v>0</v>
      </c>
      <c r="AW249" s="42" t="str">
        <f>VLOOKUP(A249,'[1]Chứng chỉ'!$B$8:$Q$1111,16,0)</f>
        <v>Cơ bản</v>
      </c>
      <c r="AX249" s="133"/>
      <c r="AY249" s="115" t="s">
        <v>85</v>
      </c>
      <c r="AZ249" s="65">
        <v>39344</v>
      </c>
      <c r="BA249" s="74" t="e">
        <f t="shared" si="104"/>
        <v>#REF!</v>
      </c>
      <c r="BB249" s="74" t="e">
        <f t="shared" si="105"/>
        <v>#REF!</v>
      </c>
      <c r="BC249" s="41" t="s">
        <v>128</v>
      </c>
      <c r="BD249" s="64"/>
    </row>
    <row r="250" spans="1:56" ht="51" x14ac:dyDescent="0.3">
      <c r="A250" s="41" t="s">
        <v>1907</v>
      </c>
      <c r="B250" s="42">
        <f t="shared" si="0"/>
        <v>244</v>
      </c>
      <c r="C250" s="68" t="s">
        <v>1908</v>
      </c>
      <c r="D250" s="41" t="s">
        <v>1907</v>
      </c>
      <c r="E250" s="61">
        <v>1505002928</v>
      </c>
      <c r="F250" s="64"/>
      <c r="G250" s="49" t="s">
        <v>1909</v>
      </c>
      <c r="H250" s="76"/>
      <c r="I250" s="76">
        <v>30032</v>
      </c>
      <c r="J250" s="66">
        <f t="shared" ca="1" si="108"/>
        <v>44</v>
      </c>
      <c r="K250" s="75" t="s">
        <v>1910</v>
      </c>
      <c r="L250" s="41" t="s">
        <v>1911</v>
      </c>
      <c r="M250" s="53" t="s">
        <v>67</v>
      </c>
      <c r="N250" s="66"/>
      <c r="O250" s="53" t="s">
        <v>1912</v>
      </c>
      <c r="P250" s="49" t="s">
        <v>872</v>
      </c>
      <c r="Q250" s="49" t="s">
        <v>873</v>
      </c>
      <c r="R250" s="49" t="s">
        <v>1913</v>
      </c>
      <c r="S250" s="49" t="s">
        <v>174</v>
      </c>
      <c r="T250" s="49" t="s">
        <v>97</v>
      </c>
      <c r="U250" s="49" t="s">
        <v>94</v>
      </c>
      <c r="V250" s="49" t="str">
        <f t="shared" si="98"/>
        <v>Xã Mai Pha, Thành phố Lạng Sơn, Tỉnh Lạng Sơn</v>
      </c>
      <c r="W250" s="55" t="s">
        <v>724</v>
      </c>
      <c r="X250" s="41"/>
      <c r="Y250" s="41"/>
      <c r="Z250" s="41"/>
      <c r="AA250" s="68" t="str">
        <f>VLOOKUP(A250,'[1]DANH SÁCH'!$B$8:$AD$841,12,0)</f>
        <v>Điều dưỡng trưởng</v>
      </c>
      <c r="AB250" s="49" t="str">
        <f>VLOOKUP(A250,'[1]DANH SÁCH'!$B$8:$H$841,6,0)</f>
        <v>TĐ011</v>
      </c>
      <c r="AC250" s="69" t="str">
        <f>VLOOKUP(A250,'[1]DANH SÁCH'!$B$8:$J$841,9,0)</f>
        <v>Da liễu</v>
      </c>
      <c r="AD250" s="69" t="str">
        <f>VLOOKUP(A250,'[1]DANH SÁCH'!$B$8:$AC$841,10,0)</f>
        <v>KP019</v>
      </c>
      <c r="AE250" s="69" t="str">
        <f>VLOOKUP(A250,'[1]DANH SÁCH'!$B$8:$AD$841,13,0)</f>
        <v>Viên chức</v>
      </c>
      <c r="AF250" s="41" t="s">
        <v>147</v>
      </c>
      <c r="AG250" s="42" t="str">
        <f>VLOOKUP(A250,'[1]DANH SÁCH'!$B$8:$H$841,7,0)</f>
        <v>Điều dưỡng (hạng III)</v>
      </c>
      <c r="AH250" s="45">
        <v>4.32</v>
      </c>
      <c r="AI250" s="42">
        <v>7</v>
      </c>
      <c r="AJ250" s="70">
        <v>0</v>
      </c>
      <c r="AK250" s="69">
        <v>45323</v>
      </c>
      <c r="AL250" s="71" t="s">
        <v>80</v>
      </c>
      <c r="AM250" s="53" t="str">
        <f>VLOOKUP(A250,'[1]DANH SÁCH'!$B$8:$F$841,5,0)</f>
        <v>Điều dưỡng ĐH</v>
      </c>
      <c r="AN250" s="53"/>
      <c r="AO250" s="53" t="s">
        <v>1434</v>
      </c>
      <c r="AP250" s="53">
        <v>2009</v>
      </c>
      <c r="AQ250" s="72" t="s">
        <v>113</v>
      </c>
      <c r="AR250" s="42">
        <f>VLOOKUP(A250,'[1]Chứng chỉ'!$B$8:$Q$1111,11,0)</f>
        <v>0</v>
      </c>
      <c r="AS250" s="64" t="s">
        <v>100</v>
      </c>
      <c r="AT250" s="47" t="str">
        <f>VLOOKUP(A250,'[1]Chứng chỉ'!$B$8:$Q$1111,13,0)</f>
        <v>x</v>
      </c>
      <c r="AU250" s="42" t="str">
        <f>VLOOKUP(A250,'[1]Chứng chỉ'!$B$8:$Q$1111,14,0)</f>
        <v>B</v>
      </c>
      <c r="AV250" s="42">
        <f>VLOOKUP(A250,'[1]Chứng chỉ'!$B$8:$Q$1111,15,0)</f>
        <v>0</v>
      </c>
      <c r="AW250" s="42" t="str">
        <f>VLOOKUP(A250,'[1]Chứng chỉ'!$B$8:$Q$1111,16,0)</f>
        <v>B</v>
      </c>
      <c r="AX250" s="42"/>
      <c r="AY250" s="57" t="s">
        <v>87</v>
      </c>
      <c r="AZ250" s="65">
        <v>41795</v>
      </c>
      <c r="BA250" s="74" t="e">
        <f t="shared" si="104"/>
        <v>#REF!</v>
      </c>
      <c r="BB250" s="74" t="e">
        <f t="shared" si="105"/>
        <v>#REF!</v>
      </c>
      <c r="BC250" s="41"/>
      <c r="BD250" s="64"/>
    </row>
    <row r="251" spans="1:56" ht="51" x14ac:dyDescent="0.3">
      <c r="A251" s="41" t="s">
        <v>1914</v>
      </c>
      <c r="B251" s="42">
        <f t="shared" si="0"/>
        <v>245</v>
      </c>
      <c r="C251" s="68" t="s">
        <v>1915</v>
      </c>
      <c r="D251" s="41" t="s">
        <v>1914</v>
      </c>
      <c r="E251" s="61">
        <v>2010000158</v>
      </c>
      <c r="F251" s="64"/>
      <c r="G251" s="49" t="s">
        <v>1916</v>
      </c>
      <c r="H251" s="76"/>
      <c r="I251" s="76">
        <v>30429</v>
      </c>
      <c r="J251" s="66">
        <f t="shared" ca="1" si="108"/>
        <v>43</v>
      </c>
      <c r="K251" s="75" t="s">
        <v>1917</v>
      </c>
      <c r="L251" s="41" t="s">
        <v>1918</v>
      </c>
      <c r="M251" s="53" t="s">
        <v>67</v>
      </c>
      <c r="N251" s="66"/>
      <c r="O251" s="53" t="s">
        <v>1755</v>
      </c>
      <c r="P251" s="49" t="s">
        <v>108</v>
      </c>
      <c r="Q251" s="49" t="s">
        <v>94</v>
      </c>
      <c r="R251" s="49"/>
      <c r="S251" s="49" t="s">
        <v>1755</v>
      </c>
      <c r="T251" s="53" t="s">
        <v>108</v>
      </c>
      <c r="U251" s="53" t="s">
        <v>94</v>
      </c>
      <c r="V251" s="49" t="str">
        <f t="shared" si="98"/>
        <v>Xã Thụy Hùng, Huyện Cao Lộc, Tỉnh Lạng Sơn</v>
      </c>
      <c r="W251" s="55" t="s">
        <v>236</v>
      </c>
      <c r="X251" s="41"/>
      <c r="Y251" s="41"/>
      <c r="Z251" s="41"/>
      <c r="AA251" s="68">
        <f>VLOOKUP(A251,'[1]DANH SÁCH'!$B$8:$AD$841,12,0)</f>
        <v>0</v>
      </c>
      <c r="AB251" s="49" t="str">
        <f>VLOOKUP(A251,'[1]DANH SÁCH'!$B$8:$H$841,6,0)</f>
        <v>TĐ012</v>
      </c>
      <c r="AC251" s="69" t="str">
        <f>VLOOKUP(A251,'[1]DANH SÁCH'!$B$8:$J$841,9,0)</f>
        <v>Da liễu</v>
      </c>
      <c r="AD251" s="69" t="str">
        <f>VLOOKUP(A251,'[1]DANH SÁCH'!$B$8:$AC$841,10,0)</f>
        <v>KP019</v>
      </c>
      <c r="AE251" s="69" t="str">
        <f>VLOOKUP(A251,'[1]DANH SÁCH'!$B$8:$AD$841,13,0)</f>
        <v>Viên chức</v>
      </c>
      <c r="AF251" s="41" t="s">
        <v>157</v>
      </c>
      <c r="AG251" s="42" t="str">
        <f>VLOOKUP(A251,'[1]DANH SÁCH'!$B$8:$H$841,7,0)</f>
        <v>Điều dưỡng (hạng IV)</v>
      </c>
      <c r="AH251" s="45">
        <v>3.65</v>
      </c>
      <c r="AI251" s="42">
        <v>6</v>
      </c>
      <c r="AJ251" s="70">
        <v>0</v>
      </c>
      <c r="AK251" s="69">
        <v>45839</v>
      </c>
      <c r="AL251" s="71" t="s">
        <v>158</v>
      </c>
      <c r="AM251" s="53" t="str">
        <f>VLOOKUP(A251,'[1]DANH SÁCH'!$B$8:$F$841,5,0)</f>
        <v>Điều dưỡng CĐ</v>
      </c>
      <c r="AN251" s="53"/>
      <c r="AO251" s="53" t="s">
        <v>175</v>
      </c>
      <c r="AP251" s="53">
        <v>2006</v>
      </c>
      <c r="AQ251" s="72" t="s">
        <v>113</v>
      </c>
      <c r="AR251" s="42">
        <f>VLOOKUP(A251,'[1]Chứng chỉ'!$B$8:$Q$1111,11,0)</f>
        <v>0</v>
      </c>
      <c r="AS251" s="42">
        <f>VLOOKUP(A251,'[1]Chứng chỉ'!$B$8:$Q$1111,12,0)</f>
        <v>0</v>
      </c>
      <c r="AT251" s="47">
        <f>VLOOKUP(A251,'[1]Chứng chỉ'!$B$8:$Q$1111,13,0)</f>
        <v>0</v>
      </c>
      <c r="AU251" s="42" t="str">
        <f>VLOOKUP(A251,'[1]Chứng chỉ'!$B$8:$Q$1111,14,0)</f>
        <v>Anh B</v>
      </c>
      <c r="AV251" s="42">
        <f>VLOOKUP(A251,'[1]Chứng chỉ'!$B$8:$Q$1111,15,0)</f>
        <v>0</v>
      </c>
      <c r="AW251" s="42" t="str">
        <f>VLOOKUP(A251,'[1]Chứng chỉ'!$B$8:$Q$1111,16,0)</f>
        <v>Cơ bản</v>
      </c>
      <c r="AX251" s="53"/>
      <c r="AY251" s="57" t="s">
        <v>127</v>
      </c>
      <c r="AZ251" s="65"/>
      <c r="BA251" s="74" t="e">
        <f t="shared" si="104"/>
        <v>#REF!</v>
      </c>
      <c r="BB251" s="74" t="e">
        <f t="shared" si="105"/>
        <v>#REF!</v>
      </c>
      <c r="BC251" s="61" t="s">
        <v>359</v>
      </c>
      <c r="BD251" s="62"/>
    </row>
    <row r="252" spans="1:56" ht="61.2" x14ac:dyDescent="0.3">
      <c r="A252" s="41" t="s">
        <v>1919</v>
      </c>
      <c r="B252" s="42">
        <f t="shared" si="0"/>
        <v>246</v>
      </c>
      <c r="C252" s="68" t="s">
        <v>1920</v>
      </c>
      <c r="D252" s="41" t="s">
        <v>1919</v>
      </c>
      <c r="E252" s="61">
        <v>2009000937</v>
      </c>
      <c r="F252" s="64"/>
      <c r="G252" s="49" t="s">
        <v>1921</v>
      </c>
      <c r="H252" s="76"/>
      <c r="I252" s="76">
        <v>29143</v>
      </c>
      <c r="J252" s="66">
        <f t="shared" ca="1" si="108"/>
        <v>46</v>
      </c>
      <c r="K252" s="109" t="s">
        <v>1922</v>
      </c>
      <c r="L252" s="41" t="s">
        <v>1923</v>
      </c>
      <c r="M252" s="53" t="s">
        <v>67</v>
      </c>
      <c r="N252" s="66"/>
      <c r="O252" s="53"/>
      <c r="P252" s="76" t="s">
        <v>343</v>
      </c>
      <c r="Q252" s="49" t="s">
        <v>94</v>
      </c>
      <c r="R252" s="49"/>
      <c r="S252" s="49" t="s">
        <v>166</v>
      </c>
      <c r="T252" s="49" t="s">
        <v>97</v>
      </c>
      <c r="U252" s="49" t="s">
        <v>94</v>
      </c>
      <c r="V252" s="49" t="str">
        <f t="shared" si="98"/>
        <v>Phường Tam Thanh, Thành phố Lạng Sơn, Tỉnh Lạng Sơn</v>
      </c>
      <c r="W252" s="55" t="s">
        <v>98</v>
      </c>
      <c r="X252" s="41"/>
      <c r="Y252" s="41"/>
      <c r="Z252" s="41"/>
      <c r="AA252" s="68">
        <f>VLOOKUP(A252,'[1]DANH SÁCH'!$B$8:$AD$841,12,0)</f>
        <v>0</v>
      </c>
      <c r="AB252" s="49" t="str">
        <f>VLOOKUP(A252,'[1]DANH SÁCH'!$B$8:$H$841,6,0)</f>
        <v>TĐ012</v>
      </c>
      <c r="AC252" s="69" t="str">
        <f>VLOOKUP(A252,'[1]DANH SÁCH'!$B$8:$J$841,9,0)</f>
        <v>Da liễu</v>
      </c>
      <c r="AD252" s="69" t="str">
        <f>VLOOKUP(A252,'[1]DANH SÁCH'!$B$8:$AC$841,10,0)</f>
        <v>KP019</v>
      </c>
      <c r="AE252" s="69" t="str">
        <f>VLOOKUP(A252,'[1]DANH SÁCH'!$B$8:$AD$841,13,0)</f>
        <v>Viên chức</v>
      </c>
      <c r="AF252" s="41" t="s">
        <v>157</v>
      </c>
      <c r="AG252" s="42" t="str">
        <f>VLOOKUP(A252,'[1]DANH SÁCH'!$B$8:$H$841,7,0)</f>
        <v>Điều dưỡng (hạng IV)</v>
      </c>
      <c r="AH252" s="45">
        <v>3.26</v>
      </c>
      <c r="AI252" s="42">
        <v>8</v>
      </c>
      <c r="AJ252" s="70">
        <v>0</v>
      </c>
      <c r="AK252" s="69">
        <v>45488</v>
      </c>
      <c r="AL252" s="71" t="s">
        <v>101</v>
      </c>
      <c r="AM252" s="53" t="str">
        <f>VLOOKUP(A252,'[1]DANH SÁCH'!$B$8:$F$841,5,0)</f>
        <v>Điều dưỡng CĐ</v>
      </c>
      <c r="AN252" s="53"/>
      <c r="AO252" s="53" t="s">
        <v>1849</v>
      </c>
      <c r="AP252" s="53"/>
      <c r="AQ252" s="72"/>
      <c r="AR252" s="42">
        <f>VLOOKUP(A252,'[1]Chứng chỉ'!$B$8:$Q$1111,11,0)</f>
        <v>0</v>
      </c>
      <c r="AS252" s="42">
        <f>VLOOKUP(A252,'[1]Chứng chỉ'!$B$8:$Q$1111,12,0)</f>
        <v>0</v>
      </c>
      <c r="AT252" s="47">
        <f>VLOOKUP(A252,'[1]Chứng chỉ'!$B$8:$Q$1111,13,0)</f>
        <v>0</v>
      </c>
      <c r="AU252" s="42">
        <f>VLOOKUP(A252,'[1]Chứng chỉ'!$B$8:$Q$1111,14,0)</f>
        <v>0</v>
      </c>
      <c r="AV252" s="42">
        <f>VLOOKUP(A252,'[1]Chứng chỉ'!$B$8:$Q$1111,15,0)</f>
        <v>0</v>
      </c>
      <c r="AW252" s="42">
        <f>VLOOKUP(A252,'[1]Chứng chỉ'!$B$8:$Q$1111,16,0)</f>
        <v>0</v>
      </c>
      <c r="AX252" s="42"/>
      <c r="AY252" s="57" t="s">
        <v>127</v>
      </c>
      <c r="AZ252" s="65"/>
      <c r="BA252" s="74" t="e">
        <f t="shared" si="104"/>
        <v>#REF!</v>
      </c>
      <c r="BB252" s="74" t="e">
        <f t="shared" si="105"/>
        <v>#REF!</v>
      </c>
      <c r="BC252" s="41" t="s">
        <v>1924</v>
      </c>
      <c r="BD252" s="64"/>
    </row>
    <row r="253" spans="1:56" ht="51" x14ac:dyDescent="0.3">
      <c r="A253" s="41" t="s">
        <v>1925</v>
      </c>
      <c r="B253" s="42">
        <f t="shared" si="0"/>
        <v>247</v>
      </c>
      <c r="C253" s="68" t="s">
        <v>1926</v>
      </c>
      <c r="D253" s="41" t="s">
        <v>1925</v>
      </c>
      <c r="E253" s="61">
        <v>2013000007</v>
      </c>
      <c r="F253" s="64"/>
      <c r="G253" s="49" t="s">
        <v>1927</v>
      </c>
      <c r="H253" s="76"/>
      <c r="I253" s="76">
        <v>33673</v>
      </c>
      <c r="J253" s="66">
        <f t="shared" ca="1" si="108"/>
        <v>34</v>
      </c>
      <c r="K253" s="75" t="s">
        <v>1928</v>
      </c>
      <c r="L253" s="41" t="s">
        <v>1929</v>
      </c>
      <c r="M253" s="53" t="s">
        <v>67</v>
      </c>
      <c r="N253" s="66"/>
      <c r="O253" s="53" t="s">
        <v>1930</v>
      </c>
      <c r="P253" s="49" t="s">
        <v>912</v>
      </c>
      <c r="Q253" s="49" t="s">
        <v>1551</v>
      </c>
      <c r="R253" s="49" t="s">
        <v>1931</v>
      </c>
      <c r="S253" s="49" t="s">
        <v>73</v>
      </c>
      <c r="T253" s="49" t="s">
        <v>97</v>
      </c>
      <c r="U253" s="49" t="s">
        <v>94</v>
      </c>
      <c r="V253" s="49" t="str">
        <f t="shared" si="98"/>
        <v>Phường Vĩnh Trại, Thành phố Lạng Sơn, Tỉnh Lạng Sơn</v>
      </c>
      <c r="W253" s="55" t="s">
        <v>315</v>
      </c>
      <c r="X253" s="41"/>
      <c r="Y253" s="41"/>
      <c r="Z253" s="41"/>
      <c r="AA253" s="68">
        <f>VLOOKUP(A253,'[1]DANH SÁCH'!$B$8:$AD$841,12,0)</f>
        <v>0</v>
      </c>
      <c r="AB253" s="49" t="str">
        <f>VLOOKUP(A253,'[1]DANH SÁCH'!$B$8:$H$841,6,0)</f>
        <v>TĐ011</v>
      </c>
      <c r="AC253" s="69" t="str">
        <f>VLOOKUP(A253,'[1]DANH SÁCH'!$B$8:$J$841,9,0)</f>
        <v>Da liễu</v>
      </c>
      <c r="AD253" s="69" t="str">
        <f>VLOOKUP(A253,'[1]DANH SÁCH'!$B$8:$AC$841,10,0)</f>
        <v>KP019</v>
      </c>
      <c r="AE253" s="69" t="str">
        <f>VLOOKUP(A253,'[1]DANH SÁCH'!$B$8:$AD$841,13,0)</f>
        <v>Viên chức</v>
      </c>
      <c r="AF253" s="41" t="s">
        <v>157</v>
      </c>
      <c r="AG253" s="42" t="str">
        <f>VLOOKUP(A253,'[1]DANH SÁCH'!$B$8:$H$841,7,0)</f>
        <v>Điều dưỡng (hạng III)</v>
      </c>
      <c r="AH253" s="45">
        <v>3.33</v>
      </c>
      <c r="AI253" s="42">
        <v>4</v>
      </c>
      <c r="AJ253" s="70">
        <v>0</v>
      </c>
      <c r="AK253" s="69">
        <v>45636</v>
      </c>
      <c r="AL253" s="71" t="s">
        <v>158</v>
      </c>
      <c r="AM253" s="53" t="str">
        <f>VLOOKUP(A253,'[1]DANH SÁCH'!$B$8:$F$841,5,0)</f>
        <v>Điều dưỡng ĐH</v>
      </c>
      <c r="AN253" s="53"/>
      <c r="AO253" s="53" t="s">
        <v>1932</v>
      </c>
      <c r="AP253" s="53">
        <v>2012</v>
      </c>
      <c r="AQ253" s="72" t="s">
        <v>113</v>
      </c>
      <c r="AR253" s="42">
        <f>VLOOKUP(A253,'[1]Chứng chỉ'!$B$8:$Q$1111,11,0)</f>
        <v>0</v>
      </c>
      <c r="AS253" s="42">
        <f>VLOOKUP(A253,'[1]Chứng chỉ'!$B$8:$Q$1111,12,0)</f>
        <v>0</v>
      </c>
      <c r="AT253" s="47">
        <f>VLOOKUP(A253,'[1]Chứng chỉ'!$B$8:$Q$1111,13,0)</f>
        <v>0</v>
      </c>
      <c r="AU253" s="42" t="str">
        <f>VLOOKUP(A253,'[1]Chứng chỉ'!$B$8:$Q$1111,14,0)</f>
        <v>B</v>
      </c>
      <c r="AV253" s="42">
        <f>VLOOKUP(A253,'[1]Chứng chỉ'!$B$8:$Q$1111,15,0)</f>
        <v>0</v>
      </c>
      <c r="AW253" s="42" t="str">
        <f>VLOOKUP(A253,'[1]Chứng chỉ'!$B$8:$Q$1111,16,0)</f>
        <v>B</v>
      </c>
      <c r="AX253" s="42"/>
      <c r="AY253" s="57" t="s">
        <v>87</v>
      </c>
      <c r="AZ253" s="65"/>
      <c r="BA253" s="74" t="e">
        <f t="shared" si="104"/>
        <v>#REF!</v>
      </c>
      <c r="BB253" s="74" t="e">
        <f t="shared" si="105"/>
        <v>#REF!</v>
      </c>
      <c r="BC253" s="61" t="s">
        <v>359</v>
      </c>
      <c r="BD253" s="62"/>
    </row>
    <row r="254" spans="1:56" ht="40.799999999999997" x14ac:dyDescent="0.3">
      <c r="A254" s="41" t="s">
        <v>1933</v>
      </c>
      <c r="B254" s="42">
        <f t="shared" si="0"/>
        <v>248</v>
      </c>
      <c r="C254" s="68" t="s">
        <v>1934</v>
      </c>
      <c r="D254" s="41" t="s">
        <v>1933</v>
      </c>
      <c r="E254" s="61">
        <v>2010000152</v>
      </c>
      <c r="F254" s="64"/>
      <c r="G254" s="49" t="s">
        <v>1935</v>
      </c>
      <c r="H254" s="76"/>
      <c r="I254" s="76">
        <v>32010</v>
      </c>
      <c r="J254" s="66">
        <f t="shared" ca="1" si="108"/>
        <v>38</v>
      </c>
      <c r="K254" s="75" t="s">
        <v>1936</v>
      </c>
      <c r="L254" s="41" t="s">
        <v>1937</v>
      </c>
      <c r="M254" s="53" t="s">
        <v>67</v>
      </c>
      <c r="N254" s="66"/>
      <c r="O254" s="53" t="s">
        <v>1022</v>
      </c>
      <c r="P254" s="49" t="s">
        <v>93</v>
      </c>
      <c r="Q254" s="49" t="s">
        <v>94</v>
      </c>
      <c r="R254" s="49"/>
      <c r="S254" s="49" t="s">
        <v>1022</v>
      </c>
      <c r="T254" s="49" t="s">
        <v>93</v>
      </c>
      <c r="U254" s="49" t="s">
        <v>94</v>
      </c>
      <c r="V254" s="49" t="str">
        <f t="shared" si="98"/>
        <v>Xã Hưng Vũ, Huyện Bắc Sơn, Tỉnh Lạng Sơn</v>
      </c>
      <c r="W254" s="55" t="s">
        <v>236</v>
      </c>
      <c r="X254" s="41"/>
      <c r="Y254" s="41"/>
      <c r="Z254" s="41"/>
      <c r="AA254" s="68">
        <f>VLOOKUP(A254,'[1]DANH SÁCH'!$B$8:$AD$841,12,0)</f>
        <v>0</v>
      </c>
      <c r="AB254" s="49" t="str">
        <f>VLOOKUP(A254,'[1]DANH SÁCH'!$B$8:$H$841,6,0)</f>
        <v>TĐ011</v>
      </c>
      <c r="AC254" s="69" t="str">
        <f>VLOOKUP(A254,'[1]DANH SÁCH'!$B$8:$J$841,9,0)</f>
        <v>Da liễu</v>
      </c>
      <c r="AD254" s="69" t="str">
        <f>VLOOKUP(A254,'[1]DANH SÁCH'!$B$8:$AC$841,10,0)</f>
        <v>KP019</v>
      </c>
      <c r="AE254" s="69" t="str">
        <f>VLOOKUP(A254,'[1]DANH SÁCH'!$B$8:$AD$841,13,0)</f>
        <v>Viên chức</v>
      </c>
      <c r="AF254" s="41" t="s">
        <v>147</v>
      </c>
      <c r="AG254" s="42" t="str">
        <f>VLOOKUP(A254,'[1]DANH SÁCH'!$B$8:$H$841,7,0)</f>
        <v>Điều dưỡng (hạng III)</v>
      </c>
      <c r="AH254" s="45">
        <v>3.66</v>
      </c>
      <c r="AI254" s="42">
        <v>5</v>
      </c>
      <c r="AJ254" s="70">
        <v>0</v>
      </c>
      <c r="AK254" s="69">
        <v>45383</v>
      </c>
      <c r="AL254" s="71" t="s">
        <v>80</v>
      </c>
      <c r="AM254" s="53" t="str">
        <f>VLOOKUP(A254,'[1]DANH SÁCH'!$B$8:$F$841,5,0)</f>
        <v>Điều dưỡng ĐH</v>
      </c>
      <c r="AN254" s="53"/>
      <c r="AO254" s="53" t="s">
        <v>1938</v>
      </c>
      <c r="AP254" s="53">
        <v>2008</v>
      </c>
      <c r="AQ254" s="72" t="s">
        <v>113</v>
      </c>
      <c r="AR254" s="42">
        <f>VLOOKUP(A254,'[1]Chứng chỉ'!$B$8:$Q$1111,11,0)</f>
        <v>0</v>
      </c>
      <c r="AS254" s="42">
        <f>VLOOKUP(A254,'[1]Chứng chỉ'!$B$8:$Q$1111,12,0)</f>
        <v>0</v>
      </c>
      <c r="AT254" s="47">
        <f>VLOOKUP(A254,'[1]Chứng chỉ'!$B$8:$Q$1111,13,0)</f>
        <v>0</v>
      </c>
      <c r="AU254" s="42" t="str">
        <f>VLOOKUP(A254,'[1]Chứng chỉ'!$B$8:$Q$1111,14,0)</f>
        <v>A2</v>
      </c>
      <c r="AV254" s="42">
        <f>VLOOKUP(A254,'[1]Chứng chỉ'!$B$8:$Q$1111,15,0)</f>
        <v>0</v>
      </c>
      <c r="AW254" s="42" t="str">
        <f>VLOOKUP(A254,'[1]Chứng chỉ'!$B$8:$Q$1111,16,0)</f>
        <v>Cơ bản</v>
      </c>
      <c r="AX254" s="42"/>
      <c r="AY254" s="57" t="s">
        <v>85</v>
      </c>
      <c r="AZ254" s="65">
        <v>43902</v>
      </c>
      <c r="BA254" s="74" t="e">
        <f t="shared" si="104"/>
        <v>#REF!</v>
      </c>
      <c r="BB254" s="74" t="e">
        <f t="shared" si="105"/>
        <v>#REF!</v>
      </c>
      <c r="BC254" s="61" t="s">
        <v>128</v>
      </c>
      <c r="BD254" s="62"/>
    </row>
    <row r="255" spans="1:56" ht="40.799999999999997" x14ac:dyDescent="0.3">
      <c r="A255" s="41" t="s">
        <v>1939</v>
      </c>
      <c r="B255" s="42">
        <f t="shared" si="0"/>
        <v>249</v>
      </c>
      <c r="C255" s="68" t="s">
        <v>1940</v>
      </c>
      <c r="D255" s="41" t="s">
        <v>1939</v>
      </c>
      <c r="E255" s="61">
        <v>2010002678</v>
      </c>
      <c r="F255" s="64"/>
      <c r="G255" s="49" t="s">
        <v>1941</v>
      </c>
      <c r="H255" s="76"/>
      <c r="I255" s="76">
        <v>31759</v>
      </c>
      <c r="J255" s="66">
        <f t="shared" ca="1" si="108"/>
        <v>39</v>
      </c>
      <c r="K255" s="75" t="s">
        <v>1942</v>
      </c>
      <c r="L255" s="41" t="s">
        <v>1943</v>
      </c>
      <c r="M255" s="53" t="s">
        <v>67</v>
      </c>
      <c r="N255" s="66"/>
      <c r="O255" s="53" t="s">
        <v>490</v>
      </c>
      <c r="P255" s="49" t="s">
        <v>108</v>
      </c>
      <c r="Q255" s="49" t="s">
        <v>94</v>
      </c>
      <c r="R255" s="49"/>
      <c r="S255" s="49" t="s">
        <v>490</v>
      </c>
      <c r="T255" s="49" t="s">
        <v>108</v>
      </c>
      <c r="U255" s="49" t="s">
        <v>94</v>
      </c>
      <c r="V255" s="49" t="str">
        <f t="shared" si="98"/>
        <v>Xã Hòa Cư, Huyện Cao Lộc, Tỉnh Lạng Sơn</v>
      </c>
      <c r="W255" s="55" t="s">
        <v>236</v>
      </c>
      <c r="X255" s="41"/>
      <c r="Y255" s="41"/>
      <c r="Z255" s="41"/>
      <c r="AA255" s="68">
        <f>VLOOKUP(A255,'[1]DANH SÁCH'!$B$8:$AD$841,12,0)</f>
        <v>0</v>
      </c>
      <c r="AB255" s="49" t="str">
        <f>VLOOKUP(A255,'[1]DANH SÁCH'!$B$8:$H$841,6,0)</f>
        <v>TĐ012</v>
      </c>
      <c r="AC255" s="69" t="str">
        <f>VLOOKUP(A255,'[1]DANH SÁCH'!$B$8:$J$841,9,0)</f>
        <v>Da liễu</v>
      </c>
      <c r="AD255" s="69" t="str">
        <f>VLOOKUP(A255,'[1]DANH SÁCH'!$B$8:$AC$841,10,0)</f>
        <v>KP019</v>
      </c>
      <c r="AE255" s="69" t="str">
        <f>VLOOKUP(A255,'[1]DANH SÁCH'!$B$8:$AD$841,13,0)</f>
        <v>Viên chức</v>
      </c>
      <c r="AF255" s="41" t="s">
        <v>157</v>
      </c>
      <c r="AG255" s="42" t="str">
        <f>VLOOKUP(A255,'[1]DANH SÁCH'!$B$8:$H$841,7,0)</f>
        <v>Điều dưỡng (hạng IV)</v>
      </c>
      <c r="AH255" s="45">
        <v>3.34</v>
      </c>
      <c r="AI255" s="42">
        <v>5</v>
      </c>
      <c r="AJ255" s="70">
        <v>0</v>
      </c>
      <c r="AK255" s="69">
        <v>44927</v>
      </c>
      <c r="AL255" s="71" t="s">
        <v>158</v>
      </c>
      <c r="AM255" s="53" t="str">
        <f>VLOOKUP(A255,'[1]DANH SÁCH'!$B$8:$F$841,5,0)</f>
        <v>Điều dưỡng CĐ</v>
      </c>
      <c r="AN255" s="53"/>
      <c r="AO255" s="53"/>
      <c r="AP255" s="53"/>
      <c r="AQ255" s="72"/>
      <c r="AR255" s="42">
        <f>VLOOKUP(A255,'[1]Chứng chỉ'!$B$8:$Q$1111,11,0)</f>
        <v>0</v>
      </c>
      <c r="AS255" s="42">
        <f>VLOOKUP(A255,'[1]Chứng chỉ'!$B$8:$Q$1111,12,0)</f>
        <v>0</v>
      </c>
      <c r="AT255" s="47">
        <f>VLOOKUP(A255,'[1]Chứng chỉ'!$B$8:$Q$1111,13,0)</f>
        <v>0</v>
      </c>
      <c r="AU255" s="42" t="str">
        <f>VLOOKUP(A255,'[1]Chứng chỉ'!$B$8:$Q$1111,14,0)</f>
        <v>C</v>
      </c>
      <c r="AV255" s="42">
        <f>VLOOKUP(A255,'[1]Chứng chỉ'!$B$8:$Q$1111,15,0)</f>
        <v>0</v>
      </c>
      <c r="AW255" s="42" t="str">
        <f>VLOOKUP(A255,'[1]Chứng chỉ'!$B$8:$Q$1111,16,0)</f>
        <v>C</v>
      </c>
      <c r="AX255" s="42"/>
      <c r="AY255" s="57" t="s">
        <v>127</v>
      </c>
      <c r="AZ255" s="65"/>
      <c r="BA255" s="74" t="e">
        <f t="shared" si="104"/>
        <v>#REF!</v>
      </c>
      <c r="BB255" s="74" t="e">
        <f t="shared" si="105"/>
        <v>#REF!</v>
      </c>
      <c r="BC255" s="61" t="s">
        <v>128</v>
      </c>
      <c r="BD255" s="62"/>
    </row>
    <row r="256" spans="1:56" ht="61.2" x14ac:dyDescent="0.3">
      <c r="A256" s="41" t="s">
        <v>1944</v>
      </c>
      <c r="B256" s="42">
        <f t="shared" si="0"/>
        <v>250</v>
      </c>
      <c r="C256" s="68" t="s">
        <v>1945</v>
      </c>
      <c r="D256" s="41" t="s">
        <v>1944</v>
      </c>
      <c r="E256" s="61">
        <v>2013002635</v>
      </c>
      <c r="F256" s="64"/>
      <c r="G256" s="49" t="s">
        <v>1946</v>
      </c>
      <c r="H256" s="76"/>
      <c r="I256" s="76">
        <v>32890</v>
      </c>
      <c r="J256" s="66">
        <f t="shared" ca="1" si="108"/>
        <v>36</v>
      </c>
      <c r="K256" s="75" t="s">
        <v>1947</v>
      </c>
      <c r="L256" s="83" t="s">
        <v>1948</v>
      </c>
      <c r="M256" s="53" t="s">
        <v>67</v>
      </c>
      <c r="N256" s="66" t="s">
        <v>94</v>
      </c>
      <c r="O256" s="53" t="s">
        <v>1949</v>
      </c>
      <c r="P256" s="49" t="s">
        <v>1950</v>
      </c>
      <c r="Q256" s="49" t="s">
        <v>733</v>
      </c>
      <c r="R256" s="49"/>
      <c r="S256" s="49" t="s">
        <v>124</v>
      </c>
      <c r="T256" s="49" t="s">
        <v>97</v>
      </c>
      <c r="U256" s="49" t="s">
        <v>94</v>
      </c>
      <c r="V256" s="49" t="str">
        <f t="shared" si="98"/>
        <v>Phường Đông Kinh, Thành phố Lạng Sơn, Tỉnh Lạng Sơn</v>
      </c>
      <c r="W256" s="86" t="s">
        <v>249</v>
      </c>
      <c r="X256" s="41"/>
      <c r="Y256" s="41"/>
      <c r="Z256" s="41"/>
      <c r="AA256" s="68">
        <f>VLOOKUP(A256,'[1]DANH SÁCH'!$B$8:$AD$841,12,0)</f>
        <v>0</v>
      </c>
      <c r="AB256" s="49" t="str">
        <f>VLOOKUP(A256,'[1]DANH SÁCH'!$B$8:$H$841,6,0)</f>
        <v>TĐ003</v>
      </c>
      <c r="AC256" s="69" t="str">
        <f>VLOOKUP(A256,'[1]DANH SÁCH'!$B$8:$J$841,9,0)</f>
        <v>YHCT</v>
      </c>
      <c r="AD256" s="69" t="str">
        <f>VLOOKUP(A256,'[1]DANH SÁCH'!$B$8:$AC$841,10,0)</f>
        <v>KP020</v>
      </c>
      <c r="AE256" s="69" t="str">
        <f>VLOOKUP(A256,'[1]DANH SÁCH'!$B$8:$AD$841,13,0)</f>
        <v>Viên chức</v>
      </c>
      <c r="AF256" s="41" t="s">
        <v>274</v>
      </c>
      <c r="AG256" s="42" t="str">
        <f>VLOOKUP(A256,'[1]DANH SÁCH'!$B$8:$H$841,7,0)</f>
        <v>Bác sĩ (hạng III)</v>
      </c>
      <c r="AH256" s="45">
        <v>3.33</v>
      </c>
      <c r="AI256" s="42">
        <v>4</v>
      </c>
      <c r="AJ256" s="70">
        <v>0</v>
      </c>
      <c r="AK256" s="69">
        <v>45047</v>
      </c>
      <c r="AL256" s="71" t="s">
        <v>80</v>
      </c>
      <c r="AM256" s="53" t="str">
        <f>VLOOKUP(A256,'[1]DANH SÁCH'!$B$8:$F$841,5,0)</f>
        <v>BSCKI</v>
      </c>
      <c r="AN256" s="53" t="s">
        <v>1951</v>
      </c>
      <c r="AO256" s="53" t="s">
        <v>1952</v>
      </c>
      <c r="AP256" s="53">
        <v>2013</v>
      </c>
      <c r="AQ256" s="72" t="s">
        <v>113</v>
      </c>
      <c r="AR256" s="42">
        <f>VLOOKUP(A256,'[1]Chứng chỉ'!$B$8:$Q$1111,11,0)</f>
        <v>0</v>
      </c>
      <c r="AS256" s="42">
        <f>VLOOKUP(A256,'[1]Chứng chỉ'!$B$8:$Q$1111,12,0)</f>
        <v>0</v>
      </c>
      <c r="AT256" s="47" t="str">
        <f>VLOOKUP(A256,'[1]Chứng chỉ'!$B$8:$Q$1111,13,0)</f>
        <v>x</v>
      </c>
      <c r="AU256" s="42" t="str">
        <f>VLOOKUP(A256,'[1]Chứng chỉ'!$B$8:$Q$1111,14,0)</f>
        <v>TOEIC</v>
      </c>
      <c r="AV256" s="42">
        <f>VLOOKUP(A256,'[1]Chứng chỉ'!$B$8:$Q$1111,15,0)</f>
        <v>0</v>
      </c>
      <c r="AW256" s="42" t="str">
        <f>VLOOKUP(A256,'[1]Chứng chỉ'!$B$8:$Q$1111,16,0)</f>
        <v>Cơ bản</v>
      </c>
      <c r="AX256" s="42"/>
      <c r="AY256" s="57" t="s">
        <v>87</v>
      </c>
      <c r="AZ256" s="65"/>
      <c r="BA256" s="74" t="e">
        <f t="shared" si="104"/>
        <v>#REF!</v>
      </c>
      <c r="BB256" s="74" t="e">
        <f t="shared" si="105"/>
        <v>#REF!</v>
      </c>
      <c r="BC256" s="61" t="s">
        <v>359</v>
      </c>
      <c r="BD256" s="62"/>
    </row>
    <row r="257" spans="1:56" ht="51" x14ac:dyDescent="0.3">
      <c r="A257" s="41" t="s">
        <v>1953</v>
      </c>
      <c r="B257" s="42">
        <f t="shared" si="0"/>
        <v>251</v>
      </c>
      <c r="C257" s="68" t="s">
        <v>1954</v>
      </c>
      <c r="D257" s="41" t="s">
        <v>1953</v>
      </c>
      <c r="E257" s="61">
        <v>1505002497</v>
      </c>
      <c r="F257" s="64"/>
      <c r="G257" s="49" t="s">
        <v>1955</v>
      </c>
      <c r="H257" s="76"/>
      <c r="I257" s="76">
        <v>29573</v>
      </c>
      <c r="J257" s="66">
        <f t="shared" ca="1" si="108"/>
        <v>45</v>
      </c>
      <c r="K257" s="75" t="s">
        <v>1956</v>
      </c>
      <c r="L257" s="83" t="s">
        <v>1957</v>
      </c>
      <c r="M257" s="53" t="s">
        <v>67</v>
      </c>
      <c r="N257" s="66" t="s">
        <v>94</v>
      </c>
      <c r="O257" s="53"/>
      <c r="P257" s="49" t="s">
        <v>155</v>
      </c>
      <c r="Q257" s="49" t="s">
        <v>94</v>
      </c>
      <c r="R257" s="49"/>
      <c r="S257" s="49" t="s">
        <v>460</v>
      </c>
      <c r="T257" s="49" t="s">
        <v>108</v>
      </c>
      <c r="U257" s="49" t="s">
        <v>94</v>
      </c>
      <c r="V257" s="49" t="str">
        <f t="shared" si="98"/>
        <v>Thị trấn Cao Lộc, Huyện Cao Lộc, Tỉnh Lạng Sơn</v>
      </c>
      <c r="W257" s="55" t="s">
        <v>724</v>
      </c>
      <c r="X257" s="41"/>
      <c r="Y257" s="41"/>
      <c r="Z257" s="41"/>
      <c r="AA257" s="68">
        <f>VLOOKUP(A257,'[1]DANH SÁCH'!$B$8:$AD$841,12,0)</f>
        <v>0</v>
      </c>
      <c r="AB257" s="49" t="str">
        <f>VLOOKUP(A257,'[1]DANH SÁCH'!$B$8:$H$841,6,0)</f>
        <v>TĐ011</v>
      </c>
      <c r="AC257" s="69" t="str">
        <f>VLOOKUP(A257,'[1]DANH SÁCH'!$B$8:$J$841,9,0)</f>
        <v>YHCT</v>
      </c>
      <c r="AD257" s="69" t="str">
        <f>VLOOKUP(A257,'[1]DANH SÁCH'!$B$8:$AC$841,10,0)</f>
        <v>KP020</v>
      </c>
      <c r="AE257" s="69" t="str">
        <f>VLOOKUP(A257,'[1]DANH SÁCH'!$B$8:$AD$841,13,0)</f>
        <v>Viên chức</v>
      </c>
      <c r="AF257" s="41" t="s">
        <v>147</v>
      </c>
      <c r="AG257" s="42" t="str">
        <f>VLOOKUP(A257,'[1]DANH SÁCH'!$B$8:$H$841,7,0)</f>
        <v>Điều dưỡng (hạng III)</v>
      </c>
      <c r="AH257" s="45">
        <v>3.99</v>
      </c>
      <c r="AI257" s="42">
        <v>6</v>
      </c>
      <c r="AJ257" s="70">
        <v>0</v>
      </c>
      <c r="AK257" s="69">
        <v>45292</v>
      </c>
      <c r="AL257" s="71" t="s">
        <v>80</v>
      </c>
      <c r="AM257" s="53" t="str">
        <f>VLOOKUP(A257,'[1]DANH SÁCH'!$B$8:$F$841,5,0)</f>
        <v>Điều dưỡng ĐH</v>
      </c>
      <c r="AN257" s="53"/>
      <c r="AO257" s="53" t="s">
        <v>1958</v>
      </c>
      <c r="AP257" s="53">
        <v>2014</v>
      </c>
      <c r="AQ257" s="72" t="s">
        <v>113</v>
      </c>
      <c r="AR257" s="42">
        <f>VLOOKUP(A257,'[1]Chứng chỉ'!$B$8:$Q$1111,11,0)</f>
        <v>0</v>
      </c>
      <c r="AS257" s="42">
        <f>VLOOKUP(A257,'[1]Chứng chỉ'!$B$8:$Q$1111,12,0)</f>
        <v>0</v>
      </c>
      <c r="AT257" s="47" t="str">
        <f>VLOOKUP(A257,'[1]Chứng chỉ'!$B$8:$Q$1111,13,0)</f>
        <v>x</v>
      </c>
      <c r="AU257" s="42">
        <f>VLOOKUP(A257,'[1]Chứng chỉ'!$B$8:$Q$1111,14,0)</f>
        <v>0</v>
      </c>
      <c r="AV257" s="42" t="str">
        <f>VLOOKUP(A257,'[1]Chứng chỉ'!$B$8:$Q$1111,15,0)</f>
        <v>x</v>
      </c>
      <c r="AW257" s="42" t="str">
        <f>VLOOKUP(A257,'[1]Chứng chỉ'!$B$8:$Q$1111,16,0)</f>
        <v>x</v>
      </c>
      <c r="AX257" s="42"/>
      <c r="AY257" s="57" t="s">
        <v>85</v>
      </c>
      <c r="AZ257" s="65">
        <v>43504</v>
      </c>
      <c r="BA257" s="74" t="e">
        <f t="shared" si="104"/>
        <v>#REF!</v>
      </c>
      <c r="BB257" s="74" t="e">
        <f t="shared" si="105"/>
        <v>#REF!</v>
      </c>
      <c r="BC257" s="61" t="s">
        <v>128</v>
      </c>
      <c r="BD257" s="62"/>
    </row>
    <row r="258" spans="1:56" ht="61.2" x14ac:dyDescent="0.3">
      <c r="A258" s="41" t="s">
        <v>1959</v>
      </c>
      <c r="B258" s="42">
        <f t="shared" si="0"/>
        <v>252</v>
      </c>
      <c r="C258" s="68" t="s">
        <v>1960</v>
      </c>
      <c r="D258" s="41" t="s">
        <v>1959</v>
      </c>
      <c r="E258" s="61">
        <v>1502000864</v>
      </c>
      <c r="F258" s="64"/>
      <c r="G258" s="49" t="s">
        <v>1961</v>
      </c>
      <c r="H258" s="76">
        <v>28060</v>
      </c>
      <c r="I258" s="76"/>
      <c r="J258" s="66">
        <f ca="1">INT(DATEDIF(H258,$J$2,"d")/365)</f>
        <v>49</v>
      </c>
      <c r="K258" s="75" t="s">
        <v>1962</v>
      </c>
      <c r="L258" s="41" t="s">
        <v>1963</v>
      </c>
      <c r="M258" s="53" t="s">
        <v>67</v>
      </c>
      <c r="N258" s="66"/>
      <c r="O258" s="53"/>
      <c r="P258" s="49" t="s">
        <v>155</v>
      </c>
      <c r="Q258" s="49" t="s">
        <v>94</v>
      </c>
      <c r="R258" s="49"/>
      <c r="S258" s="49" t="s">
        <v>124</v>
      </c>
      <c r="T258" s="53" t="s">
        <v>97</v>
      </c>
      <c r="U258" s="53" t="s">
        <v>94</v>
      </c>
      <c r="V258" s="49" t="str">
        <f t="shared" si="98"/>
        <v>Phường Đông Kinh, Thành phố Lạng Sơn, Tỉnh Lạng Sơn</v>
      </c>
      <c r="W258" s="55" t="s">
        <v>185</v>
      </c>
      <c r="X258" s="41"/>
      <c r="Y258" s="41"/>
      <c r="Z258" s="41"/>
      <c r="AA258" s="68">
        <f>VLOOKUP(A258,'[1]DANH SÁCH'!$B$8:$AD$841,12,0)</f>
        <v>0</v>
      </c>
      <c r="AB258" s="49" t="str">
        <f>VLOOKUP(A258,'[1]DANH SÁCH'!$B$8:$H$841,6,0)</f>
        <v>TĐ012</v>
      </c>
      <c r="AC258" s="69" t="str">
        <f>VLOOKUP(A258,'[1]DANH SÁCH'!$B$8:$J$841,9,0)</f>
        <v>YHCT</v>
      </c>
      <c r="AD258" s="69" t="str">
        <f>VLOOKUP(A258,'[1]DANH SÁCH'!$B$8:$AC$841,10,0)</f>
        <v>KP020</v>
      </c>
      <c r="AE258" s="69" t="str">
        <f>VLOOKUP(A258,'[1]DANH SÁCH'!$B$8:$AD$841,13,0)</f>
        <v>Viên chức</v>
      </c>
      <c r="AF258" s="41" t="s">
        <v>157</v>
      </c>
      <c r="AG258" s="42" t="str">
        <f>VLOOKUP(A258,'[1]DANH SÁCH'!$B$8:$H$841,7,0)</f>
        <v>Điều dưỡng (hạng IV)</v>
      </c>
      <c r="AH258" s="45">
        <v>3.96</v>
      </c>
      <c r="AI258" s="42">
        <v>7</v>
      </c>
      <c r="AJ258" s="70">
        <v>0</v>
      </c>
      <c r="AK258" s="69">
        <v>45839</v>
      </c>
      <c r="AL258" s="71" t="s">
        <v>158</v>
      </c>
      <c r="AM258" s="53" t="str">
        <f>VLOOKUP(A258,'[1]DANH SÁCH'!$B$8:$F$841,5,0)</f>
        <v>Điều dưỡng CĐ</v>
      </c>
      <c r="AN258" s="53"/>
      <c r="AO258" s="53" t="s">
        <v>175</v>
      </c>
      <c r="AP258" s="53">
        <v>1998</v>
      </c>
      <c r="AQ258" s="72" t="s">
        <v>113</v>
      </c>
      <c r="AR258" s="42" t="s">
        <v>82</v>
      </c>
      <c r="AS258" s="42" t="str">
        <f>VLOOKUP(A258,'[1]Chứng chỉ'!$B$8:$Q$1111,12,0)</f>
        <v>x</v>
      </c>
      <c r="AT258" s="47">
        <f>VLOOKUP(A258,'[1]Chứng chỉ'!$B$8:$Q$1111,13,0)</f>
        <v>0</v>
      </c>
      <c r="AU258" s="42" t="str">
        <f>VLOOKUP(A258,'[1]Chứng chỉ'!$B$8:$Q$1111,14,0)</f>
        <v>Bậc 4</v>
      </c>
      <c r="AV258" s="42">
        <f>VLOOKUP(A258,'[1]Chứng chỉ'!$B$8:$Q$1111,15,0)</f>
        <v>0</v>
      </c>
      <c r="AW258" s="42" t="str">
        <f>VLOOKUP(A258,'[1]Chứng chỉ'!$B$8:$Q$1111,16,0)</f>
        <v>Tin B</v>
      </c>
      <c r="AX258" s="53"/>
      <c r="AY258" s="57" t="s">
        <v>127</v>
      </c>
      <c r="AZ258" s="65"/>
      <c r="BA258" s="74" t="e">
        <f t="shared" si="104"/>
        <v>#REF!</v>
      </c>
      <c r="BB258" s="74" t="e">
        <f t="shared" si="105"/>
        <v>#REF!</v>
      </c>
      <c r="BC258" s="61" t="s">
        <v>413</v>
      </c>
      <c r="BD258" s="62"/>
    </row>
    <row r="259" spans="1:56" ht="51" x14ac:dyDescent="0.3">
      <c r="A259" s="41" t="s">
        <v>1964</v>
      </c>
      <c r="B259" s="42">
        <f t="shared" si="0"/>
        <v>253</v>
      </c>
      <c r="C259" s="68" t="s">
        <v>1965</v>
      </c>
      <c r="D259" s="41" t="s">
        <v>1964</v>
      </c>
      <c r="E259" s="61">
        <v>2010000154</v>
      </c>
      <c r="F259" s="64"/>
      <c r="G259" s="49" t="s">
        <v>1966</v>
      </c>
      <c r="H259" s="76"/>
      <c r="I259" s="76">
        <v>31802</v>
      </c>
      <c r="J259" s="66">
        <f t="shared" ref="J259:J264" ca="1" si="109">INT(DATEDIF(I259,$J$2,"d")/365)</f>
        <v>39</v>
      </c>
      <c r="K259" s="75" t="s">
        <v>1967</v>
      </c>
      <c r="L259" s="83" t="s">
        <v>793</v>
      </c>
      <c r="M259" s="53" t="s">
        <v>67</v>
      </c>
      <c r="N259" s="66" t="s">
        <v>94</v>
      </c>
      <c r="O259" s="53" t="s">
        <v>626</v>
      </c>
      <c r="P259" s="49" t="s">
        <v>222</v>
      </c>
      <c r="Q259" s="49" t="s">
        <v>94</v>
      </c>
      <c r="R259" s="49"/>
      <c r="S259" s="49" t="s">
        <v>626</v>
      </c>
      <c r="T259" s="49" t="s">
        <v>222</v>
      </c>
      <c r="U259" s="49" t="s">
        <v>94</v>
      </c>
      <c r="V259" s="49" t="str">
        <f t="shared" si="98"/>
        <v>Xã Quan Sơn, Huyện Chi Lăng, Tỉnh Lạng Sơn</v>
      </c>
      <c r="W259" s="55" t="s">
        <v>236</v>
      </c>
      <c r="X259" s="41"/>
      <c r="Y259" s="41"/>
      <c r="Z259" s="41"/>
      <c r="AA259" s="68">
        <f>VLOOKUP(A259,'[1]DANH SÁCH'!$B$8:$AD$841,12,0)</f>
        <v>0</v>
      </c>
      <c r="AB259" s="49" t="str">
        <f>VLOOKUP(A259,'[1]DANH SÁCH'!$B$8:$H$841,6,0)</f>
        <v>TĐ012</v>
      </c>
      <c r="AC259" s="69" t="str">
        <f>VLOOKUP(A259,'[1]DANH SÁCH'!$B$8:$J$841,9,0)</f>
        <v>YHCT</v>
      </c>
      <c r="AD259" s="69" t="str">
        <f>VLOOKUP(A259,'[1]DANH SÁCH'!$B$8:$AC$841,10,0)</f>
        <v>KP020</v>
      </c>
      <c r="AE259" s="69" t="str">
        <f>VLOOKUP(A259,'[1]DANH SÁCH'!$B$8:$AD$841,13,0)</f>
        <v>Viên chức</v>
      </c>
      <c r="AF259" s="41" t="s">
        <v>157</v>
      </c>
      <c r="AG259" s="42" t="str">
        <f>VLOOKUP(A259,'[1]DANH SÁCH'!$B$8:$H$841,7,0)</f>
        <v>Điều dưỡng (hạng IV)</v>
      </c>
      <c r="AH259" s="45">
        <v>3.34</v>
      </c>
      <c r="AI259" s="42">
        <v>5</v>
      </c>
      <c r="AJ259" s="70">
        <v>0</v>
      </c>
      <c r="AK259" s="69">
        <v>44927</v>
      </c>
      <c r="AL259" s="71" t="s">
        <v>158</v>
      </c>
      <c r="AM259" s="53" t="str">
        <f>VLOOKUP(A259,'[1]DANH SÁCH'!$B$8:$F$841,5,0)</f>
        <v>Điều dưỡng CĐ</v>
      </c>
      <c r="AN259" s="53"/>
      <c r="AO259" s="53" t="s">
        <v>365</v>
      </c>
      <c r="AP259" s="53">
        <v>2006</v>
      </c>
      <c r="AQ259" s="72" t="s">
        <v>113</v>
      </c>
      <c r="AR259" s="42">
        <f>VLOOKUP(A259,'[1]Chứng chỉ'!$B$8:$Q$1111,11,0)</f>
        <v>0</v>
      </c>
      <c r="AS259" s="42">
        <f>VLOOKUP(A259,'[1]Chứng chỉ'!$B$8:$Q$1111,12,0)</f>
        <v>0</v>
      </c>
      <c r="AT259" s="47">
        <f>VLOOKUP(A259,'[1]Chứng chỉ'!$B$8:$Q$1111,13,0)</f>
        <v>0</v>
      </c>
      <c r="AU259" s="42">
        <f>VLOOKUP(A259,'[1]Chứng chỉ'!$B$8:$Q$1111,14,0)</f>
        <v>0</v>
      </c>
      <c r="AV259" s="42" t="str">
        <f>VLOOKUP(A259,'[1]Chứng chỉ'!$B$8:$Q$1111,15,0)</f>
        <v>Tày</v>
      </c>
      <c r="AW259" s="42" t="str">
        <f>VLOOKUP(A259,'[1]Chứng chỉ'!$B$8:$Q$1111,16,0)</f>
        <v>Cơ bản</v>
      </c>
      <c r="AX259" s="42"/>
      <c r="AY259" s="57" t="s">
        <v>85</v>
      </c>
      <c r="AZ259" s="65"/>
      <c r="BA259" s="74" t="e">
        <f t="shared" si="104"/>
        <v>#REF!</v>
      </c>
      <c r="BB259" s="74" t="e">
        <f t="shared" si="105"/>
        <v>#REF!</v>
      </c>
      <c r="BC259" s="41" t="s">
        <v>128</v>
      </c>
      <c r="BD259" s="64"/>
    </row>
    <row r="260" spans="1:56" ht="51" x14ac:dyDescent="0.3">
      <c r="A260" s="41" t="s">
        <v>1968</v>
      </c>
      <c r="B260" s="42">
        <f t="shared" si="0"/>
        <v>254</v>
      </c>
      <c r="C260" s="68" t="s">
        <v>1969</v>
      </c>
      <c r="D260" s="41" t="s">
        <v>1968</v>
      </c>
      <c r="E260" s="61">
        <v>2009000708</v>
      </c>
      <c r="F260" s="64"/>
      <c r="G260" s="49" t="s">
        <v>1970</v>
      </c>
      <c r="H260" s="76"/>
      <c r="I260" s="76">
        <v>31924</v>
      </c>
      <c r="J260" s="66">
        <f t="shared" ca="1" si="109"/>
        <v>39</v>
      </c>
      <c r="K260" s="75" t="s">
        <v>1971</v>
      </c>
      <c r="L260" s="41" t="s">
        <v>1972</v>
      </c>
      <c r="M260" s="53" t="s">
        <v>67</v>
      </c>
      <c r="N260" s="66"/>
      <c r="O260" s="53" t="s">
        <v>1755</v>
      </c>
      <c r="P260" s="49" t="s">
        <v>108</v>
      </c>
      <c r="Q260" s="49" t="s">
        <v>94</v>
      </c>
      <c r="R260" s="49"/>
      <c r="S260" s="49" t="s">
        <v>460</v>
      </c>
      <c r="T260" s="53" t="s">
        <v>108</v>
      </c>
      <c r="U260" s="53" t="s">
        <v>94</v>
      </c>
      <c r="V260" s="49" t="str">
        <f t="shared" si="98"/>
        <v>Thị trấn Cao Lộc, Huyện Cao Lộc, Tỉnh Lạng Sơn</v>
      </c>
      <c r="W260" s="55" t="s">
        <v>809</v>
      </c>
      <c r="X260" s="41"/>
      <c r="Y260" s="41"/>
      <c r="Z260" s="41"/>
      <c r="AA260" s="68">
        <f>VLOOKUP(A260,'[1]DANH SÁCH'!$B$8:$AD$841,12,0)</f>
        <v>0</v>
      </c>
      <c r="AB260" s="49" t="str">
        <f>VLOOKUP(A260,'[1]DANH SÁCH'!$B$8:$H$841,6,0)</f>
        <v>TĐ011</v>
      </c>
      <c r="AC260" s="69" t="str">
        <f>VLOOKUP(A260,'[1]DANH SÁCH'!$B$8:$J$841,9,0)</f>
        <v>YHCT</v>
      </c>
      <c r="AD260" s="69" t="str">
        <f>VLOOKUP(A260,'[1]DANH SÁCH'!$B$8:$AC$841,10,0)</f>
        <v>KP020</v>
      </c>
      <c r="AE260" s="69" t="str">
        <f>VLOOKUP(A260,'[1]DANH SÁCH'!$B$8:$AD$841,13,0)</f>
        <v>Viên chức</v>
      </c>
      <c r="AF260" s="41" t="s">
        <v>147</v>
      </c>
      <c r="AG260" s="42" t="str">
        <f>VLOOKUP(A260,'[1]DANH SÁCH'!$B$8:$H$841,7,0)</f>
        <v>Điều dưỡng (hạng III)</v>
      </c>
      <c r="AH260" s="45">
        <v>3.66</v>
      </c>
      <c r="AI260" s="42">
        <v>5</v>
      </c>
      <c r="AJ260" s="70">
        <v>0</v>
      </c>
      <c r="AK260" s="69">
        <v>45383</v>
      </c>
      <c r="AL260" s="71" t="s">
        <v>80</v>
      </c>
      <c r="AM260" s="53" t="str">
        <f>VLOOKUP(A260,'[1]DANH SÁCH'!$B$8:$F$841,5,0)</f>
        <v>Điều dưỡng ĐH</v>
      </c>
      <c r="AN260" s="53"/>
      <c r="AO260" s="53" t="s">
        <v>159</v>
      </c>
      <c r="AP260" s="53">
        <v>2008</v>
      </c>
      <c r="AQ260" s="72" t="s">
        <v>113</v>
      </c>
      <c r="AR260" s="42">
        <f>VLOOKUP(A260,'[1]Chứng chỉ'!$B$8:$Q$1111,11,0)</f>
        <v>0</v>
      </c>
      <c r="AS260" s="42">
        <f>VLOOKUP(A260,'[1]Chứng chỉ'!$B$8:$Q$1111,12,0)</f>
        <v>0</v>
      </c>
      <c r="AT260" s="47">
        <f>VLOOKUP(A260,'[1]Chứng chỉ'!$B$8:$Q$1111,13,0)</f>
        <v>0</v>
      </c>
      <c r="AU260" s="42" t="str">
        <f>VLOOKUP(A260,'[1]Chứng chỉ'!$B$8:$Q$1111,14,0)</f>
        <v>x</v>
      </c>
      <c r="AV260" s="42" t="str">
        <f>VLOOKUP(A260,'[1]Chứng chỉ'!$B$8:$Q$1111,15,0)</f>
        <v>x</v>
      </c>
      <c r="AW260" s="42" t="str">
        <f>VLOOKUP(A260,'[1]Chứng chỉ'!$B$8:$Q$1111,16,0)</f>
        <v>x</v>
      </c>
      <c r="AX260" s="53"/>
      <c r="AY260" s="57" t="s">
        <v>85</v>
      </c>
      <c r="AZ260" s="65"/>
      <c r="BA260" s="74" t="e">
        <f t="shared" si="104"/>
        <v>#REF!</v>
      </c>
      <c r="BB260" s="74" t="e">
        <f t="shared" si="105"/>
        <v>#REF!</v>
      </c>
      <c r="BC260" s="61" t="s">
        <v>1973</v>
      </c>
      <c r="BD260" s="64"/>
    </row>
    <row r="261" spans="1:56" ht="51" x14ac:dyDescent="0.3">
      <c r="A261" s="41" t="s">
        <v>1974</v>
      </c>
      <c r="B261" s="42">
        <f t="shared" si="0"/>
        <v>255</v>
      </c>
      <c r="C261" s="68" t="s">
        <v>1975</v>
      </c>
      <c r="D261" s="41" t="s">
        <v>1974</v>
      </c>
      <c r="E261" s="61">
        <v>2008002400</v>
      </c>
      <c r="F261" s="64"/>
      <c r="G261" s="49" t="s">
        <v>1976</v>
      </c>
      <c r="H261" s="76"/>
      <c r="I261" s="76">
        <v>30694</v>
      </c>
      <c r="J261" s="66">
        <f t="shared" ca="1" si="109"/>
        <v>42</v>
      </c>
      <c r="K261" s="75" t="s">
        <v>1977</v>
      </c>
      <c r="L261" s="83" t="s">
        <v>1177</v>
      </c>
      <c r="M261" s="53" t="s">
        <v>67</v>
      </c>
      <c r="N261" s="66" t="s">
        <v>94</v>
      </c>
      <c r="O261" s="53"/>
      <c r="P261" s="76" t="s">
        <v>145</v>
      </c>
      <c r="Q261" s="49" t="s">
        <v>94</v>
      </c>
      <c r="R261" s="49"/>
      <c r="S261" s="49" t="s">
        <v>1978</v>
      </c>
      <c r="T261" s="76" t="s">
        <v>97</v>
      </c>
      <c r="U261" s="49" t="s">
        <v>94</v>
      </c>
      <c r="V261" s="49" t="str">
        <f t="shared" si="98"/>
        <v>Xã Quảng Lạc, Thành phố Lạng Sơn, Tỉnh Lạng Sơn</v>
      </c>
      <c r="W261" s="55" t="s">
        <v>678</v>
      </c>
      <c r="X261" s="41"/>
      <c r="Y261" s="41"/>
      <c r="Z261" s="41"/>
      <c r="AA261" s="68">
        <f>VLOOKUP(A261,'[1]DANH SÁCH'!$B$8:$AD$841,12,0)</f>
        <v>0</v>
      </c>
      <c r="AB261" s="49" t="str">
        <f>VLOOKUP(A261,'[1]DANH SÁCH'!$B$8:$H$841,6,0)</f>
        <v>TĐ012</v>
      </c>
      <c r="AC261" s="69" t="str">
        <f>VLOOKUP(A261,'[1]DANH SÁCH'!$B$8:$J$841,9,0)</f>
        <v>YHCT</v>
      </c>
      <c r="AD261" s="69" t="str">
        <f>VLOOKUP(A261,'[1]DANH SÁCH'!$B$8:$AC$841,10,0)</f>
        <v>KP020</v>
      </c>
      <c r="AE261" s="69" t="str">
        <f>VLOOKUP(A261,'[1]DANH SÁCH'!$B$8:$AD$841,13,0)</f>
        <v>Viên chức</v>
      </c>
      <c r="AF261" s="41" t="s">
        <v>157</v>
      </c>
      <c r="AG261" s="42" t="str">
        <f>VLOOKUP(A261,'[1]DANH SÁCH'!$B$8:$H$841,7,0)</f>
        <v>Điều dưỡng (hạng IV)</v>
      </c>
      <c r="AH261" s="45">
        <v>3.65</v>
      </c>
      <c r="AI261" s="42">
        <v>6</v>
      </c>
      <c r="AJ261" s="70">
        <v>0</v>
      </c>
      <c r="AK261" s="69">
        <v>45809</v>
      </c>
      <c r="AL261" s="71" t="s">
        <v>158</v>
      </c>
      <c r="AM261" s="53" t="str">
        <f>VLOOKUP(A261,'[1]DANH SÁCH'!$B$8:$F$841,5,0)</f>
        <v>Điều dưỡng CĐ</v>
      </c>
      <c r="AN261" s="53"/>
      <c r="AO261" s="53" t="s">
        <v>365</v>
      </c>
      <c r="AP261" s="53">
        <v>2006</v>
      </c>
      <c r="AQ261" s="99" t="s">
        <v>113</v>
      </c>
      <c r="AR261" s="42">
        <f>VLOOKUP(A261,'[1]Chứng chỉ'!$B$8:$Q$1111,11,0)</f>
        <v>0</v>
      </c>
      <c r="AS261" s="42">
        <f>VLOOKUP(A261,'[1]Chứng chỉ'!$B$8:$Q$1111,12,0)</f>
        <v>0</v>
      </c>
      <c r="AT261" s="47">
        <f>VLOOKUP(A261,'[1]Chứng chỉ'!$B$8:$Q$1111,13,0)</f>
        <v>0</v>
      </c>
      <c r="AU261" s="42" t="str">
        <f>VLOOKUP(A261,'[1]Chứng chỉ'!$B$8:$Q$1111,14,0)</f>
        <v>x</v>
      </c>
      <c r="AV261" s="42">
        <f>VLOOKUP(A261,'[1]Chứng chỉ'!$B$8:$Q$1111,15,0)</f>
        <v>0</v>
      </c>
      <c r="AW261" s="42" t="str">
        <f>VLOOKUP(A261,'[1]Chứng chỉ'!$B$8:$Q$1111,16,0)</f>
        <v>x</v>
      </c>
      <c r="AX261" s="42"/>
      <c r="AY261" s="57" t="s">
        <v>127</v>
      </c>
      <c r="AZ261" s="65">
        <v>41898</v>
      </c>
      <c r="BA261" s="74" t="e">
        <f t="shared" si="104"/>
        <v>#REF!</v>
      </c>
      <c r="BB261" s="74" t="e">
        <f t="shared" si="105"/>
        <v>#REF!</v>
      </c>
      <c r="BC261" s="61" t="s">
        <v>128</v>
      </c>
      <c r="BD261" s="62"/>
    </row>
    <row r="262" spans="1:56" ht="51" x14ac:dyDescent="0.3">
      <c r="A262" s="41" t="s">
        <v>1979</v>
      </c>
      <c r="B262" s="42">
        <f t="shared" ref="B262:B516" si="110">ROW()-6</f>
        <v>256</v>
      </c>
      <c r="C262" s="68" t="s">
        <v>1980</v>
      </c>
      <c r="D262" s="41" t="s">
        <v>1979</v>
      </c>
      <c r="E262" s="61">
        <v>1505002932</v>
      </c>
      <c r="F262" s="64"/>
      <c r="G262" s="49" t="s">
        <v>1981</v>
      </c>
      <c r="H262" s="76"/>
      <c r="I262" s="76">
        <v>27217</v>
      </c>
      <c r="J262" s="66">
        <f t="shared" ca="1" si="109"/>
        <v>52</v>
      </c>
      <c r="K262" s="75" t="s">
        <v>1982</v>
      </c>
      <c r="L262" s="83" t="s">
        <v>1983</v>
      </c>
      <c r="M262" s="53" t="s">
        <v>67</v>
      </c>
      <c r="N262" s="66" t="s">
        <v>94</v>
      </c>
      <c r="O262" s="53" t="s">
        <v>1984</v>
      </c>
      <c r="P262" s="49" t="s">
        <v>108</v>
      </c>
      <c r="Q262" s="49" t="s">
        <v>94</v>
      </c>
      <c r="R262" s="49"/>
      <c r="S262" s="49" t="s">
        <v>136</v>
      </c>
      <c r="T262" s="49" t="s">
        <v>97</v>
      </c>
      <c r="U262" s="49" t="s">
        <v>94</v>
      </c>
      <c r="V262" s="49" t="str">
        <f t="shared" si="98"/>
        <v>Phường Chi Lăng, Thành phố Lạng Sơn, Tỉnh Lạng Sơn</v>
      </c>
      <c r="W262" s="55" t="s">
        <v>1433</v>
      </c>
      <c r="X262" s="41"/>
      <c r="Y262" s="41"/>
      <c r="Z262" s="41"/>
      <c r="AA262" s="68">
        <f>VLOOKUP(A262,'[1]DANH SÁCH'!$B$8:$AD$841,12,0)</f>
        <v>0</v>
      </c>
      <c r="AB262" s="49" t="str">
        <f>VLOOKUP(A262,'[1]DANH SÁCH'!$B$8:$H$841,6,0)</f>
        <v>TĐ012</v>
      </c>
      <c r="AC262" s="69" t="str">
        <f>VLOOKUP(A262,'[1]DANH SÁCH'!$B$8:$J$841,9,0)</f>
        <v>YHCT</v>
      </c>
      <c r="AD262" s="69" t="str">
        <f>VLOOKUP(A262,'[1]DANH SÁCH'!$B$8:$AC$841,10,0)</f>
        <v>KP020</v>
      </c>
      <c r="AE262" s="69" t="str">
        <f>VLOOKUP(A262,'[1]DANH SÁCH'!$B$8:$AD$841,13,0)</f>
        <v>Viên chức</v>
      </c>
      <c r="AF262" s="41" t="s">
        <v>1796</v>
      </c>
      <c r="AG262" s="42" t="str">
        <f>VLOOKUP(A262,'[1]DANH SÁCH'!$B$8:$H$841,7,0)</f>
        <v>Điều dưỡng (hạng IV)</v>
      </c>
      <c r="AH262" s="45">
        <v>3.96</v>
      </c>
      <c r="AI262" s="42">
        <v>7</v>
      </c>
      <c r="AJ262" s="70">
        <v>0</v>
      </c>
      <c r="AK262" s="69">
        <v>46023</v>
      </c>
      <c r="AL262" s="71" t="s">
        <v>101</v>
      </c>
      <c r="AM262" s="53" t="str">
        <f>VLOOKUP(A262,'[1]DANH SÁCH'!$B$8:$F$841,5,0)</f>
        <v>Điều dưỡng CĐ</v>
      </c>
      <c r="AN262" s="53" t="s">
        <v>1951</v>
      </c>
      <c r="AO262" s="53" t="s">
        <v>1985</v>
      </c>
      <c r="AP262" s="53">
        <v>1994</v>
      </c>
      <c r="AQ262" s="72" t="s">
        <v>113</v>
      </c>
      <c r="AR262" s="42">
        <f>VLOOKUP(A262,'[1]Chứng chỉ'!$B$8:$Q$1111,11,0)</f>
        <v>0</v>
      </c>
      <c r="AS262" s="42">
        <f>VLOOKUP(A262,'[1]Chứng chỉ'!$B$8:$Q$1111,12,0)</f>
        <v>0</v>
      </c>
      <c r="AT262" s="47">
        <f>VLOOKUP(A262,'[1]Chứng chỉ'!$B$8:$Q$1111,13,0)</f>
        <v>0</v>
      </c>
      <c r="AU262" s="42">
        <f>VLOOKUP(A262,'[1]Chứng chỉ'!$B$8:$Q$1111,14,0)</f>
        <v>0</v>
      </c>
      <c r="AV262" s="42" t="str">
        <f>VLOOKUP(A262,'[1]Chứng chỉ'!$B$8:$Q$1111,15,0)</f>
        <v>x</v>
      </c>
      <c r="AW262" s="42" t="str">
        <f>VLOOKUP(A262,'[1]Chứng chỉ'!$B$8:$Q$1111,16,0)</f>
        <v>x</v>
      </c>
      <c r="AX262" s="42"/>
      <c r="AY262" s="57" t="s">
        <v>85</v>
      </c>
      <c r="AZ262" s="65"/>
      <c r="BA262" s="74" t="e">
        <f t="shared" si="104"/>
        <v>#REF!</v>
      </c>
      <c r="BB262" s="74" t="e">
        <f t="shared" si="105"/>
        <v>#REF!</v>
      </c>
      <c r="BC262" s="41" t="s">
        <v>1731</v>
      </c>
      <c r="BD262" s="64"/>
    </row>
    <row r="263" spans="1:56" ht="51" x14ac:dyDescent="0.3">
      <c r="A263" s="41" t="s">
        <v>1986</v>
      </c>
      <c r="B263" s="42">
        <f t="shared" si="110"/>
        <v>257</v>
      </c>
      <c r="C263" s="68" t="s">
        <v>1987</v>
      </c>
      <c r="D263" s="41" t="s">
        <v>1986</v>
      </c>
      <c r="E263" s="61">
        <v>1505001937</v>
      </c>
      <c r="F263" s="64"/>
      <c r="G263" s="49" t="s">
        <v>1988</v>
      </c>
      <c r="H263" s="76"/>
      <c r="I263" s="76">
        <v>28257</v>
      </c>
      <c r="J263" s="66">
        <f t="shared" ca="1" si="109"/>
        <v>49</v>
      </c>
      <c r="K263" s="126" t="s">
        <v>1989</v>
      </c>
      <c r="L263" s="83" t="s">
        <v>1990</v>
      </c>
      <c r="M263" s="53" t="s">
        <v>67</v>
      </c>
      <c r="N263" s="66" t="s">
        <v>1991</v>
      </c>
      <c r="O263" s="53" t="s">
        <v>1884</v>
      </c>
      <c r="P263" s="49" t="s">
        <v>1992</v>
      </c>
      <c r="Q263" s="49" t="s">
        <v>1993</v>
      </c>
      <c r="R263" s="49"/>
      <c r="S263" s="49" t="s">
        <v>73</v>
      </c>
      <c r="T263" s="49" t="s">
        <v>97</v>
      </c>
      <c r="U263" s="49" t="s">
        <v>94</v>
      </c>
      <c r="V263" s="49" t="str">
        <f t="shared" si="98"/>
        <v>Phường Vĩnh Trại, Thành phố Lạng Sơn, Tỉnh Lạng Sơn</v>
      </c>
      <c r="W263" s="55" t="s">
        <v>98</v>
      </c>
      <c r="X263" s="41"/>
      <c r="Y263" s="41"/>
      <c r="Z263" s="41"/>
      <c r="AA263" s="68" t="str">
        <f>VLOOKUP(A263,'[1]DANH SÁCH'!$B$8:$AD$841,12,0)</f>
        <v>Điều dưỡng trưởng</v>
      </c>
      <c r="AB263" s="49" t="str">
        <f>VLOOKUP(A263,'[1]DANH SÁCH'!$B$8:$H$841,6,0)</f>
        <v>TĐ012</v>
      </c>
      <c r="AC263" s="69" t="str">
        <f>VLOOKUP(A263,'[1]DANH SÁCH'!$B$8:$J$841,9,0)</f>
        <v>YHCT</v>
      </c>
      <c r="AD263" s="69" t="str">
        <f>VLOOKUP(A263,'[1]DANH SÁCH'!$B$8:$AC$841,10,0)</f>
        <v>KP020</v>
      </c>
      <c r="AE263" s="69" t="str">
        <f>VLOOKUP(A263,'[1]DANH SÁCH'!$B$8:$AD$841,13,0)</f>
        <v>Viên chức</v>
      </c>
      <c r="AF263" s="41" t="s">
        <v>1796</v>
      </c>
      <c r="AG263" s="42" t="str">
        <f>VLOOKUP(A263,'[1]DANH SÁCH'!$B$8:$H$841,7,0)</f>
        <v>Điều dưỡng (hạng IV)</v>
      </c>
      <c r="AH263" s="45">
        <v>3.96</v>
      </c>
      <c r="AI263" s="42">
        <v>7</v>
      </c>
      <c r="AJ263" s="70">
        <v>0</v>
      </c>
      <c r="AK263" s="69">
        <v>46023</v>
      </c>
      <c r="AL263" s="71" t="s">
        <v>101</v>
      </c>
      <c r="AM263" s="53" t="str">
        <f>VLOOKUP(A263,'[1]DANH SÁCH'!$B$8:$F$841,5,0)</f>
        <v>Điều dưỡng CĐ</v>
      </c>
      <c r="AN263" s="53" t="s">
        <v>1951</v>
      </c>
      <c r="AO263" s="53" t="s">
        <v>1994</v>
      </c>
      <c r="AP263" s="53">
        <v>2002</v>
      </c>
      <c r="AQ263" s="72" t="s">
        <v>113</v>
      </c>
      <c r="AR263" s="42">
        <f>VLOOKUP(A263,'[1]Chứng chỉ'!$B$8:$Q$1111,11,0)</f>
        <v>0</v>
      </c>
      <c r="AS263" s="42">
        <f>VLOOKUP(A263,'[1]Chứng chỉ'!$B$8:$Q$1111,12,0)</f>
        <v>0</v>
      </c>
      <c r="AT263" s="47">
        <f>VLOOKUP(A263,'[1]Chứng chỉ'!$B$8:$Q$1111,13,0)</f>
        <v>0</v>
      </c>
      <c r="AU263" s="42">
        <f>VLOOKUP(A263,'[1]Chứng chỉ'!$B$8:$Q$1111,14,0)</f>
        <v>0</v>
      </c>
      <c r="AV263" s="42" t="str">
        <f>VLOOKUP(A263,'[1]Chứng chỉ'!$B$8:$Q$1111,15,0)</f>
        <v>x</v>
      </c>
      <c r="AW263" s="42" t="str">
        <f>VLOOKUP(A263,'[1]Chứng chỉ'!$B$8:$Q$1111,16,0)</f>
        <v>x</v>
      </c>
      <c r="AX263" s="42"/>
      <c r="AY263" s="57" t="s">
        <v>85</v>
      </c>
      <c r="AZ263" s="65"/>
      <c r="BA263" s="74" t="e">
        <f t="shared" si="104"/>
        <v>#REF!</v>
      </c>
      <c r="BB263" s="74" t="e">
        <f t="shared" si="105"/>
        <v>#REF!</v>
      </c>
      <c r="BC263" s="61" t="s">
        <v>128</v>
      </c>
      <c r="BD263" s="62"/>
    </row>
    <row r="264" spans="1:56" ht="51" x14ac:dyDescent="0.3">
      <c r="A264" s="41" t="s">
        <v>1995</v>
      </c>
      <c r="B264" s="42">
        <f t="shared" si="110"/>
        <v>258</v>
      </c>
      <c r="C264" s="68" t="s">
        <v>1996</v>
      </c>
      <c r="D264" s="41" t="s">
        <v>1995</v>
      </c>
      <c r="E264" s="61">
        <v>2012000295</v>
      </c>
      <c r="F264" s="64"/>
      <c r="G264" s="49" t="s">
        <v>1997</v>
      </c>
      <c r="H264" s="76"/>
      <c r="I264" s="76">
        <v>32357</v>
      </c>
      <c r="J264" s="66">
        <f t="shared" ca="1" si="109"/>
        <v>38</v>
      </c>
      <c r="K264" s="75" t="s">
        <v>1998</v>
      </c>
      <c r="L264" s="83" t="s">
        <v>1999</v>
      </c>
      <c r="M264" s="53" t="s">
        <v>67</v>
      </c>
      <c r="N264" s="66" t="s">
        <v>94</v>
      </c>
      <c r="O264" s="53" t="s">
        <v>136</v>
      </c>
      <c r="P264" s="49" t="s">
        <v>97</v>
      </c>
      <c r="Q264" s="49" t="s">
        <v>94</v>
      </c>
      <c r="R264" s="49"/>
      <c r="S264" s="49" t="s">
        <v>136</v>
      </c>
      <c r="T264" s="49" t="s">
        <v>97</v>
      </c>
      <c r="U264" s="49" t="s">
        <v>94</v>
      </c>
      <c r="V264" s="49" t="str">
        <f t="shared" si="98"/>
        <v>Phường Chi Lăng, Thành phố Lạng Sơn, Tỉnh Lạng Sơn</v>
      </c>
      <c r="W264" s="55" t="s">
        <v>315</v>
      </c>
      <c r="X264" s="41"/>
      <c r="Y264" s="41"/>
      <c r="Z264" s="41"/>
      <c r="AA264" s="68">
        <f>VLOOKUP(A264,'[1]DANH SÁCH'!$B$8:$AD$841,12,0)</f>
        <v>0</v>
      </c>
      <c r="AB264" s="49" t="str">
        <f>VLOOKUP(A264,'[1]DANH SÁCH'!$B$8:$H$841,6,0)</f>
        <v>TĐ012</v>
      </c>
      <c r="AC264" s="69" t="str">
        <f>VLOOKUP(A264,'[1]DANH SÁCH'!$B$8:$J$841,9,0)</f>
        <v>YHCT</v>
      </c>
      <c r="AD264" s="69" t="str">
        <f>VLOOKUP(A264,'[1]DANH SÁCH'!$B$8:$AC$841,10,0)</f>
        <v>KP020</v>
      </c>
      <c r="AE264" s="69" t="str">
        <f>VLOOKUP(A264,'[1]DANH SÁCH'!$B$8:$AD$841,13,0)</f>
        <v>Viên chức</v>
      </c>
      <c r="AF264" s="41" t="s">
        <v>1796</v>
      </c>
      <c r="AG264" s="42" t="str">
        <f>VLOOKUP(A264,'[1]DANH SÁCH'!$B$8:$H$841,7,0)</f>
        <v>Điều dưỡng (hạng IV)</v>
      </c>
      <c r="AH264" s="45">
        <v>3.34</v>
      </c>
      <c r="AI264" s="42">
        <v>5</v>
      </c>
      <c r="AJ264" s="70">
        <v>0</v>
      </c>
      <c r="AK264" s="69">
        <v>46023</v>
      </c>
      <c r="AL264" s="71" t="s">
        <v>101</v>
      </c>
      <c r="AM264" s="53" t="str">
        <f>VLOOKUP(A264,'[1]DANH SÁCH'!$B$8:$F$841,5,0)</f>
        <v>Điều dưỡng CĐ</v>
      </c>
      <c r="AN264" s="53" t="s">
        <v>1951</v>
      </c>
      <c r="AO264" s="53" t="s">
        <v>1093</v>
      </c>
      <c r="AP264" s="53">
        <v>2010</v>
      </c>
      <c r="AQ264" s="72" t="s">
        <v>113</v>
      </c>
      <c r="AR264" s="42">
        <f>VLOOKUP(A264,'[1]Chứng chỉ'!$B$8:$Q$1111,11,0)</f>
        <v>0</v>
      </c>
      <c r="AS264" s="42">
        <f>VLOOKUP(A264,'[1]Chứng chỉ'!$B$8:$Q$1111,12,0)</f>
        <v>0</v>
      </c>
      <c r="AT264" s="47">
        <f>VLOOKUP(A264,'[1]Chứng chỉ'!$B$8:$Q$1111,13,0)</f>
        <v>0</v>
      </c>
      <c r="AU264" s="42">
        <f>VLOOKUP(A264,'[1]Chứng chỉ'!$B$8:$Q$1111,14,0)</f>
        <v>0</v>
      </c>
      <c r="AV264" s="42" t="str">
        <f>VLOOKUP(A264,'[1]Chứng chỉ'!$B$8:$Q$1111,15,0)</f>
        <v>x</v>
      </c>
      <c r="AW264" s="42" t="str">
        <f>VLOOKUP(A264,'[1]Chứng chỉ'!$B$8:$Q$1111,16,0)</f>
        <v>x</v>
      </c>
      <c r="AX264" s="42"/>
      <c r="AY264" s="57" t="s">
        <v>87</v>
      </c>
      <c r="AZ264" s="65"/>
      <c r="BA264" s="74" t="e">
        <f t="shared" si="104"/>
        <v>#REF!</v>
      </c>
      <c r="BB264" s="74" t="e">
        <f t="shared" si="105"/>
        <v>#REF!</v>
      </c>
      <c r="BC264" s="61" t="s">
        <v>359</v>
      </c>
      <c r="BD264" s="62"/>
    </row>
    <row r="265" spans="1:56" ht="40.799999999999997" x14ac:dyDescent="0.3">
      <c r="A265" s="61" t="s">
        <v>2000</v>
      </c>
      <c r="B265" s="42">
        <f t="shared" si="110"/>
        <v>259</v>
      </c>
      <c r="C265" s="92" t="s">
        <v>2001</v>
      </c>
      <c r="D265" s="61" t="s">
        <v>2000</v>
      </c>
      <c r="E265" s="61" t="s">
        <v>2002</v>
      </c>
      <c r="F265" s="64"/>
      <c r="G265" s="49" t="s">
        <v>2003</v>
      </c>
      <c r="H265" s="65">
        <v>29834</v>
      </c>
      <c r="I265" s="47"/>
      <c r="J265" s="66"/>
      <c r="K265" s="46"/>
      <c r="L265" s="47"/>
      <c r="M265" s="56"/>
      <c r="N265" s="52"/>
      <c r="O265" s="56"/>
      <c r="P265" s="47"/>
      <c r="Q265" s="47"/>
      <c r="R265" s="47"/>
      <c r="S265" s="47"/>
      <c r="T265" s="47"/>
      <c r="U265" s="47"/>
      <c r="V265" s="47"/>
      <c r="W265" s="67" t="s">
        <v>2004</v>
      </c>
      <c r="X265" s="46" t="s">
        <v>2005</v>
      </c>
      <c r="Y265" s="46"/>
      <c r="Z265" s="46"/>
      <c r="AA265" s="68">
        <f>VLOOKUP(A265,'[1]DANH SÁCH'!$B$8:$AD$841,12,0)</f>
        <v>0</v>
      </c>
      <c r="AB265" s="47"/>
      <c r="AC265" s="69" t="str">
        <f>VLOOKUP(A265,'[1]DANH SÁCH'!$B$8:$J$841,9,0)</f>
        <v>YHCT</v>
      </c>
      <c r="AD265" s="69" t="str">
        <f>VLOOKUP(A265,'[1]DANH SÁCH'!$B$8:$AC$841,10,0)</f>
        <v>KP020</v>
      </c>
      <c r="AE265" s="69" t="str">
        <f>VLOOKUP(A265,'[1]DANH SÁCH'!$B$8:$AD$841,13,0)</f>
        <v>Viên chức</v>
      </c>
      <c r="AF265" s="46" t="s">
        <v>1796</v>
      </c>
      <c r="AG265" s="47" t="s">
        <v>2006</v>
      </c>
      <c r="AH265" s="45">
        <v>3.99</v>
      </c>
      <c r="AI265" s="42">
        <v>6</v>
      </c>
      <c r="AJ265" s="70">
        <v>0</v>
      </c>
      <c r="AK265" s="69">
        <v>45870</v>
      </c>
      <c r="AL265" s="47" t="s">
        <v>80</v>
      </c>
      <c r="AM265" s="53" t="str">
        <f>VLOOKUP(A265,'[1]DANH SÁCH'!$B$8:$F$841,5,0)</f>
        <v>Bác sĩ</v>
      </c>
      <c r="AN265" s="53" t="s">
        <v>1951</v>
      </c>
      <c r="AO265" s="47"/>
      <c r="AP265" s="47"/>
      <c r="AQ265" s="47"/>
      <c r="AR265" s="42" t="e">
        <f>VLOOKUP(A265,'[1]Chứng chỉ'!$B$8:$Q$1111,11,0)</f>
        <v>#N/A</v>
      </c>
      <c r="AS265" s="42" t="e">
        <f>VLOOKUP(A265,'[1]Chứng chỉ'!$B$8:$Q$1111,12,0)</f>
        <v>#N/A</v>
      </c>
      <c r="AT265" s="47" t="e">
        <f>VLOOKUP(A265,'[1]Chứng chỉ'!$B$8:$Q$1111,13,0)</f>
        <v>#N/A</v>
      </c>
      <c r="AU265" s="42" t="e">
        <f>VLOOKUP(A265,'[1]Chứng chỉ'!$B$8:$Q$1111,14,0)</f>
        <v>#N/A</v>
      </c>
      <c r="AV265" s="42" t="e">
        <f>VLOOKUP(A265,'[1]Chứng chỉ'!$B$8:$Q$1111,15,0)</f>
        <v>#N/A</v>
      </c>
      <c r="AW265" s="42" t="e">
        <f>VLOOKUP(A265,'[1]Chứng chỉ'!$B$8:$Q$1111,16,0)</f>
        <v>#N/A</v>
      </c>
      <c r="AX265" s="47"/>
      <c r="AY265" s="47" t="s">
        <v>85</v>
      </c>
      <c r="AZ265" s="65">
        <v>40033</v>
      </c>
      <c r="BA265" s="47"/>
      <c r="BB265" s="47"/>
      <c r="BC265" s="81"/>
      <c r="BD265" s="47"/>
    </row>
    <row r="266" spans="1:56" ht="40.799999999999997" x14ac:dyDescent="0.3">
      <c r="A266" s="46" t="s">
        <v>2007</v>
      </c>
      <c r="B266" s="42">
        <f t="shared" si="110"/>
        <v>260</v>
      </c>
      <c r="C266" s="63" t="s">
        <v>2008</v>
      </c>
      <c r="D266" s="46" t="s">
        <v>2007</v>
      </c>
      <c r="E266" s="61" t="s">
        <v>2009</v>
      </c>
      <c r="F266" s="64"/>
      <c r="G266" s="49" t="s">
        <v>2010</v>
      </c>
      <c r="H266" s="47"/>
      <c r="I266" s="65">
        <v>33897</v>
      </c>
      <c r="J266" s="66">
        <f ca="1">INT(DATEDIF(I266,$J$2,"d")/365)</f>
        <v>33</v>
      </c>
      <c r="K266" s="75" t="s">
        <v>2011</v>
      </c>
      <c r="L266" s="119" t="s">
        <v>2012</v>
      </c>
      <c r="M266" s="53" t="s">
        <v>67</v>
      </c>
      <c r="N266" s="66" t="s">
        <v>2013</v>
      </c>
      <c r="O266" s="56" t="s">
        <v>2014</v>
      </c>
      <c r="P266" s="47" t="s">
        <v>2015</v>
      </c>
      <c r="Q266" s="47" t="s">
        <v>71</v>
      </c>
      <c r="R266" s="47" t="s">
        <v>2016</v>
      </c>
      <c r="S266" s="47" t="s">
        <v>2017</v>
      </c>
      <c r="T266" s="47" t="s">
        <v>1902</v>
      </c>
      <c r="U266" s="47" t="s">
        <v>71</v>
      </c>
      <c r="V266" s="49" t="str">
        <f>S266&amp;", "&amp;T266&amp;", "&amp;U266</f>
        <v>Thị Trấn Văn Quan, Văn Quan, Lạng Sơn</v>
      </c>
      <c r="W266" s="67" t="s">
        <v>1208</v>
      </c>
      <c r="X266" s="46"/>
      <c r="Y266" s="46"/>
      <c r="Z266" s="46"/>
      <c r="AA266" s="68">
        <f>VLOOKUP(A266,'[1]DANH SÁCH'!$B$8:$AD$841,12,0)</f>
        <v>0</v>
      </c>
      <c r="AB266" s="49" t="str">
        <f>VLOOKUP(A266,'[1]DANH SÁCH'!$B$8:$H$841,6,0)</f>
        <v>TĐ005</v>
      </c>
      <c r="AC266" s="69" t="str">
        <f>VLOOKUP(A266,'[1]DANH SÁCH'!$B$8:$J$841,9,0)</f>
        <v>VLTL-PHCN</v>
      </c>
      <c r="AD266" s="69" t="str">
        <f>VLOOKUP(A266,'[1]DANH SÁCH'!$B$8:$AC$841,10,0)</f>
        <v>KP021</v>
      </c>
      <c r="AE266" s="69" t="str">
        <f>VLOOKUP(A266,'[1]DANH SÁCH'!$B$8:$AD$841,13,0)</f>
        <v>Viên chức</v>
      </c>
      <c r="AF266" s="41" t="s">
        <v>274</v>
      </c>
      <c r="AG266" s="42" t="str">
        <f>VLOOKUP(A266,'[1]DANH SÁCH'!$B$8:$H$841,7,0)</f>
        <v>Bác sĩ (hạng III)</v>
      </c>
      <c r="AH266" s="45">
        <v>3</v>
      </c>
      <c r="AI266" s="42">
        <v>3</v>
      </c>
      <c r="AJ266" s="70">
        <v>0</v>
      </c>
      <c r="AK266" s="69">
        <v>45246</v>
      </c>
      <c r="AL266" s="71" t="s">
        <v>80</v>
      </c>
      <c r="AM266" s="53" t="str">
        <f>VLOOKUP(A266,'[1]DANH SÁCH'!$B$8:$F$841,5,0)</f>
        <v>Bác sĩ</v>
      </c>
      <c r="AN266" s="53" t="s">
        <v>372</v>
      </c>
      <c r="AO266" s="53" t="s">
        <v>1958</v>
      </c>
      <c r="AP266" s="123" t="s">
        <v>2018</v>
      </c>
      <c r="AQ266" s="72" t="s">
        <v>113</v>
      </c>
      <c r="AR266" s="42">
        <f>VLOOKUP(A266,'[1]Chứng chỉ'!$B$8:$Q$1111,11,0)</f>
        <v>0</v>
      </c>
      <c r="AS266" s="42">
        <f>VLOOKUP(A266,'[1]Chứng chỉ'!$B$8:$Q$1111,12,0)</f>
        <v>0</v>
      </c>
      <c r="AT266" s="47">
        <f>VLOOKUP(A266,'[1]Chứng chỉ'!$B$8:$Q$1111,13,0)</f>
        <v>0</v>
      </c>
      <c r="AU266" s="42">
        <f>VLOOKUP(A266,'[1]Chứng chỉ'!$B$8:$Q$1111,14,0)</f>
        <v>0</v>
      </c>
      <c r="AV266" s="42">
        <f>VLOOKUP(A266,'[1]Chứng chỉ'!$B$8:$Q$1111,15,0)</f>
        <v>0</v>
      </c>
      <c r="AW266" s="42">
        <f>VLOOKUP(A266,'[1]Chứng chỉ'!$B$8:$Q$1111,16,0)</f>
        <v>0</v>
      </c>
      <c r="AX266" s="47"/>
      <c r="AY266" s="73" t="s">
        <v>127</v>
      </c>
      <c r="AZ266" s="65"/>
      <c r="BA266" s="74" t="e">
        <f>VLOOKUP(A266,#REF!,4,0)</f>
        <v>#REF!</v>
      </c>
      <c r="BB266" s="74" t="e">
        <f>VLOOKUP(A266,#REF!,5,0)</f>
        <v>#REF!</v>
      </c>
      <c r="BC266" s="61" t="s">
        <v>128</v>
      </c>
      <c r="BD266" s="62"/>
    </row>
    <row r="267" spans="1:56" ht="40.799999999999997" x14ac:dyDescent="0.3">
      <c r="A267" s="46" t="s">
        <v>2019</v>
      </c>
      <c r="B267" s="42">
        <f t="shared" si="110"/>
        <v>261</v>
      </c>
      <c r="C267" s="93" t="s">
        <v>2020</v>
      </c>
      <c r="D267" s="46" t="s">
        <v>2019</v>
      </c>
      <c r="E267" s="61" t="s">
        <v>2021</v>
      </c>
      <c r="F267" s="64"/>
      <c r="G267" s="49" t="s">
        <v>2022</v>
      </c>
      <c r="H267" s="113" t="s">
        <v>2023</v>
      </c>
      <c r="I267" s="64"/>
      <c r="J267" s="66">
        <f t="shared" ref="J267:J269" ca="1" si="111">INT(DATEDIF(H267,$J$2,"d")/365)</f>
        <v>39</v>
      </c>
      <c r="K267" s="75" t="s">
        <v>2024</v>
      </c>
      <c r="L267" s="120" t="s">
        <v>2025</v>
      </c>
      <c r="M267" s="53" t="s">
        <v>67</v>
      </c>
      <c r="N267" s="52" t="s">
        <v>2026</v>
      </c>
      <c r="O267" s="56" t="s">
        <v>1725</v>
      </c>
      <c r="P267" s="47" t="s">
        <v>2027</v>
      </c>
      <c r="Q267" s="47" t="s">
        <v>71</v>
      </c>
      <c r="R267" s="122" t="s">
        <v>2028</v>
      </c>
      <c r="S267" s="47" t="s">
        <v>136</v>
      </c>
      <c r="T267" s="49" t="s">
        <v>97</v>
      </c>
      <c r="U267" s="49" t="s">
        <v>94</v>
      </c>
      <c r="V267" s="122" t="s">
        <v>2029</v>
      </c>
      <c r="W267" s="104" t="s">
        <v>384</v>
      </c>
      <c r="X267" s="46"/>
      <c r="Y267" s="122">
        <v>567</v>
      </c>
      <c r="Z267" s="122" t="s">
        <v>386</v>
      </c>
      <c r="AA267" s="68">
        <f>VLOOKUP(A267,'[1]DANH SÁCH'!$B$8:$AD$841,12,0)</f>
        <v>0</v>
      </c>
      <c r="AB267" s="49" t="str">
        <f>VLOOKUP(A267,'[1]DANH SÁCH'!$B$8:$H$841,6,0)</f>
        <v>TĐ005</v>
      </c>
      <c r="AC267" s="69" t="str">
        <f>VLOOKUP(A267,'[1]DANH SÁCH'!$B$8:$J$841,9,0)</f>
        <v>VLTL-PHCN</v>
      </c>
      <c r="AD267" s="69" t="str">
        <f>VLOOKUP(A267,'[1]DANH SÁCH'!$B$8:$AC$841,10,0)</f>
        <v>KP021</v>
      </c>
      <c r="AE267" s="69" t="str">
        <f>VLOOKUP(A267,'[1]DANH SÁCH'!$B$8:$AD$841,13,0)</f>
        <v>Viên chức</v>
      </c>
      <c r="AF267" s="41" t="s">
        <v>274</v>
      </c>
      <c r="AG267" s="122" t="s">
        <v>296</v>
      </c>
      <c r="AH267" s="45">
        <v>3</v>
      </c>
      <c r="AI267" s="42">
        <v>3</v>
      </c>
      <c r="AJ267" s="70">
        <v>0</v>
      </c>
      <c r="AK267" s="69">
        <v>45474</v>
      </c>
      <c r="AL267" s="71" t="s">
        <v>80</v>
      </c>
      <c r="AM267" s="53" t="str">
        <f>VLOOKUP(A267,'[1]DANH SÁCH'!$B$8:$F$841,5,0)</f>
        <v>Bác sĩ</v>
      </c>
      <c r="AN267" s="53" t="s">
        <v>2030</v>
      </c>
      <c r="AO267" s="53" t="s">
        <v>2031</v>
      </c>
      <c r="AP267" s="53">
        <v>2016</v>
      </c>
      <c r="AQ267" s="72" t="s">
        <v>113</v>
      </c>
      <c r="AR267" s="42">
        <f>VLOOKUP(A267,'[1]Chứng chỉ'!$B$8:$Q$1111,11,0)</f>
        <v>0</v>
      </c>
      <c r="AS267" s="42">
        <f>VLOOKUP(A267,'[1]Chứng chỉ'!$B$8:$Q$1111,12,0)</f>
        <v>0</v>
      </c>
      <c r="AT267" s="47">
        <f>VLOOKUP(A267,'[1]Chứng chỉ'!$B$8:$Q$1111,13,0)</f>
        <v>0</v>
      </c>
      <c r="AU267" s="42">
        <f>VLOOKUP(A267,'[1]Chứng chỉ'!$B$8:$Q$1111,14,0)</f>
        <v>0</v>
      </c>
      <c r="AV267" s="42">
        <f>VLOOKUP(A267,'[1]Chứng chỉ'!$B$8:$Q$1111,15,0)</f>
        <v>0</v>
      </c>
      <c r="AW267" s="42">
        <f>VLOOKUP(A267,'[1]Chứng chỉ'!$B$8:$Q$1111,16,0)</f>
        <v>0</v>
      </c>
      <c r="AX267" s="47"/>
      <c r="AY267" s="73" t="s">
        <v>127</v>
      </c>
      <c r="AZ267" s="65"/>
      <c r="BA267" s="74"/>
      <c r="BB267" s="74"/>
      <c r="BC267" s="61" t="s">
        <v>128</v>
      </c>
      <c r="BD267" s="62"/>
    </row>
    <row r="268" spans="1:56" ht="61.2" x14ac:dyDescent="0.3">
      <c r="A268" s="41" t="s">
        <v>2032</v>
      </c>
      <c r="B268" s="42">
        <f t="shared" si="110"/>
        <v>262</v>
      </c>
      <c r="C268" s="68" t="s">
        <v>2033</v>
      </c>
      <c r="D268" s="41" t="s">
        <v>2032</v>
      </c>
      <c r="E268" s="61">
        <v>2011004197</v>
      </c>
      <c r="F268" s="64"/>
      <c r="G268" s="49" t="s">
        <v>2034</v>
      </c>
      <c r="H268" s="76">
        <v>30465</v>
      </c>
      <c r="I268" s="76"/>
      <c r="J268" s="66">
        <f t="shared" ca="1" si="111"/>
        <v>43</v>
      </c>
      <c r="K268" s="75" t="s">
        <v>2035</v>
      </c>
      <c r="L268" s="83" t="s">
        <v>2036</v>
      </c>
      <c r="M268" s="53" t="s">
        <v>67</v>
      </c>
      <c r="N268" s="66" t="s">
        <v>94</v>
      </c>
      <c r="O268" s="85" t="s">
        <v>573</v>
      </c>
      <c r="P268" s="49" t="s">
        <v>155</v>
      </c>
      <c r="Q268" s="76" t="s">
        <v>94</v>
      </c>
      <c r="R268" s="76"/>
      <c r="S268" s="76" t="s">
        <v>96</v>
      </c>
      <c r="T268" s="76" t="s">
        <v>97</v>
      </c>
      <c r="U268" s="76" t="s">
        <v>94</v>
      </c>
      <c r="V268" s="49" t="str">
        <f t="shared" ref="V268:V298" si="112">S268&amp;", "&amp;T268&amp;", "&amp;U268</f>
        <v>Phường Hoàng Văn Thụ, Thành phố Lạng Sơn, Tỉnh Lạng Sơn</v>
      </c>
      <c r="W268" s="55" t="s">
        <v>315</v>
      </c>
      <c r="X268" s="41"/>
      <c r="Y268" s="41"/>
      <c r="Z268" s="41"/>
      <c r="AA268" s="68" t="str">
        <f>VLOOKUP(A268,'[1]DANH SÁCH'!$B$8:$AD$841,12,0)</f>
        <v>Phụ trách khoa</v>
      </c>
      <c r="AB268" s="49" t="str">
        <f>VLOOKUP(A268,'[1]DANH SÁCH'!$B$8:$H$841,6,0)</f>
        <v>TĐ003</v>
      </c>
      <c r="AC268" s="69" t="str">
        <f>VLOOKUP(A268,'[1]DANH SÁCH'!$B$8:$J$841,9,0)</f>
        <v>YHCT</v>
      </c>
      <c r="AD268" s="69" t="str">
        <f>VLOOKUP(A268,'[1]DANH SÁCH'!$B$8:$AC$841,10,0)</f>
        <v>KP020</v>
      </c>
      <c r="AE268" s="69" t="str">
        <f>VLOOKUP(A268,'[1]DANH SÁCH'!$B$8:$AD$841,13,0)</f>
        <v>Viên chức</v>
      </c>
      <c r="AF268" s="41" t="s">
        <v>274</v>
      </c>
      <c r="AG268" s="42" t="str">
        <f>VLOOKUP(A268,'[1]DANH SÁCH'!$B$8:$H$841,7,0)</f>
        <v>Bác sĩ (hạng III)</v>
      </c>
      <c r="AH268" s="45">
        <v>3.66</v>
      </c>
      <c r="AI268" s="42">
        <v>5</v>
      </c>
      <c r="AJ268" s="70">
        <v>0</v>
      </c>
      <c r="AK268" s="69">
        <v>45996</v>
      </c>
      <c r="AL268" s="71" t="s">
        <v>80</v>
      </c>
      <c r="AM268" s="53" t="str">
        <f>VLOOKUP(A268,'[1]DANH SÁCH'!$B$8:$F$841,5,0)</f>
        <v>BSCKI</v>
      </c>
      <c r="AN268" s="53" t="s">
        <v>1951</v>
      </c>
      <c r="AO268" s="53" t="s">
        <v>2037</v>
      </c>
      <c r="AP268" s="53">
        <v>2010</v>
      </c>
      <c r="AQ268" s="72" t="s">
        <v>113</v>
      </c>
      <c r="AR268" s="42">
        <f>VLOOKUP(A268,'[1]Chứng chỉ'!$B$8:$Q$1111,11,0)</f>
        <v>0</v>
      </c>
      <c r="AS268" s="42">
        <f>VLOOKUP(A268,'[1]Chứng chỉ'!$B$8:$Q$1111,12,0)</f>
        <v>0</v>
      </c>
      <c r="AT268" s="47">
        <f>VLOOKUP(A268,'[1]Chứng chỉ'!$B$8:$Q$1111,13,0)</f>
        <v>0</v>
      </c>
      <c r="AU268" s="42">
        <f>VLOOKUP(A268,'[1]Chứng chỉ'!$B$8:$Q$1111,14,0)</f>
        <v>0</v>
      </c>
      <c r="AV268" s="42">
        <f>VLOOKUP(A268,'[1]Chứng chỉ'!$B$8:$Q$1111,15,0)</f>
        <v>0</v>
      </c>
      <c r="AW268" s="42">
        <f>VLOOKUP(A268,'[1]Chứng chỉ'!$B$8:$Q$1111,16,0)</f>
        <v>0</v>
      </c>
      <c r="AX268" s="42"/>
      <c r="AY268" s="57" t="s">
        <v>87</v>
      </c>
      <c r="AZ268" s="65"/>
      <c r="BA268" s="74" t="e">
        <f t="shared" ref="BA268:BA298" si="113">VLOOKUP(A268,#REF!,4,0)</f>
        <v>#REF!</v>
      </c>
      <c r="BB268" s="74" t="e">
        <f t="shared" ref="BB268:BB298" si="114">VLOOKUP(A268,#REF!,5,0)</f>
        <v>#REF!</v>
      </c>
      <c r="BC268" s="41" t="s">
        <v>128</v>
      </c>
      <c r="BD268" s="64"/>
    </row>
    <row r="269" spans="1:56" ht="51" x14ac:dyDescent="0.3">
      <c r="A269" s="41" t="s">
        <v>2038</v>
      </c>
      <c r="B269" s="42">
        <f t="shared" si="110"/>
        <v>263</v>
      </c>
      <c r="C269" s="134" t="s">
        <v>2039</v>
      </c>
      <c r="D269" s="41" t="s">
        <v>2038</v>
      </c>
      <c r="E269" s="61">
        <v>2015002166</v>
      </c>
      <c r="F269" s="64"/>
      <c r="G269" s="49" t="s">
        <v>2040</v>
      </c>
      <c r="H269" s="41" t="s">
        <v>2041</v>
      </c>
      <c r="I269" s="41"/>
      <c r="J269" s="66">
        <f t="shared" ca="1" si="111"/>
        <v>35</v>
      </c>
      <c r="K269" s="75" t="s">
        <v>2042</v>
      </c>
      <c r="L269" s="83" t="s">
        <v>2043</v>
      </c>
      <c r="M269" s="53" t="s">
        <v>67</v>
      </c>
      <c r="N269" s="66" t="s">
        <v>94</v>
      </c>
      <c r="O269" s="88" t="s">
        <v>214</v>
      </c>
      <c r="P269" s="87" t="s">
        <v>379</v>
      </c>
      <c r="Q269" s="76" t="s">
        <v>94</v>
      </c>
      <c r="R269" s="87"/>
      <c r="S269" s="76" t="s">
        <v>214</v>
      </c>
      <c r="T269" s="49" t="s">
        <v>97</v>
      </c>
      <c r="U269" s="76" t="s">
        <v>94</v>
      </c>
      <c r="V269" s="49" t="str">
        <f t="shared" si="112"/>
        <v>Xã Hoàng Đồng, Thành phố Lạng Sơn, Tỉnh Lạng Sơn</v>
      </c>
      <c r="W269" s="89" t="s">
        <v>491</v>
      </c>
      <c r="X269" s="43"/>
      <c r="Y269" s="43"/>
      <c r="Z269" s="43"/>
      <c r="AA269" s="68" t="str">
        <f>VLOOKUP(A269,'[1]DANH SÁCH'!$B$8:$AD$841,12,0)</f>
        <v>Trưởng khoa</v>
      </c>
      <c r="AB269" s="49" t="str">
        <f>VLOOKUP(A269,'[1]DANH SÁCH'!$B$8:$H$841,6,0)</f>
        <v>TĐ003</v>
      </c>
      <c r="AC269" s="69" t="str">
        <f>VLOOKUP(A269,'[1]DANH SÁCH'!$B$8:$J$841,9,0)</f>
        <v>VLTL-PHCN</v>
      </c>
      <c r="AD269" s="69" t="str">
        <f>VLOOKUP(A269,'[1]DANH SÁCH'!$B$8:$AC$841,10,0)</f>
        <v>KP021</v>
      </c>
      <c r="AE269" s="69" t="str">
        <f>VLOOKUP(A269,'[1]DANH SÁCH'!$B$8:$AD$841,13,0)</f>
        <v>Viên chức</v>
      </c>
      <c r="AF269" s="41" t="s">
        <v>274</v>
      </c>
      <c r="AG269" s="42" t="str">
        <f>VLOOKUP(A269,'[1]DANH SÁCH'!$B$8:$H$841,7,0)</f>
        <v>Bác sĩ (hạng III)</v>
      </c>
      <c r="AH269" s="45">
        <v>3.33</v>
      </c>
      <c r="AI269" s="42">
        <v>4</v>
      </c>
      <c r="AJ269" s="70">
        <v>0</v>
      </c>
      <c r="AK269" s="69">
        <v>45768</v>
      </c>
      <c r="AL269" s="71" t="s">
        <v>80</v>
      </c>
      <c r="AM269" s="53" t="str">
        <f>VLOOKUP(A269,'[1]DANH SÁCH'!$B$8:$F$841,5,0)</f>
        <v>BSCKI</v>
      </c>
      <c r="AN269" s="53" t="s">
        <v>2030</v>
      </c>
      <c r="AO269" s="53" t="s">
        <v>1958</v>
      </c>
      <c r="AP269" s="53">
        <v>2014</v>
      </c>
      <c r="AQ269" s="72" t="s">
        <v>113</v>
      </c>
      <c r="AR269" s="42" t="s">
        <v>82</v>
      </c>
      <c r="AS269" s="42">
        <f>VLOOKUP(A269,'[1]Chứng chỉ'!$B$8:$Q$1111,12,0)</f>
        <v>0</v>
      </c>
      <c r="AT269" s="47" t="s">
        <v>139</v>
      </c>
      <c r="AU269" s="42">
        <f>VLOOKUP(A269,'[1]Chứng chỉ'!$B$8:$Q$1111,14,0)</f>
        <v>0</v>
      </c>
      <c r="AV269" s="42">
        <f>VLOOKUP(A269,'[1]Chứng chỉ'!$B$8:$Q$1111,15,0)</f>
        <v>0</v>
      </c>
      <c r="AW269" s="42">
        <f>VLOOKUP(A269,'[1]Chứng chỉ'!$B$8:$Q$1111,16,0)</f>
        <v>0</v>
      </c>
      <c r="AX269" s="42"/>
      <c r="AY269" s="57" t="s">
        <v>85</v>
      </c>
      <c r="AZ269" s="65"/>
      <c r="BA269" s="74" t="e">
        <f t="shared" si="113"/>
        <v>#REF!</v>
      </c>
      <c r="BB269" s="74" t="e">
        <f t="shared" si="114"/>
        <v>#REF!</v>
      </c>
      <c r="BC269" s="61"/>
      <c r="BD269" s="64"/>
    </row>
    <row r="270" spans="1:56" ht="40.799999999999997" x14ac:dyDescent="0.3">
      <c r="A270" s="41" t="s">
        <v>2044</v>
      </c>
      <c r="B270" s="42">
        <f t="shared" si="110"/>
        <v>264</v>
      </c>
      <c r="C270" s="44" t="s">
        <v>2045</v>
      </c>
      <c r="D270" s="41" t="s">
        <v>2044</v>
      </c>
      <c r="E270" s="61" t="s">
        <v>2046</v>
      </c>
      <c r="F270" s="64"/>
      <c r="G270" s="49" t="s">
        <v>2047</v>
      </c>
      <c r="H270" s="87"/>
      <c r="I270" s="41" t="s">
        <v>1687</v>
      </c>
      <c r="J270" s="66">
        <f t="shared" ref="J270:J272" ca="1" si="115">INT(DATEDIF(I270,$J$2,"d")/365)</f>
        <v>35</v>
      </c>
      <c r="K270" s="75" t="s">
        <v>2048</v>
      </c>
      <c r="L270" s="83" t="s">
        <v>2049</v>
      </c>
      <c r="M270" s="53" t="s">
        <v>67</v>
      </c>
      <c r="N270" s="66" t="s">
        <v>94</v>
      </c>
      <c r="O270" s="88" t="s">
        <v>821</v>
      </c>
      <c r="P270" s="87" t="s">
        <v>195</v>
      </c>
      <c r="Q270" s="76" t="s">
        <v>94</v>
      </c>
      <c r="R270" s="87"/>
      <c r="S270" s="76" t="s">
        <v>821</v>
      </c>
      <c r="T270" s="76" t="s">
        <v>195</v>
      </c>
      <c r="U270" s="76" t="s">
        <v>94</v>
      </c>
      <c r="V270" s="49" t="str">
        <f t="shared" si="112"/>
        <v>Xã Đại Đồng, Huyện Tràng Định, Tỉnh Lạng Sơn</v>
      </c>
      <c r="W270" s="89" t="s">
        <v>491</v>
      </c>
      <c r="X270" s="43"/>
      <c r="Y270" s="43"/>
      <c r="Z270" s="43"/>
      <c r="AA270" s="68">
        <f>VLOOKUP(A270,'[1]DANH SÁCH'!$B$8:$AD$841,12,0)</f>
        <v>0</v>
      </c>
      <c r="AB270" s="49" t="str">
        <f>VLOOKUP(A270,'[1]DANH SÁCH'!$B$8:$H$841,6,0)</f>
        <v>TĐ003</v>
      </c>
      <c r="AC270" s="69" t="str">
        <f>VLOOKUP(A270,'[1]DANH SÁCH'!$B$8:$J$841,9,0)</f>
        <v>VLTL-PHCN</v>
      </c>
      <c r="AD270" s="69" t="str">
        <f>VLOOKUP(A270,'[1]DANH SÁCH'!$B$8:$AC$841,10,0)</f>
        <v>KP021</v>
      </c>
      <c r="AE270" s="69" t="str">
        <f>VLOOKUP(A270,'[1]DANH SÁCH'!$B$8:$AD$841,13,0)</f>
        <v>Viên chức</v>
      </c>
      <c r="AF270" s="41" t="s">
        <v>274</v>
      </c>
      <c r="AG270" s="42" t="str">
        <f>VLOOKUP(A270,'[1]DANH SÁCH'!$B$8:$H$841,7,0)</f>
        <v>Bác sĩ (hạng III)</v>
      </c>
      <c r="AH270" s="45">
        <v>3.33</v>
      </c>
      <c r="AI270" s="42">
        <v>4</v>
      </c>
      <c r="AJ270" s="70">
        <v>0</v>
      </c>
      <c r="AK270" s="69">
        <v>45768</v>
      </c>
      <c r="AL270" s="71" t="s">
        <v>80</v>
      </c>
      <c r="AM270" s="53" t="str">
        <f>VLOOKUP(A270,'[1]DANH SÁCH'!$B$8:$F$841,5,0)</f>
        <v>BSCKI</v>
      </c>
      <c r="AN270" s="53" t="s">
        <v>2030</v>
      </c>
      <c r="AO270" s="53" t="s">
        <v>1958</v>
      </c>
      <c r="AP270" s="53">
        <v>2015</v>
      </c>
      <c r="AQ270" s="72" t="s">
        <v>113</v>
      </c>
      <c r="AR270" s="42">
        <f>VLOOKUP(A270,'[1]Chứng chỉ'!$B$8:$Q$1111,11,0)</f>
        <v>0</v>
      </c>
      <c r="AS270" s="42" t="str">
        <f>VLOOKUP(A270,'[1]Chứng chỉ'!$B$8:$Q$1111,12,0)</f>
        <v>x</v>
      </c>
      <c r="AT270" s="47" t="str">
        <f>VLOOKUP(A270,'[1]Chứng chỉ'!$B$8:$Q$1111,13,0)</f>
        <v>TC</v>
      </c>
      <c r="AU270" s="42">
        <f>VLOOKUP(A270,'[1]Chứng chỉ'!$B$8:$Q$1111,14,0)</f>
        <v>0</v>
      </c>
      <c r="AV270" s="42">
        <f>VLOOKUP(A270,'[1]Chứng chỉ'!$B$8:$Q$1111,15,0)</f>
        <v>0</v>
      </c>
      <c r="AW270" s="42">
        <f>VLOOKUP(A270,'[1]Chứng chỉ'!$B$8:$Q$1111,16,0)</f>
        <v>0</v>
      </c>
      <c r="AX270" s="42"/>
      <c r="AY270" s="57" t="s">
        <v>85</v>
      </c>
      <c r="AZ270" s="65"/>
      <c r="BA270" s="74" t="e">
        <f t="shared" si="113"/>
        <v>#REF!</v>
      </c>
      <c r="BB270" s="74" t="e">
        <f t="shared" si="114"/>
        <v>#REF!</v>
      </c>
      <c r="BC270" s="41" t="s">
        <v>128</v>
      </c>
      <c r="BD270" s="64"/>
    </row>
    <row r="271" spans="1:56" ht="51" x14ac:dyDescent="0.3">
      <c r="A271" s="41" t="s">
        <v>2050</v>
      </c>
      <c r="B271" s="42">
        <f t="shared" si="110"/>
        <v>265</v>
      </c>
      <c r="C271" s="68" t="s">
        <v>2051</v>
      </c>
      <c r="D271" s="41" t="s">
        <v>2050</v>
      </c>
      <c r="E271" s="61">
        <v>1503001036</v>
      </c>
      <c r="F271" s="64"/>
      <c r="G271" s="49" t="s">
        <v>2052</v>
      </c>
      <c r="H271" s="76"/>
      <c r="I271" s="76">
        <v>28560</v>
      </c>
      <c r="J271" s="66">
        <f t="shared" ca="1" si="115"/>
        <v>48</v>
      </c>
      <c r="K271" s="75" t="s">
        <v>2053</v>
      </c>
      <c r="L271" s="83" t="s">
        <v>2054</v>
      </c>
      <c r="M271" s="53" t="s">
        <v>67</v>
      </c>
      <c r="N271" s="66" t="s">
        <v>94</v>
      </c>
      <c r="O271" s="53" t="s">
        <v>821</v>
      </c>
      <c r="P271" s="49" t="s">
        <v>282</v>
      </c>
      <c r="Q271" s="49" t="s">
        <v>94</v>
      </c>
      <c r="R271" s="49"/>
      <c r="S271" s="49" t="s">
        <v>73</v>
      </c>
      <c r="T271" s="49" t="s">
        <v>97</v>
      </c>
      <c r="U271" s="49" t="s">
        <v>94</v>
      </c>
      <c r="V271" s="49" t="str">
        <f t="shared" si="112"/>
        <v>Phường Vĩnh Trại, Thành phố Lạng Sơn, Tỉnh Lạng Sơn</v>
      </c>
      <c r="W271" s="55" t="s">
        <v>724</v>
      </c>
      <c r="X271" s="41"/>
      <c r="Y271" s="41"/>
      <c r="Z271" s="41"/>
      <c r="AA271" s="68" t="str">
        <f>VLOOKUP(A271,'[1]DANH SÁCH'!$B$8:$AD$841,12,0)</f>
        <v>Điều dưỡng trưởng</v>
      </c>
      <c r="AB271" s="49" t="str">
        <f>VLOOKUP(A271,'[1]DANH SÁCH'!$B$8:$H$841,6,0)</f>
        <v>TĐ011</v>
      </c>
      <c r="AC271" s="69" t="str">
        <f>VLOOKUP(A271,'[1]DANH SÁCH'!$B$8:$J$841,9,0)</f>
        <v>VLTL-PHCN</v>
      </c>
      <c r="AD271" s="69" t="str">
        <f>VLOOKUP(A271,'[1]DANH SÁCH'!$B$8:$AC$841,10,0)</f>
        <v>KP021</v>
      </c>
      <c r="AE271" s="69" t="str">
        <f>VLOOKUP(A271,'[1]DANH SÁCH'!$B$8:$AD$841,13,0)</f>
        <v>Viên chức</v>
      </c>
      <c r="AF271" s="41" t="s">
        <v>147</v>
      </c>
      <c r="AG271" s="42" t="str">
        <f>VLOOKUP(A271,'[1]DANH SÁCH'!$B$8:$H$841,7,0)</f>
        <v>Điều dưỡng (hạng III)</v>
      </c>
      <c r="AH271" s="45" t="s">
        <v>781</v>
      </c>
      <c r="AI271" s="42">
        <v>6</v>
      </c>
      <c r="AJ271" s="70">
        <v>0</v>
      </c>
      <c r="AK271" s="69">
        <v>44986</v>
      </c>
      <c r="AL271" s="71" t="s">
        <v>80</v>
      </c>
      <c r="AM271" s="53" t="str">
        <f>VLOOKUP(A271,'[1]DANH SÁCH'!$B$8:$F$841,5,0)</f>
        <v>Điều dưỡng ĐH</v>
      </c>
      <c r="AN271" s="53"/>
      <c r="AO271" s="53" t="s">
        <v>1093</v>
      </c>
      <c r="AP271" s="53">
        <v>2018</v>
      </c>
      <c r="AQ271" s="72" t="s">
        <v>113</v>
      </c>
      <c r="AR271" s="42">
        <f>VLOOKUP(A271,'[1]Chứng chỉ'!$B$8:$Q$1111,11,0)</f>
        <v>0</v>
      </c>
      <c r="AS271" s="42" t="str">
        <f>VLOOKUP(A271,'[1]Chứng chỉ'!$B$8:$Q$1111,12,0)</f>
        <v>x</v>
      </c>
      <c r="AT271" s="47" t="s">
        <v>139</v>
      </c>
      <c r="AU271" s="42">
        <f>VLOOKUP(A271,'[1]Chứng chỉ'!$B$8:$Q$1111,14,0)</f>
        <v>0</v>
      </c>
      <c r="AV271" s="42">
        <f>VLOOKUP(A271,'[1]Chứng chỉ'!$B$8:$Q$1111,15,0)</f>
        <v>0</v>
      </c>
      <c r="AW271" s="42" t="str">
        <f>VLOOKUP(A271,'[1]Chứng chỉ'!$B$8:$Q$1111,16,0)</f>
        <v>Cơ bản</v>
      </c>
      <c r="AX271" s="42"/>
      <c r="AY271" s="57" t="s">
        <v>85</v>
      </c>
      <c r="AZ271" s="65"/>
      <c r="BA271" s="74" t="e">
        <f t="shared" si="113"/>
        <v>#REF!</v>
      </c>
      <c r="BB271" s="74" t="e">
        <f t="shared" si="114"/>
        <v>#REF!</v>
      </c>
      <c r="BC271" s="41" t="s">
        <v>2055</v>
      </c>
      <c r="BD271" s="64"/>
    </row>
    <row r="272" spans="1:56" ht="40.799999999999997" x14ac:dyDescent="0.3">
      <c r="A272" s="41" t="s">
        <v>2056</v>
      </c>
      <c r="B272" s="42">
        <f t="shared" si="110"/>
        <v>266</v>
      </c>
      <c r="C272" s="68" t="s">
        <v>2057</v>
      </c>
      <c r="D272" s="41" t="s">
        <v>2056</v>
      </c>
      <c r="E272" s="61">
        <v>2010000180</v>
      </c>
      <c r="F272" s="64"/>
      <c r="G272" s="49" t="s">
        <v>2058</v>
      </c>
      <c r="H272" s="76"/>
      <c r="I272" s="76">
        <v>30547</v>
      </c>
      <c r="J272" s="66">
        <f t="shared" ca="1" si="115"/>
        <v>42</v>
      </c>
      <c r="K272" s="75" t="s">
        <v>2059</v>
      </c>
      <c r="L272" s="83" t="s">
        <v>2060</v>
      </c>
      <c r="M272" s="53" t="s">
        <v>67</v>
      </c>
      <c r="N272" s="66" t="s">
        <v>94</v>
      </c>
      <c r="O272" s="53"/>
      <c r="P272" s="49" t="s">
        <v>108</v>
      </c>
      <c r="Q272" s="49" t="s">
        <v>94</v>
      </c>
      <c r="R272" s="49"/>
      <c r="S272" s="49" t="s">
        <v>2061</v>
      </c>
      <c r="T272" s="49" t="s">
        <v>108</v>
      </c>
      <c r="U272" s="49" t="s">
        <v>94</v>
      </c>
      <c r="V272" s="49" t="str">
        <f t="shared" si="112"/>
        <v>Xã Hải Yến, Huyện Cao Lộc, Tỉnh Lạng Sơn</v>
      </c>
      <c r="W272" s="55" t="s">
        <v>236</v>
      </c>
      <c r="X272" s="41"/>
      <c r="Y272" s="41"/>
      <c r="Z272" s="41"/>
      <c r="AA272" s="68">
        <f>VLOOKUP(A272,'[1]DANH SÁCH'!$B$8:$AD$841,12,0)</f>
        <v>0</v>
      </c>
      <c r="AB272" s="49" t="str">
        <f>VLOOKUP(A272,'[1]DANH SÁCH'!$B$8:$H$841,6,0)</f>
        <v>TĐ012</v>
      </c>
      <c r="AC272" s="69" t="str">
        <f>VLOOKUP(A272,'[1]DANH SÁCH'!$B$8:$J$841,9,0)</f>
        <v>VLTL-PHCN</v>
      </c>
      <c r="AD272" s="69" t="str">
        <f>VLOOKUP(A272,'[1]DANH SÁCH'!$B$8:$AC$841,10,0)</f>
        <v>KP021</v>
      </c>
      <c r="AE272" s="69" t="str">
        <f>VLOOKUP(A272,'[1]DANH SÁCH'!$B$8:$AD$841,13,0)</f>
        <v>Viên chức</v>
      </c>
      <c r="AF272" s="41" t="s">
        <v>157</v>
      </c>
      <c r="AG272" s="42" t="str">
        <f>VLOOKUP(A272,'[1]DANH SÁCH'!$B$8:$H$841,7,0)</f>
        <v>Điều dưỡng (hạng IV)</v>
      </c>
      <c r="AH272" s="45">
        <v>3.65</v>
      </c>
      <c r="AI272" s="42">
        <v>6</v>
      </c>
      <c r="AJ272" s="70">
        <v>0</v>
      </c>
      <c r="AK272" s="69">
        <v>45839</v>
      </c>
      <c r="AL272" s="71" t="s">
        <v>158</v>
      </c>
      <c r="AM272" s="53" t="str">
        <f>VLOOKUP(A272,'[1]DANH SÁCH'!$B$8:$F$841,5,0)</f>
        <v>Điều dưỡng CĐ</v>
      </c>
      <c r="AN272" s="53"/>
      <c r="AO272" s="53" t="s">
        <v>2062</v>
      </c>
      <c r="AP272" s="53">
        <v>2007</v>
      </c>
      <c r="AQ272" s="72" t="s">
        <v>113</v>
      </c>
      <c r="AR272" s="42">
        <f>VLOOKUP(A272,'[1]Chứng chỉ'!$B$8:$Q$1111,11,0)</f>
        <v>0</v>
      </c>
      <c r="AS272" s="42">
        <f>VLOOKUP(A272,'[1]Chứng chỉ'!$B$8:$Q$1111,12,0)</f>
        <v>0</v>
      </c>
      <c r="AT272" s="47">
        <f>VLOOKUP(A272,'[1]Chứng chỉ'!$B$8:$Q$1111,13,0)</f>
        <v>0</v>
      </c>
      <c r="AU272" s="42" t="str">
        <f>VLOOKUP(A272,'[1]Chứng chỉ'!$B$8:$Q$1111,14,0)</f>
        <v>Anh B</v>
      </c>
      <c r="AV272" s="42">
        <f>VLOOKUP(A272,'[1]Chứng chỉ'!$B$8:$Q$1111,15,0)</f>
        <v>0</v>
      </c>
      <c r="AW272" s="42" t="str">
        <f>VLOOKUP(A272,'[1]Chứng chỉ'!$B$8:$Q$1111,16,0)</f>
        <v>B</v>
      </c>
      <c r="AX272" s="42"/>
      <c r="AY272" s="57" t="s">
        <v>127</v>
      </c>
      <c r="AZ272" s="65"/>
      <c r="BA272" s="74" t="e">
        <f t="shared" si="113"/>
        <v>#REF!</v>
      </c>
      <c r="BB272" s="74" t="e">
        <f t="shared" si="114"/>
        <v>#REF!</v>
      </c>
      <c r="BC272" s="41" t="s">
        <v>128</v>
      </c>
      <c r="BD272" s="64"/>
    </row>
    <row r="273" spans="1:56" ht="61.2" x14ac:dyDescent="0.3">
      <c r="A273" s="41" t="s">
        <v>2063</v>
      </c>
      <c r="B273" s="42">
        <f t="shared" si="110"/>
        <v>267</v>
      </c>
      <c r="C273" s="68" t="s">
        <v>2064</v>
      </c>
      <c r="D273" s="41" t="s">
        <v>2063</v>
      </c>
      <c r="E273" s="61">
        <v>2009000929</v>
      </c>
      <c r="F273" s="64"/>
      <c r="G273" s="49" t="s">
        <v>2065</v>
      </c>
      <c r="H273" s="76">
        <v>31668</v>
      </c>
      <c r="I273" s="76"/>
      <c r="J273" s="66">
        <f ca="1">INT(DATEDIF(H273,$J$2,"d")/365)</f>
        <v>39</v>
      </c>
      <c r="K273" s="126" t="s">
        <v>2066</v>
      </c>
      <c r="L273" s="83" t="s">
        <v>2067</v>
      </c>
      <c r="M273" s="53" t="s">
        <v>67</v>
      </c>
      <c r="N273" s="66" t="s">
        <v>594</v>
      </c>
      <c r="O273" s="53" t="s">
        <v>2068</v>
      </c>
      <c r="P273" s="49" t="s">
        <v>195</v>
      </c>
      <c r="Q273" s="49" t="s">
        <v>94</v>
      </c>
      <c r="R273" s="49"/>
      <c r="S273" s="49" t="s">
        <v>166</v>
      </c>
      <c r="T273" s="49" t="s">
        <v>97</v>
      </c>
      <c r="U273" s="49" t="s">
        <v>94</v>
      </c>
      <c r="V273" s="49" t="str">
        <f t="shared" si="112"/>
        <v>Phường Tam Thanh, Thành phố Lạng Sơn, Tỉnh Lạng Sơn</v>
      </c>
      <c r="W273" s="55" t="s">
        <v>98</v>
      </c>
      <c r="X273" s="41"/>
      <c r="Y273" s="41"/>
      <c r="Z273" s="41"/>
      <c r="AA273" s="68">
        <f>VLOOKUP(A273,'[1]DANH SÁCH'!$B$8:$AD$841,12,0)</f>
        <v>0</v>
      </c>
      <c r="AB273" s="49" t="str">
        <f>VLOOKUP(A273,'[1]DANH SÁCH'!$B$8:$H$841,6,0)</f>
        <v>TĐ012</v>
      </c>
      <c r="AC273" s="69" t="str">
        <f>VLOOKUP(A273,'[1]DANH SÁCH'!$B$8:$J$841,9,0)</f>
        <v>VLTL-PHCN</v>
      </c>
      <c r="AD273" s="69" t="str">
        <f>VLOOKUP(A273,'[1]DANH SÁCH'!$B$8:$AC$841,10,0)</f>
        <v>KP021</v>
      </c>
      <c r="AE273" s="69" t="str">
        <f>VLOOKUP(A273,'[1]DANH SÁCH'!$B$8:$AD$841,13,0)</f>
        <v>Viên chức</v>
      </c>
      <c r="AF273" s="41" t="s">
        <v>157</v>
      </c>
      <c r="AG273" s="42" t="str">
        <f>VLOOKUP(A273,'[1]DANH SÁCH'!$B$8:$H$841,7,0)</f>
        <v>Điều dưỡng (hạng IV)</v>
      </c>
      <c r="AH273" s="45">
        <v>3.65</v>
      </c>
      <c r="AI273" s="42">
        <v>6</v>
      </c>
      <c r="AJ273" s="70">
        <v>0</v>
      </c>
      <c r="AK273" s="69">
        <v>45839</v>
      </c>
      <c r="AL273" s="71" t="s">
        <v>158</v>
      </c>
      <c r="AM273" s="53" t="str">
        <f>VLOOKUP(A273,'[1]DANH SÁCH'!$B$8:$F$841,5,0)</f>
        <v>Điều dưỡng CĐ</v>
      </c>
      <c r="AN273" s="53"/>
      <c r="AO273" s="53" t="s">
        <v>2069</v>
      </c>
      <c r="AP273" s="53">
        <v>2007</v>
      </c>
      <c r="AQ273" s="99" t="s">
        <v>113</v>
      </c>
      <c r="AR273" s="42">
        <f>VLOOKUP(A273,'[1]Chứng chỉ'!$B$8:$Q$1111,11,0)</f>
        <v>0</v>
      </c>
      <c r="AS273" s="42">
        <f>VLOOKUP(A273,'[1]Chứng chỉ'!$B$8:$Q$1111,12,0)</f>
        <v>0</v>
      </c>
      <c r="AT273" s="47">
        <f>VLOOKUP(A273,'[1]Chứng chỉ'!$B$8:$Q$1111,13,0)</f>
        <v>0</v>
      </c>
      <c r="AU273" s="42" t="str">
        <f>VLOOKUP(A273,'[1]Chứng chỉ'!$B$8:$Q$1111,14,0)</f>
        <v>Anh B</v>
      </c>
      <c r="AV273" s="42">
        <f>VLOOKUP(A273,'[1]Chứng chỉ'!$B$8:$Q$1111,15,0)</f>
        <v>0</v>
      </c>
      <c r="AW273" s="42" t="str">
        <f>VLOOKUP(A273,'[1]Chứng chỉ'!$B$8:$Q$1111,16,0)</f>
        <v>Cơ bản</v>
      </c>
      <c r="AX273" s="42"/>
      <c r="AY273" s="57" t="s">
        <v>127</v>
      </c>
      <c r="AZ273" s="65"/>
      <c r="BA273" s="74" t="e">
        <f t="shared" si="113"/>
        <v>#REF!</v>
      </c>
      <c r="BB273" s="74" t="e">
        <f t="shared" si="114"/>
        <v>#REF!</v>
      </c>
      <c r="BC273" s="41" t="s">
        <v>128</v>
      </c>
      <c r="BD273" s="64"/>
    </row>
    <row r="274" spans="1:56" ht="51" x14ac:dyDescent="0.3">
      <c r="A274" s="41" t="s">
        <v>2070</v>
      </c>
      <c r="B274" s="42">
        <f t="shared" si="110"/>
        <v>268</v>
      </c>
      <c r="C274" s="68" t="s">
        <v>2071</v>
      </c>
      <c r="D274" s="41" t="s">
        <v>2070</v>
      </c>
      <c r="E274" s="61">
        <v>1506002922</v>
      </c>
      <c r="F274" s="64"/>
      <c r="G274" s="49" t="s">
        <v>2072</v>
      </c>
      <c r="H274" s="76"/>
      <c r="I274" s="76">
        <v>29865</v>
      </c>
      <c r="J274" s="66">
        <f t="shared" ref="J274:J276" ca="1" si="116">INT(DATEDIF(I274,$J$2,"d")/365)</f>
        <v>44</v>
      </c>
      <c r="K274" s="75" t="s">
        <v>2073</v>
      </c>
      <c r="L274" s="83" t="s">
        <v>2074</v>
      </c>
      <c r="M274" s="53" t="s">
        <v>67</v>
      </c>
      <c r="N274" s="66" t="s">
        <v>94</v>
      </c>
      <c r="O274" s="53"/>
      <c r="P274" s="49" t="s">
        <v>231</v>
      </c>
      <c r="Q274" s="49" t="s">
        <v>94</v>
      </c>
      <c r="R274" s="49"/>
      <c r="S274" s="49" t="s">
        <v>136</v>
      </c>
      <c r="T274" s="49" t="s">
        <v>97</v>
      </c>
      <c r="U274" s="49" t="s">
        <v>94</v>
      </c>
      <c r="V274" s="49" t="str">
        <f t="shared" si="112"/>
        <v>Phường Chi Lăng, Thành phố Lạng Sơn, Tỉnh Lạng Sơn</v>
      </c>
      <c r="W274" s="55" t="s">
        <v>579</v>
      </c>
      <c r="X274" s="41"/>
      <c r="Y274" s="41"/>
      <c r="Z274" s="41"/>
      <c r="AA274" s="68">
        <f>VLOOKUP(A274,'[1]DANH SÁCH'!$B$8:$AD$841,12,0)</f>
        <v>0</v>
      </c>
      <c r="AB274" s="49" t="str">
        <f>VLOOKUP(A274,'[1]DANH SÁCH'!$B$8:$H$841,6,0)</f>
        <v>TĐ012</v>
      </c>
      <c r="AC274" s="69" t="str">
        <f>VLOOKUP(A274,'[1]DANH SÁCH'!$B$8:$J$841,9,0)</f>
        <v>VLTL-PHCN</v>
      </c>
      <c r="AD274" s="69" t="str">
        <f>VLOOKUP(A274,'[1]DANH SÁCH'!$B$8:$AC$841,10,0)</f>
        <v>KP021</v>
      </c>
      <c r="AE274" s="69" t="str">
        <f>VLOOKUP(A274,'[1]DANH SÁCH'!$B$8:$AD$841,13,0)</f>
        <v>Viên chức</v>
      </c>
      <c r="AF274" s="41" t="s">
        <v>157</v>
      </c>
      <c r="AG274" s="42" t="str">
        <f>VLOOKUP(A274,'[1]DANH SÁCH'!$B$8:$H$841,7,0)</f>
        <v>Điều dưỡng (hạng IV)</v>
      </c>
      <c r="AH274" s="45">
        <v>3.65</v>
      </c>
      <c r="AI274" s="42">
        <v>6</v>
      </c>
      <c r="AJ274" s="70">
        <v>0</v>
      </c>
      <c r="AK274" s="69">
        <v>45231</v>
      </c>
      <c r="AL274" s="71" t="s">
        <v>158</v>
      </c>
      <c r="AM274" s="53" t="str">
        <f>VLOOKUP(A274,'[1]DANH SÁCH'!$B$8:$F$841,5,0)</f>
        <v>Điều dưỡng CĐ</v>
      </c>
      <c r="AN274" s="53"/>
      <c r="AO274" s="53" t="s">
        <v>2075</v>
      </c>
      <c r="AP274" s="53">
        <v>2006</v>
      </c>
      <c r="AQ274" s="72" t="s">
        <v>113</v>
      </c>
      <c r="AR274" s="42">
        <f>VLOOKUP(A274,'[1]Chứng chỉ'!$B$8:$Q$1111,11,0)</f>
        <v>0</v>
      </c>
      <c r="AS274" s="42">
        <f>VLOOKUP(A274,'[1]Chứng chỉ'!$B$8:$Q$1111,12,0)</f>
        <v>0</v>
      </c>
      <c r="AT274" s="47">
        <f>VLOOKUP(A274,'[1]Chứng chỉ'!$B$8:$Q$1111,13,0)</f>
        <v>0</v>
      </c>
      <c r="AU274" s="42">
        <f>VLOOKUP(A274,'[1]Chứng chỉ'!$B$8:$Q$1111,14,0)</f>
        <v>0</v>
      </c>
      <c r="AV274" s="42">
        <f>VLOOKUP(A274,'[1]Chứng chỉ'!$B$8:$Q$1111,15,0)</f>
        <v>0</v>
      </c>
      <c r="AW274" s="42" t="str">
        <f>VLOOKUP(A274,'[1]Chứng chỉ'!$B$8:$Q$1111,16,0)</f>
        <v>Cơ bản</v>
      </c>
      <c r="AX274" s="42"/>
      <c r="AY274" s="57" t="s">
        <v>85</v>
      </c>
      <c r="AZ274" s="65"/>
      <c r="BA274" s="74" t="e">
        <f t="shared" si="113"/>
        <v>#REF!</v>
      </c>
      <c r="BB274" s="74" t="e">
        <f t="shared" si="114"/>
        <v>#REF!</v>
      </c>
      <c r="BC274" s="41" t="s">
        <v>128</v>
      </c>
      <c r="BD274" s="64"/>
    </row>
    <row r="275" spans="1:56" ht="51" x14ac:dyDescent="0.3">
      <c r="A275" s="41" t="s">
        <v>2076</v>
      </c>
      <c r="B275" s="42">
        <f t="shared" si="110"/>
        <v>269</v>
      </c>
      <c r="C275" s="68" t="s">
        <v>2077</v>
      </c>
      <c r="D275" s="41" t="s">
        <v>2076</v>
      </c>
      <c r="E275" s="61">
        <v>1506002926</v>
      </c>
      <c r="F275" s="64"/>
      <c r="G275" s="49" t="s">
        <v>2078</v>
      </c>
      <c r="H275" s="76"/>
      <c r="I275" s="76">
        <v>30662</v>
      </c>
      <c r="J275" s="66">
        <f t="shared" ca="1" si="116"/>
        <v>42</v>
      </c>
      <c r="K275" s="75" t="s">
        <v>2079</v>
      </c>
      <c r="L275" s="83" t="s">
        <v>2080</v>
      </c>
      <c r="M275" s="53" t="s">
        <v>67</v>
      </c>
      <c r="N275" s="66" t="s">
        <v>94</v>
      </c>
      <c r="O275" s="53"/>
      <c r="P275" s="49" t="s">
        <v>195</v>
      </c>
      <c r="Q275" s="49" t="s">
        <v>94</v>
      </c>
      <c r="R275" s="49"/>
      <c r="S275" s="49" t="s">
        <v>73</v>
      </c>
      <c r="T275" s="49" t="s">
        <v>97</v>
      </c>
      <c r="U275" s="49" t="s">
        <v>94</v>
      </c>
      <c r="V275" s="49" t="str">
        <f t="shared" si="112"/>
        <v>Phường Vĩnh Trại, Thành phố Lạng Sơn, Tỉnh Lạng Sơn</v>
      </c>
      <c r="W275" s="55" t="s">
        <v>2081</v>
      </c>
      <c r="X275" s="41"/>
      <c r="Y275" s="41"/>
      <c r="Z275" s="41"/>
      <c r="AA275" s="68">
        <f>VLOOKUP(A275,'[1]DANH SÁCH'!$B$8:$AD$841,12,0)</f>
        <v>0</v>
      </c>
      <c r="AB275" s="49" t="str">
        <f>VLOOKUP(A275,'[1]DANH SÁCH'!$B$8:$H$841,6,0)</f>
        <v>TĐ014</v>
      </c>
      <c r="AC275" s="69" t="str">
        <f>VLOOKUP(A275,'[1]DANH SÁCH'!$B$8:$J$841,9,0)</f>
        <v>VLTL-PHCN</v>
      </c>
      <c r="AD275" s="69" t="str">
        <f>VLOOKUP(A275,'[1]DANH SÁCH'!$B$8:$AC$841,10,0)</f>
        <v>KP021</v>
      </c>
      <c r="AE275" s="69" t="str">
        <f>VLOOKUP(A275,'[1]DANH SÁCH'!$B$8:$AD$841,13,0)</f>
        <v>Viên chức</v>
      </c>
      <c r="AF275" s="41" t="s">
        <v>257</v>
      </c>
      <c r="AG275" s="42" t="str">
        <f>VLOOKUP(A275,'[1]DANH SÁCH'!$B$8:$H$841,7,0)</f>
        <v>Kỹ thuật y (hạng III)</v>
      </c>
      <c r="AH275" s="45">
        <v>3.99</v>
      </c>
      <c r="AI275" s="42">
        <v>6</v>
      </c>
      <c r="AJ275" s="70">
        <v>0</v>
      </c>
      <c r="AK275" s="69">
        <v>45778</v>
      </c>
      <c r="AL275" s="71" t="s">
        <v>80</v>
      </c>
      <c r="AM275" s="53" t="str">
        <f>VLOOKUP(A275,'[1]DANH SÁCH'!$B$8:$F$841,5,0)</f>
        <v>KTY ĐH</v>
      </c>
      <c r="AN275" s="53"/>
      <c r="AO275" s="53" t="s">
        <v>2082</v>
      </c>
      <c r="AP275" s="53">
        <v>2007</v>
      </c>
      <c r="AQ275" s="72" t="s">
        <v>113</v>
      </c>
      <c r="AR275" s="42">
        <f>VLOOKUP(A275,'[1]Chứng chỉ'!$B$8:$Q$1111,11,0)</f>
        <v>0</v>
      </c>
      <c r="AS275" s="42">
        <f>VLOOKUP(A275,'[1]Chứng chỉ'!$B$8:$Q$1111,12,0)</f>
        <v>0</v>
      </c>
      <c r="AT275" s="47">
        <f>VLOOKUP(A275,'[1]Chứng chỉ'!$B$8:$Q$1111,13,0)</f>
        <v>0</v>
      </c>
      <c r="AU275" s="42">
        <f>VLOOKUP(A275,'[1]Chứng chỉ'!$B$8:$Q$1111,14,0)</f>
        <v>0</v>
      </c>
      <c r="AV275" s="42">
        <f>VLOOKUP(A275,'[1]Chứng chỉ'!$B$8:$Q$1111,15,0)</f>
        <v>0</v>
      </c>
      <c r="AW275" s="42">
        <f>VLOOKUP(A275,'[1]Chứng chỉ'!$B$8:$Q$1111,16,0)</f>
        <v>0</v>
      </c>
      <c r="AX275" s="42"/>
      <c r="AY275" s="57" t="s">
        <v>85</v>
      </c>
      <c r="AZ275" s="65">
        <v>42464</v>
      </c>
      <c r="BA275" s="74" t="e">
        <f t="shared" si="113"/>
        <v>#REF!</v>
      </c>
      <c r="BB275" s="74" t="e">
        <f t="shared" si="114"/>
        <v>#REF!</v>
      </c>
      <c r="BC275" s="41" t="s">
        <v>128</v>
      </c>
      <c r="BD275" s="49"/>
    </row>
    <row r="276" spans="1:56" ht="61.2" x14ac:dyDescent="0.3">
      <c r="A276" s="41" t="s">
        <v>2083</v>
      </c>
      <c r="B276" s="42">
        <f t="shared" si="110"/>
        <v>270</v>
      </c>
      <c r="C276" s="68" t="s">
        <v>2084</v>
      </c>
      <c r="D276" s="41" t="s">
        <v>2083</v>
      </c>
      <c r="E276" s="61">
        <v>1596007601</v>
      </c>
      <c r="F276" s="64"/>
      <c r="G276" s="49" t="s">
        <v>2085</v>
      </c>
      <c r="H276" s="76"/>
      <c r="I276" s="76">
        <v>25487</v>
      </c>
      <c r="J276" s="66">
        <f t="shared" ca="1" si="116"/>
        <v>56</v>
      </c>
      <c r="K276" s="126" t="s">
        <v>2086</v>
      </c>
      <c r="L276" s="83" t="s">
        <v>2087</v>
      </c>
      <c r="M276" s="53" t="s">
        <v>67</v>
      </c>
      <c r="N276" s="66" t="s">
        <v>94</v>
      </c>
      <c r="O276" s="53"/>
      <c r="P276" s="49" t="s">
        <v>145</v>
      </c>
      <c r="Q276" s="49" t="s">
        <v>94</v>
      </c>
      <c r="R276" s="49"/>
      <c r="S276" s="49" t="s">
        <v>166</v>
      </c>
      <c r="T276" s="49" t="s">
        <v>97</v>
      </c>
      <c r="U276" s="49" t="s">
        <v>94</v>
      </c>
      <c r="V276" s="49" t="str">
        <f t="shared" si="112"/>
        <v>Phường Tam Thanh, Thành phố Lạng Sơn, Tỉnh Lạng Sơn</v>
      </c>
      <c r="W276" s="55" t="s">
        <v>2088</v>
      </c>
      <c r="X276" s="41"/>
      <c r="Y276" s="41"/>
      <c r="Z276" s="41"/>
      <c r="AA276" s="68">
        <f>VLOOKUP(A276,'[1]DANH SÁCH'!$B$8:$AD$841,12,0)</f>
        <v>0</v>
      </c>
      <c r="AB276" s="49" t="str">
        <f>VLOOKUP(A276,'[1]DANH SÁCH'!$B$8:$H$841,6,0)</f>
        <v>TĐ016</v>
      </c>
      <c r="AC276" s="69" t="str">
        <f>VLOOKUP(A276,'[1]DANH SÁCH'!$B$8:$J$841,9,0)</f>
        <v>VLTL-PHCN</v>
      </c>
      <c r="AD276" s="69" t="str">
        <f>VLOOKUP(A276,'[1]DANH SÁCH'!$B$8:$AC$841,10,0)</f>
        <v>KP021</v>
      </c>
      <c r="AE276" s="69" t="str">
        <f>VLOOKUP(A276,'[1]DANH SÁCH'!$B$8:$AD$841,13,0)</f>
        <v>Viên chức</v>
      </c>
      <c r="AF276" s="41" t="s">
        <v>257</v>
      </c>
      <c r="AG276" s="42" t="str">
        <f>VLOOKUP(A276,'[1]DANH SÁCH'!$B$8:$H$841,7,0)</f>
        <v>Kỹ thuật y (hạng IV)</v>
      </c>
      <c r="AH276" s="45">
        <v>4.0599999999999996</v>
      </c>
      <c r="AI276" s="42">
        <v>12</v>
      </c>
      <c r="AJ276" s="70">
        <v>0.12</v>
      </c>
      <c r="AK276" s="69">
        <v>45962</v>
      </c>
      <c r="AL276" s="71" t="s">
        <v>101</v>
      </c>
      <c r="AM276" s="53" t="str">
        <f>VLOOKUP(A276,'[1]DANH SÁCH'!$B$8:$F$841,5,0)</f>
        <v>KTY TC</v>
      </c>
      <c r="AN276" s="53"/>
      <c r="AO276" s="53" t="s">
        <v>2089</v>
      </c>
      <c r="AP276" s="53">
        <v>1992</v>
      </c>
      <c r="AQ276" s="72" t="s">
        <v>113</v>
      </c>
      <c r="AR276" s="42">
        <f>VLOOKUP(A276,'[1]Chứng chỉ'!$B$8:$Q$1111,11,0)</f>
        <v>0</v>
      </c>
      <c r="AS276" s="42">
        <f>VLOOKUP(A276,'[1]Chứng chỉ'!$B$8:$Q$1111,12,0)</f>
        <v>0</v>
      </c>
      <c r="AT276" s="47">
        <f>VLOOKUP(A276,'[1]Chứng chỉ'!$B$8:$Q$1111,13,0)</f>
        <v>0</v>
      </c>
      <c r="AU276" s="42">
        <f>VLOOKUP(A276,'[1]Chứng chỉ'!$B$8:$Q$1111,14,0)</f>
        <v>0</v>
      </c>
      <c r="AV276" s="42">
        <f>VLOOKUP(A276,'[1]Chứng chỉ'!$B$8:$Q$1111,15,0)</f>
        <v>0</v>
      </c>
      <c r="AW276" s="42">
        <f>VLOOKUP(A276,'[1]Chứng chỉ'!$B$8:$Q$1111,16,0)</f>
        <v>0</v>
      </c>
      <c r="AX276" s="42"/>
      <c r="AY276" s="57" t="s">
        <v>85</v>
      </c>
      <c r="AZ276" s="65">
        <v>41405</v>
      </c>
      <c r="BA276" s="74" t="e">
        <f t="shared" si="113"/>
        <v>#REF!</v>
      </c>
      <c r="BB276" s="74" t="e">
        <f t="shared" si="114"/>
        <v>#REF!</v>
      </c>
      <c r="BC276" s="41" t="s">
        <v>128</v>
      </c>
      <c r="BD276" s="64"/>
    </row>
    <row r="277" spans="1:56" ht="51" x14ac:dyDescent="0.3">
      <c r="A277" s="41" t="s">
        <v>2090</v>
      </c>
      <c r="B277" s="42">
        <f t="shared" si="110"/>
        <v>271</v>
      </c>
      <c r="C277" s="68" t="s">
        <v>2091</v>
      </c>
      <c r="D277" s="41" t="s">
        <v>2090</v>
      </c>
      <c r="E277" s="61">
        <v>2011000009</v>
      </c>
      <c r="F277" s="64"/>
      <c r="G277" s="49" t="s">
        <v>2092</v>
      </c>
      <c r="H277" s="76">
        <v>32268</v>
      </c>
      <c r="I277" s="76"/>
      <c r="J277" s="66">
        <f t="shared" ref="J277:J279" ca="1" si="117">INT(DATEDIF(H277,$J$2,"d")/365)</f>
        <v>38</v>
      </c>
      <c r="K277" s="75" t="s">
        <v>2093</v>
      </c>
      <c r="L277" s="83" t="s">
        <v>2094</v>
      </c>
      <c r="M277" s="53" t="s">
        <v>67</v>
      </c>
      <c r="N277" s="66" t="s">
        <v>94</v>
      </c>
      <c r="O277" s="53" t="s">
        <v>2095</v>
      </c>
      <c r="P277" s="49" t="s">
        <v>2096</v>
      </c>
      <c r="Q277" s="49" t="s">
        <v>235</v>
      </c>
      <c r="R277" s="49" t="s">
        <v>2097</v>
      </c>
      <c r="S277" s="49" t="s">
        <v>2098</v>
      </c>
      <c r="T277" s="49" t="s">
        <v>282</v>
      </c>
      <c r="U277" s="49" t="s">
        <v>94</v>
      </c>
      <c r="V277" s="49" t="str">
        <f t="shared" si="112"/>
        <v>Thị trấn Hữu Lũng, Huyện Hữu Lũng, Tỉnh Lạng Sơn</v>
      </c>
      <c r="W277" s="55" t="s">
        <v>224</v>
      </c>
      <c r="X277" s="41"/>
      <c r="Y277" s="41"/>
      <c r="Z277" s="41"/>
      <c r="AA277" s="68">
        <f>VLOOKUP(A277,'[1]DANH SÁCH'!$B$8:$AD$841,12,0)</f>
        <v>0</v>
      </c>
      <c r="AB277" s="49" t="str">
        <f>VLOOKUP(A277,'[1]DANH SÁCH'!$B$8:$H$841,6,0)</f>
        <v>TĐ015</v>
      </c>
      <c r="AC277" s="69" t="str">
        <f>VLOOKUP(A277,'[1]DANH SÁCH'!$B$8:$J$841,9,0)</f>
        <v>VLTL-PHCN</v>
      </c>
      <c r="AD277" s="69" t="str">
        <f>VLOOKUP(A277,'[1]DANH SÁCH'!$B$8:$AC$841,10,0)</f>
        <v>KP021</v>
      </c>
      <c r="AE277" s="69" t="str">
        <f>VLOOKUP(A277,'[1]DANH SÁCH'!$B$8:$AD$841,13,0)</f>
        <v>Viên chức</v>
      </c>
      <c r="AF277" s="41" t="s">
        <v>257</v>
      </c>
      <c r="AG277" s="42" t="str">
        <f>VLOOKUP(A277,'[1]DANH SÁCH'!$B$8:$H$841,7,0)</f>
        <v>Kỹ thuật y (hạng IV)</v>
      </c>
      <c r="AH277" s="45">
        <v>3.34</v>
      </c>
      <c r="AI277" s="42">
        <v>5</v>
      </c>
      <c r="AJ277" s="70">
        <v>0</v>
      </c>
      <c r="AK277" s="69">
        <v>45261</v>
      </c>
      <c r="AL277" s="71" t="s">
        <v>158</v>
      </c>
      <c r="AM277" s="53" t="str">
        <f>VLOOKUP(A277,'[1]DANH SÁCH'!$B$8:$F$841,5,0)</f>
        <v>KTY CĐ</v>
      </c>
      <c r="AN277" s="53"/>
      <c r="AO277" s="53" t="s">
        <v>2099</v>
      </c>
      <c r="AP277" s="53">
        <v>2009</v>
      </c>
      <c r="AQ277" s="72" t="s">
        <v>113</v>
      </c>
      <c r="AR277" s="42">
        <f>VLOOKUP(A277,'[1]Chứng chỉ'!$B$8:$Q$1111,11,0)</f>
        <v>0</v>
      </c>
      <c r="AS277" s="42">
        <f>VLOOKUP(A277,'[1]Chứng chỉ'!$B$8:$Q$1111,12,0)</f>
        <v>0</v>
      </c>
      <c r="AT277" s="47">
        <f>VLOOKUP(A277,'[1]Chứng chỉ'!$B$8:$Q$1111,13,0)</f>
        <v>0</v>
      </c>
      <c r="AU277" s="42">
        <f>VLOOKUP(A277,'[1]Chứng chỉ'!$B$8:$Q$1111,14,0)</f>
        <v>0</v>
      </c>
      <c r="AV277" s="42">
        <f>VLOOKUP(A277,'[1]Chứng chỉ'!$B$8:$Q$1111,15,0)</f>
        <v>0</v>
      </c>
      <c r="AW277" s="42">
        <f>VLOOKUP(A277,'[1]Chứng chỉ'!$B$8:$Q$1111,16,0)</f>
        <v>0</v>
      </c>
      <c r="AX277" s="42"/>
      <c r="AY277" s="57" t="s">
        <v>87</v>
      </c>
      <c r="AZ277" s="65"/>
      <c r="BA277" s="74" t="e">
        <f t="shared" si="113"/>
        <v>#REF!</v>
      </c>
      <c r="BB277" s="74" t="e">
        <f t="shared" si="114"/>
        <v>#REF!</v>
      </c>
      <c r="BC277" s="41"/>
      <c r="BD277" s="64"/>
    </row>
    <row r="278" spans="1:56" ht="51" x14ac:dyDescent="0.3">
      <c r="A278" s="41" t="s">
        <v>2100</v>
      </c>
      <c r="B278" s="42">
        <f t="shared" si="110"/>
        <v>272</v>
      </c>
      <c r="C278" s="68" t="s">
        <v>2101</v>
      </c>
      <c r="D278" s="41" t="s">
        <v>2100</v>
      </c>
      <c r="E278" s="61">
        <v>2010000155</v>
      </c>
      <c r="F278" s="64"/>
      <c r="G278" s="49" t="s">
        <v>2102</v>
      </c>
      <c r="H278" s="76">
        <v>30176</v>
      </c>
      <c r="I278" s="76"/>
      <c r="J278" s="66">
        <f t="shared" ca="1" si="117"/>
        <v>44</v>
      </c>
      <c r="K278" s="75" t="s">
        <v>2103</v>
      </c>
      <c r="L278" s="83" t="s">
        <v>2104</v>
      </c>
      <c r="M278" s="53" t="s">
        <v>67</v>
      </c>
      <c r="N278" s="66" t="s">
        <v>94</v>
      </c>
      <c r="O278" s="53" t="s">
        <v>2105</v>
      </c>
      <c r="P278" s="49" t="s">
        <v>155</v>
      </c>
      <c r="Q278" s="49" t="s">
        <v>94</v>
      </c>
      <c r="R278" s="49"/>
      <c r="S278" s="49" t="s">
        <v>2105</v>
      </c>
      <c r="T278" s="49" t="s">
        <v>155</v>
      </c>
      <c r="U278" s="49" t="s">
        <v>94</v>
      </c>
      <c r="V278" s="49" t="str">
        <f t="shared" si="112"/>
        <v>Xã Tú Xuyên, Huyện Văn Quan, Tỉnh Lạng Sơn</v>
      </c>
      <c r="W278" s="55" t="s">
        <v>236</v>
      </c>
      <c r="X278" s="41"/>
      <c r="Y278" s="41"/>
      <c r="Z278" s="41"/>
      <c r="AA278" s="68">
        <f>VLOOKUP(A278,'[1]DANH SÁCH'!$B$8:$AD$841,12,0)</f>
        <v>0</v>
      </c>
      <c r="AB278" s="49" t="str">
        <f>VLOOKUP(A278,'[1]DANH SÁCH'!$B$8:$H$841,6,0)</f>
        <v>TĐ005</v>
      </c>
      <c r="AC278" s="69" t="str">
        <f>VLOOKUP(A278,'[1]DANH SÁCH'!$B$8:$J$841,9,0)</f>
        <v>Nội Tổng hợp</v>
      </c>
      <c r="AD278" s="69" t="str">
        <f>VLOOKUP(A278,'[1]DANH SÁCH'!$B$8:$AC$841,10,0)</f>
        <v>KP007</v>
      </c>
      <c r="AE278" s="69" t="str">
        <f>VLOOKUP(A278,'[1]DANH SÁCH'!$B$8:$AD$841,13,0)</f>
        <v>Viên chức</v>
      </c>
      <c r="AF278" s="41" t="s">
        <v>1796</v>
      </c>
      <c r="AG278" s="42" t="str">
        <f>VLOOKUP(A278,'[1]DANH SÁCH'!$B$8:$H$841,7,0)</f>
        <v>Bác sĩ (hạng III)</v>
      </c>
      <c r="AH278" s="45">
        <v>3.33</v>
      </c>
      <c r="AI278" s="42">
        <v>4</v>
      </c>
      <c r="AJ278" s="70">
        <v>0</v>
      </c>
      <c r="AK278" s="69">
        <v>45383</v>
      </c>
      <c r="AL278" s="71" t="s">
        <v>101</v>
      </c>
      <c r="AM278" s="53" t="str">
        <f>VLOOKUP(A278,'[1]DANH SÁCH'!$B$8:$F$841,5,0)</f>
        <v>Bác sĩ</v>
      </c>
      <c r="AN278" s="53" t="s">
        <v>372</v>
      </c>
      <c r="AO278" s="53" t="s">
        <v>2106</v>
      </c>
      <c r="AP278" s="53">
        <v>2012</v>
      </c>
      <c r="AQ278" s="72" t="s">
        <v>113</v>
      </c>
      <c r="AR278" s="42">
        <f>VLOOKUP(A278,'[1]Chứng chỉ'!$B$8:$Q$1111,11,0)</f>
        <v>0</v>
      </c>
      <c r="AS278" s="42">
        <f>VLOOKUP(A278,'[1]Chứng chỉ'!$B$8:$Q$1111,12,0)</f>
        <v>0</v>
      </c>
      <c r="AT278" s="47">
        <f>VLOOKUP(A278,'[1]Chứng chỉ'!$B$8:$Q$1111,13,0)</f>
        <v>0</v>
      </c>
      <c r="AU278" s="42">
        <f>VLOOKUP(A278,'[1]Chứng chỉ'!$B$8:$Q$1111,14,0)</f>
        <v>0</v>
      </c>
      <c r="AV278" s="42">
        <f>VLOOKUP(A278,'[1]Chứng chỉ'!$B$8:$Q$1111,15,0)</f>
        <v>0</v>
      </c>
      <c r="AW278" s="42">
        <f>VLOOKUP(A278,'[1]Chứng chỉ'!$B$8:$Q$1111,16,0)</f>
        <v>0</v>
      </c>
      <c r="AX278" s="42"/>
      <c r="AY278" s="57" t="s">
        <v>127</v>
      </c>
      <c r="AZ278" s="65"/>
      <c r="BA278" s="74" t="e">
        <f t="shared" si="113"/>
        <v>#REF!</v>
      </c>
      <c r="BB278" s="74" t="e">
        <f t="shared" si="114"/>
        <v>#REF!</v>
      </c>
      <c r="BC278" s="41"/>
      <c r="BD278" s="42"/>
    </row>
    <row r="279" spans="1:56" ht="61.2" x14ac:dyDescent="0.3">
      <c r="A279" s="41" t="s">
        <v>2107</v>
      </c>
      <c r="B279" s="42">
        <f t="shared" si="110"/>
        <v>273</v>
      </c>
      <c r="C279" s="60" t="s">
        <v>2108</v>
      </c>
      <c r="D279" s="41" t="s">
        <v>2107</v>
      </c>
      <c r="E279" s="61">
        <v>2014002171</v>
      </c>
      <c r="F279" s="64"/>
      <c r="G279" s="49" t="s">
        <v>2109</v>
      </c>
      <c r="H279" s="100" t="s">
        <v>2110</v>
      </c>
      <c r="I279" s="76"/>
      <c r="J279" s="66">
        <f t="shared" ca="1" si="117"/>
        <v>40</v>
      </c>
      <c r="K279" s="75" t="s">
        <v>2111</v>
      </c>
      <c r="L279" s="83" t="s">
        <v>2112</v>
      </c>
      <c r="M279" s="53" t="s">
        <v>67</v>
      </c>
      <c r="N279" s="66" t="s">
        <v>94</v>
      </c>
      <c r="O279" s="53" t="s">
        <v>166</v>
      </c>
      <c r="P279" s="49" t="s">
        <v>97</v>
      </c>
      <c r="Q279" s="49" t="s">
        <v>94</v>
      </c>
      <c r="R279" s="85" t="s">
        <v>2113</v>
      </c>
      <c r="S279" s="49" t="s">
        <v>166</v>
      </c>
      <c r="T279" s="49" t="s">
        <v>97</v>
      </c>
      <c r="U279" s="49" t="s">
        <v>94</v>
      </c>
      <c r="V279" s="49" t="str">
        <f t="shared" si="112"/>
        <v>Phường Tam Thanh, Thành phố Lạng Sơn, Tỉnh Lạng Sơn</v>
      </c>
      <c r="W279" s="55" t="s">
        <v>2114</v>
      </c>
      <c r="X279" s="41"/>
      <c r="Y279" s="41"/>
      <c r="Z279" s="41"/>
      <c r="AA279" s="68">
        <f>VLOOKUP(A279,'[1]DANH SÁCH'!$B$8:$AD$841,12,0)</f>
        <v>0</v>
      </c>
      <c r="AB279" s="49" t="str">
        <f>VLOOKUP(A279,'[1]DANH SÁCH'!$B$8:$H$841,6,0)</f>
        <v>TĐ015</v>
      </c>
      <c r="AC279" s="69" t="str">
        <f>VLOOKUP(A279,'[1]DANH SÁCH'!$B$8:$J$841,9,0)</f>
        <v>VLTL-PHCN</v>
      </c>
      <c r="AD279" s="69" t="str">
        <f>VLOOKUP(A279,'[1]DANH SÁCH'!$B$8:$AC$841,10,0)</f>
        <v>KP021</v>
      </c>
      <c r="AE279" s="69" t="str">
        <f>VLOOKUP(A279,'[1]DANH SÁCH'!$B$8:$AD$841,13,0)</f>
        <v>Viên chức</v>
      </c>
      <c r="AF279" s="41" t="s">
        <v>1796</v>
      </c>
      <c r="AG279" s="42" t="str">
        <f>VLOOKUP(A279,'[1]DANH SÁCH'!$B$8:$H$841,7,0)</f>
        <v>Kỹ thuật y (hạng IV)</v>
      </c>
      <c r="AH279" s="45">
        <v>3.03</v>
      </c>
      <c r="AI279" s="42">
        <v>4</v>
      </c>
      <c r="AJ279" s="70">
        <v>0</v>
      </c>
      <c r="AK279" s="69">
        <v>45597</v>
      </c>
      <c r="AL279" s="71" t="s">
        <v>158</v>
      </c>
      <c r="AM279" s="53" t="str">
        <f>VLOOKUP(A279,'[1]DANH SÁCH'!$B$8:$F$841,5,0)</f>
        <v>KTY CĐ</v>
      </c>
      <c r="AN279" s="53" t="s">
        <v>372</v>
      </c>
      <c r="AO279" s="53" t="s">
        <v>1093</v>
      </c>
      <c r="AP279" s="53">
        <v>2014</v>
      </c>
      <c r="AQ279" s="72" t="s">
        <v>113</v>
      </c>
      <c r="AR279" s="42">
        <f>VLOOKUP(A279,'[1]Chứng chỉ'!$B$8:$Q$1111,11,0)</f>
        <v>0</v>
      </c>
      <c r="AS279" s="42">
        <f>VLOOKUP(A279,'[1]Chứng chỉ'!$B$8:$Q$1111,12,0)</f>
        <v>0</v>
      </c>
      <c r="AT279" s="47">
        <f>VLOOKUP(A279,'[1]Chứng chỉ'!$B$8:$Q$1111,13,0)</f>
        <v>0</v>
      </c>
      <c r="AU279" s="42">
        <f>VLOOKUP(A279,'[1]Chứng chỉ'!$B$8:$Q$1111,14,0)</f>
        <v>0</v>
      </c>
      <c r="AV279" s="42">
        <f>VLOOKUP(A279,'[1]Chứng chỉ'!$B$8:$Q$1111,15,0)</f>
        <v>0</v>
      </c>
      <c r="AW279" s="42">
        <f>VLOOKUP(A279,'[1]Chứng chỉ'!$B$8:$Q$1111,16,0)</f>
        <v>0</v>
      </c>
      <c r="AX279" s="42"/>
      <c r="AY279" s="57" t="s">
        <v>85</v>
      </c>
      <c r="AZ279" s="65"/>
      <c r="BA279" s="74" t="e">
        <f t="shared" si="113"/>
        <v>#REF!</v>
      </c>
      <c r="BB279" s="74" t="e">
        <f t="shared" si="114"/>
        <v>#REF!</v>
      </c>
      <c r="BC279" s="41"/>
      <c r="BD279" s="42"/>
    </row>
    <row r="280" spans="1:56" ht="61.2" x14ac:dyDescent="0.3">
      <c r="A280" s="41" t="s">
        <v>2115</v>
      </c>
      <c r="B280" s="42">
        <f t="shared" si="110"/>
        <v>274</v>
      </c>
      <c r="C280" s="68" t="s">
        <v>2116</v>
      </c>
      <c r="D280" s="41" t="s">
        <v>2115</v>
      </c>
      <c r="E280" s="61">
        <v>1503001810</v>
      </c>
      <c r="F280" s="64"/>
      <c r="G280" s="49" t="s">
        <v>2117</v>
      </c>
      <c r="H280" s="76"/>
      <c r="I280" s="76">
        <v>28424</v>
      </c>
      <c r="J280" s="66">
        <f ca="1">INT(DATEDIF(I280,$J$2,"d")/365)</f>
        <v>48</v>
      </c>
      <c r="K280" s="75" t="s">
        <v>2118</v>
      </c>
      <c r="L280" s="41" t="s">
        <v>2119</v>
      </c>
      <c r="M280" s="53" t="s">
        <v>67</v>
      </c>
      <c r="N280" s="66"/>
      <c r="O280" s="53"/>
      <c r="P280" s="49" t="s">
        <v>93</v>
      </c>
      <c r="Q280" s="49" t="s">
        <v>94</v>
      </c>
      <c r="R280" s="49"/>
      <c r="S280" s="49" t="s">
        <v>166</v>
      </c>
      <c r="T280" s="49" t="s">
        <v>97</v>
      </c>
      <c r="U280" s="49" t="s">
        <v>94</v>
      </c>
      <c r="V280" s="49" t="str">
        <f t="shared" si="112"/>
        <v>Phường Tam Thanh, Thành phố Lạng Sơn, Tỉnh Lạng Sơn</v>
      </c>
      <c r="W280" s="55" t="s">
        <v>2120</v>
      </c>
      <c r="X280" s="41"/>
      <c r="Y280" s="41"/>
      <c r="Z280" s="41"/>
      <c r="AA280" s="68" t="str">
        <f>VLOOKUP(A280,'[1]DANH SÁCH'!$B$8:$AD$841,12,0)</f>
        <v>Phụ trách khoa</v>
      </c>
      <c r="AB280" s="49" t="str">
        <f>VLOOKUP(A280,'[1]DANH SÁCH'!$B$8:$H$841,6,0)</f>
        <v>TĐ003</v>
      </c>
      <c r="AC280" s="69" t="str">
        <f>VLOOKUP(A280,'[1]DANH SÁCH'!$B$8:$J$841,9,0)</f>
        <v>Tai mũi họng</v>
      </c>
      <c r="AD280" s="69" t="str">
        <f>VLOOKUP(A280,'[1]DANH SÁCH'!$B$8:$AC$841,10,0)</f>
        <v>KP022</v>
      </c>
      <c r="AE280" s="69" t="str">
        <f>VLOOKUP(A280,'[1]DANH SÁCH'!$B$8:$AD$841,13,0)</f>
        <v>Viên chức</v>
      </c>
      <c r="AF280" s="41" t="s">
        <v>274</v>
      </c>
      <c r="AG280" s="42" t="str">
        <f>VLOOKUP(A280,'[1]DANH SÁCH'!$B$8:$H$841,7,0)</f>
        <v>Bác sĩ (hạng III)</v>
      </c>
      <c r="AH280" s="45">
        <v>4.32</v>
      </c>
      <c r="AI280" s="42">
        <v>7</v>
      </c>
      <c r="AJ280" s="70">
        <v>0</v>
      </c>
      <c r="AK280" s="69">
        <v>45231</v>
      </c>
      <c r="AL280" s="71" t="s">
        <v>80</v>
      </c>
      <c r="AM280" s="53" t="str">
        <f>VLOOKUP(A280,'[1]DANH SÁCH'!$B$8:$F$841,5,0)</f>
        <v>BSCKI</v>
      </c>
      <c r="AN280" s="53" t="s">
        <v>2121</v>
      </c>
      <c r="AO280" s="53" t="s">
        <v>1804</v>
      </c>
      <c r="AP280" s="53">
        <v>2012</v>
      </c>
      <c r="AQ280" s="72" t="s">
        <v>113</v>
      </c>
      <c r="AR280" s="42">
        <f>VLOOKUP(A280,'[1]Chứng chỉ'!$B$8:$Q$1111,11,0)</f>
        <v>0</v>
      </c>
      <c r="AS280" s="42" t="s">
        <v>100</v>
      </c>
      <c r="AT280" s="47">
        <f>VLOOKUP(A280,'[1]Chứng chỉ'!$B$8:$Q$1111,13,0)</f>
        <v>0</v>
      </c>
      <c r="AU280" s="42">
        <f>VLOOKUP(A280,'[1]Chứng chỉ'!$B$8:$Q$1111,14,0)</f>
        <v>0</v>
      </c>
      <c r="AV280" s="42">
        <f>VLOOKUP(A280,'[1]Chứng chỉ'!$B$8:$Q$1111,15,0)</f>
        <v>0</v>
      </c>
      <c r="AW280" s="42">
        <f>VLOOKUP(A280,'[1]Chứng chỉ'!$B$8:$Q$1111,16,0)</f>
        <v>0</v>
      </c>
      <c r="AX280" s="42"/>
      <c r="AY280" s="57" t="s">
        <v>85</v>
      </c>
      <c r="AZ280" s="65">
        <v>41897</v>
      </c>
      <c r="BA280" s="74" t="e">
        <f t="shared" si="113"/>
        <v>#REF!</v>
      </c>
      <c r="BB280" s="74" t="e">
        <f t="shared" si="114"/>
        <v>#REF!</v>
      </c>
      <c r="BC280" s="41" t="s">
        <v>128</v>
      </c>
      <c r="BD280" s="42"/>
    </row>
    <row r="281" spans="1:56" ht="51" x14ac:dyDescent="0.3">
      <c r="A281" s="41" t="s">
        <v>2122</v>
      </c>
      <c r="B281" s="42">
        <f t="shared" si="110"/>
        <v>275</v>
      </c>
      <c r="C281" s="68" t="s">
        <v>1888</v>
      </c>
      <c r="D281" s="41" t="s">
        <v>2122</v>
      </c>
      <c r="E281" s="61">
        <v>2012000304</v>
      </c>
      <c r="F281" s="64"/>
      <c r="G281" s="49" t="s">
        <v>2123</v>
      </c>
      <c r="H281" s="76">
        <v>32005</v>
      </c>
      <c r="I281" s="76"/>
      <c r="J281" s="66">
        <f ca="1">INT(DATEDIF(H281,$J$2,"d")/365)</f>
        <v>38</v>
      </c>
      <c r="K281" s="75" t="s">
        <v>2124</v>
      </c>
      <c r="L281" s="41" t="s">
        <v>2125</v>
      </c>
      <c r="M281" s="53" t="s">
        <v>67</v>
      </c>
      <c r="N281" s="66"/>
      <c r="O281" s="53" t="s">
        <v>136</v>
      </c>
      <c r="P281" s="49" t="s">
        <v>97</v>
      </c>
      <c r="Q281" s="49" t="s">
        <v>94</v>
      </c>
      <c r="R281" s="49"/>
      <c r="S281" s="49" t="s">
        <v>136</v>
      </c>
      <c r="T281" s="49" t="s">
        <v>97</v>
      </c>
      <c r="U281" s="49" t="s">
        <v>94</v>
      </c>
      <c r="V281" s="49" t="str">
        <f t="shared" si="112"/>
        <v>Phường Chi Lăng, Thành phố Lạng Sơn, Tỉnh Lạng Sơn</v>
      </c>
      <c r="W281" s="55" t="s">
        <v>2126</v>
      </c>
      <c r="X281" s="41"/>
      <c r="Y281" s="41"/>
      <c r="Z281" s="41"/>
      <c r="AA281" s="68" t="str">
        <f>VLOOKUP(A281,'[1]DANH SÁCH'!$B$8:$AD$841,12,0)</f>
        <v>Phó trưởng khoa</v>
      </c>
      <c r="AB281" s="49" t="str">
        <f>VLOOKUP(A281,'[1]DANH SÁCH'!$B$8:$H$841,6,0)</f>
        <v>TĐ003</v>
      </c>
      <c r="AC281" s="69" t="str">
        <f>VLOOKUP(A281,'[1]DANH SÁCH'!$B$8:$J$841,9,0)</f>
        <v>Tai mũi họng</v>
      </c>
      <c r="AD281" s="69" t="str">
        <f>VLOOKUP(A281,'[1]DANH SÁCH'!$B$8:$AC$841,10,0)</f>
        <v>KP022</v>
      </c>
      <c r="AE281" s="69" t="str">
        <f>VLOOKUP(A281,'[1]DANH SÁCH'!$B$8:$AD$841,13,0)</f>
        <v>Viên chức</v>
      </c>
      <c r="AF281" s="41" t="s">
        <v>274</v>
      </c>
      <c r="AG281" s="42" t="str">
        <f>VLOOKUP(A281,'[1]DANH SÁCH'!$B$8:$H$841,7,0)</f>
        <v>Bác sĩ (hạng III)</v>
      </c>
      <c r="AH281" s="45">
        <v>3.33</v>
      </c>
      <c r="AI281" s="42">
        <v>4</v>
      </c>
      <c r="AJ281" s="70">
        <v>0</v>
      </c>
      <c r="AK281" s="69">
        <v>44995</v>
      </c>
      <c r="AL281" s="71" t="s">
        <v>80</v>
      </c>
      <c r="AM281" s="53" t="str">
        <f>VLOOKUP(A281,'[1]DANH SÁCH'!$B$8:$F$841,5,0)</f>
        <v>BSCKI</v>
      </c>
      <c r="AN281" s="53" t="s">
        <v>2121</v>
      </c>
      <c r="AO281" s="53" t="s">
        <v>1130</v>
      </c>
      <c r="AP281" s="53">
        <v>2011</v>
      </c>
      <c r="AQ281" s="72" t="s">
        <v>113</v>
      </c>
      <c r="AR281" s="42" t="s">
        <v>82</v>
      </c>
      <c r="AS281" s="42">
        <f>VLOOKUP(A281,'[1]Chứng chỉ'!$B$8:$Q$1111,12,0)</f>
        <v>0</v>
      </c>
      <c r="AT281" s="47">
        <f>VLOOKUP(A281,'[1]Chứng chỉ'!$B$8:$Q$1111,13,0)</f>
        <v>0</v>
      </c>
      <c r="AU281" s="42" t="str">
        <f>VLOOKUP(A281,'[1]Chứng chỉ'!$B$8:$Q$1111,14,0)</f>
        <v>Pháp bậc 3</v>
      </c>
      <c r="AV281" s="42">
        <f>VLOOKUP(A281,'[1]Chứng chỉ'!$B$8:$Q$1111,15,0)</f>
        <v>0</v>
      </c>
      <c r="AW281" s="42" t="str">
        <f>VLOOKUP(A281,'[1]Chứng chỉ'!$B$8:$Q$1111,16,0)</f>
        <v>CC SĐH</v>
      </c>
      <c r="AX281" s="42"/>
      <c r="AY281" s="57" t="s">
        <v>87</v>
      </c>
      <c r="AZ281" s="65">
        <v>44540</v>
      </c>
      <c r="BA281" s="74" t="e">
        <f t="shared" si="113"/>
        <v>#REF!</v>
      </c>
      <c r="BB281" s="74" t="e">
        <f t="shared" si="114"/>
        <v>#REF!</v>
      </c>
      <c r="BC281" s="41" t="s">
        <v>128</v>
      </c>
      <c r="BD281" s="42"/>
    </row>
    <row r="282" spans="1:56" ht="51" x14ac:dyDescent="0.3">
      <c r="A282" s="41" t="s">
        <v>2127</v>
      </c>
      <c r="B282" s="42">
        <f t="shared" si="110"/>
        <v>276</v>
      </c>
      <c r="C282" s="68" t="s">
        <v>2128</v>
      </c>
      <c r="D282" s="41" t="s">
        <v>2127</v>
      </c>
      <c r="E282" s="61">
        <v>2014002643</v>
      </c>
      <c r="F282" s="64"/>
      <c r="G282" s="49" t="s">
        <v>2129</v>
      </c>
      <c r="H282" s="76"/>
      <c r="I282" s="76">
        <v>32302</v>
      </c>
      <c r="J282" s="66">
        <f t="shared" ref="J282:J289" ca="1" si="118">INT(DATEDIF(I282,$J$2,"d")/365)</f>
        <v>38</v>
      </c>
      <c r="K282" s="109" t="s">
        <v>2130</v>
      </c>
      <c r="L282" s="41" t="s">
        <v>2131</v>
      </c>
      <c r="M282" s="53" t="s">
        <v>67</v>
      </c>
      <c r="N282" s="66"/>
      <c r="O282" s="85"/>
      <c r="P282" s="49" t="s">
        <v>2132</v>
      </c>
      <c r="Q282" s="49" t="s">
        <v>1058</v>
      </c>
      <c r="R282" s="76"/>
      <c r="S282" s="118" t="s">
        <v>73</v>
      </c>
      <c r="T282" s="49" t="s">
        <v>97</v>
      </c>
      <c r="U282" s="49" t="s">
        <v>94</v>
      </c>
      <c r="V282" s="49" t="str">
        <f t="shared" si="112"/>
        <v>Phường Vĩnh Trại, Thành phố Lạng Sơn, Tỉnh Lạng Sơn</v>
      </c>
      <c r="W282" s="86" t="s">
        <v>1598</v>
      </c>
      <c r="X282" s="78">
        <v>42358</v>
      </c>
      <c r="Y282" s="78"/>
      <c r="Z282" s="78"/>
      <c r="AA282" s="68">
        <f>VLOOKUP(A282,'[1]DANH SÁCH'!$B$8:$AD$841,12,0)</f>
        <v>0</v>
      </c>
      <c r="AB282" s="49" t="str">
        <f>VLOOKUP(A282,'[1]DANH SÁCH'!$B$8:$H$841,6,0)</f>
        <v>TĐ005</v>
      </c>
      <c r="AC282" s="69" t="str">
        <f>VLOOKUP(A282,'[1]DANH SÁCH'!$B$8:$J$841,9,0)</f>
        <v>Tai mũi họng</v>
      </c>
      <c r="AD282" s="69" t="str">
        <f>VLOOKUP(A282,'[1]DANH SÁCH'!$B$8:$AC$841,10,0)</f>
        <v>KP022</v>
      </c>
      <c r="AE282" s="69" t="str">
        <f>VLOOKUP(A282,'[1]DANH SÁCH'!$B$8:$AD$841,13,0)</f>
        <v>Viên chức</v>
      </c>
      <c r="AF282" s="41" t="s">
        <v>274</v>
      </c>
      <c r="AG282" s="42" t="str">
        <f>VLOOKUP(A282,'[1]DANH SÁCH'!$B$8:$H$841,7,0)</f>
        <v>Bác sĩ (hạng III)</v>
      </c>
      <c r="AH282" s="45">
        <v>3.33</v>
      </c>
      <c r="AI282" s="42">
        <v>4</v>
      </c>
      <c r="AJ282" s="70">
        <v>0</v>
      </c>
      <c r="AK282" s="69">
        <v>45505</v>
      </c>
      <c r="AL282" s="71" t="s">
        <v>80</v>
      </c>
      <c r="AM282" s="53" t="str">
        <f>VLOOKUP(A282,'[1]DANH SÁCH'!$B$8:$F$841,5,0)</f>
        <v>Bác sĩ</v>
      </c>
      <c r="AN282" s="53" t="s">
        <v>2121</v>
      </c>
      <c r="AO282" s="53" t="s">
        <v>1130</v>
      </c>
      <c r="AP282" s="53">
        <v>2014</v>
      </c>
      <c r="AQ282" s="72" t="s">
        <v>113</v>
      </c>
      <c r="AR282" s="42">
        <f>VLOOKUP(A282,'[1]Chứng chỉ'!$B$8:$Q$1111,11,0)</f>
        <v>0</v>
      </c>
      <c r="AS282" s="42">
        <f>VLOOKUP(A282,'[1]Chứng chỉ'!$B$8:$Q$1111,12,0)</f>
        <v>0</v>
      </c>
      <c r="AT282" s="47">
        <f>VLOOKUP(A282,'[1]Chứng chỉ'!$B$8:$Q$1111,13,0)</f>
        <v>0</v>
      </c>
      <c r="AU282" s="42">
        <f>VLOOKUP(A282,'[1]Chứng chỉ'!$B$8:$Q$1111,14,0)</f>
        <v>0</v>
      </c>
      <c r="AV282" s="42">
        <f>VLOOKUP(A282,'[1]Chứng chỉ'!$B$8:$Q$1111,15,0)</f>
        <v>0</v>
      </c>
      <c r="AW282" s="42">
        <f>VLOOKUP(A282,'[1]Chứng chỉ'!$B$8:$Q$1111,16,0)</f>
        <v>0</v>
      </c>
      <c r="AX282" s="42"/>
      <c r="AY282" s="57" t="s">
        <v>87</v>
      </c>
      <c r="AZ282" s="65"/>
      <c r="BA282" s="74" t="e">
        <f t="shared" si="113"/>
        <v>#REF!</v>
      </c>
      <c r="BB282" s="74" t="e">
        <f t="shared" si="114"/>
        <v>#REF!</v>
      </c>
      <c r="BC282" s="41" t="s">
        <v>128</v>
      </c>
      <c r="BD282" s="42"/>
    </row>
    <row r="283" spans="1:56" ht="51" x14ac:dyDescent="0.3">
      <c r="A283" s="41" t="s">
        <v>2133</v>
      </c>
      <c r="B283" s="42">
        <f t="shared" si="110"/>
        <v>277</v>
      </c>
      <c r="C283" s="68" t="s">
        <v>2134</v>
      </c>
      <c r="D283" s="41" t="s">
        <v>2133</v>
      </c>
      <c r="E283" s="61">
        <v>1504000553</v>
      </c>
      <c r="F283" s="64"/>
      <c r="G283" s="49" t="s">
        <v>2135</v>
      </c>
      <c r="H283" s="76"/>
      <c r="I283" s="76">
        <v>25389</v>
      </c>
      <c r="J283" s="66">
        <f t="shared" ca="1" si="118"/>
        <v>57</v>
      </c>
      <c r="K283" s="75" t="s">
        <v>2136</v>
      </c>
      <c r="L283" s="41" t="s">
        <v>2137</v>
      </c>
      <c r="M283" s="53" t="s">
        <v>67</v>
      </c>
      <c r="N283" s="66"/>
      <c r="O283" s="53"/>
      <c r="P283" s="49" t="s">
        <v>195</v>
      </c>
      <c r="Q283" s="49" t="s">
        <v>94</v>
      </c>
      <c r="R283" s="49"/>
      <c r="S283" s="49" t="s">
        <v>73</v>
      </c>
      <c r="T283" s="49" t="s">
        <v>97</v>
      </c>
      <c r="U283" s="49" t="s">
        <v>94</v>
      </c>
      <c r="V283" s="49" t="str">
        <f t="shared" si="112"/>
        <v>Phường Vĩnh Trại, Thành phố Lạng Sơn, Tỉnh Lạng Sơn</v>
      </c>
      <c r="W283" s="55" t="s">
        <v>125</v>
      </c>
      <c r="X283" s="41"/>
      <c r="Y283" s="41"/>
      <c r="Z283" s="41"/>
      <c r="AA283" s="68" t="str">
        <f>VLOOKUP(A283,'[1]DANH SÁCH'!$B$8:$AD$841,12,0)</f>
        <v>Điều dưỡng trưởng</v>
      </c>
      <c r="AB283" s="49" t="str">
        <f>VLOOKUP(A283,'[1]DANH SÁCH'!$B$8:$H$841,6,0)</f>
        <v>TĐ011</v>
      </c>
      <c r="AC283" s="69" t="str">
        <f>VLOOKUP(A283,'[1]DANH SÁCH'!$B$8:$J$841,9,0)</f>
        <v>Tai mũi họng</v>
      </c>
      <c r="AD283" s="69" t="str">
        <f>VLOOKUP(A283,'[1]DANH SÁCH'!$B$8:$AC$841,10,0)</f>
        <v>KP022</v>
      </c>
      <c r="AE283" s="69" t="str">
        <f>VLOOKUP(A283,'[1]DANH SÁCH'!$B$8:$AD$841,13,0)</f>
        <v>Viên chức</v>
      </c>
      <c r="AF283" s="41" t="s">
        <v>147</v>
      </c>
      <c r="AG283" s="42" t="str">
        <f>VLOOKUP(A283,'[1]DANH SÁCH'!$B$8:$H$841,7,0)</f>
        <v>Điều dưỡng (hạng III)</v>
      </c>
      <c r="AH283" s="45">
        <v>3.99</v>
      </c>
      <c r="AI283" s="42">
        <v>6</v>
      </c>
      <c r="AJ283" s="70">
        <v>0</v>
      </c>
      <c r="AK283" s="69">
        <v>45352</v>
      </c>
      <c r="AL283" s="71" t="s">
        <v>80</v>
      </c>
      <c r="AM283" s="53" t="str">
        <f>VLOOKUP(A283,'[1]DANH SÁCH'!$B$8:$F$841,5,0)</f>
        <v>Điều dưỡng ĐH</v>
      </c>
      <c r="AN283" s="53"/>
      <c r="AO283" s="53" t="s">
        <v>1130</v>
      </c>
      <c r="AP283" s="53">
        <v>2010</v>
      </c>
      <c r="AQ283" s="72" t="s">
        <v>113</v>
      </c>
      <c r="AR283" s="42">
        <f>VLOOKUP(A283,'[1]Chứng chỉ'!$B$8:$Q$1111,11,0)</f>
        <v>0</v>
      </c>
      <c r="AS283" s="42">
        <f>VLOOKUP(A283,'[1]Chứng chỉ'!$B$8:$Q$1111,12,0)</f>
        <v>0</v>
      </c>
      <c r="AT283" s="47">
        <f>VLOOKUP(A283,'[1]Chứng chỉ'!$B$8:$Q$1111,13,0)</f>
        <v>0</v>
      </c>
      <c r="AU283" s="42">
        <f>VLOOKUP(A283,'[1]Chứng chỉ'!$B$8:$Q$1111,14,0)</f>
        <v>0</v>
      </c>
      <c r="AV283" s="42">
        <f>VLOOKUP(A283,'[1]Chứng chỉ'!$B$8:$Q$1111,15,0)</f>
        <v>0</v>
      </c>
      <c r="AW283" s="42">
        <f>VLOOKUP(A283,'[1]Chứng chỉ'!$B$8:$Q$1111,16,0)</f>
        <v>0</v>
      </c>
      <c r="AX283" s="42"/>
      <c r="AY283" s="57" t="s">
        <v>85</v>
      </c>
      <c r="AZ283" s="65">
        <v>40660</v>
      </c>
      <c r="BA283" s="74" t="e">
        <f t="shared" si="113"/>
        <v>#REF!</v>
      </c>
      <c r="BB283" s="74" t="e">
        <f t="shared" si="114"/>
        <v>#REF!</v>
      </c>
      <c r="BC283" s="79" t="s">
        <v>114</v>
      </c>
      <c r="BD283" s="64"/>
    </row>
    <row r="284" spans="1:56" ht="51" x14ac:dyDescent="0.3">
      <c r="A284" s="41" t="s">
        <v>2138</v>
      </c>
      <c r="B284" s="42">
        <f t="shared" si="110"/>
        <v>278</v>
      </c>
      <c r="C284" s="68" t="s">
        <v>2139</v>
      </c>
      <c r="D284" s="41" t="s">
        <v>2138</v>
      </c>
      <c r="E284" s="61">
        <v>1506002946</v>
      </c>
      <c r="F284" s="64"/>
      <c r="G284" s="49" t="s">
        <v>2140</v>
      </c>
      <c r="H284" s="76"/>
      <c r="I284" s="76">
        <v>29828</v>
      </c>
      <c r="J284" s="66">
        <f t="shared" ca="1" si="118"/>
        <v>44</v>
      </c>
      <c r="K284" s="75" t="s">
        <v>2141</v>
      </c>
      <c r="L284" s="41" t="s">
        <v>2142</v>
      </c>
      <c r="M284" s="53" t="s">
        <v>67</v>
      </c>
      <c r="N284" s="66"/>
      <c r="O284" s="53"/>
      <c r="P284" s="49" t="s">
        <v>108</v>
      </c>
      <c r="Q284" s="49" t="s">
        <v>94</v>
      </c>
      <c r="R284" s="49"/>
      <c r="S284" s="49" t="s">
        <v>460</v>
      </c>
      <c r="T284" s="49" t="s">
        <v>108</v>
      </c>
      <c r="U284" s="49" t="s">
        <v>94</v>
      </c>
      <c r="V284" s="49" t="str">
        <f t="shared" si="112"/>
        <v>Thị trấn Cao Lộc, Huyện Cao Lộc, Tỉnh Lạng Sơn</v>
      </c>
      <c r="W284" s="55" t="s">
        <v>146</v>
      </c>
      <c r="X284" s="41"/>
      <c r="Y284" s="41"/>
      <c r="Z284" s="41"/>
      <c r="AA284" s="68">
        <f>VLOOKUP(A284,'[1]DANH SÁCH'!$B$8:$AD$841,12,0)</f>
        <v>0</v>
      </c>
      <c r="AB284" s="49" t="str">
        <f>VLOOKUP(A284,'[1]DANH SÁCH'!$B$8:$H$841,6,0)</f>
        <v>TĐ011</v>
      </c>
      <c r="AC284" s="69" t="str">
        <f>VLOOKUP(A284,'[1]DANH SÁCH'!$B$8:$J$841,9,0)</f>
        <v>Tai mũi họng</v>
      </c>
      <c r="AD284" s="69" t="str">
        <f>VLOOKUP(A284,'[1]DANH SÁCH'!$B$8:$AC$841,10,0)</f>
        <v>KP022</v>
      </c>
      <c r="AE284" s="69" t="str">
        <f>VLOOKUP(A284,'[1]DANH SÁCH'!$B$8:$AD$841,13,0)</f>
        <v>Viên chức</v>
      </c>
      <c r="AF284" s="41" t="s">
        <v>147</v>
      </c>
      <c r="AG284" s="42" t="str">
        <f>VLOOKUP(A284,'[1]DANH SÁCH'!$B$8:$H$841,7,0)</f>
        <v>Điều dưỡng (hạng III)</v>
      </c>
      <c r="AH284" s="45">
        <v>3.66</v>
      </c>
      <c r="AI284" s="42">
        <v>5</v>
      </c>
      <c r="AJ284" s="70">
        <v>0</v>
      </c>
      <c r="AK284" s="69">
        <v>45383</v>
      </c>
      <c r="AL284" s="71" t="s">
        <v>80</v>
      </c>
      <c r="AM284" s="53" t="str">
        <f>VLOOKUP(A284,'[1]DANH SÁCH'!$B$8:$F$841,5,0)</f>
        <v>Điều dưỡng ĐH</v>
      </c>
      <c r="AN284" s="53"/>
      <c r="AO284" s="53" t="s">
        <v>2143</v>
      </c>
      <c r="AP284" s="53">
        <v>2004</v>
      </c>
      <c r="AQ284" s="72" t="s">
        <v>113</v>
      </c>
      <c r="AR284" s="42">
        <f>VLOOKUP(A284,'[1]Chứng chỉ'!$B$8:$Q$1111,11,0)</f>
        <v>0</v>
      </c>
      <c r="AS284" s="42">
        <f>VLOOKUP(A284,'[1]Chứng chỉ'!$B$8:$Q$1111,12,0)</f>
        <v>0</v>
      </c>
      <c r="AT284" s="47">
        <f>VLOOKUP(A284,'[1]Chứng chỉ'!$B$8:$Q$1111,13,0)</f>
        <v>0</v>
      </c>
      <c r="AU284" s="42" t="str">
        <f>VLOOKUP(A284,'[1]Chứng chỉ'!$B$8:$Q$1111,14,0)</f>
        <v>Anh B</v>
      </c>
      <c r="AV284" s="42">
        <f>VLOOKUP(A284,'[1]Chứng chỉ'!$B$8:$Q$1111,15,0)</f>
        <v>0</v>
      </c>
      <c r="AW284" s="42" t="str">
        <f>VLOOKUP(A284,'[1]Chứng chỉ'!$B$8:$Q$1111,16,0)</f>
        <v>Tin B</v>
      </c>
      <c r="AX284" s="42"/>
      <c r="AY284" s="57" t="s">
        <v>85</v>
      </c>
      <c r="AZ284" s="65">
        <v>41362</v>
      </c>
      <c r="BA284" s="74" t="e">
        <f t="shared" si="113"/>
        <v>#REF!</v>
      </c>
      <c r="BB284" s="74" t="e">
        <f t="shared" si="114"/>
        <v>#REF!</v>
      </c>
      <c r="BC284" s="41" t="s">
        <v>128</v>
      </c>
      <c r="BD284" s="42"/>
    </row>
    <row r="285" spans="1:56" ht="51" x14ac:dyDescent="0.3">
      <c r="A285" s="41" t="s">
        <v>2144</v>
      </c>
      <c r="B285" s="42">
        <f t="shared" si="110"/>
        <v>279</v>
      </c>
      <c r="C285" s="68" t="s">
        <v>2145</v>
      </c>
      <c r="D285" s="41" t="s">
        <v>2144</v>
      </c>
      <c r="E285" s="61">
        <v>2009000944</v>
      </c>
      <c r="F285" s="64"/>
      <c r="G285" s="49" t="s">
        <v>2146</v>
      </c>
      <c r="H285" s="76"/>
      <c r="I285" s="76">
        <v>31374</v>
      </c>
      <c r="J285" s="66">
        <f t="shared" ca="1" si="118"/>
        <v>40</v>
      </c>
      <c r="K285" s="75" t="s">
        <v>2147</v>
      </c>
      <c r="L285" s="41" t="s">
        <v>2148</v>
      </c>
      <c r="M285" s="53" t="s">
        <v>67</v>
      </c>
      <c r="N285" s="66"/>
      <c r="O285" s="53" t="s">
        <v>619</v>
      </c>
      <c r="P285" s="49" t="s">
        <v>108</v>
      </c>
      <c r="Q285" s="49" t="s">
        <v>94</v>
      </c>
      <c r="R285" s="49"/>
      <c r="S285" s="49" t="s">
        <v>619</v>
      </c>
      <c r="T285" s="49" t="s">
        <v>108</v>
      </c>
      <c r="U285" s="49" t="s">
        <v>94</v>
      </c>
      <c r="V285" s="49" t="str">
        <f t="shared" si="112"/>
        <v>Xã Hợp Thành, Huyện Cao Lộc, Tỉnh Lạng Sơn</v>
      </c>
      <c r="W285" s="55" t="s">
        <v>678</v>
      </c>
      <c r="X285" s="41"/>
      <c r="Y285" s="41"/>
      <c r="Z285" s="41"/>
      <c r="AA285" s="68">
        <f>VLOOKUP(A285,'[1]DANH SÁCH'!$B$8:$AD$841,12,0)</f>
        <v>0</v>
      </c>
      <c r="AB285" s="49" t="str">
        <f>VLOOKUP(A285,'[1]DANH SÁCH'!$B$8:$H$841,6,0)</f>
        <v>TĐ012</v>
      </c>
      <c r="AC285" s="69" t="str">
        <f>VLOOKUP(A285,'[1]DANH SÁCH'!$B$8:$J$841,9,0)</f>
        <v>Tai mũi họng</v>
      </c>
      <c r="AD285" s="69" t="str">
        <f>VLOOKUP(A285,'[1]DANH SÁCH'!$B$8:$AC$841,10,0)</f>
        <v>KP022</v>
      </c>
      <c r="AE285" s="69" t="str">
        <f>VLOOKUP(A285,'[1]DANH SÁCH'!$B$8:$AD$841,13,0)</f>
        <v>Viên chức</v>
      </c>
      <c r="AF285" s="41" t="s">
        <v>157</v>
      </c>
      <c r="AG285" s="42" t="str">
        <f>VLOOKUP(A285,'[1]DANH SÁCH'!$B$8:$H$841,7,0)</f>
        <v>Điều dưỡng (hạng IV)</v>
      </c>
      <c r="AH285" s="45">
        <v>3.34</v>
      </c>
      <c r="AI285" s="42">
        <v>5</v>
      </c>
      <c r="AJ285" s="70">
        <v>0</v>
      </c>
      <c r="AK285" s="69">
        <v>44927</v>
      </c>
      <c r="AL285" s="71" t="s">
        <v>158</v>
      </c>
      <c r="AM285" s="53" t="str">
        <f>VLOOKUP(A285,'[1]DANH SÁCH'!$B$8:$F$841,5,0)</f>
        <v>Điều dưỡng CĐ</v>
      </c>
      <c r="AN285" s="53"/>
      <c r="AO285" s="53" t="s">
        <v>1093</v>
      </c>
      <c r="AP285" s="53">
        <v>2007</v>
      </c>
      <c r="AQ285" s="72" t="s">
        <v>113</v>
      </c>
      <c r="AR285" s="42">
        <f>VLOOKUP(A285,'[1]Chứng chỉ'!$B$8:$Q$1111,11,0)</f>
        <v>0</v>
      </c>
      <c r="AS285" s="42">
        <f>VLOOKUP(A285,'[1]Chứng chỉ'!$B$8:$Q$1111,12,0)</f>
        <v>0</v>
      </c>
      <c r="AT285" s="47">
        <f>VLOOKUP(A285,'[1]Chứng chỉ'!$B$8:$Q$1111,13,0)</f>
        <v>0</v>
      </c>
      <c r="AU285" s="42">
        <f>VLOOKUP(A285,'[1]Chứng chỉ'!$B$8:$Q$1111,14,0)</f>
        <v>0</v>
      </c>
      <c r="AV285" s="42">
        <f>VLOOKUP(A285,'[1]Chứng chỉ'!$B$8:$Q$1111,15,0)</f>
        <v>0</v>
      </c>
      <c r="AW285" s="42" t="str">
        <f>VLOOKUP(A285,'[1]Chứng chỉ'!$B$8:$Q$1111,16,0)</f>
        <v>Tin B</v>
      </c>
      <c r="AX285" s="42"/>
      <c r="AY285" s="57" t="s">
        <v>85</v>
      </c>
      <c r="AZ285" s="65"/>
      <c r="BA285" s="74" t="e">
        <f t="shared" si="113"/>
        <v>#REF!</v>
      </c>
      <c r="BB285" s="74" t="e">
        <f t="shared" si="114"/>
        <v>#REF!</v>
      </c>
      <c r="BC285" s="41" t="s">
        <v>128</v>
      </c>
      <c r="BD285" s="42"/>
    </row>
    <row r="286" spans="1:56" ht="51" x14ac:dyDescent="0.3">
      <c r="A286" s="41" t="s">
        <v>2149</v>
      </c>
      <c r="B286" s="42">
        <f t="shared" si="110"/>
        <v>280</v>
      </c>
      <c r="C286" s="68" t="s">
        <v>2150</v>
      </c>
      <c r="D286" s="41" t="s">
        <v>2149</v>
      </c>
      <c r="E286" s="61">
        <v>2009000928</v>
      </c>
      <c r="F286" s="64"/>
      <c r="G286" s="49" t="s">
        <v>2151</v>
      </c>
      <c r="H286" s="76"/>
      <c r="I286" s="76">
        <v>31984</v>
      </c>
      <c r="J286" s="66">
        <f t="shared" ca="1" si="118"/>
        <v>39</v>
      </c>
      <c r="K286" s="75" t="s">
        <v>2152</v>
      </c>
      <c r="L286" s="41" t="s">
        <v>2153</v>
      </c>
      <c r="M286" s="53" t="s">
        <v>67</v>
      </c>
      <c r="N286" s="66"/>
      <c r="O286" s="53"/>
      <c r="P286" s="49" t="s">
        <v>195</v>
      </c>
      <c r="Q286" s="49" t="s">
        <v>94</v>
      </c>
      <c r="R286" s="49"/>
      <c r="S286" s="49" t="s">
        <v>73</v>
      </c>
      <c r="T286" s="49" t="s">
        <v>97</v>
      </c>
      <c r="U286" s="49" t="s">
        <v>94</v>
      </c>
      <c r="V286" s="49" t="str">
        <f t="shared" si="112"/>
        <v>Phường Vĩnh Trại, Thành phố Lạng Sơn, Tỉnh Lạng Sơn</v>
      </c>
      <c r="W286" s="55" t="s">
        <v>98</v>
      </c>
      <c r="X286" s="41"/>
      <c r="Y286" s="41"/>
      <c r="Z286" s="41"/>
      <c r="AA286" s="68">
        <f>VLOOKUP(A286,'[1]DANH SÁCH'!$B$8:$AD$841,12,0)</f>
        <v>0</v>
      </c>
      <c r="AB286" s="49" t="str">
        <f>VLOOKUP(A286,'[1]DANH SÁCH'!$B$8:$H$841,6,0)</f>
        <v>TĐ012</v>
      </c>
      <c r="AC286" s="69" t="str">
        <f>VLOOKUP(A286,'[1]DANH SÁCH'!$B$8:$J$841,9,0)</f>
        <v>Tai mũi họng</v>
      </c>
      <c r="AD286" s="69" t="str">
        <f>VLOOKUP(A286,'[1]DANH SÁCH'!$B$8:$AC$841,10,0)</f>
        <v>KP022</v>
      </c>
      <c r="AE286" s="69" t="str">
        <f>VLOOKUP(A286,'[1]DANH SÁCH'!$B$8:$AD$841,13,0)</f>
        <v>Viên chức</v>
      </c>
      <c r="AF286" s="41" t="s">
        <v>157</v>
      </c>
      <c r="AG286" s="42" t="str">
        <f>VLOOKUP(A286,'[1]DANH SÁCH'!$B$8:$H$841,7,0)</f>
        <v>Điều dưỡng (hạng IV)</v>
      </c>
      <c r="AH286" s="45">
        <v>3.34</v>
      </c>
      <c r="AI286" s="42">
        <v>5</v>
      </c>
      <c r="AJ286" s="70">
        <v>0</v>
      </c>
      <c r="AK286" s="69">
        <v>44927</v>
      </c>
      <c r="AL286" s="71" t="s">
        <v>158</v>
      </c>
      <c r="AM286" s="53" t="str">
        <f>VLOOKUP(A286,'[1]DANH SÁCH'!$B$8:$F$841,5,0)</f>
        <v>Điều dưỡng CĐ</v>
      </c>
      <c r="AN286" s="53"/>
      <c r="AO286" s="53" t="s">
        <v>1093</v>
      </c>
      <c r="AP286" s="53">
        <v>2007</v>
      </c>
      <c r="AQ286" s="72" t="s">
        <v>113</v>
      </c>
      <c r="AR286" s="42">
        <f>VLOOKUP(A286,'[1]Chứng chỉ'!$B$8:$Q$1111,11,0)</f>
        <v>0</v>
      </c>
      <c r="AS286" s="42">
        <f>VLOOKUP(A286,'[1]Chứng chỉ'!$B$8:$Q$1111,12,0)</f>
        <v>0</v>
      </c>
      <c r="AT286" s="47">
        <f>VLOOKUP(A286,'[1]Chứng chỉ'!$B$8:$Q$1111,13,0)</f>
        <v>0</v>
      </c>
      <c r="AU286" s="42" t="str">
        <f>VLOOKUP(A286,'[1]Chứng chỉ'!$B$8:$Q$1111,14,0)</f>
        <v>Anh B</v>
      </c>
      <c r="AV286" s="42">
        <f>VLOOKUP(A286,'[1]Chứng chỉ'!$B$8:$Q$1111,15,0)</f>
        <v>0</v>
      </c>
      <c r="AW286" s="42" t="str">
        <f>VLOOKUP(A286,'[1]Chứng chỉ'!$B$8:$Q$1111,16,0)</f>
        <v>Tin B</v>
      </c>
      <c r="AX286" s="42"/>
      <c r="AY286" s="57" t="s">
        <v>127</v>
      </c>
      <c r="AZ286" s="65"/>
      <c r="BA286" s="74" t="e">
        <f t="shared" si="113"/>
        <v>#REF!</v>
      </c>
      <c r="BB286" s="74" t="e">
        <f t="shared" si="114"/>
        <v>#REF!</v>
      </c>
      <c r="BC286" s="41" t="s">
        <v>128</v>
      </c>
      <c r="BD286" s="42"/>
    </row>
    <row r="287" spans="1:56" ht="51" x14ac:dyDescent="0.3">
      <c r="A287" s="41" t="s">
        <v>2154</v>
      </c>
      <c r="B287" s="42">
        <f t="shared" si="110"/>
        <v>281</v>
      </c>
      <c r="C287" s="68" t="s">
        <v>2155</v>
      </c>
      <c r="D287" s="41" t="s">
        <v>2154</v>
      </c>
      <c r="E287" s="61">
        <v>2009002888</v>
      </c>
      <c r="F287" s="64"/>
      <c r="G287" s="49" t="s">
        <v>2156</v>
      </c>
      <c r="H287" s="76"/>
      <c r="I287" s="76">
        <v>31558</v>
      </c>
      <c r="J287" s="66">
        <f t="shared" ca="1" si="118"/>
        <v>40</v>
      </c>
      <c r="K287" s="75" t="s">
        <v>2157</v>
      </c>
      <c r="L287" s="41" t="s">
        <v>1370</v>
      </c>
      <c r="M287" s="53" t="s">
        <v>67</v>
      </c>
      <c r="N287" s="66"/>
      <c r="O287" s="53" t="s">
        <v>2158</v>
      </c>
      <c r="P287" s="49" t="s">
        <v>93</v>
      </c>
      <c r="Q287" s="49" t="s">
        <v>94</v>
      </c>
      <c r="R287" s="49" t="s">
        <v>2159</v>
      </c>
      <c r="S287" s="49" t="s">
        <v>136</v>
      </c>
      <c r="T287" s="49" t="s">
        <v>97</v>
      </c>
      <c r="U287" s="49" t="s">
        <v>94</v>
      </c>
      <c r="V287" s="49" t="str">
        <f t="shared" si="112"/>
        <v>Phường Chi Lăng, Thành phố Lạng Sơn, Tỉnh Lạng Sơn</v>
      </c>
      <c r="W287" s="55" t="s">
        <v>224</v>
      </c>
      <c r="X287" s="41"/>
      <c r="Y287" s="41"/>
      <c r="Z287" s="41"/>
      <c r="AA287" s="68">
        <f>VLOOKUP(A287,'[1]DANH SÁCH'!$B$8:$AD$841,12,0)</f>
        <v>0</v>
      </c>
      <c r="AB287" s="49" t="str">
        <f>VLOOKUP(A287,'[1]DANH SÁCH'!$B$8:$H$841,6,0)</f>
        <v>TĐ011</v>
      </c>
      <c r="AC287" s="69" t="str">
        <f>VLOOKUP(A287,'[1]DANH SÁCH'!$B$8:$J$841,9,0)</f>
        <v>Tai mũi họng</v>
      </c>
      <c r="AD287" s="69" t="str">
        <f>VLOOKUP(A287,'[1]DANH SÁCH'!$B$8:$AC$841,10,0)</f>
        <v>KP022</v>
      </c>
      <c r="AE287" s="69" t="str">
        <f>VLOOKUP(A287,'[1]DANH SÁCH'!$B$8:$AD$841,13,0)</f>
        <v>Viên chức</v>
      </c>
      <c r="AF287" s="41" t="s">
        <v>147</v>
      </c>
      <c r="AG287" s="42" t="str">
        <f>VLOOKUP(A287,'[1]DANH SÁCH'!$B$8:$H$841,7,0)</f>
        <v>Điều dưỡng (hạng III)</v>
      </c>
      <c r="AH287" s="45">
        <v>3.66</v>
      </c>
      <c r="AI287" s="42">
        <v>5</v>
      </c>
      <c r="AJ287" s="70">
        <v>0</v>
      </c>
      <c r="AK287" s="69">
        <v>45383</v>
      </c>
      <c r="AL287" s="71" t="s">
        <v>80</v>
      </c>
      <c r="AM287" s="53" t="str">
        <f>VLOOKUP(A287,'[1]DANH SÁCH'!$B$8:$F$841,5,0)</f>
        <v>Điều dưỡng ĐH</v>
      </c>
      <c r="AN287" s="53"/>
      <c r="AO287" s="53" t="s">
        <v>1093</v>
      </c>
      <c r="AP287" s="53">
        <v>2008</v>
      </c>
      <c r="AQ287" s="72" t="s">
        <v>113</v>
      </c>
      <c r="AR287" s="42">
        <f>VLOOKUP(A287,'[1]Chứng chỉ'!$B$8:$Q$1111,11,0)</f>
        <v>0</v>
      </c>
      <c r="AS287" s="42">
        <f>VLOOKUP(A287,'[1]Chứng chỉ'!$B$8:$Q$1111,12,0)</f>
        <v>0</v>
      </c>
      <c r="AT287" s="47">
        <f>VLOOKUP(A287,'[1]Chứng chỉ'!$B$8:$Q$1111,13,0)</f>
        <v>0</v>
      </c>
      <c r="AU287" s="42" t="str">
        <f>VLOOKUP(A287,'[1]Chứng chỉ'!$B$8:$Q$1111,14,0)</f>
        <v>TOEIC</v>
      </c>
      <c r="AV287" s="42">
        <f>VLOOKUP(A287,'[1]Chứng chỉ'!$B$8:$Q$1111,15,0)</f>
        <v>0</v>
      </c>
      <c r="AW287" s="42" t="str">
        <f>VLOOKUP(A287,'[1]Chứng chỉ'!$B$8:$Q$1111,16,0)</f>
        <v>Cơ bản</v>
      </c>
      <c r="AX287" s="42"/>
      <c r="AY287" s="57" t="s">
        <v>85</v>
      </c>
      <c r="AZ287" s="65">
        <v>43010</v>
      </c>
      <c r="BA287" s="74" t="e">
        <f t="shared" si="113"/>
        <v>#REF!</v>
      </c>
      <c r="BB287" s="74" t="e">
        <f t="shared" si="114"/>
        <v>#REF!</v>
      </c>
      <c r="BC287" s="41" t="s">
        <v>128</v>
      </c>
      <c r="BD287" s="42"/>
    </row>
    <row r="288" spans="1:56" ht="61.2" x14ac:dyDescent="0.3">
      <c r="A288" s="41" t="s">
        <v>2160</v>
      </c>
      <c r="B288" s="42">
        <f t="shared" si="110"/>
        <v>282</v>
      </c>
      <c r="C288" s="68" t="s">
        <v>2161</v>
      </c>
      <c r="D288" s="41" t="s">
        <v>2160</v>
      </c>
      <c r="E288" s="61">
        <v>1505002941</v>
      </c>
      <c r="F288" s="64"/>
      <c r="G288" s="49" t="s">
        <v>2162</v>
      </c>
      <c r="H288" s="76"/>
      <c r="I288" s="76">
        <v>25542</v>
      </c>
      <c r="J288" s="66">
        <f t="shared" ca="1" si="118"/>
        <v>56</v>
      </c>
      <c r="K288" s="75" t="s">
        <v>2163</v>
      </c>
      <c r="L288" s="41" t="s">
        <v>2164</v>
      </c>
      <c r="M288" s="53" t="s">
        <v>67</v>
      </c>
      <c r="N288" s="66"/>
      <c r="O288" s="85"/>
      <c r="P288" s="49" t="s">
        <v>195</v>
      </c>
      <c r="Q288" s="76" t="s">
        <v>94</v>
      </c>
      <c r="R288" s="49"/>
      <c r="S288" s="76" t="s">
        <v>96</v>
      </c>
      <c r="T288" s="76" t="s">
        <v>97</v>
      </c>
      <c r="U288" s="76" t="s">
        <v>94</v>
      </c>
      <c r="V288" s="49" t="str">
        <f t="shared" si="112"/>
        <v>Phường Hoàng Văn Thụ, Thành phố Lạng Sơn, Tỉnh Lạng Sơn</v>
      </c>
      <c r="W288" s="55" t="s">
        <v>2165</v>
      </c>
      <c r="X288" s="41"/>
      <c r="Y288" s="41"/>
      <c r="Z288" s="41"/>
      <c r="AA288" s="68">
        <f>VLOOKUP(A288,'[1]DANH SÁCH'!$B$8:$AD$841,12,0)</f>
        <v>0</v>
      </c>
      <c r="AB288" s="49" t="str">
        <f>VLOOKUP(A288,'[1]DANH SÁCH'!$B$8:$H$841,6,0)</f>
        <v>TĐ012</v>
      </c>
      <c r="AC288" s="69" t="str">
        <f>VLOOKUP(A288,'[1]DANH SÁCH'!$B$8:$J$841,9,0)</f>
        <v>Tai mũi họng</v>
      </c>
      <c r="AD288" s="69" t="str">
        <f>VLOOKUP(A288,'[1]DANH SÁCH'!$B$8:$AC$841,10,0)</f>
        <v>KP022</v>
      </c>
      <c r="AE288" s="69" t="str">
        <f>VLOOKUP(A288,'[1]DANH SÁCH'!$B$8:$AD$841,13,0)</f>
        <v>Viên chức</v>
      </c>
      <c r="AF288" s="41" t="s">
        <v>157</v>
      </c>
      <c r="AG288" s="42" t="str">
        <f>VLOOKUP(A288,'[1]DANH SÁCH'!$B$8:$H$841,7,0)</f>
        <v>Điều dưỡng (hạng IV)</v>
      </c>
      <c r="AH288" s="45">
        <v>3.34</v>
      </c>
      <c r="AI288" s="42">
        <v>5</v>
      </c>
      <c r="AJ288" s="70">
        <v>0</v>
      </c>
      <c r="AK288" s="69">
        <v>44896</v>
      </c>
      <c r="AL288" s="71" t="s">
        <v>158</v>
      </c>
      <c r="AM288" s="53" t="str">
        <f>VLOOKUP(A288,'[1]DANH SÁCH'!$B$8:$F$841,5,0)</f>
        <v>Điều dưỡng CĐ</v>
      </c>
      <c r="AN288" s="53"/>
      <c r="AO288" s="53" t="s">
        <v>2143</v>
      </c>
      <c r="AP288" s="53">
        <v>2004</v>
      </c>
      <c r="AQ288" s="72" t="s">
        <v>113</v>
      </c>
      <c r="AR288" s="42">
        <f>VLOOKUP(A288,'[1]Chứng chỉ'!$B$8:$Q$1111,11,0)</f>
        <v>0</v>
      </c>
      <c r="AS288" s="42">
        <f>VLOOKUP(A288,'[1]Chứng chỉ'!$B$8:$Q$1111,12,0)</f>
        <v>0</v>
      </c>
      <c r="AT288" s="47">
        <f>VLOOKUP(A288,'[1]Chứng chỉ'!$B$8:$Q$1111,13,0)</f>
        <v>0</v>
      </c>
      <c r="AU288" s="42">
        <f>VLOOKUP(A288,'[1]Chứng chỉ'!$B$8:$Q$1111,14,0)</f>
        <v>0</v>
      </c>
      <c r="AV288" s="42">
        <f>VLOOKUP(A288,'[1]Chứng chỉ'!$B$8:$Q$1111,15,0)</f>
        <v>0</v>
      </c>
      <c r="AW288" s="42">
        <f>VLOOKUP(A288,'[1]Chứng chỉ'!$B$8:$Q$1111,16,0)</f>
        <v>0</v>
      </c>
      <c r="AX288" s="42"/>
      <c r="AY288" s="57" t="s">
        <v>87</v>
      </c>
      <c r="AZ288" s="65"/>
      <c r="BA288" s="74" t="e">
        <f t="shared" si="113"/>
        <v>#REF!</v>
      </c>
      <c r="BB288" s="74" t="e">
        <f t="shared" si="114"/>
        <v>#REF!</v>
      </c>
      <c r="BC288" s="41" t="s">
        <v>128</v>
      </c>
      <c r="BD288" s="42"/>
    </row>
    <row r="289" spans="1:56" ht="51" x14ac:dyDescent="0.3">
      <c r="A289" s="41" t="s">
        <v>2166</v>
      </c>
      <c r="B289" s="42">
        <f t="shared" si="110"/>
        <v>283</v>
      </c>
      <c r="C289" s="68" t="s">
        <v>2167</v>
      </c>
      <c r="D289" s="41" t="s">
        <v>2166</v>
      </c>
      <c r="E289" s="61">
        <v>1506002947</v>
      </c>
      <c r="F289" s="64"/>
      <c r="G289" s="49" t="s">
        <v>2168</v>
      </c>
      <c r="H289" s="76"/>
      <c r="I289" s="76">
        <v>30014</v>
      </c>
      <c r="J289" s="66">
        <f t="shared" ca="1" si="118"/>
        <v>44</v>
      </c>
      <c r="K289" s="75" t="s">
        <v>2169</v>
      </c>
      <c r="L289" s="41" t="s">
        <v>437</v>
      </c>
      <c r="M289" s="53" t="s">
        <v>67</v>
      </c>
      <c r="N289" s="66"/>
      <c r="O289" s="53"/>
      <c r="P289" s="49" t="s">
        <v>195</v>
      </c>
      <c r="Q289" s="49" t="s">
        <v>94</v>
      </c>
      <c r="R289" s="49"/>
      <c r="S289" s="49" t="s">
        <v>214</v>
      </c>
      <c r="T289" s="49" t="s">
        <v>97</v>
      </c>
      <c r="U289" s="49" t="s">
        <v>94</v>
      </c>
      <c r="V289" s="49" t="str">
        <f t="shared" si="112"/>
        <v>Xã Hoàng Đồng, Thành phố Lạng Sơn, Tỉnh Lạng Sơn</v>
      </c>
      <c r="W289" s="55" t="s">
        <v>146</v>
      </c>
      <c r="X289" s="41"/>
      <c r="Y289" s="41"/>
      <c r="Z289" s="41"/>
      <c r="AA289" s="68">
        <f>VLOOKUP(A289,'[1]DANH SÁCH'!$B$8:$AD$841,12,0)</f>
        <v>0</v>
      </c>
      <c r="AB289" s="49" t="str">
        <f>VLOOKUP(A289,'[1]DANH SÁCH'!$B$8:$H$841,6,0)</f>
        <v>TĐ012</v>
      </c>
      <c r="AC289" s="69" t="str">
        <f>VLOOKUP(A289,'[1]DANH SÁCH'!$B$8:$J$841,9,0)</f>
        <v>Tai mũi họng</v>
      </c>
      <c r="AD289" s="69" t="str">
        <f>VLOOKUP(A289,'[1]DANH SÁCH'!$B$8:$AC$841,10,0)</f>
        <v>KP022</v>
      </c>
      <c r="AE289" s="69" t="str">
        <f>VLOOKUP(A289,'[1]DANH SÁCH'!$B$8:$AD$841,13,0)</f>
        <v>Viên chức</v>
      </c>
      <c r="AF289" s="41" t="s">
        <v>157</v>
      </c>
      <c r="AG289" s="42" t="str">
        <f>VLOOKUP(A289,'[1]DANH SÁCH'!$B$8:$H$841,7,0)</f>
        <v>Điều dưỡng (hạng IV)</v>
      </c>
      <c r="AH289" s="45">
        <v>3.65</v>
      </c>
      <c r="AI289" s="42">
        <v>6</v>
      </c>
      <c r="AJ289" s="70">
        <v>0</v>
      </c>
      <c r="AK289" s="69">
        <v>45231</v>
      </c>
      <c r="AL289" s="71" t="s">
        <v>158</v>
      </c>
      <c r="AM289" s="53" t="str">
        <f>VLOOKUP(A289,'[1]DANH SÁCH'!$B$8:$F$841,5,0)</f>
        <v>Điều dưỡng CĐ</v>
      </c>
      <c r="AN289" s="53"/>
      <c r="AO289" s="53" t="s">
        <v>2143</v>
      </c>
      <c r="AP289" s="53">
        <v>2005</v>
      </c>
      <c r="AQ289" s="72" t="s">
        <v>113</v>
      </c>
      <c r="AR289" s="42">
        <f>VLOOKUP(A289,'[1]Chứng chỉ'!$B$8:$Q$1111,11,0)</f>
        <v>0</v>
      </c>
      <c r="AS289" s="42">
        <f>VLOOKUP(A289,'[1]Chứng chỉ'!$B$8:$Q$1111,12,0)</f>
        <v>0</v>
      </c>
      <c r="AT289" s="47">
        <f>VLOOKUP(A289,'[1]Chứng chỉ'!$B$8:$Q$1111,13,0)</f>
        <v>0</v>
      </c>
      <c r="AU289" s="42" t="str">
        <f>VLOOKUP(A289,'[1]Chứng chỉ'!$B$8:$Q$1111,14,0)</f>
        <v>Anh A</v>
      </c>
      <c r="AV289" s="42" t="str">
        <f>VLOOKUP(A289,'[1]Chứng chỉ'!$B$8:$Q$1111,15,0)</f>
        <v>Tày</v>
      </c>
      <c r="AW289" s="42" t="str">
        <f>VLOOKUP(A289,'[1]Chứng chỉ'!$B$8:$Q$1111,16,0)</f>
        <v>Tin A</v>
      </c>
      <c r="AX289" s="42"/>
      <c r="AY289" s="57" t="s">
        <v>85</v>
      </c>
      <c r="AZ289" s="65">
        <v>41396</v>
      </c>
      <c r="BA289" s="74" t="e">
        <f t="shared" si="113"/>
        <v>#REF!</v>
      </c>
      <c r="BB289" s="74" t="e">
        <f t="shared" si="114"/>
        <v>#REF!</v>
      </c>
      <c r="BC289" s="41" t="s">
        <v>1731</v>
      </c>
      <c r="BD289" s="42"/>
    </row>
    <row r="290" spans="1:56" ht="61.2" x14ac:dyDescent="0.3">
      <c r="A290" s="41" t="s">
        <v>2170</v>
      </c>
      <c r="B290" s="42">
        <f t="shared" si="110"/>
        <v>284</v>
      </c>
      <c r="C290" s="68" t="s">
        <v>2171</v>
      </c>
      <c r="D290" s="41" t="s">
        <v>2170</v>
      </c>
      <c r="E290" s="61">
        <v>1596007559</v>
      </c>
      <c r="F290" s="64"/>
      <c r="G290" s="49" t="s">
        <v>2172</v>
      </c>
      <c r="H290" s="76">
        <v>25776</v>
      </c>
      <c r="I290" s="76" t="s">
        <v>2173</v>
      </c>
      <c r="J290" s="66">
        <f t="shared" ref="J290:J292" ca="1" si="119">INT(DATEDIF(H290,$J$2,"d")/365)</f>
        <v>56</v>
      </c>
      <c r="K290" s="75" t="s">
        <v>2174</v>
      </c>
      <c r="L290" s="41" t="s">
        <v>2175</v>
      </c>
      <c r="M290" s="53" t="s">
        <v>67</v>
      </c>
      <c r="N290" s="66"/>
      <c r="O290" s="53"/>
      <c r="P290" s="49" t="s">
        <v>2176</v>
      </c>
      <c r="Q290" s="49" t="s">
        <v>733</v>
      </c>
      <c r="R290" s="49"/>
      <c r="S290" s="49" t="s">
        <v>166</v>
      </c>
      <c r="T290" s="49" t="s">
        <v>97</v>
      </c>
      <c r="U290" s="49" t="s">
        <v>94</v>
      </c>
      <c r="V290" s="49" t="str">
        <f t="shared" si="112"/>
        <v>Phường Tam Thanh, Thành phố Lạng Sơn, Tỉnh Lạng Sơn</v>
      </c>
      <c r="W290" s="55" t="s">
        <v>482</v>
      </c>
      <c r="X290" s="41"/>
      <c r="Y290" s="41"/>
      <c r="Z290" s="41"/>
      <c r="AA290" s="68" t="str">
        <f>VLOOKUP(A290,'[1]DANH SÁCH'!$B$8:$AD$841,12,0)</f>
        <v>Trưởng khoa</v>
      </c>
      <c r="AB290" s="49" t="str">
        <f>VLOOKUP(A290,'[1]DANH SÁCH'!$B$8:$H$841,6,0)</f>
        <v>TĐ001</v>
      </c>
      <c r="AC290" s="69" t="str">
        <f>VLOOKUP(A290,'[1]DANH SÁCH'!$B$8:$J$841,9,0)</f>
        <v>Mắt</v>
      </c>
      <c r="AD290" s="69" t="str">
        <f>VLOOKUP(A290,'[1]DANH SÁCH'!$B$8:$AC$841,10,0)</f>
        <v>KP023</v>
      </c>
      <c r="AE290" s="69" t="str">
        <f>VLOOKUP(A290,'[1]DANH SÁCH'!$B$8:$AD$841,13,0)</f>
        <v>Viên chức</v>
      </c>
      <c r="AF290" s="41" t="s">
        <v>79</v>
      </c>
      <c r="AG290" s="42" t="str">
        <f>VLOOKUP(A290,'[1]DANH SÁCH'!$B$8:$H$841,7,0)</f>
        <v>Bác sĩ chính (hạng II)</v>
      </c>
      <c r="AH290" s="45">
        <v>6.1</v>
      </c>
      <c r="AI290" s="42">
        <v>6</v>
      </c>
      <c r="AJ290" s="70">
        <v>0</v>
      </c>
      <c r="AK290" s="69">
        <v>45839</v>
      </c>
      <c r="AL290" s="71" t="s">
        <v>80</v>
      </c>
      <c r="AM290" s="53" t="str">
        <f>VLOOKUP(A290,'[1]DANH SÁCH'!$B$8:$F$841,5,0)</f>
        <v>BSCKII</v>
      </c>
      <c r="AN290" s="53" t="s">
        <v>2177</v>
      </c>
      <c r="AO290" s="53" t="s">
        <v>1804</v>
      </c>
      <c r="AP290" s="53">
        <v>2017</v>
      </c>
      <c r="AQ290" s="72" t="s">
        <v>113</v>
      </c>
      <c r="AR290" s="42" t="s">
        <v>82</v>
      </c>
      <c r="AS290" s="42" t="s">
        <v>100</v>
      </c>
      <c r="AT290" s="47" t="s">
        <v>139</v>
      </c>
      <c r="AU290" s="42" t="str">
        <f>VLOOKUP(A290,'[1]Chứng chỉ'!$B$8:$Q$1111,14,0)</f>
        <v>Anh B</v>
      </c>
      <c r="AV290" s="42" t="str">
        <f>VLOOKUP(A290,'[1]Chứng chỉ'!$B$8:$Q$1111,15,0)</f>
        <v>x</v>
      </c>
      <c r="AW290" s="42" t="str">
        <f>VLOOKUP(A290,'[1]Chứng chỉ'!$B$8:$Q$1111,16,0)</f>
        <v>Tin A</v>
      </c>
      <c r="AX290" s="42"/>
      <c r="AY290" s="57" t="s">
        <v>87</v>
      </c>
      <c r="AZ290" s="65">
        <v>34854</v>
      </c>
      <c r="BA290" s="74" t="e">
        <f t="shared" si="113"/>
        <v>#REF!</v>
      </c>
      <c r="BB290" s="74" t="e">
        <f t="shared" si="114"/>
        <v>#REF!</v>
      </c>
      <c r="BC290" s="41" t="s">
        <v>128</v>
      </c>
      <c r="BD290" s="42"/>
    </row>
    <row r="291" spans="1:56" ht="61.2" x14ac:dyDescent="0.3">
      <c r="A291" s="41" t="s">
        <v>2178</v>
      </c>
      <c r="B291" s="42">
        <f t="shared" si="110"/>
        <v>285</v>
      </c>
      <c r="C291" s="68" t="s">
        <v>2179</v>
      </c>
      <c r="D291" s="41" t="s">
        <v>2178</v>
      </c>
      <c r="E291" s="61">
        <v>1596004106</v>
      </c>
      <c r="F291" s="64"/>
      <c r="G291" s="49" t="s">
        <v>2180</v>
      </c>
      <c r="H291" s="76">
        <v>24149</v>
      </c>
      <c r="I291" s="76"/>
      <c r="J291" s="66">
        <f t="shared" ca="1" si="119"/>
        <v>60</v>
      </c>
      <c r="K291" s="75" t="s">
        <v>2181</v>
      </c>
      <c r="L291" s="41" t="s">
        <v>2182</v>
      </c>
      <c r="M291" s="53" t="s">
        <v>67</v>
      </c>
      <c r="N291" s="66"/>
      <c r="O291" s="53"/>
      <c r="P291" s="49" t="s">
        <v>195</v>
      </c>
      <c r="Q291" s="49" t="s">
        <v>94</v>
      </c>
      <c r="R291" s="49"/>
      <c r="S291" s="49" t="s">
        <v>124</v>
      </c>
      <c r="T291" s="49" t="s">
        <v>97</v>
      </c>
      <c r="U291" s="49" t="s">
        <v>94</v>
      </c>
      <c r="V291" s="49" t="str">
        <f t="shared" si="112"/>
        <v>Phường Đông Kinh, Thành phố Lạng Sơn, Tỉnh Lạng Sơn</v>
      </c>
      <c r="W291" s="55" t="s">
        <v>2183</v>
      </c>
      <c r="X291" s="41"/>
      <c r="Y291" s="41"/>
      <c r="Z291" s="41"/>
      <c r="AA291" s="68">
        <f>VLOOKUP(A291,'[1]DANH SÁCH'!$B$8:$AD$841,12,0)</f>
        <v>0</v>
      </c>
      <c r="AB291" s="49" t="str">
        <f>VLOOKUP(A291,'[1]DANH SÁCH'!$B$8:$H$841,6,0)</f>
        <v>TĐ003</v>
      </c>
      <c r="AC291" s="69" t="str">
        <f>VLOOKUP(A291,'[1]DANH SÁCH'!$B$8:$J$841,9,0)</f>
        <v>Mắt</v>
      </c>
      <c r="AD291" s="69" t="str">
        <f>VLOOKUP(A291,'[1]DANH SÁCH'!$B$8:$AC$841,10,0)</f>
        <v>KP023</v>
      </c>
      <c r="AE291" s="69" t="str">
        <f>VLOOKUP(A291,'[1]DANH SÁCH'!$B$8:$AD$841,13,0)</f>
        <v>Viên chức</v>
      </c>
      <c r="AF291" s="41" t="s">
        <v>79</v>
      </c>
      <c r="AG291" s="42" t="str">
        <f>VLOOKUP(A291,'[1]DANH SÁCH'!$B$8:$H$841,7,0)</f>
        <v>Bác sĩ chính (hạng II)</v>
      </c>
      <c r="AH291" s="45">
        <v>6.1</v>
      </c>
      <c r="AI291" s="42">
        <v>6</v>
      </c>
      <c r="AJ291" s="70">
        <v>0</v>
      </c>
      <c r="AK291" s="69">
        <v>45992</v>
      </c>
      <c r="AL291" s="71" t="s">
        <v>80</v>
      </c>
      <c r="AM291" s="53" t="str">
        <f>VLOOKUP(A291,'[1]DANH SÁCH'!$B$8:$F$841,5,0)</f>
        <v>BSCKI</v>
      </c>
      <c r="AN291" s="53" t="s">
        <v>2177</v>
      </c>
      <c r="AO291" s="53"/>
      <c r="AP291" s="53"/>
      <c r="AQ291" s="72" t="s">
        <v>113</v>
      </c>
      <c r="AR291" s="42">
        <f>VLOOKUP(A291,'[1]Chứng chỉ'!$B$8:$Q$1111,11,0)</f>
        <v>0</v>
      </c>
      <c r="AS291" s="42">
        <f>VLOOKUP(A291,'[1]Chứng chỉ'!$B$8:$Q$1111,12,0)</f>
        <v>0</v>
      </c>
      <c r="AT291" s="47">
        <f>VLOOKUP(A291,'[1]Chứng chỉ'!$B$8:$Q$1111,13,0)</f>
        <v>0</v>
      </c>
      <c r="AU291" s="42" t="str">
        <f>VLOOKUP(A291,'[1]Chứng chỉ'!$B$8:$Q$1111,14,0)</f>
        <v>Anh B</v>
      </c>
      <c r="AV291" s="42" t="str">
        <f>VLOOKUP(A291,'[1]Chứng chỉ'!$B$8:$Q$1111,15,0)</f>
        <v>Tày</v>
      </c>
      <c r="AW291" s="42" t="str">
        <f>VLOOKUP(A291,'[1]Chứng chỉ'!$B$8:$Q$1111,16,0)</f>
        <v>B</v>
      </c>
      <c r="AX291" s="42" t="s">
        <v>2184</v>
      </c>
      <c r="AY291" s="57" t="s">
        <v>85</v>
      </c>
      <c r="AZ291" s="65">
        <v>40660</v>
      </c>
      <c r="BA291" s="74" t="e">
        <f t="shared" si="113"/>
        <v>#REF!</v>
      </c>
      <c r="BB291" s="74" t="e">
        <f t="shared" si="114"/>
        <v>#REF!</v>
      </c>
      <c r="BC291" s="41"/>
      <c r="BD291" s="42"/>
    </row>
    <row r="292" spans="1:56" ht="61.2" x14ac:dyDescent="0.3">
      <c r="A292" s="41" t="s">
        <v>2185</v>
      </c>
      <c r="B292" s="42">
        <f t="shared" si="110"/>
        <v>286</v>
      </c>
      <c r="C292" s="68" t="s">
        <v>2186</v>
      </c>
      <c r="D292" s="41" t="s">
        <v>2185</v>
      </c>
      <c r="E292" s="61">
        <v>1504000548</v>
      </c>
      <c r="F292" s="64"/>
      <c r="G292" s="49" t="s">
        <v>2187</v>
      </c>
      <c r="H292" s="76">
        <v>28390</v>
      </c>
      <c r="I292" s="76"/>
      <c r="J292" s="66">
        <f t="shared" ca="1" si="119"/>
        <v>48</v>
      </c>
      <c r="K292" s="75" t="s">
        <v>2188</v>
      </c>
      <c r="L292" s="41" t="s">
        <v>2189</v>
      </c>
      <c r="M292" s="53" t="s">
        <v>67</v>
      </c>
      <c r="N292" s="66"/>
      <c r="O292" s="53" t="s">
        <v>972</v>
      </c>
      <c r="P292" s="49" t="s">
        <v>222</v>
      </c>
      <c r="Q292" s="49" t="s">
        <v>94</v>
      </c>
      <c r="R292" s="49"/>
      <c r="S292" s="49" t="s">
        <v>166</v>
      </c>
      <c r="T292" s="49" t="s">
        <v>97</v>
      </c>
      <c r="U292" s="49" t="s">
        <v>94</v>
      </c>
      <c r="V292" s="49" t="str">
        <f t="shared" si="112"/>
        <v>Phường Tam Thanh, Thành phố Lạng Sơn, Tỉnh Lạng Sơn</v>
      </c>
      <c r="W292" s="55" t="s">
        <v>125</v>
      </c>
      <c r="X292" s="41"/>
      <c r="Y292" s="41"/>
      <c r="Z292" s="41"/>
      <c r="AA292" s="68" t="str">
        <f>VLOOKUP(A292,'[1]DANH SÁCH'!$B$8:$AD$841,12,0)</f>
        <v>Phó trưởng khoa</v>
      </c>
      <c r="AB292" s="49" t="str">
        <f>VLOOKUP(A292,'[1]DANH SÁCH'!$B$8:$H$841,6,0)</f>
        <v>TĐ001</v>
      </c>
      <c r="AC292" s="69" t="str">
        <f>VLOOKUP(A292,'[1]DANH SÁCH'!$B$8:$J$841,9,0)</f>
        <v>Mắt</v>
      </c>
      <c r="AD292" s="69" t="str">
        <f>VLOOKUP(A292,'[1]DANH SÁCH'!$B$8:$AC$841,10,0)</f>
        <v>KP023</v>
      </c>
      <c r="AE292" s="69" t="str">
        <f>VLOOKUP(A292,'[1]DANH SÁCH'!$B$8:$AD$841,13,0)</f>
        <v>Viên chức</v>
      </c>
      <c r="AF292" s="41" t="s">
        <v>79</v>
      </c>
      <c r="AG292" s="42" t="str">
        <f>VLOOKUP(A292,'[1]DANH SÁCH'!$B$8:$H$841,7,0)</f>
        <v>Bác sĩ chính (hạng II)</v>
      </c>
      <c r="AH292" s="45">
        <v>5.08</v>
      </c>
      <c r="AI292" s="42">
        <v>3</v>
      </c>
      <c r="AJ292" s="70">
        <v>0</v>
      </c>
      <c r="AK292" s="69">
        <v>45292</v>
      </c>
      <c r="AL292" s="71" t="s">
        <v>80</v>
      </c>
      <c r="AM292" s="53" t="str">
        <f>VLOOKUP(A292,'[1]DANH SÁCH'!$B$8:$F$841,5,0)</f>
        <v>BSCKII</v>
      </c>
      <c r="AN292" s="53" t="s">
        <v>2177</v>
      </c>
      <c r="AO292" s="53" t="s">
        <v>1804</v>
      </c>
      <c r="AP292" s="53">
        <v>2011</v>
      </c>
      <c r="AQ292" s="72" t="s">
        <v>113</v>
      </c>
      <c r="AR292" s="42" t="s">
        <v>82</v>
      </c>
      <c r="AS292" s="42" t="s">
        <v>100</v>
      </c>
      <c r="AT292" s="47">
        <f>VLOOKUP(A292,'[1]Chứng chỉ'!$B$8:$Q$1111,13,0)</f>
        <v>0</v>
      </c>
      <c r="AU292" s="42" t="str">
        <f>VLOOKUP(A292,'[1]Chứng chỉ'!$B$8:$Q$1111,14,0)</f>
        <v>Tiếng anh C</v>
      </c>
      <c r="AV292" s="42" t="str">
        <f>VLOOKUP(A292,'[1]Chứng chỉ'!$B$8:$Q$1111,15,0)</f>
        <v>x</v>
      </c>
      <c r="AW292" s="42" t="str">
        <f>VLOOKUP(A292,'[1]Chứng chỉ'!$B$8:$Q$1111,16,0)</f>
        <v>Tin B</v>
      </c>
      <c r="AX292" s="42"/>
      <c r="AY292" s="57" t="s">
        <v>85</v>
      </c>
      <c r="AZ292" s="65">
        <v>38934</v>
      </c>
      <c r="BA292" s="74" t="e">
        <f t="shared" si="113"/>
        <v>#REF!</v>
      </c>
      <c r="BB292" s="74" t="e">
        <f t="shared" si="114"/>
        <v>#REF!</v>
      </c>
      <c r="BC292" s="61" t="s">
        <v>128</v>
      </c>
      <c r="BD292" s="62"/>
    </row>
    <row r="293" spans="1:56" ht="40.799999999999997" x14ac:dyDescent="0.3">
      <c r="A293" s="41" t="s">
        <v>2190</v>
      </c>
      <c r="B293" s="42">
        <f t="shared" si="110"/>
        <v>287</v>
      </c>
      <c r="C293" s="68" t="s">
        <v>2191</v>
      </c>
      <c r="D293" s="41" t="s">
        <v>2190</v>
      </c>
      <c r="E293" s="61">
        <v>2012000300</v>
      </c>
      <c r="F293" s="64"/>
      <c r="G293" s="49" t="s">
        <v>2192</v>
      </c>
      <c r="H293" s="76"/>
      <c r="I293" s="76">
        <v>31912</v>
      </c>
      <c r="J293" s="66">
        <f t="shared" ref="J293:J294" ca="1" si="120">INT(DATEDIF(I293,$J$2,"d")/365)</f>
        <v>39</v>
      </c>
      <c r="K293" s="75" t="s">
        <v>2193</v>
      </c>
      <c r="L293" s="41" t="s">
        <v>2194</v>
      </c>
      <c r="M293" s="53" t="s">
        <v>67</v>
      </c>
      <c r="N293" s="66"/>
      <c r="O293" s="85"/>
      <c r="P293" s="49" t="s">
        <v>97</v>
      </c>
      <c r="Q293" s="49" t="s">
        <v>94</v>
      </c>
      <c r="R293" s="76"/>
      <c r="S293" s="76"/>
      <c r="T293" s="49" t="s">
        <v>97</v>
      </c>
      <c r="U293" s="49" t="s">
        <v>94</v>
      </c>
      <c r="V293" s="49" t="str">
        <f t="shared" si="112"/>
        <v>, Thành phố Lạng Sơn, Tỉnh Lạng Sơn</v>
      </c>
      <c r="W293" s="86" t="s">
        <v>207</v>
      </c>
      <c r="X293" s="78"/>
      <c r="Y293" s="78"/>
      <c r="Z293" s="78"/>
      <c r="AA293" s="68">
        <f>VLOOKUP(A293,'[1]DANH SÁCH'!$B$8:$AD$841,12,0)</f>
        <v>0</v>
      </c>
      <c r="AB293" s="49" t="str">
        <f>VLOOKUP(A293,'[1]DANH SÁCH'!$B$8:$H$841,6,0)</f>
        <v>TĐ003</v>
      </c>
      <c r="AC293" s="69" t="str">
        <f>VLOOKUP(A293,'[1]DANH SÁCH'!$B$8:$J$841,9,0)</f>
        <v>Mắt</v>
      </c>
      <c r="AD293" s="69" t="str">
        <f>VLOOKUP(A293,'[1]DANH SÁCH'!$B$8:$AC$841,10,0)</f>
        <v>KP023</v>
      </c>
      <c r="AE293" s="69" t="str">
        <f>VLOOKUP(A293,'[1]DANH SÁCH'!$B$8:$AD$841,13,0)</f>
        <v>Viên chức</v>
      </c>
      <c r="AF293" s="41" t="s">
        <v>274</v>
      </c>
      <c r="AG293" s="42" t="str">
        <f>VLOOKUP(A293,'[1]DANH SÁCH'!$B$8:$H$841,7,0)</f>
        <v>Bác sĩ (hạng III)</v>
      </c>
      <c r="AH293" s="45">
        <v>3.33</v>
      </c>
      <c r="AI293" s="42">
        <v>4</v>
      </c>
      <c r="AJ293" s="70">
        <v>0</v>
      </c>
      <c r="AK293" s="69">
        <v>44999</v>
      </c>
      <c r="AL293" s="71" t="s">
        <v>80</v>
      </c>
      <c r="AM293" s="53" t="str">
        <f>VLOOKUP(A293,'[1]DANH SÁCH'!$B$8:$F$841,5,0)</f>
        <v>BSCKI</v>
      </c>
      <c r="AN293" s="53" t="s">
        <v>2177</v>
      </c>
      <c r="AO293" s="53" t="s">
        <v>1130</v>
      </c>
      <c r="AP293" s="53">
        <v>2012</v>
      </c>
      <c r="AQ293" s="72" t="s">
        <v>113</v>
      </c>
      <c r="AR293" s="42">
        <f>VLOOKUP(A293,'[1]Chứng chỉ'!$B$8:$Q$1111,11,0)</f>
        <v>0</v>
      </c>
      <c r="AS293" s="42">
        <f>VLOOKUP(A293,'[1]Chứng chỉ'!$B$8:$Q$1111,12,0)</f>
        <v>0</v>
      </c>
      <c r="AT293" s="47">
        <f>VLOOKUP(A293,'[1]Chứng chỉ'!$B$8:$Q$1111,13,0)</f>
        <v>0</v>
      </c>
      <c r="AU293" s="42" t="str">
        <f>VLOOKUP(A293,'[1]Chứng chỉ'!$B$8:$Q$1111,14,0)</f>
        <v>Anh B</v>
      </c>
      <c r="AV293" s="42">
        <f>VLOOKUP(A293,'[1]Chứng chỉ'!$B$8:$Q$1111,15,0)</f>
        <v>0</v>
      </c>
      <c r="AW293" s="42" t="str">
        <f>VLOOKUP(A293,'[1]Chứng chỉ'!$B$8:$Q$1111,16,0)</f>
        <v>Cơ bản</v>
      </c>
      <c r="AX293" s="42"/>
      <c r="AY293" s="57" t="s">
        <v>127</v>
      </c>
      <c r="AZ293" s="65"/>
      <c r="BA293" s="74" t="e">
        <f t="shared" si="113"/>
        <v>#REF!</v>
      </c>
      <c r="BB293" s="74" t="e">
        <f t="shared" si="114"/>
        <v>#REF!</v>
      </c>
      <c r="BC293" s="61" t="s">
        <v>1370</v>
      </c>
      <c r="BD293" s="62"/>
    </row>
    <row r="294" spans="1:56" ht="61.2" x14ac:dyDescent="0.3">
      <c r="A294" s="41" t="s">
        <v>2195</v>
      </c>
      <c r="B294" s="42">
        <f t="shared" si="110"/>
        <v>288</v>
      </c>
      <c r="C294" s="60" t="s">
        <v>2196</v>
      </c>
      <c r="D294" s="41" t="s">
        <v>2195</v>
      </c>
      <c r="E294" s="61">
        <v>2013000008</v>
      </c>
      <c r="F294" s="64"/>
      <c r="G294" s="49" t="s">
        <v>2197</v>
      </c>
      <c r="H294" s="76"/>
      <c r="I294" s="76">
        <v>32977</v>
      </c>
      <c r="J294" s="66">
        <f t="shared" ca="1" si="120"/>
        <v>36</v>
      </c>
      <c r="K294" s="109" t="s">
        <v>2198</v>
      </c>
      <c r="L294" s="41" t="s">
        <v>2199</v>
      </c>
      <c r="M294" s="53" t="s">
        <v>67</v>
      </c>
      <c r="N294" s="66"/>
      <c r="O294" s="53"/>
      <c r="P294" s="49" t="s">
        <v>872</v>
      </c>
      <c r="Q294" s="49" t="s">
        <v>873</v>
      </c>
      <c r="R294" s="49"/>
      <c r="S294" s="49" t="s">
        <v>124</v>
      </c>
      <c r="T294" s="49" t="s">
        <v>97</v>
      </c>
      <c r="U294" s="49" t="s">
        <v>94</v>
      </c>
      <c r="V294" s="49" t="str">
        <f t="shared" si="112"/>
        <v>Phường Đông Kinh, Thành phố Lạng Sơn, Tỉnh Lạng Sơn</v>
      </c>
      <c r="W294" s="55" t="s">
        <v>315</v>
      </c>
      <c r="X294" s="41"/>
      <c r="Y294" s="41"/>
      <c r="Z294" s="41"/>
      <c r="AA294" s="68">
        <f>VLOOKUP(A294,'[1]DANH SÁCH'!$B$8:$AD$841,12,0)</f>
        <v>0</v>
      </c>
      <c r="AB294" s="49" t="str">
        <f>VLOOKUP(A294,'[1]DANH SÁCH'!$B$8:$H$841,6,0)</f>
        <v>TĐ011</v>
      </c>
      <c r="AC294" s="69" t="str">
        <f>VLOOKUP(A294,'[1]DANH SÁCH'!$B$8:$J$841,9,0)</f>
        <v>Mắt</v>
      </c>
      <c r="AD294" s="69" t="str">
        <f>VLOOKUP(A294,'[1]DANH SÁCH'!$B$8:$AC$841,10,0)</f>
        <v>KP023</v>
      </c>
      <c r="AE294" s="69" t="str">
        <f>VLOOKUP(A294,'[1]DANH SÁCH'!$B$8:$AD$841,13,0)</f>
        <v>Viên chức</v>
      </c>
      <c r="AF294" s="41" t="s">
        <v>147</v>
      </c>
      <c r="AG294" s="42" t="str">
        <f>VLOOKUP(A294,'[1]DANH SÁCH'!$B$8:$H$841,7,0)</f>
        <v>Điều dưỡng (hạng III)</v>
      </c>
      <c r="AH294" s="45">
        <v>3.33</v>
      </c>
      <c r="AI294" s="42">
        <v>4</v>
      </c>
      <c r="AJ294" s="70">
        <v>0</v>
      </c>
      <c r="AK294" s="69">
        <v>45179</v>
      </c>
      <c r="AL294" s="71" t="s">
        <v>80</v>
      </c>
      <c r="AM294" s="53" t="str">
        <f>VLOOKUP(A294,'[1]DANH SÁCH'!$B$8:$F$841,5,0)</f>
        <v>Điều dưỡng ĐH</v>
      </c>
      <c r="AN294" s="53"/>
      <c r="AO294" s="53" t="s">
        <v>2200</v>
      </c>
      <c r="AP294" s="53">
        <v>2012</v>
      </c>
      <c r="AQ294" s="72" t="s">
        <v>113</v>
      </c>
      <c r="AR294" s="42">
        <f>VLOOKUP(A294,'[1]Chứng chỉ'!$B$8:$Q$1111,11,0)</f>
        <v>0</v>
      </c>
      <c r="AS294" s="42">
        <f>VLOOKUP(A294,'[1]Chứng chỉ'!$B$8:$Q$1111,12,0)</f>
        <v>0</v>
      </c>
      <c r="AT294" s="47">
        <f>VLOOKUP(A294,'[1]Chứng chỉ'!$B$8:$Q$1111,13,0)</f>
        <v>0</v>
      </c>
      <c r="AU294" s="42" t="str">
        <f>VLOOKUP(A294,'[1]Chứng chỉ'!$B$8:$Q$1111,14,0)</f>
        <v>Tiếng anh B</v>
      </c>
      <c r="AV294" s="42">
        <f>VLOOKUP(A294,'[1]Chứng chỉ'!$B$8:$Q$1111,15,0)</f>
        <v>0</v>
      </c>
      <c r="AW294" s="42" t="str">
        <f>VLOOKUP(A294,'[1]Chứng chỉ'!$B$8:$Q$1111,16,0)</f>
        <v>Tin B</v>
      </c>
      <c r="AX294" s="42"/>
      <c r="AY294" s="57" t="s">
        <v>87</v>
      </c>
      <c r="AZ294" s="65"/>
      <c r="BA294" s="74" t="e">
        <f t="shared" si="113"/>
        <v>#REF!</v>
      </c>
      <c r="BB294" s="74" t="e">
        <f t="shared" si="114"/>
        <v>#REF!</v>
      </c>
      <c r="BC294" s="41" t="s">
        <v>128</v>
      </c>
      <c r="BD294" s="64"/>
    </row>
    <row r="295" spans="1:56" ht="51" x14ac:dyDescent="0.3">
      <c r="A295" s="41" t="s">
        <v>2201</v>
      </c>
      <c r="B295" s="42">
        <f t="shared" si="110"/>
        <v>289</v>
      </c>
      <c r="C295" s="68" t="s">
        <v>2202</v>
      </c>
      <c r="D295" s="41" t="s">
        <v>2201</v>
      </c>
      <c r="E295" s="61">
        <v>1506002913</v>
      </c>
      <c r="F295" s="64"/>
      <c r="G295" s="49" t="s">
        <v>2203</v>
      </c>
      <c r="H295" s="76">
        <v>30274</v>
      </c>
      <c r="I295" s="76"/>
      <c r="J295" s="66">
        <f ca="1">INT(DATEDIF(H295,$J$2,"d")/365)</f>
        <v>43</v>
      </c>
      <c r="K295" s="109" t="s">
        <v>2204</v>
      </c>
      <c r="L295" s="41" t="s">
        <v>2205</v>
      </c>
      <c r="M295" s="53" t="s">
        <v>67</v>
      </c>
      <c r="N295" s="66"/>
      <c r="O295" s="53"/>
      <c r="P295" s="49" t="s">
        <v>93</v>
      </c>
      <c r="Q295" s="49" t="s">
        <v>94</v>
      </c>
      <c r="R295" s="49"/>
      <c r="S295" s="49" t="s">
        <v>896</v>
      </c>
      <c r="T295" s="49" t="s">
        <v>108</v>
      </c>
      <c r="U295" s="49" t="s">
        <v>94</v>
      </c>
      <c r="V295" s="49" t="str">
        <f t="shared" si="112"/>
        <v>Xã Yên Trạch, Huyện Cao Lộc, Tỉnh Lạng Sơn</v>
      </c>
      <c r="W295" s="55" t="s">
        <v>2206</v>
      </c>
      <c r="X295" s="41"/>
      <c r="Y295" s="41"/>
      <c r="Z295" s="41"/>
      <c r="AA295" s="68">
        <f>VLOOKUP(A295,'[1]DANH SÁCH'!$B$8:$AD$841,12,0)</f>
        <v>0</v>
      </c>
      <c r="AB295" s="49" t="str">
        <f>VLOOKUP(A295,'[1]DANH SÁCH'!$B$8:$H$841,6,0)</f>
        <v>TĐ011</v>
      </c>
      <c r="AC295" s="69" t="str">
        <f>VLOOKUP(A295,'[1]DANH SÁCH'!$B$8:$J$841,9,0)</f>
        <v>Mắt</v>
      </c>
      <c r="AD295" s="69" t="str">
        <f>VLOOKUP(A295,'[1]DANH SÁCH'!$B$8:$AC$841,10,0)</f>
        <v>KP023</v>
      </c>
      <c r="AE295" s="69" t="str">
        <f>VLOOKUP(A295,'[1]DANH SÁCH'!$B$8:$AD$841,13,0)</f>
        <v>Viên chức</v>
      </c>
      <c r="AF295" s="41" t="s">
        <v>147</v>
      </c>
      <c r="AG295" s="42" t="str">
        <f>VLOOKUP(A295,'[1]DANH SÁCH'!$B$8:$H$841,7,0)</f>
        <v>Điều dưỡng (hạng III)</v>
      </c>
      <c r="AH295" s="45">
        <v>3.66</v>
      </c>
      <c r="AI295" s="42">
        <v>5</v>
      </c>
      <c r="AJ295" s="70">
        <v>0</v>
      </c>
      <c r="AK295" s="69">
        <v>45047</v>
      </c>
      <c r="AL295" s="71" t="s">
        <v>80</v>
      </c>
      <c r="AM295" s="53" t="str">
        <f>VLOOKUP(A295,'[1]DANH SÁCH'!$B$8:$F$841,5,0)</f>
        <v>Điều dưỡng ĐH</v>
      </c>
      <c r="AN295" s="53"/>
      <c r="AO295" s="53" t="s">
        <v>1130</v>
      </c>
      <c r="AP295" s="53">
        <v>2015</v>
      </c>
      <c r="AQ295" s="72" t="s">
        <v>113</v>
      </c>
      <c r="AR295" s="42">
        <f>VLOOKUP(A295,'[1]Chứng chỉ'!$B$8:$Q$1111,11,0)</f>
        <v>0</v>
      </c>
      <c r="AS295" s="42">
        <f>VLOOKUP(A295,'[1]Chứng chỉ'!$B$8:$Q$1111,12,0)</f>
        <v>0</v>
      </c>
      <c r="AT295" s="47" t="s">
        <v>139</v>
      </c>
      <c r="AU295" s="42">
        <f>VLOOKUP(A295,'[1]Chứng chỉ'!$B$8:$Q$1111,14,0)</f>
        <v>0</v>
      </c>
      <c r="AV295" s="42" t="str">
        <f>VLOOKUP(A295,'[1]Chứng chỉ'!$B$8:$Q$1111,15,0)</f>
        <v>x</v>
      </c>
      <c r="AW295" s="42" t="str">
        <f>VLOOKUP(A295,'[1]Chứng chỉ'!$B$8:$Q$1111,16,0)</f>
        <v>Tin A</v>
      </c>
      <c r="AX295" s="42"/>
      <c r="AY295" s="57" t="s">
        <v>85</v>
      </c>
      <c r="AZ295" s="65">
        <v>40785</v>
      </c>
      <c r="BA295" s="74" t="e">
        <f t="shared" si="113"/>
        <v>#REF!</v>
      </c>
      <c r="BB295" s="74" t="e">
        <f t="shared" si="114"/>
        <v>#REF!</v>
      </c>
      <c r="BC295" s="61" t="s">
        <v>128</v>
      </c>
      <c r="BD295" s="62"/>
    </row>
    <row r="296" spans="1:56" ht="61.2" x14ac:dyDescent="0.3">
      <c r="A296" s="41" t="s">
        <v>2207</v>
      </c>
      <c r="B296" s="42">
        <f t="shared" si="110"/>
        <v>290</v>
      </c>
      <c r="C296" s="68" t="s">
        <v>2208</v>
      </c>
      <c r="D296" s="41" t="s">
        <v>2207</v>
      </c>
      <c r="E296" s="61">
        <v>2011000023</v>
      </c>
      <c r="F296" s="64"/>
      <c r="G296" s="49" t="s">
        <v>2209</v>
      </c>
      <c r="H296" s="76"/>
      <c r="I296" s="76">
        <v>32677</v>
      </c>
      <c r="J296" s="66">
        <f t="shared" ref="J296:J297" ca="1" si="121">INT(DATEDIF(I296,$J$2,"d")/365)</f>
        <v>37</v>
      </c>
      <c r="K296" s="75" t="s">
        <v>2210</v>
      </c>
      <c r="L296" s="41" t="s">
        <v>2211</v>
      </c>
      <c r="M296" s="53" t="s">
        <v>67</v>
      </c>
      <c r="N296" s="66"/>
      <c r="O296" s="85" t="s">
        <v>2212</v>
      </c>
      <c r="P296" s="76" t="s">
        <v>1339</v>
      </c>
      <c r="Q296" s="76" t="s">
        <v>733</v>
      </c>
      <c r="R296" s="49" t="s">
        <v>2213</v>
      </c>
      <c r="S296" s="76" t="s">
        <v>96</v>
      </c>
      <c r="T296" s="76" t="s">
        <v>97</v>
      </c>
      <c r="U296" s="76" t="s">
        <v>94</v>
      </c>
      <c r="V296" s="49" t="str">
        <f t="shared" si="112"/>
        <v>Phường Hoàng Văn Thụ, Thành phố Lạng Sơn, Tỉnh Lạng Sơn</v>
      </c>
      <c r="W296" s="55" t="s">
        <v>224</v>
      </c>
      <c r="X296" s="41"/>
      <c r="Y296" s="41"/>
      <c r="Z296" s="41"/>
      <c r="AA296" s="68" t="str">
        <f>VLOOKUP(A296,'[1]DANH SÁCH'!$B$8:$AD$841,12,0)</f>
        <v>Điều dưỡng trưởng</v>
      </c>
      <c r="AB296" s="49" t="str">
        <f>VLOOKUP(A296,'[1]DANH SÁCH'!$B$8:$H$841,6,0)</f>
        <v>TĐ011</v>
      </c>
      <c r="AC296" s="69" t="str">
        <f>VLOOKUP(A296,'[1]DANH SÁCH'!$B$8:$J$841,9,0)</f>
        <v>Mắt</v>
      </c>
      <c r="AD296" s="69" t="str">
        <f>VLOOKUP(A296,'[1]DANH SÁCH'!$B$8:$AC$841,10,0)</f>
        <v>KP023</v>
      </c>
      <c r="AE296" s="69" t="str">
        <f>VLOOKUP(A296,'[1]DANH SÁCH'!$B$8:$AD$841,13,0)</f>
        <v>Viên chức</v>
      </c>
      <c r="AF296" s="41" t="s">
        <v>147</v>
      </c>
      <c r="AG296" s="42" t="str">
        <f>VLOOKUP(A296,'[1]DANH SÁCH'!$B$8:$H$841,7,0)</f>
        <v>Điều dưỡng (hạng III)</v>
      </c>
      <c r="AH296" s="45">
        <v>3.66</v>
      </c>
      <c r="AI296" s="42">
        <v>5</v>
      </c>
      <c r="AJ296" s="70">
        <v>0</v>
      </c>
      <c r="AK296" s="69">
        <v>45383</v>
      </c>
      <c r="AL296" s="71" t="s">
        <v>80</v>
      </c>
      <c r="AM296" s="53" t="str">
        <f>VLOOKUP(A296,'[1]DANH SÁCH'!$B$8:$F$841,5,0)</f>
        <v>Điều dưỡng ĐH</v>
      </c>
      <c r="AN296" s="53"/>
      <c r="AO296" s="53"/>
      <c r="AP296" s="53"/>
      <c r="AQ296" s="53"/>
      <c r="AR296" s="42">
        <f>VLOOKUP(A296,'[1]Chứng chỉ'!$B$8:$Q$1111,11,0)</f>
        <v>0</v>
      </c>
      <c r="AS296" s="42" t="str">
        <f>VLOOKUP(A296,'[1]Chứng chỉ'!$B$8:$Q$1111,12,0)</f>
        <v>x</v>
      </c>
      <c r="AT296" s="47" t="s">
        <v>139</v>
      </c>
      <c r="AU296" s="42" t="str">
        <f>VLOOKUP(A296,'[1]Chứng chỉ'!$B$8:$Q$1111,14,0)</f>
        <v>Tiếng anh A2</v>
      </c>
      <c r="AV296" s="42" t="str">
        <f>VLOOKUP(A296,'[1]Chứng chỉ'!$B$8:$Q$1111,15,0)</f>
        <v>x</v>
      </c>
      <c r="AW296" s="42" t="str">
        <f>VLOOKUP(A296,'[1]Chứng chỉ'!$B$8:$Q$1111,16,0)</f>
        <v>CNTT cơ bản</v>
      </c>
      <c r="AX296" s="42"/>
      <c r="AY296" s="57" t="s">
        <v>87</v>
      </c>
      <c r="AZ296" s="65">
        <v>41851</v>
      </c>
      <c r="BA296" s="74" t="e">
        <f t="shared" si="113"/>
        <v>#REF!</v>
      </c>
      <c r="BB296" s="74" t="e">
        <f t="shared" si="114"/>
        <v>#REF!</v>
      </c>
      <c r="BC296" s="61" t="s">
        <v>128</v>
      </c>
      <c r="BD296" s="62"/>
    </row>
    <row r="297" spans="1:56" ht="51" x14ac:dyDescent="0.3">
      <c r="A297" s="41" t="s">
        <v>2214</v>
      </c>
      <c r="B297" s="42">
        <f t="shared" si="110"/>
        <v>291</v>
      </c>
      <c r="C297" s="68" t="s">
        <v>2215</v>
      </c>
      <c r="D297" s="41" t="s">
        <v>2214</v>
      </c>
      <c r="E297" s="61">
        <v>2011001411</v>
      </c>
      <c r="F297" s="64"/>
      <c r="G297" s="49" t="s">
        <v>2216</v>
      </c>
      <c r="H297" s="76"/>
      <c r="I297" s="76">
        <v>31447</v>
      </c>
      <c r="J297" s="66">
        <f t="shared" ca="1" si="121"/>
        <v>40</v>
      </c>
      <c r="K297" s="75" t="s">
        <v>2217</v>
      </c>
      <c r="L297" s="41" t="s">
        <v>2218</v>
      </c>
      <c r="M297" s="53" t="s">
        <v>67</v>
      </c>
      <c r="N297" s="66"/>
      <c r="O297" s="53" t="s">
        <v>954</v>
      </c>
      <c r="P297" s="49" t="s">
        <v>108</v>
      </c>
      <c r="Q297" s="49" t="s">
        <v>94</v>
      </c>
      <c r="R297" s="49"/>
      <c r="S297" s="49" t="s">
        <v>954</v>
      </c>
      <c r="T297" s="49" t="s">
        <v>108</v>
      </c>
      <c r="U297" s="49" t="s">
        <v>94</v>
      </c>
      <c r="V297" s="49" t="str">
        <f t="shared" si="112"/>
        <v>Xã Bình Trung, Huyện Cao Lộc, Tỉnh Lạng Sơn</v>
      </c>
      <c r="W297" s="55" t="s">
        <v>461</v>
      </c>
      <c r="X297" s="41"/>
      <c r="Y297" s="41"/>
      <c r="Z297" s="41"/>
      <c r="AA297" s="68">
        <f>VLOOKUP(A297,'[1]DANH SÁCH'!$B$8:$AD$841,12,0)</f>
        <v>0</v>
      </c>
      <c r="AB297" s="49" t="str">
        <f>VLOOKUP(A297,'[1]DANH SÁCH'!$B$8:$H$841,6,0)</f>
        <v>TĐ012</v>
      </c>
      <c r="AC297" s="69" t="str">
        <f>VLOOKUP(A297,'[1]DANH SÁCH'!$B$8:$J$841,9,0)</f>
        <v>Mắt</v>
      </c>
      <c r="AD297" s="69" t="str">
        <f>VLOOKUP(A297,'[1]DANH SÁCH'!$B$8:$AC$841,10,0)</f>
        <v>KP023</v>
      </c>
      <c r="AE297" s="69" t="str">
        <f>VLOOKUP(A297,'[1]DANH SÁCH'!$B$8:$AD$841,13,0)</f>
        <v>Viên chức</v>
      </c>
      <c r="AF297" s="41" t="s">
        <v>157</v>
      </c>
      <c r="AG297" s="42" t="str">
        <f>VLOOKUP(A297,'[1]DANH SÁCH'!$B$8:$H$841,7,0)</f>
        <v>Điều dưỡng (hạng IV)</v>
      </c>
      <c r="AH297" s="45">
        <v>3.34</v>
      </c>
      <c r="AI297" s="42">
        <v>5</v>
      </c>
      <c r="AJ297" s="70">
        <v>0</v>
      </c>
      <c r="AK297" s="69">
        <v>45413</v>
      </c>
      <c r="AL297" s="71" t="s">
        <v>158</v>
      </c>
      <c r="AM297" s="53" t="str">
        <f>VLOOKUP(A297,'[1]DANH SÁCH'!$B$8:$F$841,5,0)</f>
        <v>Điều dưỡng CĐ</v>
      </c>
      <c r="AN297" s="53"/>
      <c r="AO297" s="53" t="s">
        <v>1938</v>
      </c>
      <c r="AP297" s="53">
        <v>2007</v>
      </c>
      <c r="AQ297" s="72" t="s">
        <v>113</v>
      </c>
      <c r="AR297" s="42">
        <f>VLOOKUP(A297,'[1]Chứng chỉ'!$B$8:$Q$1111,11,0)</f>
        <v>0</v>
      </c>
      <c r="AS297" s="42">
        <f>VLOOKUP(A297,'[1]Chứng chỉ'!$B$8:$Q$1111,12,0)</f>
        <v>0</v>
      </c>
      <c r="AT297" s="47">
        <f>VLOOKUP(A297,'[1]Chứng chỉ'!$B$8:$Q$1111,13,0)</f>
        <v>0</v>
      </c>
      <c r="AU297" s="42">
        <f>VLOOKUP(A297,'[1]Chứng chỉ'!$B$8:$Q$1111,14,0)</f>
        <v>0</v>
      </c>
      <c r="AV297" s="42">
        <f>VLOOKUP(A297,'[1]Chứng chỉ'!$B$8:$Q$1111,15,0)</f>
        <v>0</v>
      </c>
      <c r="AW297" s="42" t="str">
        <f>VLOOKUP(A297,'[1]Chứng chỉ'!$B$8:$Q$1111,16,0)</f>
        <v>Tin B</v>
      </c>
      <c r="AX297" s="42"/>
      <c r="AY297" s="57" t="s">
        <v>85</v>
      </c>
      <c r="AZ297" s="65"/>
      <c r="BA297" s="74" t="e">
        <f t="shared" si="113"/>
        <v>#REF!</v>
      </c>
      <c r="BB297" s="74" t="e">
        <f t="shared" si="114"/>
        <v>#REF!</v>
      </c>
      <c r="BC297" s="61" t="s">
        <v>128</v>
      </c>
      <c r="BD297" s="62"/>
    </row>
    <row r="298" spans="1:56" ht="61.2" x14ac:dyDescent="0.3">
      <c r="A298" s="41" t="s">
        <v>2219</v>
      </c>
      <c r="B298" s="42">
        <f t="shared" si="110"/>
        <v>292</v>
      </c>
      <c r="C298" s="68" t="s">
        <v>2220</v>
      </c>
      <c r="D298" s="41" t="s">
        <v>2219</v>
      </c>
      <c r="E298" s="61">
        <v>1597020292</v>
      </c>
      <c r="F298" s="64"/>
      <c r="G298" s="49" t="s">
        <v>2221</v>
      </c>
      <c r="H298" s="76">
        <v>24237</v>
      </c>
      <c r="I298" s="76"/>
      <c r="J298" s="66">
        <f ca="1">INT(DATEDIF(H298,$J$2,"d")/365)</f>
        <v>60</v>
      </c>
      <c r="K298" s="75" t="s">
        <v>2222</v>
      </c>
      <c r="L298" s="41" t="s">
        <v>2223</v>
      </c>
      <c r="M298" s="53" t="s">
        <v>67</v>
      </c>
      <c r="N298" s="66"/>
      <c r="O298" s="53"/>
      <c r="P298" s="49" t="s">
        <v>97</v>
      </c>
      <c r="Q298" s="49" t="s">
        <v>94</v>
      </c>
      <c r="R298" s="49"/>
      <c r="S298" s="49" t="s">
        <v>166</v>
      </c>
      <c r="T298" s="49" t="s">
        <v>97</v>
      </c>
      <c r="U298" s="49" t="s">
        <v>94</v>
      </c>
      <c r="V298" s="49" t="str">
        <f t="shared" si="112"/>
        <v>Phường Tam Thanh, Thành phố Lạng Sơn, Tỉnh Lạng Sơn</v>
      </c>
      <c r="W298" s="55" t="s">
        <v>2224</v>
      </c>
      <c r="X298" s="41"/>
      <c r="Y298" s="41"/>
      <c r="Z298" s="41"/>
      <c r="AA298" s="68" t="str">
        <f>VLOOKUP(A298,'[1]DANH SÁCH'!$B$8:$AD$841,12,0)</f>
        <v>Phụ trách khoa</v>
      </c>
      <c r="AB298" s="49" t="str">
        <f>VLOOKUP(A298,'[1]DANH SÁCH'!$B$8:$H$841,6,0)</f>
        <v>TĐ003</v>
      </c>
      <c r="AC298" s="69" t="str">
        <f>VLOOKUP(A298,'[1]DANH SÁCH'!$B$8:$J$841,9,0)</f>
        <v>Răng Hàm Mặt</v>
      </c>
      <c r="AD298" s="69" t="str">
        <f>VLOOKUP(A298,'[1]DANH SÁCH'!$B$8:$AC$841,10,0)</f>
        <v>KP024</v>
      </c>
      <c r="AE298" s="69" t="str">
        <f>VLOOKUP(A298,'[1]DANH SÁCH'!$B$8:$AD$841,13,0)</f>
        <v>Viên chức</v>
      </c>
      <c r="AF298" s="41" t="s">
        <v>79</v>
      </c>
      <c r="AG298" s="42" t="str">
        <f>VLOOKUP(A298,'[1]DANH SÁCH'!$B$8:$H$841,7,0)</f>
        <v>Bác sĩ chính (hạng II)</v>
      </c>
      <c r="AH298" s="45">
        <v>6.1</v>
      </c>
      <c r="AI298" s="42">
        <v>6</v>
      </c>
      <c r="AJ298" s="70">
        <v>0</v>
      </c>
      <c r="AK298" s="69">
        <v>45444</v>
      </c>
      <c r="AL298" s="71" t="s">
        <v>80</v>
      </c>
      <c r="AM298" s="53" t="str">
        <f>VLOOKUP(A298,'[1]DANH SÁCH'!$B$8:$F$841,5,0)</f>
        <v>BSCKI</v>
      </c>
      <c r="AN298" s="53" t="s">
        <v>2225</v>
      </c>
      <c r="AO298" s="53" t="s">
        <v>1804</v>
      </c>
      <c r="AP298" s="53">
        <v>2007</v>
      </c>
      <c r="AQ298" s="72" t="s">
        <v>1309</v>
      </c>
      <c r="AR298" s="42" t="s">
        <v>82</v>
      </c>
      <c r="AS298" s="42">
        <f>VLOOKUP(A298,'[1]Chứng chỉ'!$B$8:$Q$1111,12,0)</f>
        <v>0</v>
      </c>
      <c r="AT298" s="47" t="s">
        <v>139</v>
      </c>
      <c r="AU298" s="42" t="str">
        <f>VLOOKUP(A298,'[1]Chứng chỉ'!$B$8:$Q$1111,14,0)</f>
        <v>C</v>
      </c>
      <c r="AV298" s="42" t="str">
        <f>VLOOKUP(A298,'[1]Chứng chỉ'!$B$8:$Q$1111,15,0)</f>
        <v>x</v>
      </c>
      <c r="AW298" s="42" t="str">
        <f>VLOOKUP(A298,'[1]Chứng chỉ'!$B$8:$Q$1111,16,0)</f>
        <v>Tin học B</v>
      </c>
      <c r="AX298" s="42"/>
      <c r="AY298" s="57" t="s">
        <v>85</v>
      </c>
      <c r="AZ298" s="65">
        <v>37741</v>
      </c>
      <c r="BA298" s="74" t="e">
        <f t="shared" si="113"/>
        <v>#REF!</v>
      </c>
      <c r="BB298" s="74" t="e">
        <f t="shared" si="114"/>
        <v>#REF!</v>
      </c>
      <c r="BC298" s="61" t="s">
        <v>128</v>
      </c>
      <c r="BD298" s="62"/>
    </row>
    <row r="299" spans="1:56" ht="30.6" x14ac:dyDescent="0.3">
      <c r="A299" s="46" t="s">
        <v>2226</v>
      </c>
      <c r="B299" s="42">
        <f t="shared" si="110"/>
        <v>293</v>
      </c>
      <c r="C299" s="63" t="s">
        <v>2227</v>
      </c>
      <c r="D299" s="46" t="s">
        <v>2226</v>
      </c>
      <c r="E299" s="61" t="s">
        <v>2228</v>
      </c>
      <c r="F299" s="42"/>
      <c r="G299" s="49" t="s">
        <v>2229</v>
      </c>
      <c r="H299" s="47"/>
      <c r="I299" s="65">
        <v>32552</v>
      </c>
      <c r="J299" s="66">
        <f t="shared" ref="J299:J300" ca="1" si="122">INT(DATEDIF(I299,$J$2,"d")/365)</f>
        <v>37</v>
      </c>
      <c r="K299" s="46" t="s">
        <v>2230</v>
      </c>
      <c r="L299" s="65">
        <v>38819</v>
      </c>
      <c r="M299" s="56"/>
      <c r="N299" s="52"/>
      <c r="O299" s="56"/>
      <c r="P299" s="47"/>
      <c r="Q299" s="47"/>
      <c r="R299" s="47"/>
      <c r="S299" s="47"/>
      <c r="T299" s="47"/>
      <c r="U299" s="47"/>
      <c r="V299" s="56" t="s">
        <v>2231</v>
      </c>
      <c r="W299" s="67" t="s">
        <v>491</v>
      </c>
      <c r="X299" s="46"/>
      <c r="Y299" s="46"/>
      <c r="Z299" s="46"/>
      <c r="AA299" s="68">
        <f>VLOOKUP(A299,'[1]DANH SÁCH'!$B$8:$AD$841,12,0)</f>
        <v>0</v>
      </c>
      <c r="AB299" s="49" t="str">
        <f>VLOOKUP(A299,'[1]DANH SÁCH'!$B$8:$H$841,6,0)</f>
        <v>TĐ003</v>
      </c>
      <c r="AC299" s="69" t="str">
        <f>VLOOKUP(A299,'[1]DANH SÁCH'!$B$8:$J$841,9,0)</f>
        <v>Răng Hàm Mặt</v>
      </c>
      <c r="AD299" s="69" t="str">
        <f>VLOOKUP(A299,'[1]DANH SÁCH'!$B$8:$AC$841,10,0)</f>
        <v>KP024</v>
      </c>
      <c r="AE299" s="69" t="str">
        <f>VLOOKUP(A299,'[1]DANH SÁCH'!$B$8:$AD$841,13,0)</f>
        <v>Viên chức</v>
      </c>
      <c r="AF299" s="46" t="s">
        <v>274</v>
      </c>
      <c r="AG299" s="47" t="s">
        <v>535</v>
      </c>
      <c r="AH299" s="45">
        <v>3.33</v>
      </c>
      <c r="AI299" s="42">
        <v>4</v>
      </c>
      <c r="AJ299" s="70">
        <v>0</v>
      </c>
      <c r="AK299" s="69">
        <v>45730</v>
      </c>
      <c r="AL299" s="71" t="s">
        <v>80</v>
      </c>
      <c r="AM299" s="53" t="str">
        <f>VLOOKUP(A299,'[1]DANH SÁCH'!$B$8:$F$841,5,0)</f>
        <v>BSCKI</v>
      </c>
      <c r="AN299" s="47" t="s">
        <v>2225</v>
      </c>
      <c r="AO299" s="47" t="s">
        <v>2232</v>
      </c>
      <c r="AP299" s="47">
        <v>2013</v>
      </c>
      <c r="AQ299" s="47"/>
      <c r="AR299" s="42">
        <f>VLOOKUP(A299,'[1]Chứng chỉ'!$B$8:$Q$1111,11,0)</f>
        <v>0</v>
      </c>
      <c r="AS299" s="42">
        <f>VLOOKUP(A299,'[1]Chứng chỉ'!$B$8:$Q$1111,12,0)</f>
        <v>0</v>
      </c>
      <c r="AT299" s="47" t="str">
        <f>VLOOKUP(A299,'[1]Chứng chỉ'!$B$8:$Q$1111,13,0)</f>
        <v>Sơ cấp</v>
      </c>
      <c r="AU299" s="42" t="str">
        <f>VLOOKUP(A299,'[1]Chứng chỉ'!$B$8:$Q$1111,14,0)</f>
        <v>B</v>
      </c>
      <c r="AV299" s="42">
        <f>VLOOKUP(A299,'[1]Chứng chỉ'!$B$8:$Q$1111,15,0)</f>
        <v>0</v>
      </c>
      <c r="AW299" s="42" t="str">
        <f>VLOOKUP(A299,'[1]Chứng chỉ'!$B$8:$Q$1111,16,0)</f>
        <v>Tin học B</v>
      </c>
      <c r="AX299" s="47"/>
      <c r="AY299" s="47" t="s">
        <v>85</v>
      </c>
      <c r="AZ299" s="65"/>
      <c r="BA299" s="47"/>
      <c r="BB299" s="47"/>
      <c r="BC299" s="61" t="s">
        <v>128</v>
      </c>
      <c r="BD299" s="62"/>
    </row>
    <row r="300" spans="1:56" ht="40.799999999999997" x14ac:dyDescent="0.3">
      <c r="A300" s="46" t="s">
        <v>2233</v>
      </c>
      <c r="B300" s="42">
        <f t="shared" si="110"/>
        <v>294</v>
      </c>
      <c r="C300" s="93" t="s">
        <v>2234</v>
      </c>
      <c r="D300" s="46" t="s">
        <v>2233</v>
      </c>
      <c r="E300" s="61" t="s">
        <v>2235</v>
      </c>
      <c r="F300" s="10"/>
      <c r="G300" s="49" t="s">
        <v>2236</v>
      </c>
      <c r="H300" s="47"/>
      <c r="I300" s="46" t="s">
        <v>2237</v>
      </c>
      <c r="J300" s="66">
        <f t="shared" ca="1" si="122"/>
        <v>32</v>
      </c>
      <c r="K300" s="94" t="s">
        <v>2238</v>
      </c>
      <c r="L300" s="41" t="s">
        <v>2239</v>
      </c>
      <c r="M300" s="53" t="s">
        <v>67</v>
      </c>
      <c r="N300" s="95"/>
      <c r="O300" s="96"/>
      <c r="P300" s="6"/>
      <c r="Q300" s="6"/>
      <c r="R300" s="6"/>
      <c r="S300" s="6"/>
      <c r="T300" s="6"/>
      <c r="U300" s="6"/>
      <c r="V300" s="6"/>
      <c r="W300" s="67" t="s">
        <v>306</v>
      </c>
      <c r="X300" s="97"/>
      <c r="Y300" s="97"/>
      <c r="Z300" s="97"/>
      <c r="AA300" s="68">
        <f>VLOOKUP(A300,'[1]DANH SÁCH'!$B$8:$AD$841,12,0)</f>
        <v>0</v>
      </c>
      <c r="AB300" s="49" t="str">
        <f>VLOOKUP(A300,'[1]DANH SÁCH'!$B$8:$H$841,6,0)</f>
        <v>TĐ005</v>
      </c>
      <c r="AC300" s="69" t="str">
        <f>VLOOKUP(A300,'[1]DANH SÁCH'!$B$8:$J$841,9,0)</f>
        <v>GM-HS</v>
      </c>
      <c r="AD300" s="69" t="str">
        <f>VLOOKUP(A300,'[1]DANH SÁCH'!$B$8:$AC$841,10,0)</f>
        <v>KP025</v>
      </c>
      <c r="AE300" s="69" t="str">
        <f>VLOOKUP(A300,'[1]DANH SÁCH'!$B$8:$AD$841,13,0)</f>
        <v>Viên chức</v>
      </c>
      <c r="AF300" s="41" t="s">
        <v>274</v>
      </c>
      <c r="AG300" s="42" t="str">
        <f>VLOOKUP(A300,'[1]DANH SÁCH'!$B$8:$H$841,7,0)</f>
        <v>Bác sĩ (hạng III)</v>
      </c>
      <c r="AH300" s="45">
        <v>3</v>
      </c>
      <c r="AI300" s="42">
        <v>3</v>
      </c>
      <c r="AJ300" s="70">
        <v>0</v>
      </c>
      <c r="AK300" s="69">
        <v>45839</v>
      </c>
      <c r="AL300" s="71" t="s">
        <v>80</v>
      </c>
      <c r="AM300" s="53" t="str">
        <f>VLOOKUP(A300,'[1]DANH SÁCH'!$B$8:$F$841,5,0)</f>
        <v>Bác sĩ</v>
      </c>
      <c r="AN300" s="53" t="s">
        <v>307</v>
      </c>
      <c r="AO300" s="53"/>
      <c r="AP300" s="53"/>
      <c r="AQ300" s="72" t="s">
        <v>113</v>
      </c>
      <c r="AR300" s="42">
        <f>VLOOKUP(A300,'[1]Chứng chỉ'!$B$8:$Q$1111,11,0)</f>
        <v>0</v>
      </c>
      <c r="AS300" s="42">
        <f>VLOOKUP(A300,'[1]Chứng chỉ'!$B$8:$Q$1111,12,0)</f>
        <v>0</v>
      </c>
      <c r="AT300" s="47" t="str">
        <f>VLOOKUP(A300,'[1]Chứng chỉ'!$B$8:$Q$1111,13,0)</f>
        <v>Sơ cấp</v>
      </c>
      <c r="AU300" s="42" t="str">
        <f>VLOOKUP(A300,'[1]Chứng chỉ'!$B$8:$Q$1111,14,0)</f>
        <v>B</v>
      </c>
      <c r="AV300" s="42" t="str">
        <f>VLOOKUP(A300,'[1]Chứng chỉ'!$B$8:$Q$1111,15,0)</f>
        <v>x</v>
      </c>
      <c r="AW300" s="42" t="str">
        <f>VLOOKUP(A300,'[1]Chứng chỉ'!$B$8:$Q$1111,16,0)</f>
        <v>Tin học IC3</v>
      </c>
      <c r="AX300" s="6"/>
      <c r="AY300" s="98" t="s">
        <v>127</v>
      </c>
      <c r="AZ300" s="65">
        <v>43091</v>
      </c>
      <c r="BA300" s="74"/>
      <c r="BB300" s="74"/>
      <c r="BC300" s="61" t="s">
        <v>128</v>
      </c>
      <c r="BD300" s="62"/>
    </row>
    <row r="301" spans="1:56" ht="40.799999999999997" x14ac:dyDescent="0.3">
      <c r="A301" s="46" t="s">
        <v>2240</v>
      </c>
      <c r="B301" s="42">
        <f t="shared" si="110"/>
        <v>295</v>
      </c>
      <c r="C301" s="63" t="s">
        <v>2241</v>
      </c>
      <c r="D301" s="46" t="s">
        <v>2240</v>
      </c>
      <c r="E301" s="61" t="s">
        <v>2242</v>
      </c>
      <c r="F301" s="64"/>
      <c r="G301" s="49" t="s">
        <v>2243</v>
      </c>
      <c r="H301" s="46" t="s">
        <v>2244</v>
      </c>
      <c r="I301" s="46"/>
      <c r="J301" s="66">
        <f ca="1">INT(DATEDIF(H301,$J$2,"d")/365)</f>
        <v>38</v>
      </c>
      <c r="K301" s="94" t="s">
        <v>2245</v>
      </c>
      <c r="L301" s="41" t="s">
        <v>2246</v>
      </c>
      <c r="M301" s="53" t="s">
        <v>67</v>
      </c>
      <c r="N301" s="52" t="s">
        <v>2247</v>
      </c>
      <c r="O301" s="56" t="s">
        <v>2248</v>
      </c>
      <c r="P301" s="47" t="s">
        <v>758</v>
      </c>
      <c r="Q301" s="47" t="s">
        <v>71</v>
      </c>
      <c r="R301" s="47" t="s">
        <v>2249</v>
      </c>
      <c r="S301" s="56" t="s">
        <v>2248</v>
      </c>
      <c r="T301" s="47" t="s">
        <v>758</v>
      </c>
      <c r="U301" s="47" t="s">
        <v>71</v>
      </c>
      <c r="V301" s="47"/>
      <c r="W301" s="67" t="s">
        <v>2250</v>
      </c>
      <c r="X301" s="46"/>
      <c r="Y301" s="46"/>
      <c r="Z301" s="46"/>
      <c r="AA301" s="68">
        <f>VLOOKUP(A301,'[1]DANH SÁCH'!$B$8:$AD$841,12,0)</f>
        <v>0</v>
      </c>
      <c r="AB301" s="49" t="str">
        <f>VLOOKUP(A301,'[1]DANH SÁCH'!$B$8:$H$841,6,0)</f>
        <v>TĐ003</v>
      </c>
      <c r="AC301" s="69" t="str">
        <f>VLOOKUP(A301,'[1]DANH SÁCH'!$B$8:$J$841,9,0)</f>
        <v>Răng Hàm Mặt</v>
      </c>
      <c r="AD301" s="69" t="str">
        <f>VLOOKUP(A301,'[1]DANH SÁCH'!$B$8:$AC$841,10,0)</f>
        <v>KP024</v>
      </c>
      <c r="AE301" s="69" t="str">
        <f>VLOOKUP(A301,'[1]DANH SÁCH'!$B$8:$AD$841,13,0)</f>
        <v>Viên chức</v>
      </c>
      <c r="AF301" s="41" t="s">
        <v>274</v>
      </c>
      <c r="AG301" s="42" t="str">
        <f>VLOOKUP(A301,'[1]DANH SÁCH'!$B$8:$H$841,7,0)</f>
        <v>Bác sĩ (hạng III)</v>
      </c>
      <c r="AH301" s="45">
        <v>3.33</v>
      </c>
      <c r="AI301" s="42">
        <v>4</v>
      </c>
      <c r="AJ301" s="70">
        <v>0</v>
      </c>
      <c r="AK301" s="69">
        <v>44995</v>
      </c>
      <c r="AL301" s="71" t="s">
        <v>80</v>
      </c>
      <c r="AM301" s="53" t="str">
        <f>VLOOKUP(A301,'[1]DANH SÁCH'!$B$8:$F$841,5,0)</f>
        <v>BSCKI</v>
      </c>
      <c r="AN301" s="53" t="s">
        <v>2225</v>
      </c>
      <c r="AO301" s="53" t="s">
        <v>2232</v>
      </c>
      <c r="AP301" s="53">
        <v>2012</v>
      </c>
      <c r="AQ301" s="72" t="s">
        <v>113</v>
      </c>
      <c r="AR301" s="42">
        <f>VLOOKUP(A301,'[1]Chứng chỉ'!$B$8:$Q$1111,11,0)</f>
        <v>0</v>
      </c>
      <c r="AS301" s="42" t="str">
        <f>VLOOKUP(A301,'[1]Chứng chỉ'!$B$8:$Q$1111,12,0)</f>
        <v>x</v>
      </c>
      <c r="AT301" s="47" t="str">
        <f>VLOOKUP(A301,'[1]Chứng chỉ'!$B$8:$Q$1111,13,0)</f>
        <v>Sơ cấp</v>
      </c>
      <c r="AU301" s="42" t="str">
        <f>VLOOKUP(A301,'[1]Chứng chỉ'!$B$8:$Q$1111,14,0)</f>
        <v>B</v>
      </c>
      <c r="AV301" s="42" t="str">
        <f>VLOOKUP(A301,'[1]Chứng chỉ'!$B$8:$Q$1111,15,0)</f>
        <v>x</v>
      </c>
      <c r="AW301" s="42" t="str">
        <f>VLOOKUP(A301,'[1]Chứng chỉ'!$B$8:$Q$1111,16,0)</f>
        <v>Cơ bản</v>
      </c>
      <c r="AX301" s="47"/>
      <c r="AY301" s="98" t="s">
        <v>85</v>
      </c>
      <c r="AZ301" s="65"/>
      <c r="BA301" s="74" t="e">
        <f t="shared" ref="BA301:BA305" si="123">VLOOKUP(A301,#REF!,4,0)</f>
        <v>#REF!</v>
      </c>
      <c r="BB301" s="74" t="e">
        <f t="shared" ref="BB301:BB305" si="124">VLOOKUP(A301,#REF!,5,0)</f>
        <v>#REF!</v>
      </c>
      <c r="BC301" s="61" t="s">
        <v>128</v>
      </c>
      <c r="BD301" s="62"/>
    </row>
    <row r="302" spans="1:56" ht="40.799999999999997" x14ac:dyDescent="0.3">
      <c r="A302" s="41" t="s">
        <v>2251</v>
      </c>
      <c r="B302" s="42">
        <f t="shared" si="110"/>
        <v>296</v>
      </c>
      <c r="C302" s="68" t="s">
        <v>2252</v>
      </c>
      <c r="D302" s="41" t="s">
        <v>2251</v>
      </c>
      <c r="E302" s="61">
        <v>2009000925</v>
      </c>
      <c r="F302" s="64"/>
      <c r="G302" s="49" t="s">
        <v>2253</v>
      </c>
      <c r="H302" s="76"/>
      <c r="I302" s="76">
        <v>31761</v>
      </c>
      <c r="J302" s="66">
        <f t="shared" ref="J302:J308" ca="1" si="125">INT(DATEDIF(I302,$J$2,"d")/365)</f>
        <v>39</v>
      </c>
      <c r="K302" s="75" t="s">
        <v>2254</v>
      </c>
      <c r="L302" s="41" t="s">
        <v>2255</v>
      </c>
      <c r="M302" s="53" t="s">
        <v>67</v>
      </c>
      <c r="N302" s="66"/>
      <c r="O302" s="53"/>
      <c r="P302" s="49" t="s">
        <v>195</v>
      </c>
      <c r="Q302" s="49" t="s">
        <v>94</v>
      </c>
      <c r="R302" s="49"/>
      <c r="S302" s="49" t="s">
        <v>821</v>
      </c>
      <c r="T302" s="49" t="s">
        <v>195</v>
      </c>
      <c r="U302" s="49" t="s">
        <v>94</v>
      </c>
      <c r="V302" s="49" t="str">
        <f t="shared" ref="V302:V311" si="126">S302&amp;", "&amp;T302&amp;", "&amp;U302</f>
        <v>Xã Đại Đồng, Huyện Tràng Định, Tỉnh Lạng Sơn</v>
      </c>
      <c r="W302" s="55" t="s">
        <v>678</v>
      </c>
      <c r="X302" s="41"/>
      <c r="Y302" s="41"/>
      <c r="Z302" s="41"/>
      <c r="AA302" s="68" t="str">
        <f>VLOOKUP(A302,'[1]DANH SÁCH'!$B$8:$AD$841,12,0)</f>
        <v>Điều dưỡng trưởng</v>
      </c>
      <c r="AB302" s="49" t="str">
        <f>VLOOKUP(A302,'[1]DANH SÁCH'!$B$8:$H$841,6,0)</f>
        <v>TĐ011</v>
      </c>
      <c r="AC302" s="69" t="str">
        <f>VLOOKUP(A302,'[1]DANH SÁCH'!$B$8:$J$841,9,0)</f>
        <v>Răng Hàm Mặt</v>
      </c>
      <c r="AD302" s="69" t="str">
        <f>VLOOKUP(A302,'[1]DANH SÁCH'!$B$8:$AC$841,10,0)</f>
        <v>KP024</v>
      </c>
      <c r="AE302" s="69" t="str">
        <f>VLOOKUP(A302,'[1]DANH SÁCH'!$B$8:$AD$841,13,0)</f>
        <v>Viên chức</v>
      </c>
      <c r="AF302" s="41" t="s">
        <v>147</v>
      </c>
      <c r="AG302" s="42" t="str">
        <f>VLOOKUP(A302,'[1]DANH SÁCH'!$B$8:$H$841,7,0)</f>
        <v>Điều dưỡng (hạng III)</v>
      </c>
      <c r="AH302" s="45">
        <v>3.66</v>
      </c>
      <c r="AI302" s="42">
        <v>5</v>
      </c>
      <c r="AJ302" s="70">
        <v>0</v>
      </c>
      <c r="AK302" s="69">
        <v>45444</v>
      </c>
      <c r="AL302" s="71" t="s">
        <v>80</v>
      </c>
      <c r="AM302" s="53" t="str">
        <f>VLOOKUP(A302,'[1]DANH SÁCH'!$B$8:$F$841,5,0)</f>
        <v>Điều dưỡng ĐH</v>
      </c>
      <c r="AN302" s="53"/>
      <c r="AO302" s="53"/>
      <c r="AP302" s="53"/>
      <c r="AQ302" s="72"/>
      <c r="AR302" s="42">
        <f>VLOOKUP(A302,'[1]Chứng chỉ'!$B$8:$Q$1111,11,0)</f>
        <v>0</v>
      </c>
      <c r="AS302" s="42">
        <f>VLOOKUP(A302,'[1]Chứng chỉ'!$B$8:$Q$1111,12,0)</f>
        <v>0</v>
      </c>
      <c r="AT302" s="47" t="s">
        <v>139</v>
      </c>
      <c r="AU302" s="42" t="str">
        <f>VLOOKUP(A302,'[1]Chứng chỉ'!$B$8:$Q$1111,14,0)</f>
        <v>B</v>
      </c>
      <c r="AV302" s="42" t="str">
        <f>VLOOKUP(A302,'[1]Chứng chỉ'!$B$8:$Q$1111,15,0)</f>
        <v>x</v>
      </c>
      <c r="AW302" s="42" t="str">
        <f>VLOOKUP(A302,'[1]Chứng chỉ'!$B$8:$Q$1111,16,0)</f>
        <v>Cơ bản</v>
      </c>
      <c r="AX302" s="42"/>
      <c r="AY302" s="57" t="s">
        <v>127</v>
      </c>
      <c r="AZ302" s="65">
        <v>44508</v>
      </c>
      <c r="BA302" s="74" t="e">
        <f t="shared" si="123"/>
        <v>#REF!</v>
      </c>
      <c r="BB302" s="74" t="e">
        <f t="shared" si="124"/>
        <v>#REF!</v>
      </c>
      <c r="BC302" s="61"/>
      <c r="BD302" s="64"/>
    </row>
    <row r="303" spans="1:56" ht="40.799999999999997" x14ac:dyDescent="0.3">
      <c r="A303" s="41" t="s">
        <v>2256</v>
      </c>
      <c r="B303" s="42">
        <f t="shared" si="110"/>
        <v>297</v>
      </c>
      <c r="C303" s="68" t="s">
        <v>2257</v>
      </c>
      <c r="D303" s="41" t="s">
        <v>2256</v>
      </c>
      <c r="E303" s="61">
        <v>2010000135</v>
      </c>
      <c r="F303" s="64"/>
      <c r="G303" s="49" t="s">
        <v>2258</v>
      </c>
      <c r="H303" s="76"/>
      <c r="I303" s="76">
        <v>31855</v>
      </c>
      <c r="J303" s="66">
        <f t="shared" ca="1" si="125"/>
        <v>39</v>
      </c>
      <c r="K303" s="75" t="s">
        <v>2259</v>
      </c>
      <c r="L303" s="41" t="s">
        <v>2260</v>
      </c>
      <c r="M303" s="53" t="s">
        <v>67</v>
      </c>
      <c r="N303" s="66"/>
      <c r="O303" s="53" t="s">
        <v>2261</v>
      </c>
      <c r="P303" s="49" t="s">
        <v>93</v>
      </c>
      <c r="Q303" s="49" t="s">
        <v>94</v>
      </c>
      <c r="R303" s="49"/>
      <c r="S303" s="49" t="s">
        <v>2261</v>
      </c>
      <c r="T303" s="49" t="s">
        <v>93</v>
      </c>
      <c r="U303" s="49" t="s">
        <v>94</v>
      </c>
      <c r="V303" s="49" t="str">
        <f t="shared" si="126"/>
        <v>Xã Vũ Lăng, Huyện Bắc Sơn, Tỉnh Lạng Sơn</v>
      </c>
      <c r="W303" s="55" t="s">
        <v>236</v>
      </c>
      <c r="X303" s="41"/>
      <c r="Y303" s="41"/>
      <c r="Z303" s="41"/>
      <c r="AA303" s="68">
        <f>VLOOKUP(A303,'[1]DANH SÁCH'!$B$8:$AD$841,12,0)</f>
        <v>0</v>
      </c>
      <c r="AB303" s="49" t="str">
        <f>VLOOKUP(A303,'[1]DANH SÁCH'!$B$8:$H$841,6,0)</f>
        <v>TĐ012</v>
      </c>
      <c r="AC303" s="69" t="str">
        <f>VLOOKUP(A303,'[1]DANH SÁCH'!$B$8:$J$841,9,0)</f>
        <v>TDCN</v>
      </c>
      <c r="AD303" s="69" t="str">
        <f>VLOOKUP(A303,'[1]DANH SÁCH'!$B$8:$AC$841,10,0)</f>
        <v>KP033</v>
      </c>
      <c r="AE303" s="69" t="str">
        <f>VLOOKUP(A303,'[1]DANH SÁCH'!$B$8:$AD$841,13,0)</f>
        <v>Viên chức</v>
      </c>
      <c r="AF303" s="41" t="s">
        <v>157</v>
      </c>
      <c r="AG303" s="42" t="str">
        <f>VLOOKUP(A303,'[1]DANH SÁCH'!$B$8:$H$841,7,0)</f>
        <v>Điều dưỡng (hạng IV)</v>
      </c>
      <c r="AH303" s="45">
        <v>3.34</v>
      </c>
      <c r="AI303" s="42">
        <v>5</v>
      </c>
      <c r="AJ303" s="70">
        <v>0</v>
      </c>
      <c r="AK303" s="69">
        <v>44927</v>
      </c>
      <c r="AL303" s="71" t="s">
        <v>158</v>
      </c>
      <c r="AM303" s="53" t="str">
        <f>VLOOKUP(A303,'[1]DANH SÁCH'!$B$8:$F$841,5,0)</f>
        <v>Điều dưỡng CĐ</v>
      </c>
      <c r="AN303" s="53"/>
      <c r="AO303" s="53" t="s">
        <v>1938</v>
      </c>
      <c r="AP303" s="53">
        <v>2008</v>
      </c>
      <c r="AQ303" s="72" t="s">
        <v>113</v>
      </c>
      <c r="AR303" s="42">
        <f>VLOOKUP(A303,'[1]Chứng chỉ'!$B$8:$Q$1111,11,0)</f>
        <v>0</v>
      </c>
      <c r="AS303" s="42">
        <f>VLOOKUP(A303,'[1]Chứng chỉ'!$B$8:$Q$1111,12,0)</f>
        <v>0</v>
      </c>
      <c r="AT303" s="47">
        <f>VLOOKUP(A303,'[1]Chứng chỉ'!$B$8:$Q$1111,13,0)</f>
        <v>0</v>
      </c>
      <c r="AU303" s="42">
        <f>VLOOKUP(A303,'[1]Chứng chỉ'!$B$8:$Q$1111,14,0)</f>
        <v>0</v>
      </c>
      <c r="AV303" s="42">
        <f>VLOOKUP(A303,'[1]Chứng chỉ'!$B$8:$Q$1111,15,0)</f>
        <v>0</v>
      </c>
      <c r="AW303" s="42">
        <f>VLOOKUP(A303,'[1]Chứng chỉ'!$B$8:$Q$1111,16,0)</f>
        <v>0</v>
      </c>
      <c r="AX303" s="42"/>
      <c r="AY303" s="57" t="s">
        <v>85</v>
      </c>
      <c r="AZ303" s="65"/>
      <c r="BA303" s="74" t="e">
        <f t="shared" si="123"/>
        <v>#REF!</v>
      </c>
      <c r="BB303" s="74" t="e">
        <f t="shared" si="124"/>
        <v>#REF!</v>
      </c>
      <c r="BC303" s="61" t="s">
        <v>2262</v>
      </c>
      <c r="BD303" s="62"/>
    </row>
    <row r="304" spans="1:56" ht="40.799999999999997" x14ac:dyDescent="0.3">
      <c r="A304" s="41" t="s">
        <v>2263</v>
      </c>
      <c r="B304" s="42">
        <f t="shared" si="110"/>
        <v>298</v>
      </c>
      <c r="C304" s="68" t="s">
        <v>2264</v>
      </c>
      <c r="D304" s="41" t="s">
        <v>2263</v>
      </c>
      <c r="E304" s="61">
        <v>2011000018</v>
      </c>
      <c r="F304" s="64"/>
      <c r="G304" s="49" t="s">
        <v>2265</v>
      </c>
      <c r="H304" s="76"/>
      <c r="I304" s="76">
        <v>32861</v>
      </c>
      <c r="J304" s="66">
        <f t="shared" ca="1" si="125"/>
        <v>36</v>
      </c>
      <c r="K304" s="75" t="s">
        <v>2266</v>
      </c>
      <c r="L304" s="41" t="s">
        <v>2267</v>
      </c>
      <c r="M304" s="53" t="s">
        <v>67</v>
      </c>
      <c r="N304" s="66"/>
      <c r="O304" s="53" t="s">
        <v>2268</v>
      </c>
      <c r="P304" s="49" t="s">
        <v>93</v>
      </c>
      <c r="Q304" s="49" t="s">
        <v>94</v>
      </c>
      <c r="R304" s="49"/>
      <c r="S304" s="49" t="s">
        <v>2268</v>
      </c>
      <c r="T304" s="49" t="s">
        <v>93</v>
      </c>
      <c r="U304" s="49" t="s">
        <v>94</v>
      </c>
      <c r="V304" s="49" t="str">
        <f t="shared" si="126"/>
        <v>Xã Tân Tri, Huyện Bắc Sơn, Tỉnh Lạng Sơn</v>
      </c>
      <c r="W304" s="55" t="s">
        <v>224</v>
      </c>
      <c r="X304" s="41"/>
      <c r="Y304" s="41"/>
      <c r="Z304" s="41"/>
      <c r="AA304" s="68">
        <f>VLOOKUP(A304,'[1]DANH SÁCH'!$B$8:$AD$841,12,0)</f>
        <v>0</v>
      </c>
      <c r="AB304" s="49" t="str">
        <f>VLOOKUP(A304,'[1]DANH SÁCH'!$B$8:$H$841,6,0)</f>
        <v>TĐ011</v>
      </c>
      <c r="AC304" s="69" t="str">
        <f>VLOOKUP(A304,'[1]DANH SÁCH'!$B$8:$J$841,9,0)</f>
        <v>Răng Hàm Mặt</v>
      </c>
      <c r="AD304" s="69" t="str">
        <f>VLOOKUP(A304,'[1]DANH SÁCH'!$B$8:$AC$841,10,0)</f>
        <v>KP024</v>
      </c>
      <c r="AE304" s="69" t="str">
        <f>VLOOKUP(A304,'[1]DANH SÁCH'!$B$8:$AD$841,13,0)</f>
        <v>Viên chức</v>
      </c>
      <c r="AF304" s="41" t="s">
        <v>157</v>
      </c>
      <c r="AG304" s="42" t="str">
        <f>VLOOKUP(A304,'[1]DANH SÁCH'!$B$8:$H$841,7,0)</f>
        <v>Điều dưỡng (hạng III)</v>
      </c>
      <c r="AH304" s="45">
        <v>3.66</v>
      </c>
      <c r="AI304" s="42">
        <v>5</v>
      </c>
      <c r="AJ304" s="70">
        <v>0</v>
      </c>
      <c r="AK304" s="69">
        <v>45778</v>
      </c>
      <c r="AL304" s="71" t="s">
        <v>158</v>
      </c>
      <c r="AM304" s="53" t="str">
        <f>VLOOKUP(A304,'[1]DANH SÁCH'!$B$8:$F$841,5,0)</f>
        <v>Điều dưỡng ĐH</v>
      </c>
      <c r="AN304" s="53"/>
      <c r="AO304" s="53" t="s">
        <v>2269</v>
      </c>
      <c r="AP304" s="53">
        <v>2010</v>
      </c>
      <c r="AQ304" s="72" t="s">
        <v>113</v>
      </c>
      <c r="AR304" s="42">
        <f>VLOOKUP(A304,'[1]Chứng chỉ'!$B$8:$Q$1111,11,0)</f>
        <v>0</v>
      </c>
      <c r="AS304" s="42">
        <f>VLOOKUP(A304,'[1]Chứng chỉ'!$B$8:$Q$1111,12,0)</f>
        <v>0</v>
      </c>
      <c r="AT304" s="47" t="s">
        <v>139</v>
      </c>
      <c r="AU304" s="42">
        <f>VLOOKUP(A304,'[1]Chứng chỉ'!$B$8:$Q$1111,14,0)</f>
        <v>0</v>
      </c>
      <c r="AV304" s="42">
        <f>VLOOKUP(A304,'[1]Chứng chỉ'!$B$8:$Q$1111,15,0)</f>
        <v>0</v>
      </c>
      <c r="AW304" s="42">
        <f>VLOOKUP(A304,'[1]Chứng chỉ'!$B$8:$Q$1111,16,0)</f>
        <v>0</v>
      </c>
      <c r="AX304" s="42"/>
      <c r="AY304" s="57" t="s">
        <v>85</v>
      </c>
      <c r="AZ304" s="65"/>
      <c r="BA304" s="74" t="e">
        <f t="shared" si="123"/>
        <v>#REF!</v>
      </c>
      <c r="BB304" s="74" t="e">
        <f t="shared" si="124"/>
        <v>#REF!</v>
      </c>
      <c r="BC304" s="61" t="s">
        <v>2262</v>
      </c>
      <c r="BD304" s="62"/>
    </row>
    <row r="305" spans="1:56" ht="61.2" x14ac:dyDescent="0.3">
      <c r="A305" s="41" t="s">
        <v>2270</v>
      </c>
      <c r="B305" s="42">
        <f t="shared" si="110"/>
        <v>299</v>
      </c>
      <c r="C305" s="68" t="s">
        <v>2271</v>
      </c>
      <c r="D305" s="41" t="s">
        <v>2270</v>
      </c>
      <c r="E305" s="61">
        <v>1505002492</v>
      </c>
      <c r="F305" s="64"/>
      <c r="G305" s="49" t="s">
        <v>2272</v>
      </c>
      <c r="H305" s="76"/>
      <c r="I305" s="76">
        <v>27827</v>
      </c>
      <c r="J305" s="66">
        <f t="shared" ca="1" si="125"/>
        <v>50</v>
      </c>
      <c r="K305" s="109" t="s">
        <v>2273</v>
      </c>
      <c r="L305" s="41" t="s">
        <v>2274</v>
      </c>
      <c r="M305" s="53" t="s">
        <v>67</v>
      </c>
      <c r="N305" s="66"/>
      <c r="O305" s="53" t="s">
        <v>124</v>
      </c>
      <c r="P305" s="49" t="s">
        <v>97</v>
      </c>
      <c r="Q305" s="49" t="s">
        <v>94</v>
      </c>
      <c r="R305" s="49"/>
      <c r="S305" s="49" t="s">
        <v>124</v>
      </c>
      <c r="T305" s="49" t="s">
        <v>97</v>
      </c>
      <c r="U305" s="49" t="s">
        <v>94</v>
      </c>
      <c r="V305" s="49" t="str">
        <f t="shared" si="126"/>
        <v>Phường Đông Kinh, Thành phố Lạng Sơn, Tỉnh Lạng Sơn</v>
      </c>
      <c r="W305" s="55" t="s">
        <v>724</v>
      </c>
      <c r="X305" s="41"/>
      <c r="Y305" s="41"/>
      <c r="Z305" s="41"/>
      <c r="AA305" s="68">
        <f>VLOOKUP(A305,'[1]DANH SÁCH'!$B$8:$AD$841,12,0)</f>
        <v>0</v>
      </c>
      <c r="AB305" s="49" t="str">
        <f>VLOOKUP(A305,'[1]DANH SÁCH'!$B$8:$H$841,6,0)</f>
        <v>TĐ012</v>
      </c>
      <c r="AC305" s="69" t="str">
        <f>VLOOKUP(A305,'[1]DANH SÁCH'!$B$8:$J$841,9,0)</f>
        <v>Răng Hàm Mặt</v>
      </c>
      <c r="AD305" s="69" t="str">
        <f>VLOOKUP(A305,'[1]DANH SÁCH'!$B$8:$AC$841,10,0)</f>
        <v>KP024</v>
      </c>
      <c r="AE305" s="69" t="str">
        <f>VLOOKUP(A305,'[1]DANH SÁCH'!$B$8:$AD$841,13,0)</f>
        <v>Viên chức</v>
      </c>
      <c r="AF305" s="41" t="s">
        <v>157</v>
      </c>
      <c r="AG305" s="42" t="str">
        <f>VLOOKUP(A305,'[1]DANH SÁCH'!$B$8:$H$841,7,0)</f>
        <v>Điều dưỡng (hạng IV)</v>
      </c>
      <c r="AH305" s="45">
        <v>3.96</v>
      </c>
      <c r="AI305" s="42">
        <v>7</v>
      </c>
      <c r="AJ305" s="70">
        <v>0</v>
      </c>
      <c r="AK305" s="69">
        <v>45536</v>
      </c>
      <c r="AL305" s="71" t="s">
        <v>101</v>
      </c>
      <c r="AM305" s="53" t="str">
        <f>VLOOKUP(A305,'[1]DANH SÁCH'!$B$8:$F$841,5,0)</f>
        <v>Điều dưỡng CĐ</v>
      </c>
      <c r="AN305" s="53"/>
      <c r="AO305" s="53"/>
      <c r="AP305" s="53"/>
      <c r="AQ305" s="72" t="s">
        <v>113</v>
      </c>
      <c r="AR305" s="42">
        <f>VLOOKUP(A305,'[1]Chứng chỉ'!$B$8:$Q$1111,11,0)</f>
        <v>0</v>
      </c>
      <c r="AS305" s="42">
        <f>VLOOKUP(A305,'[1]Chứng chỉ'!$B$8:$Q$1111,12,0)</f>
        <v>0</v>
      </c>
      <c r="AT305" s="47">
        <f>VLOOKUP(A305,'[1]Chứng chỉ'!$B$8:$Q$1111,13,0)</f>
        <v>0</v>
      </c>
      <c r="AU305" s="42">
        <f>VLOOKUP(A305,'[1]Chứng chỉ'!$B$8:$Q$1111,14,0)</f>
        <v>0</v>
      </c>
      <c r="AV305" s="42">
        <f>VLOOKUP(A305,'[1]Chứng chỉ'!$B$8:$Q$1111,15,0)</f>
        <v>0</v>
      </c>
      <c r="AW305" s="42" t="str">
        <f>VLOOKUP(A305,'[1]Chứng chỉ'!$B$8:$Q$1111,16,0)</f>
        <v>Tin học A</v>
      </c>
      <c r="AX305" s="42"/>
      <c r="AY305" s="57" t="s">
        <v>127</v>
      </c>
      <c r="AZ305" s="65">
        <v>38018</v>
      </c>
      <c r="BA305" s="74" t="e">
        <f t="shared" si="123"/>
        <v>#REF!</v>
      </c>
      <c r="BB305" s="74" t="e">
        <f t="shared" si="124"/>
        <v>#REF!</v>
      </c>
      <c r="BC305" s="61" t="s">
        <v>1370</v>
      </c>
      <c r="BD305" s="62"/>
    </row>
    <row r="306" spans="1:56" ht="163.19999999999999" x14ac:dyDescent="0.3">
      <c r="A306" s="41" t="s">
        <v>2275</v>
      </c>
      <c r="B306" s="42">
        <f t="shared" si="110"/>
        <v>300</v>
      </c>
      <c r="C306" s="68" t="s">
        <v>2276</v>
      </c>
      <c r="D306" s="41" t="s">
        <v>2275</v>
      </c>
      <c r="E306" s="61">
        <v>2010000167</v>
      </c>
      <c r="F306" s="64"/>
      <c r="G306" s="49"/>
      <c r="H306" s="76"/>
      <c r="I306" s="76">
        <v>32109</v>
      </c>
      <c r="J306" s="66">
        <f t="shared" ca="1" si="125"/>
        <v>38</v>
      </c>
      <c r="K306" s="109" t="s">
        <v>2277</v>
      </c>
      <c r="L306" s="41" t="s">
        <v>2278</v>
      </c>
      <c r="M306" s="53" t="s">
        <v>67</v>
      </c>
      <c r="N306" s="66"/>
      <c r="O306" s="53" t="s">
        <v>2279</v>
      </c>
      <c r="P306" s="49" t="s">
        <v>155</v>
      </c>
      <c r="Q306" s="49" t="s">
        <v>94</v>
      </c>
      <c r="R306" s="49"/>
      <c r="S306" s="49" t="s">
        <v>174</v>
      </c>
      <c r="T306" s="49" t="s">
        <v>97</v>
      </c>
      <c r="U306" s="49" t="s">
        <v>94</v>
      </c>
      <c r="V306" s="49" t="str">
        <f t="shared" si="126"/>
        <v>Xã Mai Pha, Thành phố Lạng Sơn, Tỉnh Lạng Sơn</v>
      </c>
      <c r="W306" s="55" t="s">
        <v>236</v>
      </c>
      <c r="X306" s="41"/>
      <c r="Y306" s="41"/>
      <c r="Z306" s="41"/>
      <c r="AA306" s="68">
        <f>VLOOKUP(A306,'[1]DANH SÁCH'!$B$8:$AD$841,12,0)</f>
        <v>0</v>
      </c>
      <c r="AB306" s="49" t="str">
        <f>VLOOKUP(A306,'[1]DANH SÁCH'!$B$8:$H$841,6,0)</f>
        <v>TĐ012</v>
      </c>
      <c r="AC306" s="69" t="str">
        <f>VLOOKUP(A306,'[1]DANH SÁCH'!$B$8:$J$841,9,0)</f>
        <v>Răng Hàm Mặt</v>
      </c>
      <c r="AD306" s="69" t="str">
        <f>VLOOKUP(A306,'[1]DANH SÁCH'!$B$8:$AC$841,10,0)</f>
        <v>KP024</v>
      </c>
      <c r="AE306" s="69" t="str">
        <f>VLOOKUP(A306,'[1]DANH SÁCH'!$B$8:$AD$841,13,0)</f>
        <v>Viên chức</v>
      </c>
      <c r="AF306" s="41" t="s">
        <v>157</v>
      </c>
      <c r="AG306" s="42" t="str">
        <f>VLOOKUP(A306,'[1]DANH SÁCH'!$B$8:$H$841,7,0)</f>
        <v>Điều dưỡng (hạng IV)</v>
      </c>
      <c r="AH306" s="45">
        <v>3.65</v>
      </c>
      <c r="AI306" s="42">
        <v>6</v>
      </c>
      <c r="AJ306" s="70">
        <v>0</v>
      </c>
      <c r="AK306" s="69">
        <v>45839</v>
      </c>
      <c r="AL306" s="71" t="s">
        <v>158</v>
      </c>
      <c r="AM306" s="53" t="str">
        <f>VLOOKUP(A306,'[1]DANH SÁCH'!$B$8:$F$841,5,0)</f>
        <v>Điều dưỡng CĐ</v>
      </c>
      <c r="AN306" s="53"/>
      <c r="AO306" s="53" t="s">
        <v>1938</v>
      </c>
      <c r="AP306" s="53">
        <v>2007</v>
      </c>
      <c r="AQ306" s="72" t="s">
        <v>113</v>
      </c>
      <c r="AR306" s="42">
        <f>VLOOKUP(A306,'[1]Chứng chỉ'!$B$8:$Q$1111,11,0)</f>
        <v>0</v>
      </c>
      <c r="AS306" s="42">
        <f>VLOOKUP(A306,'[1]Chứng chỉ'!$B$8:$Q$1111,12,0)</f>
        <v>0</v>
      </c>
      <c r="AT306" s="47">
        <f>VLOOKUP(A306,'[1]Chứng chỉ'!$B$8:$Q$1111,13,0)</f>
        <v>0</v>
      </c>
      <c r="AU306" s="42">
        <f>VLOOKUP(A306,'[1]Chứng chỉ'!$B$8:$Q$1111,14,0)</f>
        <v>0</v>
      </c>
      <c r="AV306" s="42">
        <f>VLOOKUP(A306,'[1]Chứng chỉ'!$B$8:$Q$1111,15,0)</f>
        <v>0</v>
      </c>
      <c r="AW306" s="42">
        <f>VLOOKUP(A306,'[1]Chứng chỉ'!$B$8:$Q$1111,16,0)</f>
        <v>0</v>
      </c>
      <c r="AX306" s="42"/>
      <c r="AY306" s="57" t="s">
        <v>85</v>
      </c>
      <c r="AZ306" s="65">
        <v>43593</v>
      </c>
      <c r="BA306" s="74" t="s">
        <v>2280</v>
      </c>
      <c r="BB306" s="74" t="s">
        <v>2281</v>
      </c>
      <c r="BC306" s="61" t="s">
        <v>2282</v>
      </c>
      <c r="BD306" s="62"/>
    </row>
    <row r="307" spans="1:56" ht="51" x14ac:dyDescent="0.3">
      <c r="A307" s="41" t="s">
        <v>2283</v>
      </c>
      <c r="B307" s="42">
        <f t="shared" si="110"/>
        <v>301</v>
      </c>
      <c r="C307" s="68" t="s">
        <v>2284</v>
      </c>
      <c r="D307" s="41" t="s">
        <v>2283</v>
      </c>
      <c r="E307" s="61">
        <v>2010000166</v>
      </c>
      <c r="F307" s="64"/>
      <c r="G307" s="49" t="s">
        <v>2285</v>
      </c>
      <c r="H307" s="76"/>
      <c r="I307" s="76">
        <v>31009</v>
      </c>
      <c r="J307" s="66">
        <f t="shared" ca="1" si="125"/>
        <v>41</v>
      </c>
      <c r="K307" s="75" t="s">
        <v>2286</v>
      </c>
      <c r="L307" s="41" t="s">
        <v>2287</v>
      </c>
      <c r="M307" s="53" t="s">
        <v>67</v>
      </c>
      <c r="N307" s="66"/>
      <c r="O307" s="53" t="s">
        <v>2288</v>
      </c>
      <c r="P307" s="49" t="s">
        <v>195</v>
      </c>
      <c r="Q307" s="49" t="s">
        <v>94</v>
      </c>
      <c r="R307" s="49"/>
      <c r="S307" s="49" t="s">
        <v>2288</v>
      </c>
      <c r="T307" s="49" t="s">
        <v>195</v>
      </c>
      <c r="U307" s="49" t="s">
        <v>94</v>
      </c>
      <c r="V307" s="49" t="str">
        <f t="shared" si="126"/>
        <v>Xã Hùng Việt, Huyện Tràng Định, Tỉnh Lạng Sơn</v>
      </c>
      <c r="W307" s="55" t="s">
        <v>236</v>
      </c>
      <c r="X307" s="41"/>
      <c r="Y307" s="41"/>
      <c r="Z307" s="41"/>
      <c r="AA307" s="68">
        <f>VLOOKUP(A307,'[1]DANH SÁCH'!$B$8:$AD$841,12,0)</f>
        <v>0</v>
      </c>
      <c r="AB307" s="49" t="str">
        <f>VLOOKUP(A307,'[1]DANH SÁCH'!$B$8:$H$841,6,0)</f>
        <v>TĐ012</v>
      </c>
      <c r="AC307" s="69" t="str">
        <f>VLOOKUP(A307,'[1]DANH SÁCH'!$B$8:$J$841,9,0)</f>
        <v>Răng Hàm Mặt</v>
      </c>
      <c r="AD307" s="69" t="str">
        <f>VLOOKUP(A307,'[1]DANH SÁCH'!$B$8:$AC$841,10,0)</f>
        <v>KP024</v>
      </c>
      <c r="AE307" s="69" t="str">
        <f>VLOOKUP(A307,'[1]DANH SÁCH'!$B$8:$AD$841,13,0)</f>
        <v>Viên chức</v>
      </c>
      <c r="AF307" s="41" t="s">
        <v>157</v>
      </c>
      <c r="AG307" s="42" t="str">
        <f>VLOOKUP(A307,'[1]DANH SÁCH'!$B$8:$H$841,7,0)</f>
        <v>Điều dưỡng (hạng IV)</v>
      </c>
      <c r="AH307" s="45">
        <v>3.34</v>
      </c>
      <c r="AI307" s="42">
        <v>5</v>
      </c>
      <c r="AJ307" s="70">
        <v>0</v>
      </c>
      <c r="AK307" s="69">
        <v>44927</v>
      </c>
      <c r="AL307" s="71" t="s">
        <v>158</v>
      </c>
      <c r="AM307" s="53" t="str">
        <f>VLOOKUP(A307,'[1]DANH SÁCH'!$B$8:$F$841,5,0)</f>
        <v>Điều dưỡng CĐ</v>
      </c>
      <c r="AN307" s="53"/>
      <c r="AO307" s="53" t="s">
        <v>2289</v>
      </c>
      <c r="AP307" s="53">
        <v>2007</v>
      </c>
      <c r="AQ307" s="72" t="s">
        <v>113</v>
      </c>
      <c r="AR307" s="42">
        <f>VLOOKUP(A307,'[1]Chứng chỉ'!$B$8:$Q$1111,11,0)</f>
        <v>0</v>
      </c>
      <c r="AS307" s="42">
        <f>VLOOKUP(A307,'[1]Chứng chỉ'!$B$8:$Q$1111,12,0)</f>
        <v>0</v>
      </c>
      <c r="AT307" s="47">
        <f>VLOOKUP(A307,'[1]Chứng chỉ'!$B$8:$Q$1111,13,0)</f>
        <v>0</v>
      </c>
      <c r="AU307" s="42">
        <f>VLOOKUP(A307,'[1]Chứng chỉ'!$B$8:$Q$1111,14,0)</f>
        <v>0</v>
      </c>
      <c r="AV307" s="42">
        <f>VLOOKUP(A307,'[1]Chứng chỉ'!$B$8:$Q$1111,15,0)</f>
        <v>0</v>
      </c>
      <c r="AW307" s="42">
        <f>VLOOKUP(A307,'[1]Chứng chỉ'!$B$8:$Q$1111,16,0)</f>
        <v>0</v>
      </c>
      <c r="AX307" s="42"/>
      <c r="AY307" s="57" t="s">
        <v>85</v>
      </c>
      <c r="AZ307" s="65"/>
      <c r="BA307" s="74" t="e">
        <f t="shared" ref="BA307:BA311" si="127">VLOOKUP(A307,#REF!,4,0)</f>
        <v>#REF!</v>
      </c>
      <c r="BB307" s="74" t="e">
        <f t="shared" ref="BB307:BB311" si="128">VLOOKUP(A307,#REF!,5,0)</f>
        <v>#REF!</v>
      </c>
      <c r="BC307" s="61" t="s">
        <v>128</v>
      </c>
      <c r="BD307" s="62"/>
    </row>
    <row r="308" spans="1:56" ht="61.2" x14ac:dyDescent="0.3">
      <c r="A308" s="41" t="s">
        <v>2290</v>
      </c>
      <c r="B308" s="42">
        <f t="shared" si="110"/>
        <v>302</v>
      </c>
      <c r="C308" s="68" t="s">
        <v>2291</v>
      </c>
      <c r="D308" s="41" t="s">
        <v>2290</v>
      </c>
      <c r="E308" s="61">
        <v>2012000199</v>
      </c>
      <c r="F308" s="64"/>
      <c r="G308" s="49" t="s">
        <v>2292</v>
      </c>
      <c r="H308" s="76"/>
      <c r="I308" s="76">
        <v>32874</v>
      </c>
      <c r="J308" s="66">
        <f t="shared" ca="1" si="125"/>
        <v>36</v>
      </c>
      <c r="K308" s="75" t="s">
        <v>2293</v>
      </c>
      <c r="L308" s="41" t="s">
        <v>2294</v>
      </c>
      <c r="M308" s="53" t="s">
        <v>67</v>
      </c>
      <c r="N308" s="66"/>
      <c r="O308" s="53" t="s">
        <v>124</v>
      </c>
      <c r="P308" s="49" t="s">
        <v>155</v>
      </c>
      <c r="Q308" s="49" t="s">
        <v>94</v>
      </c>
      <c r="R308" s="49" t="s">
        <v>1300</v>
      </c>
      <c r="S308" s="49" t="s">
        <v>124</v>
      </c>
      <c r="T308" s="49" t="s">
        <v>97</v>
      </c>
      <c r="U308" s="49" t="s">
        <v>94</v>
      </c>
      <c r="V308" s="49" t="str">
        <f t="shared" si="126"/>
        <v>Phường Đông Kinh, Thành phố Lạng Sơn, Tỉnh Lạng Sơn</v>
      </c>
      <c r="W308" s="55" t="s">
        <v>315</v>
      </c>
      <c r="X308" s="41"/>
      <c r="Y308" s="41"/>
      <c r="Z308" s="41"/>
      <c r="AA308" s="68">
        <f>VLOOKUP(A308,'[1]DANH SÁCH'!$B$8:$AD$841,12,0)</f>
        <v>0</v>
      </c>
      <c r="AB308" s="49" t="str">
        <f>VLOOKUP(A308,'[1]DANH SÁCH'!$B$8:$H$841,6,0)</f>
        <v>TĐ012</v>
      </c>
      <c r="AC308" s="69" t="str">
        <f>VLOOKUP(A308,'[1]DANH SÁCH'!$B$8:$J$841,9,0)</f>
        <v>Lão - CXK</v>
      </c>
      <c r="AD308" s="69" t="str">
        <f>VLOOKUP(A308,'[1]DANH SÁCH'!$B$8:$AC$841,10,0)</f>
        <v>KP004</v>
      </c>
      <c r="AE308" s="69" t="str">
        <f>VLOOKUP(A308,'[1]DANH SÁCH'!$B$8:$AD$841,13,0)</f>
        <v>Viên chức</v>
      </c>
      <c r="AF308" s="41" t="s">
        <v>157</v>
      </c>
      <c r="AG308" s="42" t="str">
        <f>VLOOKUP(A308,'[1]DANH SÁCH'!$B$8:$H$841,7,0)</f>
        <v>Điều dưỡng (hạng IV)</v>
      </c>
      <c r="AH308" s="45">
        <v>3.65</v>
      </c>
      <c r="AI308" s="42">
        <v>6</v>
      </c>
      <c r="AJ308" s="70">
        <v>0</v>
      </c>
      <c r="AK308" s="69">
        <v>45996</v>
      </c>
      <c r="AL308" s="71" t="s">
        <v>158</v>
      </c>
      <c r="AM308" s="53" t="str">
        <f>VLOOKUP(A308,'[1]DANH SÁCH'!$B$8:$F$841,5,0)</f>
        <v>Điều dưỡng CĐ</v>
      </c>
      <c r="AN308" s="53"/>
      <c r="AO308" s="53" t="s">
        <v>1093</v>
      </c>
      <c r="AP308" s="53">
        <v>2010</v>
      </c>
      <c r="AQ308" s="72" t="s">
        <v>113</v>
      </c>
      <c r="AR308" s="42">
        <f>VLOOKUP(A308,'[1]Chứng chỉ'!$B$8:$Q$1111,11,0)</f>
        <v>0</v>
      </c>
      <c r="AS308" s="42">
        <f>VLOOKUP(A308,'[1]Chứng chỉ'!$B$8:$Q$1111,12,0)</f>
        <v>0</v>
      </c>
      <c r="AT308" s="47">
        <f>VLOOKUP(A308,'[1]Chứng chỉ'!$B$8:$Q$1111,13,0)</f>
        <v>0</v>
      </c>
      <c r="AU308" s="42">
        <f>VLOOKUP(A308,'[1]Chứng chỉ'!$B$8:$Q$1111,14,0)</f>
        <v>0</v>
      </c>
      <c r="AV308" s="42">
        <f>VLOOKUP(A308,'[1]Chứng chỉ'!$B$8:$Q$1111,15,0)</f>
        <v>0</v>
      </c>
      <c r="AW308" s="42" t="str">
        <f>VLOOKUP(A308,'[1]Chứng chỉ'!$B$8:$Q$1111,16,0)</f>
        <v>A</v>
      </c>
      <c r="AX308" s="42"/>
      <c r="AY308" s="57" t="s">
        <v>127</v>
      </c>
      <c r="AZ308" s="65"/>
      <c r="BA308" s="74" t="e">
        <f t="shared" si="127"/>
        <v>#REF!</v>
      </c>
      <c r="BB308" s="74" t="e">
        <f t="shared" si="128"/>
        <v>#REF!</v>
      </c>
      <c r="BC308" s="61" t="s">
        <v>449</v>
      </c>
      <c r="BD308" s="62"/>
    </row>
    <row r="309" spans="1:56" ht="61.2" x14ac:dyDescent="0.3">
      <c r="A309" s="41" t="s">
        <v>2295</v>
      </c>
      <c r="B309" s="42">
        <f t="shared" si="110"/>
        <v>303</v>
      </c>
      <c r="C309" s="68" t="s">
        <v>2296</v>
      </c>
      <c r="D309" s="41" t="s">
        <v>2295</v>
      </c>
      <c r="E309" s="61">
        <v>1500002052</v>
      </c>
      <c r="F309" s="64"/>
      <c r="G309" s="49" t="s">
        <v>2297</v>
      </c>
      <c r="H309" s="76">
        <v>25463</v>
      </c>
      <c r="I309" s="76"/>
      <c r="J309" s="66">
        <f ca="1">INT(DATEDIF(H309,$J$2,"d")/365)</f>
        <v>56</v>
      </c>
      <c r="K309" s="75" t="s">
        <v>2298</v>
      </c>
      <c r="L309" s="41" t="s">
        <v>2299</v>
      </c>
      <c r="M309" s="53" t="s">
        <v>67</v>
      </c>
      <c r="N309" s="66"/>
      <c r="O309" s="53"/>
      <c r="P309" s="76" t="s">
        <v>222</v>
      </c>
      <c r="Q309" s="49" t="s">
        <v>94</v>
      </c>
      <c r="R309" s="49"/>
      <c r="S309" s="49" t="s">
        <v>166</v>
      </c>
      <c r="T309" s="49" t="s">
        <v>97</v>
      </c>
      <c r="U309" s="49" t="s">
        <v>94</v>
      </c>
      <c r="V309" s="49" t="str">
        <f t="shared" si="126"/>
        <v>Phường Tam Thanh, Thành phố Lạng Sơn, Tỉnh Lạng Sơn</v>
      </c>
      <c r="W309" s="55" t="s">
        <v>2300</v>
      </c>
      <c r="X309" s="41"/>
      <c r="Y309" s="41"/>
      <c r="Z309" s="41"/>
      <c r="AA309" s="68" t="str">
        <f>VLOOKUP(A309,'[1]DANH SÁCH'!$B$8:$AD$841,12,0)</f>
        <v>Trưởng khoa</v>
      </c>
      <c r="AB309" s="49" t="str">
        <f>VLOOKUP(A309,'[1]DANH SÁCH'!$B$8:$H$841,6,0)</f>
        <v>TĐ001</v>
      </c>
      <c r="AC309" s="69" t="str">
        <f>VLOOKUP(A309,'[1]DANH SÁCH'!$B$8:$J$841,9,0)</f>
        <v>GM-HS</v>
      </c>
      <c r="AD309" s="69" t="str">
        <f>VLOOKUP(A309,'[1]DANH SÁCH'!$B$8:$AC$841,10,0)</f>
        <v>KP025</v>
      </c>
      <c r="AE309" s="69" t="str">
        <f>VLOOKUP(A309,'[1]DANH SÁCH'!$B$8:$AD$841,13,0)</f>
        <v>Viên chức</v>
      </c>
      <c r="AF309" s="41" t="s">
        <v>79</v>
      </c>
      <c r="AG309" s="42" t="str">
        <f>VLOOKUP(A309,'[1]DANH SÁCH'!$B$8:$H$841,7,0)</f>
        <v>Bác sĩ chính (hạng II)</v>
      </c>
      <c r="AH309" s="45">
        <v>5.42</v>
      </c>
      <c r="AI309" s="42">
        <v>4</v>
      </c>
      <c r="AJ309" s="70">
        <v>0</v>
      </c>
      <c r="AK309" s="69">
        <v>45597</v>
      </c>
      <c r="AL309" s="71" t="s">
        <v>80</v>
      </c>
      <c r="AM309" s="53" t="str">
        <f>VLOOKUP(A309,'[1]DANH SÁCH'!$B$8:$F$841,5,0)</f>
        <v>BSCKII</v>
      </c>
      <c r="AN309" s="53" t="s">
        <v>2301</v>
      </c>
      <c r="AO309" s="53"/>
      <c r="AP309" s="53"/>
      <c r="AQ309" s="72" t="s">
        <v>113</v>
      </c>
      <c r="AR309" s="42" t="s">
        <v>82</v>
      </c>
      <c r="AS309" s="42" t="s">
        <v>100</v>
      </c>
      <c r="AT309" s="47" t="s">
        <v>101</v>
      </c>
      <c r="AU309" s="42">
        <f>VLOOKUP(A309,'[1]Chứng chỉ'!$B$8:$Q$1111,14,0)</f>
        <v>0</v>
      </c>
      <c r="AV309" s="42">
        <f>VLOOKUP(A309,'[1]Chứng chỉ'!$B$8:$Q$1111,15,0)</f>
        <v>0</v>
      </c>
      <c r="AW309" s="42">
        <f>VLOOKUP(A309,'[1]Chứng chỉ'!$B$8:$Q$1111,16,0)</f>
        <v>0</v>
      </c>
      <c r="AX309" s="42"/>
      <c r="AY309" s="57" t="s">
        <v>127</v>
      </c>
      <c r="AZ309" s="65">
        <v>39428</v>
      </c>
      <c r="BA309" s="74" t="e">
        <f t="shared" si="127"/>
        <v>#REF!</v>
      </c>
      <c r="BB309" s="74" t="e">
        <f t="shared" si="128"/>
        <v>#REF!</v>
      </c>
      <c r="BC309" s="61" t="s">
        <v>128</v>
      </c>
      <c r="BD309" s="62"/>
    </row>
    <row r="310" spans="1:56" ht="61.2" x14ac:dyDescent="0.3">
      <c r="A310" s="41" t="s">
        <v>2302</v>
      </c>
      <c r="B310" s="42">
        <f t="shared" si="110"/>
        <v>304</v>
      </c>
      <c r="C310" s="68" t="s">
        <v>2303</v>
      </c>
      <c r="D310" s="41" t="s">
        <v>2302</v>
      </c>
      <c r="E310" s="61">
        <v>2012000100</v>
      </c>
      <c r="F310" s="64"/>
      <c r="G310" s="49" t="s">
        <v>2304</v>
      </c>
      <c r="H310" s="76"/>
      <c r="I310" s="76">
        <v>31688</v>
      </c>
      <c r="J310" s="66">
        <f t="shared" ref="J310:J315" ca="1" si="129">INT(DATEDIF(I310,$J$2,"d")/365)</f>
        <v>39</v>
      </c>
      <c r="K310" s="75" t="s">
        <v>2305</v>
      </c>
      <c r="L310" s="41" t="s">
        <v>2306</v>
      </c>
      <c r="M310" s="53" t="s">
        <v>67</v>
      </c>
      <c r="N310" s="66"/>
      <c r="O310" s="53" t="s">
        <v>2307</v>
      </c>
      <c r="P310" s="49" t="s">
        <v>2308</v>
      </c>
      <c r="Q310" s="49" t="s">
        <v>1551</v>
      </c>
      <c r="R310" s="49"/>
      <c r="S310" s="49" t="s">
        <v>166</v>
      </c>
      <c r="T310" s="49" t="s">
        <v>97</v>
      </c>
      <c r="U310" s="49" t="s">
        <v>94</v>
      </c>
      <c r="V310" s="49" t="str">
        <f t="shared" si="126"/>
        <v>Phường Tam Thanh, Thành phố Lạng Sơn, Tỉnh Lạng Sơn</v>
      </c>
      <c r="W310" s="55" t="s">
        <v>315</v>
      </c>
      <c r="X310" s="41"/>
      <c r="Y310" s="41"/>
      <c r="Z310" s="41"/>
      <c r="AA310" s="68">
        <f>VLOOKUP(A310,'[1]DANH SÁCH'!$B$8:$AD$841,12,0)</f>
        <v>0</v>
      </c>
      <c r="AB310" s="49" t="str">
        <f>VLOOKUP(A310,'[1]DANH SÁCH'!$B$8:$H$841,6,0)</f>
        <v>TĐ003</v>
      </c>
      <c r="AC310" s="69" t="str">
        <f>VLOOKUP(A310,'[1]DANH SÁCH'!$B$8:$J$841,9,0)</f>
        <v>GM-HS</v>
      </c>
      <c r="AD310" s="69" t="str">
        <f>VLOOKUP(A310,'[1]DANH SÁCH'!$B$8:$AC$841,10,0)</f>
        <v>KP025</v>
      </c>
      <c r="AE310" s="69" t="str">
        <f>VLOOKUP(A310,'[1]DANH SÁCH'!$B$8:$AD$841,13,0)</f>
        <v>Viên chức</v>
      </c>
      <c r="AF310" s="41" t="s">
        <v>274</v>
      </c>
      <c r="AG310" s="42" t="str">
        <f>VLOOKUP(A310,'[1]DANH SÁCH'!$B$8:$H$841,7,0)</f>
        <v>Bác sĩ (hạng III)</v>
      </c>
      <c r="AH310" s="45">
        <v>3.66</v>
      </c>
      <c r="AI310" s="42">
        <v>5</v>
      </c>
      <c r="AJ310" s="70">
        <v>0</v>
      </c>
      <c r="AK310" s="69">
        <v>45631</v>
      </c>
      <c r="AL310" s="71" t="s">
        <v>80</v>
      </c>
      <c r="AM310" s="53" t="str">
        <f>VLOOKUP(A310,'[1]DANH SÁCH'!$B$8:$F$841,5,0)</f>
        <v>BSCKI</v>
      </c>
      <c r="AN310" s="53" t="s">
        <v>2301</v>
      </c>
      <c r="AO310" s="53"/>
      <c r="AP310" s="53"/>
      <c r="AQ310" s="72" t="s">
        <v>113</v>
      </c>
      <c r="AR310" s="42">
        <f>VLOOKUP(A310,'[1]Chứng chỉ'!$B$8:$Q$1111,11,0)</f>
        <v>0</v>
      </c>
      <c r="AS310" s="42">
        <f>VLOOKUP(A310,'[1]Chứng chỉ'!$B$8:$Q$1111,12,0)</f>
        <v>0</v>
      </c>
      <c r="AT310" s="47">
        <f>VLOOKUP(A310,'[1]Chứng chỉ'!$B$8:$Q$1111,13,0)</f>
        <v>0</v>
      </c>
      <c r="AU310" s="42" t="str">
        <f>VLOOKUP(A310,'[1]Chứng chỉ'!$B$8:$Q$1111,14,0)</f>
        <v>Anh B</v>
      </c>
      <c r="AV310" s="42">
        <f>VLOOKUP(A310,'[1]Chứng chỉ'!$B$8:$Q$1111,15,0)</f>
        <v>0</v>
      </c>
      <c r="AW310" s="42" t="str">
        <f>VLOOKUP(A310,'[1]Chứng chỉ'!$B$8:$Q$1111,16,0)</f>
        <v>B</v>
      </c>
      <c r="AX310" s="42"/>
      <c r="AY310" s="57" t="s">
        <v>87</v>
      </c>
      <c r="AZ310" s="65"/>
      <c r="BA310" s="74" t="e">
        <f t="shared" si="127"/>
        <v>#REF!</v>
      </c>
      <c r="BB310" s="74" t="e">
        <f t="shared" si="128"/>
        <v>#REF!</v>
      </c>
      <c r="BC310" s="61" t="s">
        <v>128</v>
      </c>
      <c r="BD310" s="62"/>
    </row>
    <row r="311" spans="1:56" ht="40.799999999999997" x14ac:dyDescent="0.3">
      <c r="A311" s="41" t="s">
        <v>2309</v>
      </c>
      <c r="B311" s="42">
        <f t="shared" si="110"/>
        <v>305</v>
      </c>
      <c r="C311" s="68" t="s">
        <v>2310</v>
      </c>
      <c r="D311" s="41" t="s">
        <v>2309</v>
      </c>
      <c r="E311" s="61">
        <v>1505001695</v>
      </c>
      <c r="F311" s="64"/>
      <c r="G311" s="49" t="s">
        <v>2311</v>
      </c>
      <c r="H311" s="76"/>
      <c r="I311" s="76">
        <v>29158</v>
      </c>
      <c r="J311" s="66">
        <f t="shared" ca="1" si="129"/>
        <v>46</v>
      </c>
      <c r="K311" s="75" t="s">
        <v>2312</v>
      </c>
      <c r="L311" s="41" t="s">
        <v>348</v>
      </c>
      <c r="M311" s="53" t="s">
        <v>67</v>
      </c>
      <c r="N311" s="66"/>
      <c r="O311" s="85" t="s">
        <v>821</v>
      </c>
      <c r="P311" s="49" t="s">
        <v>195</v>
      </c>
      <c r="Q311" s="49" t="s">
        <v>94</v>
      </c>
      <c r="R311" s="49"/>
      <c r="S311" s="76" t="s">
        <v>821</v>
      </c>
      <c r="T311" s="49" t="s">
        <v>195</v>
      </c>
      <c r="U311" s="49" t="s">
        <v>94</v>
      </c>
      <c r="V311" s="49" t="str">
        <f t="shared" si="126"/>
        <v>Xã Đại Đồng, Huyện Tràng Định, Tỉnh Lạng Sơn</v>
      </c>
      <c r="W311" s="55" t="s">
        <v>2313</v>
      </c>
      <c r="X311" s="41"/>
      <c r="Y311" s="41"/>
      <c r="Z311" s="41"/>
      <c r="AA311" s="68" t="str">
        <f>VLOOKUP(A311,'[1]DANH SÁCH'!$B$8:$AD$841,12,0)</f>
        <v>Phó trưởng khoa</v>
      </c>
      <c r="AB311" s="49" t="str">
        <f>VLOOKUP(A311,'[1]DANH SÁCH'!$B$8:$H$841,6,0)</f>
        <v>TĐ004</v>
      </c>
      <c r="AC311" s="69" t="str">
        <f>VLOOKUP(A311,'[1]DANH SÁCH'!$B$8:$J$841,9,0)</f>
        <v>GM-HS</v>
      </c>
      <c r="AD311" s="69" t="str">
        <f>VLOOKUP(A311,'[1]DANH SÁCH'!$B$8:$AC$841,10,0)</f>
        <v>KP025</v>
      </c>
      <c r="AE311" s="69" t="str">
        <f>VLOOKUP(A311,'[1]DANH SÁCH'!$B$8:$AD$841,13,0)</f>
        <v>Viên chức</v>
      </c>
      <c r="AF311" s="41" t="s">
        <v>79</v>
      </c>
      <c r="AG311" s="42" t="str">
        <f>VLOOKUP(A311,'[1]DANH SÁCH'!$B$8:$H$841,7,0)</f>
        <v>Bác sĩ chính (hạng II)</v>
      </c>
      <c r="AH311" s="45">
        <v>5.08</v>
      </c>
      <c r="AI311" s="42">
        <v>3</v>
      </c>
      <c r="AJ311" s="70">
        <v>0</v>
      </c>
      <c r="AK311" s="69">
        <v>45108</v>
      </c>
      <c r="AL311" s="71" t="s">
        <v>80</v>
      </c>
      <c r="AM311" s="53" t="str">
        <f>VLOOKUP(A311,'[1]DANH SÁCH'!$B$8:$F$841,5,0)</f>
        <v>Thạc sỹ</v>
      </c>
      <c r="AN311" s="53" t="s">
        <v>2301</v>
      </c>
      <c r="AO311" s="53"/>
      <c r="AP311" s="53"/>
      <c r="AQ311" s="72" t="s">
        <v>113</v>
      </c>
      <c r="AR311" s="42" t="s">
        <v>82</v>
      </c>
      <c r="AS311" s="42" t="s">
        <v>100</v>
      </c>
      <c r="AT311" s="47" t="s">
        <v>101</v>
      </c>
      <c r="AU311" s="42" t="str">
        <f>VLOOKUP(A311,'[1]Chứng chỉ'!$B$8:$Q$1111,14,0)</f>
        <v>Anh C</v>
      </c>
      <c r="AV311" s="42" t="str">
        <f>VLOOKUP(A311,'[1]Chứng chỉ'!$B$8:$Q$1111,15,0)</f>
        <v>Tày</v>
      </c>
      <c r="AW311" s="42" t="str">
        <f>VLOOKUP(A311,'[1]Chứng chỉ'!$B$8:$Q$1111,16,0)</f>
        <v>Cơ bản</v>
      </c>
      <c r="AX311" s="42"/>
      <c r="AY311" s="57" t="s">
        <v>85</v>
      </c>
      <c r="AZ311" s="65">
        <v>41405</v>
      </c>
      <c r="BA311" s="74" t="e">
        <f t="shared" si="127"/>
        <v>#REF!</v>
      </c>
      <c r="BB311" s="74" t="e">
        <f t="shared" si="128"/>
        <v>#REF!</v>
      </c>
      <c r="BC311" s="61" t="s">
        <v>128</v>
      </c>
      <c r="BD311" s="62"/>
    </row>
    <row r="312" spans="1:56" ht="40.799999999999997" x14ac:dyDescent="0.3">
      <c r="A312" s="46" t="s">
        <v>2314</v>
      </c>
      <c r="B312" s="42">
        <f t="shared" si="110"/>
        <v>306</v>
      </c>
      <c r="C312" s="93" t="s">
        <v>2315</v>
      </c>
      <c r="D312" s="46" t="s">
        <v>2314</v>
      </c>
      <c r="E312" s="61" t="s">
        <v>2316</v>
      </c>
      <c r="F312" s="10"/>
      <c r="G312" s="49" t="s">
        <v>2317</v>
      </c>
      <c r="H312" s="47"/>
      <c r="I312" s="46" t="s">
        <v>2318</v>
      </c>
      <c r="J312" s="66">
        <f t="shared" ca="1" si="129"/>
        <v>32</v>
      </c>
      <c r="K312" s="94" t="s">
        <v>2319</v>
      </c>
      <c r="L312" s="41" t="s">
        <v>2320</v>
      </c>
      <c r="M312" s="53" t="s">
        <v>67</v>
      </c>
      <c r="N312" s="95"/>
      <c r="O312" s="96"/>
      <c r="P312" s="6"/>
      <c r="Q312" s="6"/>
      <c r="R312" s="6"/>
      <c r="S312" s="6"/>
      <c r="T312" s="6"/>
      <c r="U312" s="6"/>
      <c r="V312" s="6"/>
      <c r="W312" s="67" t="s">
        <v>306</v>
      </c>
      <c r="X312" s="97"/>
      <c r="Y312" s="97"/>
      <c r="Z312" s="97"/>
      <c r="AA312" s="68">
        <f>VLOOKUP(A312,'[1]DANH SÁCH'!$B$8:$AD$841,12,0)</f>
        <v>0</v>
      </c>
      <c r="AB312" s="49" t="str">
        <f>VLOOKUP(A312,'[1]DANH SÁCH'!$B$8:$H$841,6,0)</f>
        <v>TĐ005</v>
      </c>
      <c r="AC312" s="69" t="str">
        <f>VLOOKUP(A312,'[1]DANH SÁCH'!$B$8:$J$841,9,0)</f>
        <v>GM-HS</v>
      </c>
      <c r="AD312" s="69" t="str">
        <f>VLOOKUP(A312,'[1]DANH SÁCH'!$B$8:$AC$841,10,0)</f>
        <v>KP025</v>
      </c>
      <c r="AE312" s="69" t="str">
        <f>VLOOKUP(A312,'[1]DANH SÁCH'!$B$8:$AD$841,13,0)</f>
        <v>Viên chức</v>
      </c>
      <c r="AF312" s="41" t="s">
        <v>274</v>
      </c>
      <c r="AG312" s="42" t="str">
        <f>VLOOKUP(A312,'[1]DANH SÁCH'!$B$8:$H$841,7,0)</f>
        <v>Bác sĩ (hạng III)</v>
      </c>
      <c r="AH312" s="45">
        <v>2.67</v>
      </c>
      <c r="AI312" s="42">
        <v>2</v>
      </c>
      <c r="AJ312" s="70">
        <v>0</v>
      </c>
      <c r="AK312" s="69">
        <v>44927</v>
      </c>
      <c r="AL312" s="71" t="s">
        <v>80</v>
      </c>
      <c r="AM312" s="53" t="str">
        <f>VLOOKUP(A312,'[1]DANH SÁCH'!$B$8:$F$841,5,0)</f>
        <v>Bác sĩ</v>
      </c>
      <c r="AN312" s="53" t="s">
        <v>307</v>
      </c>
      <c r="AO312" s="53"/>
      <c r="AP312" s="53"/>
      <c r="AQ312" s="72" t="s">
        <v>113</v>
      </c>
      <c r="AR312" s="42">
        <f>VLOOKUP(A312,'[1]Chứng chỉ'!$B$8:$Q$1111,11,0)</f>
        <v>0</v>
      </c>
      <c r="AS312" s="42">
        <f>VLOOKUP(A312,'[1]Chứng chỉ'!$B$8:$Q$1111,12,0)</f>
        <v>0</v>
      </c>
      <c r="AT312" s="47">
        <f>VLOOKUP(A312,'[1]Chứng chỉ'!$B$8:$Q$1111,13,0)</f>
        <v>0</v>
      </c>
      <c r="AU312" s="42">
        <f>VLOOKUP(A312,'[1]Chứng chỉ'!$B$8:$Q$1111,14,0)</f>
        <v>0</v>
      </c>
      <c r="AV312" s="42">
        <f>VLOOKUP(A312,'[1]Chứng chỉ'!$B$8:$Q$1111,15,0)</f>
        <v>0</v>
      </c>
      <c r="AW312" s="42">
        <f>VLOOKUP(A312,'[1]Chứng chỉ'!$B$8:$Q$1111,16,0)</f>
        <v>0</v>
      </c>
      <c r="AX312" s="6"/>
      <c r="AY312" s="98" t="s">
        <v>85</v>
      </c>
      <c r="AZ312" s="65"/>
      <c r="BA312" s="74"/>
      <c r="BB312" s="74"/>
      <c r="BC312" s="61"/>
      <c r="BD312" s="64"/>
    </row>
    <row r="313" spans="1:56" ht="61.2" x14ac:dyDescent="0.3">
      <c r="A313" s="41" t="s">
        <v>2321</v>
      </c>
      <c r="B313" s="42">
        <f t="shared" si="110"/>
        <v>307</v>
      </c>
      <c r="C313" s="68" t="s">
        <v>2276</v>
      </c>
      <c r="D313" s="41" t="s">
        <v>2321</v>
      </c>
      <c r="E313" s="61" t="s">
        <v>2322</v>
      </c>
      <c r="F313" s="64"/>
      <c r="G313" s="49" t="s">
        <v>2323</v>
      </c>
      <c r="H313" s="76"/>
      <c r="I313" s="76">
        <v>32411</v>
      </c>
      <c r="J313" s="66">
        <f t="shared" ca="1" si="129"/>
        <v>37</v>
      </c>
      <c r="K313" s="75" t="s">
        <v>2324</v>
      </c>
      <c r="L313" s="41" t="s">
        <v>2325</v>
      </c>
      <c r="M313" s="53" t="s">
        <v>67</v>
      </c>
      <c r="N313" s="66" t="s">
        <v>2326</v>
      </c>
      <c r="O313" s="85" t="s">
        <v>626</v>
      </c>
      <c r="P313" s="49" t="s">
        <v>222</v>
      </c>
      <c r="Q313" s="49" t="s">
        <v>94</v>
      </c>
      <c r="R313" s="49" t="s">
        <v>1207</v>
      </c>
      <c r="S313" s="49" t="s">
        <v>166</v>
      </c>
      <c r="T313" s="49" t="s">
        <v>97</v>
      </c>
      <c r="U313" s="49" t="s">
        <v>94</v>
      </c>
      <c r="V313" s="49" t="str">
        <f t="shared" ref="V313:V350" si="130">S313&amp;", "&amp;T313&amp;", "&amp;U313</f>
        <v>Phường Tam Thanh, Thành phố Lạng Sơn, Tỉnh Lạng Sơn</v>
      </c>
      <c r="W313" s="86" t="s">
        <v>249</v>
      </c>
      <c r="X313" s="41"/>
      <c r="Y313" s="41"/>
      <c r="Z313" s="41"/>
      <c r="AA313" s="68">
        <f>VLOOKUP(A313,'[1]DANH SÁCH'!$B$8:$AD$841,12,0)</f>
        <v>0</v>
      </c>
      <c r="AB313" s="49" t="str">
        <f>VLOOKUP(A313,'[1]DANH SÁCH'!$B$8:$H$841,6,0)</f>
        <v>TĐ003</v>
      </c>
      <c r="AC313" s="69" t="str">
        <f>VLOOKUP(A313,'[1]DANH SÁCH'!$B$8:$J$841,9,0)</f>
        <v>GM-HS</v>
      </c>
      <c r="AD313" s="69" t="str">
        <f>VLOOKUP(A313,'[1]DANH SÁCH'!$B$8:$AC$841,10,0)</f>
        <v>KP025</v>
      </c>
      <c r="AE313" s="69" t="str">
        <f>VLOOKUP(A313,'[1]DANH SÁCH'!$B$8:$AD$841,13,0)</f>
        <v>Viên chức</v>
      </c>
      <c r="AF313" s="41" t="s">
        <v>274</v>
      </c>
      <c r="AG313" s="42" t="str">
        <f>VLOOKUP(A313,'[1]DANH SÁCH'!$B$8:$H$841,7,0)</f>
        <v>Bác sĩ (hạng III)</v>
      </c>
      <c r="AH313" s="45">
        <v>3.33</v>
      </c>
      <c r="AI313" s="42">
        <v>4</v>
      </c>
      <c r="AJ313" s="70">
        <v>0</v>
      </c>
      <c r="AK313" s="69">
        <v>45505</v>
      </c>
      <c r="AL313" s="71" t="s">
        <v>80</v>
      </c>
      <c r="AM313" s="53" t="str">
        <f>VLOOKUP(A313,'[1]DANH SÁCH'!$B$8:$F$841,5,0)</f>
        <v>BSCKI</v>
      </c>
      <c r="AN313" s="53" t="s">
        <v>2301</v>
      </c>
      <c r="AO313" s="53" t="s">
        <v>2327</v>
      </c>
      <c r="AP313" s="53">
        <v>2013</v>
      </c>
      <c r="AQ313" s="72" t="s">
        <v>113</v>
      </c>
      <c r="AR313" s="42">
        <f>VLOOKUP(A313,'[1]Chứng chỉ'!$B$8:$Q$1111,11,0)</f>
        <v>0</v>
      </c>
      <c r="AS313" s="42" t="str">
        <f>VLOOKUP(A313,'[1]Chứng chỉ'!$B$8:$Q$1111,12,0)</f>
        <v>x</v>
      </c>
      <c r="AT313" s="47" t="s">
        <v>139</v>
      </c>
      <c r="AU313" s="42">
        <f>VLOOKUP(A313,'[1]Chứng chỉ'!$B$8:$Q$1111,14,0)</f>
        <v>0</v>
      </c>
      <c r="AV313" s="42">
        <f>VLOOKUP(A313,'[1]Chứng chỉ'!$B$8:$Q$1111,15,0)</f>
        <v>0</v>
      </c>
      <c r="AW313" s="42" t="str">
        <f>VLOOKUP(A313,'[1]Chứng chỉ'!$B$8:$Q$1111,16,0)</f>
        <v>Cơ bản</v>
      </c>
      <c r="AX313" s="42"/>
      <c r="AY313" s="57" t="s">
        <v>127</v>
      </c>
      <c r="AZ313" s="65"/>
      <c r="BA313" s="74" t="e">
        <f t="shared" ref="BA313:BA337" si="131">VLOOKUP(A313,#REF!,4,0)</f>
        <v>#REF!</v>
      </c>
      <c r="BB313" s="74" t="e">
        <f t="shared" ref="BB313:BB337" si="132">VLOOKUP(A313,#REF!,5,0)</f>
        <v>#REF!</v>
      </c>
      <c r="BC313" s="61" t="s">
        <v>128</v>
      </c>
      <c r="BD313" s="62"/>
    </row>
    <row r="314" spans="1:56" ht="51" x14ac:dyDescent="0.3">
      <c r="A314" s="41" t="s">
        <v>2328</v>
      </c>
      <c r="B314" s="42">
        <f t="shared" si="110"/>
        <v>308</v>
      </c>
      <c r="C314" s="68" t="s">
        <v>2329</v>
      </c>
      <c r="D314" s="41" t="s">
        <v>2328</v>
      </c>
      <c r="E314" s="61">
        <v>2008002399</v>
      </c>
      <c r="F314" s="64"/>
      <c r="G314" s="49" t="s">
        <v>2330</v>
      </c>
      <c r="H314" s="76"/>
      <c r="I314" s="76">
        <v>31587</v>
      </c>
      <c r="J314" s="66">
        <f t="shared" ca="1" si="129"/>
        <v>40</v>
      </c>
      <c r="K314" s="75" t="s">
        <v>2331</v>
      </c>
      <c r="L314" s="83" t="s">
        <v>1177</v>
      </c>
      <c r="M314" s="53" t="s">
        <v>67</v>
      </c>
      <c r="N314" s="66" t="s">
        <v>94</v>
      </c>
      <c r="O314" s="53" t="s">
        <v>828</v>
      </c>
      <c r="P314" s="49" t="s">
        <v>145</v>
      </c>
      <c r="Q314" s="49" t="s">
        <v>94</v>
      </c>
      <c r="R314" s="49"/>
      <c r="S314" s="49" t="s">
        <v>136</v>
      </c>
      <c r="T314" s="49" t="s">
        <v>97</v>
      </c>
      <c r="U314" s="49" t="s">
        <v>94</v>
      </c>
      <c r="V314" s="49" t="str">
        <f t="shared" si="130"/>
        <v>Phường Chi Lăng, Thành phố Lạng Sơn, Tỉnh Lạng Sơn</v>
      </c>
      <c r="W314" s="55" t="s">
        <v>678</v>
      </c>
      <c r="X314" s="41"/>
      <c r="Y314" s="41"/>
      <c r="Z314" s="41"/>
      <c r="AA314" s="68">
        <f>VLOOKUP(A314,'[1]DANH SÁCH'!$B$8:$AD$841,12,0)</f>
        <v>0</v>
      </c>
      <c r="AB314" s="49" t="str">
        <f>VLOOKUP(A314,'[1]DANH SÁCH'!$B$8:$H$841,6,0)</f>
        <v>TĐ011</v>
      </c>
      <c r="AC314" s="69" t="str">
        <f>VLOOKUP(A314,'[1]DANH SÁCH'!$B$8:$J$841,9,0)</f>
        <v>GM-HS</v>
      </c>
      <c r="AD314" s="69" t="str">
        <f>VLOOKUP(A314,'[1]DANH SÁCH'!$B$8:$AC$841,10,0)</f>
        <v>KP025</v>
      </c>
      <c r="AE314" s="69" t="str">
        <f>VLOOKUP(A314,'[1]DANH SÁCH'!$B$8:$AD$841,13,0)</f>
        <v>Viên chức</v>
      </c>
      <c r="AF314" s="41" t="s">
        <v>147</v>
      </c>
      <c r="AG314" s="42" t="str">
        <f>VLOOKUP(A314,'[1]DANH SÁCH'!$B$8:$H$841,7,0)</f>
        <v>Điều dưỡng (hạng III)</v>
      </c>
      <c r="AH314" s="45">
        <v>3.66</v>
      </c>
      <c r="AI314" s="42">
        <v>5</v>
      </c>
      <c r="AJ314" s="70">
        <v>0</v>
      </c>
      <c r="AK314" s="69">
        <v>45444</v>
      </c>
      <c r="AL314" s="71" t="s">
        <v>80</v>
      </c>
      <c r="AM314" s="53" t="str">
        <f>VLOOKUP(A314,'[1]DANH SÁCH'!$B$8:$F$841,5,0)</f>
        <v>Điều dưỡng ĐH</v>
      </c>
      <c r="AN314" s="53"/>
      <c r="AO314" s="53" t="s">
        <v>1148</v>
      </c>
      <c r="AP314" s="53">
        <v>2017</v>
      </c>
      <c r="AQ314" s="99" t="s">
        <v>113</v>
      </c>
      <c r="AR314" s="42">
        <f>VLOOKUP(A314,'[1]Chứng chỉ'!$B$8:$Q$1111,11,0)</f>
        <v>0</v>
      </c>
      <c r="AS314" s="42">
        <f>VLOOKUP(A314,'[1]Chứng chỉ'!$B$8:$Q$1111,12,0)</f>
        <v>0</v>
      </c>
      <c r="AT314" s="47" t="s">
        <v>139</v>
      </c>
      <c r="AU314" s="42" t="str">
        <f>VLOOKUP(A314,'[1]Chứng chỉ'!$B$8:$Q$1111,14,0)</f>
        <v>Anh A2</v>
      </c>
      <c r="AV314" s="42" t="str">
        <f>VLOOKUP(A314,'[1]Chứng chỉ'!$B$8:$Q$1111,15,0)</f>
        <v>Tày</v>
      </c>
      <c r="AW314" s="42" t="str">
        <f>VLOOKUP(A314,'[1]Chứng chỉ'!$B$8:$Q$1111,16,0)</f>
        <v>B</v>
      </c>
      <c r="AX314" s="42"/>
      <c r="AY314" s="57" t="s">
        <v>85</v>
      </c>
      <c r="AZ314" s="65"/>
      <c r="BA314" s="74" t="e">
        <f t="shared" si="131"/>
        <v>#REF!</v>
      </c>
      <c r="BB314" s="74" t="e">
        <f t="shared" si="132"/>
        <v>#REF!</v>
      </c>
      <c r="BC314" s="61" t="s">
        <v>2262</v>
      </c>
      <c r="BD314" s="62"/>
    </row>
    <row r="315" spans="1:56" ht="61.2" x14ac:dyDescent="0.3">
      <c r="A315" s="41" t="s">
        <v>2332</v>
      </c>
      <c r="B315" s="42">
        <f t="shared" si="110"/>
        <v>309</v>
      </c>
      <c r="C315" s="68" t="s">
        <v>2333</v>
      </c>
      <c r="D315" s="41" t="s">
        <v>2332</v>
      </c>
      <c r="E315" s="61">
        <v>1597020267</v>
      </c>
      <c r="F315" s="64"/>
      <c r="G315" s="49" t="s">
        <v>2334</v>
      </c>
      <c r="H315" s="76"/>
      <c r="I315" s="76">
        <v>25327</v>
      </c>
      <c r="J315" s="66">
        <f t="shared" ca="1" si="129"/>
        <v>57</v>
      </c>
      <c r="K315" s="75" t="s">
        <v>2335</v>
      </c>
      <c r="L315" s="41" t="s">
        <v>2336</v>
      </c>
      <c r="M315" s="53" t="s">
        <v>67</v>
      </c>
      <c r="N315" s="66" t="s">
        <v>2337</v>
      </c>
      <c r="O315" s="85" t="s">
        <v>2338</v>
      </c>
      <c r="P315" s="49" t="s">
        <v>2308</v>
      </c>
      <c r="Q315" s="49" t="s">
        <v>1551</v>
      </c>
      <c r="R315" s="49" t="s">
        <v>2339</v>
      </c>
      <c r="S315" s="76" t="s">
        <v>96</v>
      </c>
      <c r="T315" s="76" t="s">
        <v>97</v>
      </c>
      <c r="U315" s="76" t="s">
        <v>94</v>
      </c>
      <c r="V315" s="49" t="str">
        <f t="shared" si="130"/>
        <v>Phường Hoàng Văn Thụ, Thành phố Lạng Sơn, Tỉnh Lạng Sơn</v>
      </c>
      <c r="W315" s="55" t="s">
        <v>2340</v>
      </c>
      <c r="X315" s="41"/>
      <c r="Y315" s="41"/>
      <c r="Z315" s="41"/>
      <c r="AA315" s="68" t="e">
        <f>VLOOKUP(A315,'[1]DANH SÁCH'!$B$8:$AD$841,12,0)</f>
        <v>#N/A</v>
      </c>
      <c r="AB315" s="49" t="e">
        <f>VLOOKUP(A315,'[1]DANH SÁCH'!$B$8:$H$841,6,0)</f>
        <v>#N/A</v>
      </c>
      <c r="AC315" s="69" t="e">
        <f>VLOOKUP(A315,'[1]DANH SÁCH'!$B$8:$J$841,9,0)</f>
        <v>#N/A</v>
      </c>
      <c r="AD315" s="69" t="e">
        <f>VLOOKUP(A315,'[1]DANH SÁCH'!$B$8:$AC$841,10,0)</f>
        <v>#N/A</v>
      </c>
      <c r="AE315" s="69" t="e">
        <f>VLOOKUP(A315,'[1]DANH SÁCH'!$B$8:$AD$841,13,0)</f>
        <v>#N/A</v>
      </c>
      <c r="AF315" s="41" t="s">
        <v>147</v>
      </c>
      <c r="AG315" s="42" t="e">
        <f>VLOOKUP(A315,'[1]DANH SÁCH'!$B$8:$H$841,7,0)</f>
        <v>#N/A</v>
      </c>
      <c r="AH315" s="45">
        <v>4.9800000000000004</v>
      </c>
      <c r="AI315" s="42">
        <v>9</v>
      </c>
      <c r="AJ315" s="70">
        <v>0.05</v>
      </c>
      <c r="AK315" s="69">
        <v>45778</v>
      </c>
      <c r="AL315" s="71" t="s">
        <v>80</v>
      </c>
      <c r="AM315" s="53" t="e">
        <f>VLOOKUP(A315,'[1]DANH SÁCH'!$B$8:$F$841,5,0)</f>
        <v>#N/A</v>
      </c>
      <c r="AN315" s="53"/>
      <c r="AO315" s="53">
        <v>2008</v>
      </c>
      <c r="AP315" s="53"/>
      <c r="AQ315" s="72" t="s">
        <v>113</v>
      </c>
      <c r="AR315" s="42">
        <f>VLOOKUP(A315,'[1]Chứng chỉ'!$B$8:$Q$1111,11,0)</f>
        <v>0</v>
      </c>
      <c r="AS315" s="42" t="s">
        <v>100</v>
      </c>
      <c r="AT315" s="47" t="s">
        <v>139</v>
      </c>
      <c r="AU315" s="42" t="str">
        <f>VLOOKUP(A315,'[1]Chứng chỉ'!$B$8:$Q$1111,14,0)</f>
        <v>Anh A2</v>
      </c>
      <c r="AV315" s="42" t="str">
        <f>VLOOKUP(A315,'[1]Chứng chỉ'!$B$8:$Q$1111,15,0)</f>
        <v>Tày</v>
      </c>
      <c r="AW315" s="42">
        <f>VLOOKUP(A315,'[1]Chứng chỉ'!$B$8:$Q$1111,16,0)</f>
        <v>0</v>
      </c>
      <c r="AX315" s="42"/>
      <c r="AY315" s="57" t="s">
        <v>87</v>
      </c>
      <c r="AZ315" s="65">
        <v>39169</v>
      </c>
      <c r="BA315" s="74" t="e">
        <f t="shared" si="131"/>
        <v>#REF!</v>
      </c>
      <c r="BB315" s="74" t="e">
        <f t="shared" si="132"/>
        <v>#REF!</v>
      </c>
      <c r="BC315" s="61" t="s">
        <v>1697</v>
      </c>
      <c r="BD315" s="62"/>
    </row>
    <row r="316" spans="1:56" ht="51" x14ac:dyDescent="0.3">
      <c r="A316" s="46" t="s">
        <v>2341</v>
      </c>
      <c r="B316" s="42">
        <f t="shared" si="110"/>
        <v>310</v>
      </c>
      <c r="C316" s="63" t="s">
        <v>2342</v>
      </c>
      <c r="D316" s="46" t="s">
        <v>2341</v>
      </c>
      <c r="E316" s="135">
        <v>2020037312</v>
      </c>
      <c r="F316" s="136">
        <v>2099904172</v>
      </c>
      <c r="G316" s="49" t="s">
        <v>2343</v>
      </c>
      <c r="H316" s="118" t="s">
        <v>2344</v>
      </c>
      <c r="I316" s="76"/>
      <c r="J316" s="66">
        <f t="shared" ref="J316:J317" ca="1" si="133">INT(DATEDIF(H316,$J$2,"d")/365)</f>
        <v>34</v>
      </c>
      <c r="K316" s="41" t="s">
        <v>2345</v>
      </c>
      <c r="L316" s="83" t="s">
        <v>2346</v>
      </c>
      <c r="M316" s="53" t="s">
        <v>67</v>
      </c>
      <c r="N316" s="66"/>
      <c r="O316" s="53" t="s">
        <v>2347</v>
      </c>
      <c r="P316" s="49" t="s">
        <v>2348</v>
      </c>
      <c r="Q316" s="49" t="s">
        <v>1551</v>
      </c>
      <c r="R316" s="49" t="s">
        <v>2349</v>
      </c>
      <c r="S316" s="49" t="s">
        <v>2350</v>
      </c>
      <c r="T316" s="49" t="s">
        <v>97</v>
      </c>
      <c r="U316" s="49" t="s">
        <v>94</v>
      </c>
      <c r="V316" s="49" t="str">
        <f t="shared" si="130"/>
        <v>Hoàng Đồng, Thành phố Lạng Sơn, Tỉnh Lạng Sơn</v>
      </c>
      <c r="W316" s="86" t="s">
        <v>156</v>
      </c>
      <c r="X316" s="41"/>
      <c r="Y316" s="41"/>
      <c r="Z316" s="41"/>
      <c r="AA316" s="68">
        <f>VLOOKUP(A316,'[1]DANH SÁCH'!$B$8:$AD$841,12,0)</f>
        <v>0</v>
      </c>
      <c r="AB316" s="49" t="str">
        <f>VLOOKUP(A316,'[1]DANH SÁCH'!$B$8:$H$841,6,0)</f>
        <v>TĐ012</v>
      </c>
      <c r="AC316" s="69" t="str">
        <f>VLOOKUP(A316,'[1]DANH SÁCH'!$B$8:$J$841,9,0)</f>
        <v>GM-HS</v>
      </c>
      <c r="AD316" s="69" t="str">
        <f>VLOOKUP(A316,'[1]DANH SÁCH'!$B$8:$AC$841,10,0)</f>
        <v>KP025</v>
      </c>
      <c r="AE316" s="69" t="str">
        <f>VLOOKUP(A316,'[1]DANH SÁCH'!$B$8:$AD$841,13,0)</f>
        <v>Viên chức</v>
      </c>
      <c r="AF316" s="41" t="s">
        <v>157</v>
      </c>
      <c r="AG316" s="42" t="str">
        <f>VLOOKUP(A316,'[1]DANH SÁCH'!$B$8:$H$841,7,0)</f>
        <v>Điều dưỡng (hạng IV)</v>
      </c>
      <c r="AH316" s="45">
        <v>3.03</v>
      </c>
      <c r="AI316" s="42">
        <v>4</v>
      </c>
      <c r="AJ316" s="70">
        <v>0</v>
      </c>
      <c r="AK316" s="69">
        <v>45636</v>
      </c>
      <c r="AL316" s="71" t="s">
        <v>158</v>
      </c>
      <c r="AM316" s="53" t="str">
        <f>VLOOKUP(A316,'[1]DANH SÁCH'!$B$8:$F$841,5,0)</f>
        <v>Điều dưỡng CĐ</v>
      </c>
      <c r="AN316" s="53"/>
      <c r="AO316" s="53"/>
      <c r="AP316" s="53"/>
      <c r="AQ316" s="72" t="s">
        <v>113</v>
      </c>
      <c r="AR316" s="42">
        <f>VLOOKUP(A316,'[1]Chứng chỉ'!$B$8:$Q$1111,11,0)</f>
        <v>0</v>
      </c>
      <c r="AS316" s="42">
        <f>VLOOKUP(A316,'[1]Chứng chỉ'!$B$8:$Q$1111,12,0)</f>
        <v>0</v>
      </c>
      <c r="AT316" s="47">
        <f>VLOOKUP(A316,'[1]Chứng chỉ'!$B$8:$Q$1111,13,0)</f>
        <v>0</v>
      </c>
      <c r="AU316" s="42">
        <f>VLOOKUP(A316,'[1]Chứng chỉ'!$B$8:$Q$1111,14,0)</f>
        <v>0</v>
      </c>
      <c r="AV316" s="42">
        <f>VLOOKUP(A316,'[1]Chứng chỉ'!$B$8:$Q$1111,15,0)</f>
        <v>0</v>
      </c>
      <c r="AW316" s="42" t="str">
        <f>VLOOKUP(A316,'[1]Chứng chỉ'!$B$8:$Q$1111,16,0)</f>
        <v>Cơ bản</v>
      </c>
      <c r="AX316" s="42"/>
      <c r="AY316" s="57" t="s">
        <v>87</v>
      </c>
      <c r="AZ316" s="65">
        <v>42952</v>
      </c>
      <c r="BA316" s="74" t="e">
        <f t="shared" si="131"/>
        <v>#REF!</v>
      </c>
      <c r="BB316" s="74" t="e">
        <f t="shared" si="132"/>
        <v>#REF!</v>
      </c>
      <c r="BC316" s="61" t="s">
        <v>128</v>
      </c>
      <c r="BD316" s="62"/>
    </row>
    <row r="317" spans="1:56" ht="51" x14ac:dyDescent="0.3">
      <c r="A317" s="41" t="s">
        <v>2351</v>
      </c>
      <c r="B317" s="42">
        <f t="shared" si="110"/>
        <v>311</v>
      </c>
      <c r="C317" s="68" t="s">
        <v>2352</v>
      </c>
      <c r="D317" s="41" t="s">
        <v>2351</v>
      </c>
      <c r="E317" s="61">
        <v>1597020268</v>
      </c>
      <c r="F317" s="64"/>
      <c r="G317" s="49" t="s">
        <v>2353</v>
      </c>
      <c r="H317" s="76">
        <v>24584</v>
      </c>
      <c r="I317" s="76"/>
      <c r="J317" s="66">
        <f t="shared" ca="1" si="133"/>
        <v>59</v>
      </c>
      <c r="K317" s="75" t="s">
        <v>2354</v>
      </c>
      <c r="L317" s="41" t="s">
        <v>2355</v>
      </c>
      <c r="M317" s="53" t="s">
        <v>67</v>
      </c>
      <c r="N317" s="66" t="s">
        <v>2356</v>
      </c>
      <c r="O317" s="53" t="s">
        <v>214</v>
      </c>
      <c r="P317" s="49" t="s">
        <v>97</v>
      </c>
      <c r="Q317" s="49" t="s">
        <v>94</v>
      </c>
      <c r="R317" s="49" t="s">
        <v>2357</v>
      </c>
      <c r="S317" s="49" t="s">
        <v>214</v>
      </c>
      <c r="T317" s="49" t="s">
        <v>97</v>
      </c>
      <c r="U317" s="49" t="s">
        <v>94</v>
      </c>
      <c r="V317" s="49" t="str">
        <f t="shared" si="130"/>
        <v>Xã Hoàng Đồng, Thành phố Lạng Sơn, Tỉnh Lạng Sơn</v>
      </c>
      <c r="W317" s="55" t="s">
        <v>2358</v>
      </c>
      <c r="X317" s="41"/>
      <c r="Y317" s="41"/>
      <c r="Z317" s="41"/>
      <c r="AA317" s="68">
        <f>VLOOKUP(A317,'[1]DANH SÁCH'!$B$8:$AD$841,12,0)</f>
        <v>0</v>
      </c>
      <c r="AB317" s="49" t="str">
        <f>VLOOKUP(A317,'[1]DANH SÁCH'!$B$8:$H$841,6,0)</f>
        <v>TĐ012</v>
      </c>
      <c r="AC317" s="69" t="str">
        <f>VLOOKUP(A317,'[1]DANH SÁCH'!$B$8:$J$841,9,0)</f>
        <v>GM-HS</v>
      </c>
      <c r="AD317" s="69" t="str">
        <f>VLOOKUP(A317,'[1]DANH SÁCH'!$B$8:$AC$841,10,0)</f>
        <v>KP025</v>
      </c>
      <c r="AE317" s="69" t="str">
        <f>VLOOKUP(A317,'[1]DANH SÁCH'!$B$8:$AD$841,13,0)</f>
        <v>Viên chức</v>
      </c>
      <c r="AF317" s="41" t="s">
        <v>157</v>
      </c>
      <c r="AG317" s="42" t="str">
        <f>VLOOKUP(A317,'[1]DANH SÁCH'!$B$8:$H$841,7,0)</f>
        <v>Điều dưỡng (hạng IV)</v>
      </c>
      <c r="AH317" s="45">
        <v>4.8899999999999997</v>
      </c>
      <c r="AI317" s="42">
        <v>10</v>
      </c>
      <c r="AJ317" s="70">
        <v>0</v>
      </c>
      <c r="AK317" s="69">
        <v>45566</v>
      </c>
      <c r="AL317" s="71" t="s">
        <v>158</v>
      </c>
      <c r="AM317" s="53" t="str">
        <f>VLOOKUP(A317,'[1]DANH SÁCH'!$B$8:$F$841,5,0)</f>
        <v>Điều dưỡng CĐ</v>
      </c>
      <c r="AN317" s="53"/>
      <c r="AO317" s="53" t="s">
        <v>2359</v>
      </c>
      <c r="AP317" s="53">
        <v>2011</v>
      </c>
      <c r="AQ317" s="72" t="s">
        <v>113</v>
      </c>
      <c r="AR317" s="42">
        <f>VLOOKUP(A317,'[1]Chứng chỉ'!$B$8:$Q$1111,11,0)</f>
        <v>0</v>
      </c>
      <c r="AS317" s="42">
        <f>VLOOKUP(A317,'[1]Chứng chỉ'!$B$8:$Q$1111,12,0)</f>
        <v>0</v>
      </c>
      <c r="AT317" s="47" t="s">
        <v>139</v>
      </c>
      <c r="AU317" s="42" t="str">
        <f>VLOOKUP(A317,'[1]Chứng chỉ'!$B$8:$Q$1111,14,0)</f>
        <v>Anh B</v>
      </c>
      <c r="AV317" s="42">
        <f>VLOOKUP(A317,'[1]Chứng chỉ'!$B$8:$Q$1111,15,0)</f>
        <v>0</v>
      </c>
      <c r="AW317" s="42" t="str">
        <f>VLOOKUP(A317,'[1]Chứng chỉ'!$B$8:$Q$1111,16,0)</f>
        <v>B</v>
      </c>
      <c r="AX317" s="42"/>
      <c r="AY317" s="57" t="s">
        <v>85</v>
      </c>
      <c r="AZ317" s="65">
        <v>40555</v>
      </c>
      <c r="BA317" s="74" t="e">
        <f t="shared" si="131"/>
        <v>#REF!</v>
      </c>
      <c r="BB317" s="74" t="e">
        <f t="shared" si="132"/>
        <v>#REF!</v>
      </c>
      <c r="BC317" s="61" t="s">
        <v>128</v>
      </c>
      <c r="BD317" s="62"/>
    </row>
    <row r="318" spans="1:56" ht="51" x14ac:dyDescent="0.3">
      <c r="A318" s="46" t="s">
        <v>2360</v>
      </c>
      <c r="B318" s="42">
        <f t="shared" si="110"/>
        <v>312</v>
      </c>
      <c r="C318" s="68" t="s">
        <v>2361</v>
      </c>
      <c r="D318" s="46" t="s">
        <v>2360</v>
      </c>
      <c r="E318" s="61">
        <v>1596003356</v>
      </c>
      <c r="F318" s="64"/>
      <c r="G318" s="49" t="s">
        <v>2362</v>
      </c>
      <c r="H318" s="76"/>
      <c r="I318" s="76">
        <v>25749</v>
      </c>
      <c r="J318" s="66">
        <f t="shared" ref="J318:J319" ca="1" si="134">INT(DATEDIF(I318,$J$2,"d")/365)</f>
        <v>56</v>
      </c>
      <c r="K318" s="109" t="s">
        <v>2363</v>
      </c>
      <c r="L318" s="41" t="s">
        <v>2364</v>
      </c>
      <c r="M318" s="53" t="s">
        <v>67</v>
      </c>
      <c r="N318" s="66"/>
      <c r="O318" s="53" t="s">
        <v>2365</v>
      </c>
      <c r="P318" s="76" t="s">
        <v>343</v>
      </c>
      <c r="Q318" s="49" t="s">
        <v>94</v>
      </c>
      <c r="R318" s="49"/>
      <c r="S318" s="49" t="s">
        <v>1675</v>
      </c>
      <c r="T318" s="76" t="s">
        <v>343</v>
      </c>
      <c r="U318" s="49" t="s">
        <v>94</v>
      </c>
      <c r="V318" s="49" t="str">
        <f t="shared" si="130"/>
        <v>Thị trấn Bình Gia, Huyện Bình Gia, Tỉnh Lạng Sơn</v>
      </c>
      <c r="W318" s="55" t="s">
        <v>2366</v>
      </c>
      <c r="X318" s="41"/>
      <c r="Y318" s="41"/>
      <c r="Z318" s="41"/>
      <c r="AA318" s="68">
        <f>VLOOKUP(A318,'[1]DANH SÁCH'!$B$8:$AD$841,12,0)</f>
        <v>0</v>
      </c>
      <c r="AB318" s="49" t="str">
        <f>VLOOKUP(A318,'[1]DANH SÁCH'!$B$8:$H$841,6,0)</f>
        <v>TĐ012</v>
      </c>
      <c r="AC318" s="69" t="str">
        <f>VLOOKUP(A318,'[1]DANH SÁCH'!$B$8:$J$841,9,0)</f>
        <v>GM-HS</v>
      </c>
      <c r="AD318" s="69" t="str">
        <f>VLOOKUP(A318,'[1]DANH SÁCH'!$B$8:$AC$841,10,0)</f>
        <v>KP025</v>
      </c>
      <c r="AE318" s="69" t="str">
        <f>VLOOKUP(A318,'[1]DANH SÁCH'!$B$8:$AD$841,13,0)</f>
        <v>Viên chức</v>
      </c>
      <c r="AF318" s="41" t="s">
        <v>257</v>
      </c>
      <c r="AG318" s="42" t="str">
        <f>VLOOKUP(A318,'[1]DANH SÁCH'!$B$8:$H$841,7,0)</f>
        <v>Kỹ thuật y (hạng IV)</v>
      </c>
      <c r="AH318" s="45">
        <v>4.8899999999999997</v>
      </c>
      <c r="AI318" s="42">
        <v>10</v>
      </c>
      <c r="AJ318" s="70">
        <v>0</v>
      </c>
      <c r="AK318" s="69">
        <v>45901</v>
      </c>
      <c r="AL318" s="71" t="s">
        <v>158</v>
      </c>
      <c r="AM318" s="53" t="str">
        <f>VLOOKUP(A318,'[1]DANH SÁCH'!$B$8:$F$841,5,0)</f>
        <v>Điều dưỡng CĐ</v>
      </c>
      <c r="AN318" s="53"/>
      <c r="AO318" s="53"/>
      <c r="AP318" s="53"/>
      <c r="AQ318" s="72" t="s">
        <v>113</v>
      </c>
      <c r="AR318" s="42">
        <f>VLOOKUP(A318,'[1]Chứng chỉ'!$B$8:$Q$1111,11,0)</f>
        <v>0</v>
      </c>
      <c r="AS318" s="42">
        <f>VLOOKUP(A318,'[1]Chứng chỉ'!$B$8:$Q$1111,12,0)</f>
        <v>0</v>
      </c>
      <c r="AT318" s="47">
        <f>VLOOKUP(A318,'[1]Chứng chỉ'!$B$8:$Q$1111,13,0)</f>
        <v>0</v>
      </c>
      <c r="AU318" s="42" t="str">
        <f>VLOOKUP(A318,'[1]Chứng chỉ'!$B$8:$Q$1111,14,0)</f>
        <v>Anh A</v>
      </c>
      <c r="AV318" s="42">
        <f>VLOOKUP(A318,'[1]Chứng chỉ'!$B$8:$Q$1111,15,0)</f>
        <v>0</v>
      </c>
      <c r="AW318" s="42" t="str">
        <f>VLOOKUP(A318,'[1]Chứng chỉ'!$B$8:$Q$1111,16,0)</f>
        <v>B</v>
      </c>
      <c r="AX318" s="42"/>
      <c r="AY318" s="57" t="s">
        <v>85</v>
      </c>
      <c r="AZ318" s="65">
        <v>36508</v>
      </c>
      <c r="BA318" s="74" t="e">
        <f t="shared" si="131"/>
        <v>#REF!</v>
      </c>
      <c r="BB318" s="74" t="e">
        <f t="shared" si="132"/>
        <v>#REF!</v>
      </c>
      <c r="BC318" s="61" t="s">
        <v>128</v>
      </c>
      <c r="BD318" s="62"/>
    </row>
    <row r="319" spans="1:56" ht="61.2" x14ac:dyDescent="0.3">
      <c r="A319" s="41" t="s">
        <v>2367</v>
      </c>
      <c r="B319" s="42">
        <f t="shared" si="110"/>
        <v>313</v>
      </c>
      <c r="C319" s="68" t="s">
        <v>2368</v>
      </c>
      <c r="D319" s="41" t="s">
        <v>2367</v>
      </c>
      <c r="E319" s="61">
        <v>2010000138</v>
      </c>
      <c r="F319" s="64"/>
      <c r="G319" s="49" t="s">
        <v>2369</v>
      </c>
      <c r="H319" s="76"/>
      <c r="I319" s="76">
        <v>32175</v>
      </c>
      <c r="J319" s="66">
        <f t="shared" ca="1" si="134"/>
        <v>38</v>
      </c>
      <c r="K319" s="75" t="s">
        <v>2370</v>
      </c>
      <c r="L319" s="41" t="s">
        <v>2260</v>
      </c>
      <c r="M319" s="53" t="s">
        <v>67</v>
      </c>
      <c r="N319" s="66"/>
      <c r="O319" s="53" t="s">
        <v>1155</v>
      </c>
      <c r="P319" s="49" t="s">
        <v>93</v>
      </c>
      <c r="Q319" s="49" t="s">
        <v>94</v>
      </c>
      <c r="R319" s="49"/>
      <c r="S319" s="49" t="s">
        <v>166</v>
      </c>
      <c r="T319" s="49" t="s">
        <v>97</v>
      </c>
      <c r="U319" s="49" t="s">
        <v>94</v>
      </c>
      <c r="V319" s="49" t="str">
        <f t="shared" si="130"/>
        <v>Phường Tam Thanh, Thành phố Lạng Sơn, Tỉnh Lạng Sơn</v>
      </c>
      <c r="W319" s="55" t="s">
        <v>236</v>
      </c>
      <c r="X319" s="41"/>
      <c r="Y319" s="41"/>
      <c r="Z319" s="41"/>
      <c r="AA319" s="68">
        <f>VLOOKUP(A319,'[1]DANH SÁCH'!$B$8:$AD$841,12,0)</f>
        <v>0</v>
      </c>
      <c r="AB319" s="49" t="str">
        <f>VLOOKUP(A319,'[1]DANH SÁCH'!$B$8:$H$841,6,0)</f>
        <v>TĐ012</v>
      </c>
      <c r="AC319" s="69" t="str">
        <f>VLOOKUP(A319,'[1]DANH SÁCH'!$B$8:$J$841,9,0)</f>
        <v>GM-HS</v>
      </c>
      <c r="AD319" s="69" t="str">
        <f>VLOOKUP(A319,'[1]DANH SÁCH'!$B$8:$AC$841,10,0)</f>
        <v>KP025</v>
      </c>
      <c r="AE319" s="69" t="str">
        <f>VLOOKUP(A319,'[1]DANH SÁCH'!$B$8:$AD$841,13,0)</f>
        <v>Viên chức</v>
      </c>
      <c r="AF319" s="41" t="s">
        <v>157</v>
      </c>
      <c r="AG319" s="42" t="str">
        <f>VLOOKUP(A319,'[1]DANH SÁCH'!$B$8:$H$841,7,0)</f>
        <v>Điều dưỡng (hạng IV)</v>
      </c>
      <c r="AH319" s="45">
        <v>3.65</v>
      </c>
      <c r="AI319" s="42">
        <v>6</v>
      </c>
      <c r="AJ319" s="70">
        <v>0</v>
      </c>
      <c r="AK319" s="69">
        <v>45839</v>
      </c>
      <c r="AL319" s="71" t="s">
        <v>158</v>
      </c>
      <c r="AM319" s="53" t="str">
        <f>VLOOKUP(A319,'[1]DANH SÁCH'!$B$8:$F$841,5,0)</f>
        <v>Điều dưỡng CĐ</v>
      </c>
      <c r="AN319" s="53"/>
      <c r="AO319" s="53"/>
      <c r="AP319" s="53"/>
      <c r="AQ319" s="72" t="s">
        <v>113</v>
      </c>
      <c r="AR319" s="42">
        <f>VLOOKUP(A319,'[1]Chứng chỉ'!$B$8:$Q$1111,11,0)</f>
        <v>0</v>
      </c>
      <c r="AS319" s="42">
        <f>VLOOKUP(A319,'[1]Chứng chỉ'!$B$8:$Q$1111,12,0)</f>
        <v>0</v>
      </c>
      <c r="AT319" s="47" t="s">
        <v>139</v>
      </c>
      <c r="AU319" s="42">
        <f>VLOOKUP(A319,'[1]Chứng chỉ'!$B$8:$Q$1111,14,0)</f>
        <v>0</v>
      </c>
      <c r="AV319" s="42">
        <f>VLOOKUP(A319,'[1]Chứng chỉ'!$B$8:$Q$1111,15,0)</f>
        <v>0</v>
      </c>
      <c r="AW319" s="42" t="str">
        <f>VLOOKUP(A319,'[1]Chứng chỉ'!$B$8:$Q$1111,16,0)</f>
        <v>B</v>
      </c>
      <c r="AX319" s="42" t="s">
        <v>2371</v>
      </c>
      <c r="AY319" s="57" t="s">
        <v>85</v>
      </c>
      <c r="AZ319" s="65"/>
      <c r="BA319" s="74" t="e">
        <f t="shared" si="131"/>
        <v>#REF!</v>
      </c>
      <c r="BB319" s="74" t="e">
        <f t="shared" si="132"/>
        <v>#REF!</v>
      </c>
      <c r="BC319" s="61" t="s">
        <v>128</v>
      </c>
      <c r="BD319" s="62"/>
    </row>
    <row r="320" spans="1:56" ht="61.2" x14ac:dyDescent="0.3">
      <c r="A320" s="41" t="s">
        <v>2372</v>
      </c>
      <c r="B320" s="42">
        <f t="shared" si="110"/>
        <v>314</v>
      </c>
      <c r="C320" s="68" t="s">
        <v>2373</v>
      </c>
      <c r="D320" s="41" t="s">
        <v>2372</v>
      </c>
      <c r="E320" s="61">
        <v>2010000144</v>
      </c>
      <c r="F320" s="64"/>
      <c r="G320" s="49">
        <v>20085007541</v>
      </c>
      <c r="H320" s="76">
        <v>31105</v>
      </c>
      <c r="I320" s="76"/>
      <c r="J320" s="66">
        <f ca="1">INT(DATEDIF(H320,$J$2,"d")/365)</f>
        <v>41</v>
      </c>
      <c r="K320" s="75" t="s">
        <v>2374</v>
      </c>
      <c r="L320" s="41" t="s">
        <v>2375</v>
      </c>
      <c r="M320" s="53" t="s">
        <v>67</v>
      </c>
      <c r="N320" s="66"/>
      <c r="O320" s="53" t="s">
        <v>96</v>
      </c>
      <c r="P320" s="76" t="s">
        <v>343</v>
      </c>
      <c r="Q320" s="49" t="s">
        <v>94</v>
      </c>
      <c r="R320" s="49"/>
      <c r="S320" s="49" t="s">
        <v>96</v>
      </c>
      <c r="T320" s="53" t="s">
        <v>97</v>
      </c>
      <c r="U320" s="53" t="s">
        <v>94</v>
      </c>
      <c r="V320" s="49" t="str">
        <f t="shared" si="130"/>
        <v>Phường Hoàng Văn Thụ, Thành phố Lạng Sơn, Tỉnh Lạng Sơn</v>
      </c>
      <c r="W320" s="55" t="s">
        <v>236</v>
      </c>
      <c r="X320" s="41"/>
      <c r="Y320" s="41"/>
      <c r="Z320" s="41"/>
      <c r="AA320" s="68">
        <f>VLOOKUP(A320,'[1]DANH SÁCH'!$B$8:$AD$841,12,0)</f>
        <v>0</v>
      </c>
      <c r="AB320" s="49" t="str">
        <f>VLOOKUP(A320,'[1]DANH SÁCH'!$B$8:$H$841,6,0)</f>
        <v>TĐ012</v>
      </c>
      <c r="AC320" s="69" t="str">
        <f>VLOOKUP(A320,'[1]DANH SÁCH'!$B$8:$J$841,9,0)</f>
        <v>GM-HS</v>
      </c>
      <c r="AD320" s="69" t="str">
        <f>VLOOKUP(A320,'[1]DANH SÁCH'!$B$8:$AC$841,10,0)</f>
        <v>KP025</v>
      </c>
      <c r="AE320" s="69" t="str">
        <f>VLOOKUP(A320,'[1]DANH SÁCH'!$B$8:$AD$841,13,0)</f>
        <v>Viên chức</v>
      </c>
      <c r="AF320" s="41" t="s">
        <v>157</v>
      </c>
      <c r="AG320" s="42" t="str">
        <f>VLOOKUP(A320,'[1]DANH SÁCH'!$B$8:$H$841,7,0)</f>
        <v>Điều dưỡng (hạng IV)</v>
      </c>
      <c r="AH320" s="45">
        <v>3.34</v>
      </c>
      <c r="AI320" s="42">
        <v>5</v>
      </c>
      <c r="AJ320" s="70">
        <v>0</v>
      </c>
      <c r="AK320" s="69">
        <v>44927</v>
      </c>
      <c r="AL320" s="71" t="s">
        <v>158</v>
      </c>
      <c r="AM320" s="53" t="str">
        <f>VLOOKUP(A320,'[1]DANH SÁCH'!$B$8:$F$841,5,0)</f>
        <v>Điều dưỡng CĐ</v>
      </c>
      <c r="AN320" s="53"/>
      <c r="AO320" s="53" t="s">
        <v>159</v>
      </c>
      <c r="AP320" s="53">
        <v>2007</v>
      </c>
      <c r="AQ320" s="72" t="s">
        <v>113</v>
      </c>
      <c r="AR320" s="42">
        <f>VLOOKUP(A320,'[1]Chứng chỉ'!$B$8:$Q$1111,11,0)</f>
        <v>0</v>
      </c>
      <c r="AS320" s="42">
        <f>VLOOKUP(A320,'[1]Chứng chỉ'!$B$8:$Q$1111,12,0)</f>
        <v>0</v>
      </c>
      <c r="AT320" s="47">
        <f>VLOOKUP(A320,'[1]Chứng chỉ'!$B$8:$Q$1111,13,0)</f>
        <v>0</v>
      </c>
      <c r="AU320" s="42">
        <f>VLOOKUP(A320,'[1]Chứng chỉ'!$B$8:$Q$1111,14,0)</f>
        <v>0</v>
      </c>
      <c r="AV320" s="42">
        <f>VLOOKUP(A320,'[1]Chứng chỉ'!$B$8:$Q$1111,15,0)</f>
        <v>0</v>
      </c>
      <c r="AW320" s="42" t="str">
        <f>VLOOKUP(A320,'[1]Chứng chỉ'!$B$8:$Q$1111,16,0)</f>
        <v>Cơ bản</v>
      </c>
      <c r="AX320" s="53"/>
      <c r="AY320" s="57" t="s">
        <v>85</v>
      </c>
      <c r="AZ320" s="65"/>
      <c r="BA320" s="74" t="e">
        <f t="shared" si="131"/>
        <v>#REF!</v>
      </c>
      <c r="BB320" s="74" t="e">
        <f t="shared" si="132"/>
        <v>#REF!</v>
      </c>
      <c r="BC320" s="61" t="s">
        <v>128</v>
      </c>
      <c r="BD320" s="62"/>
    </row>
    <row r="321" spans="1:56" ht="40.799999999999997" x14ac:dyDescent="0.3">
      <c r="A321" s="41" t="s">
        <v>2376</v>
      </c>
      <c r="B321" s="42">
        <f t="shared" si="110"/>
        <v>315</v>
      </c>
      <c r="C321" s="68" t="s">
        <v>2377</v>
      </c>
      <c r="D321" s="41" t="s">
        <v>2376</v>
      </c>
      <c r="E321" s="61">
        <v>2011000019</v>
      </c>
      <c r="F321" s="64"/>
      <c r="G321" s="49" t="s">
        <v>2378</v>
      </c>
      <c r="H321" s="76"/>
      <c r="I321" s="76">
        <v>32268</v>
      </c>
      <c r="J321" s="66">
        <f t="shared" ref="J321:J334" ca="1" si="135">INT(DATEDIF(I321,$J$2,"d")/365)</f>
        <v>38</v>
      </c>
      <c r="K321" s="75" t="s">
        <v>2379</v>
      </c>
      <c r="L321" s="41" t="s">
        <v>2380</v>
      </c>
      <c r="M321" s="53" t="s">
        <v>67</v>
      </c>
      <c r="N321" s="66"/>
      <c r="O321" s="53" t="s">
        <v>2381</v>
      </c>
      <c r="P321" s="49" t="s">
        <v>222</v>
      </c>
      <c r="Q321" s="49" t="s">
        <v>94</v>
      </c>
      <c r="R321" s="49"/>
      <c r="S321" s="49" t="s">
        <v>2381</v>
      </c>
      <c r="T321" s="53" t="s">
        <v>222</v>
      </c>
      <c r="U321" s="53" t="s">
        <v>94</v>
      </c>
      <c r="V321" s="49" t="str">
        <f t="shared" si="130"/>
        <v>Xã Nhân Lý, Huyện Chi Lăng, Tỉnh Lạng Sơn</v>
      </c>
      <c r="W321" s="55" t="s">
        <v>224</v>
      </c>
      <c r="X321" s="41"/>
      <c r="Y321" s="41"/>
      <c r="Z321" s="41"/>
      <c r="AA321" s="68">
        <f>VLOOKUP(A321,'[1]DANH SÁCH'!$B$8:$AD$841,12,0)</f>
        <v>0</v>
      </c>
      <c r="AB321" s="49" t="str">
        <f>VLOOKUP(A321,'[1]DANH SÁCH'!$B$8:$H$841,6,0)</f>
        <v>TĐ012</v>
      </c>
      <c r="AC321" s="69" t="str">
        <f>VLOOKUP(A321,'[1]DANH SÁCH'!$B$8:$J$841,9,0)</f>
        <v>GM-HS</v>
      </c>
      <c r="AD321" s="69" t="str">
        <f>VLOOKUP(A321,'[1]DANH SÁCH'!$B$8:$AC$841,10,0)</f>
        <v>KP025</v>
      </c>
      <c r="AE321" s="69" t="str">
        <f>VLOOKUP(A321,'[1]DANH SÁCH'!$B$8:$AD$841,13,0)</f>
        <v>Viên chức</v>
      </c>
      <c r="AF321" s="41" t="s">
        <v>157</v>
      </c>
      <c r="AG321" s="42" t="str">
        <f>VLOOKUP(A321,'[1]DANH SÁCH'!$B$8:$H$841,7,0)</f>
        <v>Điều dưỡng (hạng IV)</v>
      </c>
      <c r="AH321" s="45">
        <v>3.34</v>
      </c>
      <c r="AI321" s="42">
        <v>5</v>
      </c>
      <c r="AJ321" s="70">
        <v>0</v>
      </c>
      <c r="AK321" s="69">
        <v>45444</v>
      </c>
      <c r="AL321" s="71" t="s">
        <v>158</v>
      </c>
      <c r="AM321" s="53" t="str">
        <f>VLOOKUP(A321,'[1]DANH SÁCH'!$B$8:$F$841,5,0)</f>
        <v>Điều dưỡng CĐ</v>
      </c>
      <c r="AN321" s="53"/>
      <c r="AO321" s="53" t="s">
        <v>159</v>
      </c>
      <c r="AP321" s="53">
        <v>2009</v>
      </c>
      <c r="AQ321" s="72" t="s">
        <v>113</v>
      </c>
      <c r="AR321" s="42">
        <f>VLOOKUP(A321,'[1]Chứng chỉ'!$B$8:$Q$1111,11,0)</f>
        <v>0</v>
      </c>
      <c r="AS321" s="42">
        <f>VLOOKUP(A321,'[1]Chứng chỉ'!$B$8:$Q$1111,12,0)</f>
        <v>0</v>
      </c>
      <c r="AT321" s="47">
        <f>VLOOKUP(A321,'[1]Chứng chỉ'!$B$8:$Q$1111,13,0)</f>
        <v>0</v>
      </c>
      <c r="AU321" s="42">
        <f>VLOOKUP(A321,'[1]Chứng chỉ'!$B$8:$Q$1111,14,0)</f>
        <v>0</v>
      </c>
      <c r="AV321" s="42">
        <f>VLOOKUP(A321,'[1]Chứng chỉ'!$B$8:$Q$1111,15,0)</f>
        <v>0</v>
      </c>
      <c r="AW321" s="42" t="str">
        <f>VLOOKUP(A321,'[1]Chứng chỉ'!$B$8:$Q$1111,16,0)</f>
        <v>Cơ bản</v>
      </c>
      <c r="AX321" s="53"/>
      <c r="AY321" s="57" t="s">
        <v>127</v>
      </c>
      <c r="AZ321" s="65"/>
      <c r="BA321" s="74" t="e">
        <f t="shared" si="131"/>
        <v>#REF!</v>
      </c>
      <c r="BB321" s="74" t="e">
        <f t="shared" si="132"/>
        <v>#REF!</v>
      </c>
      <c r="BC321" s="61" t="s">
        <v>128</v>
      </c>
      <c r="BD321" s="62"/>
    </row>
    <row r="322" spans="1:56" ht="51" x14ac:dyDescent="0.3">
      <c r="A322" s="41" t="s">
        <v>2382</v>
      </c>
      <c r="B322" s="42">
        <f t="shared" si="110"/>
        <v>316</v>
      </c>
      <c r="C322" s="68" t="s">
        <v>2383</v>
      </c>
      <c r="D322" s="41" t="s">
        <v>2382</v>
      </c>
      <c r="E322" s="61">
        <v>1506002939</v>
      </c>
      <c r="F322" s="64"/>
      <c r="G322" s="49" t="s">
        <v>2384</v>
      </c>
      <c r="H322" s="76"/>
      <c r="I322" s="76">
        <v>29316</v>
      </c>
      <c r="J322" s="66">
        <f t="shared" ca="1" si="135"/>
        <v>46</v>
      </c>
      <c r="K322" s="109" t="s">
        <v>2385</v>
      </c>
      <c r="L322" s="41" t="s">
        <v>2386</v>
      </c>
      <c r="M322" s="53" t="s">
        <v>67</v>
      </c>
      <c r="N322" s="66"/>
      <c r="O322" s="53"/>
      <c r="P322" s="76" t="s">
        <v>222</v>
      </c>
      <c r="Q322" s="49" t="s">
        <v>94</v>
      </c>
      <c r="R322" s="49"/>
      <c r="S322" s="49" t="s">
        <v>136</v>
      </c>
      <c r="T322" s="49" t="s">
        <v>97</v>
      </c>
      <c r="U322" s="49" t="s">
        <v>94</v>
      </c>
      <c r="V322" s="49" t="str">
        <f t="shared" si="130"/>
        <v>Phường Chi Lăng, Thành phố Lạng Sơn, Tỉnh Lạng Sơn</v>
      </c>
      <c r="W322" s="55" t="s">
        <v>579</v>
      </c>
      <c r="X322" s="41"/>
      <c r="Y322" s="41"/>
      <c r="Z322" s="41"/>
      <c r="AA322" s="68">
        <f>VLOOKUP(A322,'[1]DANH SÁCH'!$B$8:$AD$841,12,0)</f>
        <v>0</v>
      </c>
      <c r="AB322" s="49" t="str">
        <f>VLOOKUP(A322,'[1]DANH SÁCH'!$B$8:$H$841,6,0)</f>
        <v>TĐ012</v>
      </c>
      <c r="AC322" s="69" t="str">
        <f>VLOOKUP(A322,'[1]DANH SÁCH'!$B$8:$J$841,9,0)</f>
        <v>GM-HS</v>
      </c>
      <c r="AD322" s="69" t="str">
        <f>VLOOKUP(A322,'[1]DANH SÁCH'!$B$8:$AC$841,10,0)</f>
        <v>KP025</v>
      </c>
      <c r="AE322" s="69" t="str">
        <f>VLOOKUP(A322,'[1]DANH SÁCH'!$B$8:$AD$841,13,0)</f>
        <v>Viên chức</v>
      </c>
      <c r="AF322" s="41" t="s">
        <v>157</v>
      </c>
      <c r="AG322" s="42" t="str">
        <f>VLOOKUP(A322,'[1]DANH SÁCH'!$B$8:$H$841,7,0)</f>
        <v>Điều dưỡng (hạng IV)</v>
      </c>
      <c r="AH322" s="45">
        <v>3.65</v>
      </c>
      <c r="AI322" s="42">
        <v>6</v>
      </c>
      <c r="AJ322" s="70">
        <v>0</v>
      </c>
      <c r="AK322" s="69">
        <v>45413</v>
      </c>
      <c r="AL322" s="71" t="s">
        <v>158</v>
      </c>
      <c r="AM322" s="53" t="str">
        <f>VLOOKUP(A322,'[1]DANH SÁCH'!$B$8:$F$841,5,0)</f>
        <v>Điều dưỡng CĐ</v>
      </c>
      <c r="AN322" s="53"/>
      <c r="AO322" s="53"/>
      <c r="AP322" s="53"/>
      <c r="AQ322" s="72"/>
      <c r="AR322" s="42">
        <f>VLOOKUP(A322,'[1]Chứng chỉ'!$B$8:$Q$1111,11,0)</f>
        <v>0</v>
      </c>
      <c r="AS322" s="42">
        <f>VLOOKUP(A322,'[1]Chứng chỉ'!$B$8:$Q$1111,12,0)</f>
        <v>0</v>
      </c>
      <c r="AT322" s="47">
        <f>VLOOKUP(A322,'[1]Chứng chỉ'!$B$8:$Q$1111,13,0)</f>
        <v>0</v>
      </c>
      <c r="AU322" s="42">
        <f>VLOOKUP(A322,'[1]Chứng chỉ'!$B$8:$Q$1111,14,0)</f>
        <v>0</v>
      </c>
      <c r="AV322" s="42">
        <f>VLOOKUP(A322,'[1]Chứng chỉ'!$B$8:$Q$1111,15,0)</f>
        <v>0</v>
      </c>
      <c r="AW322" s="42" t="str">
        <f>VLOOKUP(A322,'[1]Chứng chỉ'!$B$8:$Q$1111,16,0)</f>
        <v>Cơ bản</v>
      </c>
      <c r="AX322" s="42"/>
      <c r="AY322" s="57" t="s">
        <v>127</v>
      </c>
      <c r="AZ322" s="65"/>
      <c r="BA322" s="74" t="e">
        <f t="shared" si="131"/>
        <v>#REF!</v>
      </c>
      <c r="BB322" s="74" t="e">
        <f t="shared" si="132"/>
        <v>#REF!</v>
      </c>
      <c r="BC322" s="61" t="s">
        <v>128</v>
      </c>
      <c r="BD322" s="62"/>
    </row>
    <row r="323" spans="1:56" ht="61.2" x14ac:dyDescent="0.3">
      <c r="A323" s="41" t="s">
        <v>2387</v>
      </c>
      <c r="B323" s="42">
        <f t="shared" si="110"/>
        <v>317</v>
      </c>
      <c r="C323" s="68" t="s">
        <v>2388</v>
      </c>
      <c r="D323" s="41" t="s">
        <v>2387</v>
      </c>
      <c r="E323" s="61">
        <v>1596007619</v>
      </c>
      <c r="F323" s="64"/>
      <c r="G323" s="49" t="s">
        <v>2389</v>
      </c>
      <c r="H323" s="76"/>
      <c r="I323" s="76">
        <v>27412</v>
      </c>
      <c r="J323" s="66">
        <f t="shared" ca="1" si="135"/>
        <v>51</v>
      </c>
      <c r="K323" s="75" t="s">
        <v>2390</v>
      </c>
      <c r="L323" s="41" t="s">
        <v>2391</v>
      </c>
      <c r="M323" s="53" t="s">
        <v>67</v>
      </c>
      <c r="N323" s="66"/>
      <c r="O323" s="53"/>
      <c r="P323" s="49" t="s">
        <v>155</v>
      </c>
      <c r="Q323" s="49" t="s">
        <v>94</v>
      </c>
      <c r="R323" s="49"/>
      <c r="S323" s="49" t="s">
        <v>124</v>
      </c>
      <c r="T323" s="49" t="s">
        <v>97</v>
      </c>
      <c r="U323" s="49" t="s">
        <v>94</v>
      </c>
      <c r="V323" s="49" t="str">
        <f t="shared" si="130"/>
        <v>Phường Đông Kinh, Thành phố Lạng Sơn, Tỉnh Lạng Sơn</v>
      </c>
      <c r="W323" s="55" t="s">
        <v>526</v>
      </c>
      <c r="X323" s="41"/>
      <c r="Y323" s="41"/>
      <c r="Z323" s="41"/>
      <c r="AA323" s="68">
        <f>VLOOKUP(A323,'[1]DANH SÁCH'!$B$8:$AD$841,12,0)</f>
        <v>0</v>
      </c>
      <c r="AB323" s="49" t="str">
        <f>VLOOKUP(A323,'[1]DANH SÁCH'!$B$8:$H$841,6,0)</f>
        <v>TĐ012</v>
      </c>
      <c r="AC323" s="69" t="str">
        <f>VLOOKUP(A323,'[1]DANH SÁCH'!$B$8:$J$841,9,0)</f>
        <v>GM-HS</v>
      </c>
      <c r="AD323" s="69" t="str">
        <f>VLOOKUP(A323,'[1]DANH SÁCH'!$B$8:$AC$841,10,0)</f>
        <v>KP025</v>
      </c>
      <c r="AE323" s="69" t="str">
        <f>VLOOKUP(A323,'[1]DANH SÁCH'!$B$8:$AD$841,13,0)</f>
        <v>Viên chức</v>
      </c>
      <c r="AF323" s="41" t="s">
        <v>157</v>
      </c>
      <c r="AG323" s="42" t="str">
        <f>VLOOKUP(A323,'[1]DANH SÁCH'!$B$8:$H$841,7,0)</f>
        <v>Điều dưỡng (hạng IV)</v>
      </c>
      <c r="AH323" s="45">
        <v>4.8899999999999997</v>
      </c>
      <c r="AI323" s="42">
        <v>10</v>
      </c>
      <c r="AJ323" s="70">
        <v>0</v>
      </c>
      <c r="AK323" s="69">
        <v>45962</v>
      </c>
      <c r="AL323" s="71" t="s">
        <v>158</v>
      </c>
      <c r="AM323" s="53" t="str">
        <f>VLOOKUP(A323,'[1]DANH SÁCH'!$B$8:$F$841,5,0)</f>
        <v>Điều dưỡng CĐ</v>
      </c>
      <c r="AN323" s="53"/>
      <c r="AO323" s="53"/>
      <c r="AP323" s="53"/>
      <c r="AQ323" s="72" t="s">
        <v>113</v>
      </c>
      <c r="AR323" s="42">
        <f>VLOOKUP(A323,'[1]Chứng chỉ'!$B$8:$Q$1111,11,0)</f>
        <v>0</v>
      </c>
      <c r="AS323" s="42">
        <f>VLOOKUP(A323,'[1]Chứng chỉ'!$B$8:$Q$1111,12,0)</f>
        <v>0</v>
      </c>
      <c r="AT323" s="47">
        <f>VLOOKUP(A323,'[1]Chứng chỉ'!$B$8:$Q$1111,13,0)</f>
        <v>0</v>
      </c>
      <c r="AU323" s="42">
        <f>VLOOKUP(A323,'[1]Chứng chỉ'!$B$8:$Q$1111,14,0)</f>
        <v>0</v>
      </c>
      <c r="AV323" s="42">
        <f>VLOOKUP(A323,'[1]Chứng chỉ'!$B$8:$Q$1111,15,0)</f>
        <v>0</v>
      </c>
      <c r="AW323" s="42" t="str">
        <f>VLOOKUP(A323,'[1]Chứng chỉ'!$B$8:$Q$1111,16,0)</f>
        <v>Cơ bản</v>
      </c>
      <c r="AX323" s="42"/>
      <c r="AY323" s="57" t="s">
        <v>127</v>
      </c>
      <c r="AZ323" s="65"/>
      <c r="BA323" s="74" t="e">
        <f t="shared" si="131"/>
        <v>#REF!</v>
      </c>
      <c r="BB323" s="74" t="e">
        <f t="shared" si="132"/>
        <v>#REF!</v>
      </c>
      <c r="BC323" s="61" t="s">
        <v>359</v>
      </c>
      <c r="BD323" s="62"/>
    </row>
    <row r="324" spans="1:56" ht="61.2" x14ac:dyDescent="0.3">
      <c r="A324" s="41" t="s">
        <v>2392</v>
      </c>
      <c r="B324" s="42">
        <f t="shared" si="110"/>
        <v>318</v>
      </c>
      <c r="C324" s="68" t="s">
        <v>2393</v>
      </c>
      <c r="D324" s="41" t="s">
        <v>2392</v>
      </c>
      <c r="E324" s="61">
        <v>1597020262</v>
      </c>
      <c r="F324" s="64"/>
      <c r="G324" s="49" t="s">
        <v>2394</v>
      </c>
      <c r="H324" s="76"/>
      <c r="I324" s="76">
        <v>26243</v>
      </c>
      <c r="J324" s="66">
        <f t="shared" ca="1" si="135"/>
        <v>54</v>
      </c>
      <c r="K324" s="75" t="s">
        <v>2395</v>
      </c>
      <c r="L324" s="41" t="s">
        <v>2396</v>
      </c>
      <c r="M324" s="53" t="s">
        <v>67</v>
      </c>
      <c r="N324" s="66"/>
      <c r="O324" s="53"/>
      <c r="P324" s="49" t="s">
        <v>195</v>
      </c>
      <c r="Q324" s="49" t="s">
        <v>94</v>
      </c>
      <c r="R324" s="49"/>
      <c r="S324" s="49" t="s">
        <v>166</v>
      </c>
      <c r="T324" s="49" t="s">
        <v>97</v>
      </c>
      <c r="U324" s="49" t="s">
        <v>94</v>
      </c>
      <c r="V324" s="49" t="str">
        <f t="shared" si="130"/>
        <v>Phường Tam Thanh, Thành phố Lạng Sơn, Tỉnh Lạng Sơn</v>
      </c>
      <c r="W324" s="55" t="s">
        <v>526</v>
      </c>
      <c r="X324" s="41"/>
      <c r="Y324" s="41"/>
      <c r="Z324" s="41"/>
      <c r="AA324" s="68">
        <f>VLOOKUP(A324,'[1]DANH SÁCH'!$B$8:$AD$841,12,0)</f>
        <v>0</v>
      </c>
      <c r="AB324" s="49" t="str">
        <f>VLOOKUP(A324,'[1]DANH SÁCH'!$B$8:$H$841,6,0)</f>
        <v>TĐ012</v>
      </c>
      <c r="AC324" s="69" t="str">
        <f>VLOOKUP(A324,'[1]DANH SÁCH'!$B$8:$J$841,9,0)</f>
        <v>GM-HS</v>
      </c>
      <c r="AD324" s="69" t="str">
        <f>VLOOKUP(A324,'[1]DANH SÁCH'!$B$8:$AC$841,10,0)</f>
        <v>KP025</v>
      </c>
      <c r="AE324" s="69" t="str">
        <f>VLOOKUP(A324,'[1]DANH SÁCH'!$B$8:$AD$841,13,0)</f>
        <v>Viên chức</v>
      </c>
      <c r="AF324" s="41" t="s">
        <v>157</v>
      </c>
      <c r="AG324" s="42" t="str">
        <f>VLOOKUP(A324,'[1]DANH SÁCH'!$B$8:$H$841,7,0)</f>
        <v>Điều dưỡng (hạng IV)</v>
      </c>
      <c r="AH324" s="45">
        <v>4.58</v>
      </c>
      <c r="AI324" s="42">
        <v>9</v>
      </c>
      <c r="AJ324" s="70">
        <v>0.1</v>
      </c>
      <c r="AK324" s="69">
        <v>45672</v>
      </c>
      <c r="AL324" s="71" t="s">
        <v>101</v>
      </c>
      <c r="AM324" s="53" t="str">
        <f>VLOOKUP(A324,'[1]DANH SÁCH'!$B$8:$F$841,5,0)</f>
        <v>Điều dưỡng CĐ</v>
      </c>
      <c r="AN324" s="53"/>
      <c r="AO324" s="53"/>
      <c r="AP324" s="53"/>
      <c r="AQ324" s="72" t="s">
        <v>113</v>
      </c>
      <c r="AR324" s="42">
        <f>VLOOKUP(A324,'[1]Chứng chỉ'!$B$8:$Q$1111,11,0)</f>
        <v>0</v>
      </c>
      <c r="AS324" s="42">
        <f>VLOOKUP(A324,'[1]Chứng chỉ'!$B$8:$Q$1111,12,0)</f>
        <v>0</v>
      </c>
      <c r="AT324" s="47">
        <f>VLOOKUP(A324,'[1]Chứng chỉ'!$B$8:$Q$1111,13,0)</f>
        <v>0</v>
      </c>
      <c r="AU324" s="42">
        <f>VLOOKUP(A324,'[1]Chứng chỉ'!$B$8:$Q$1111,14,0)</f>
        <v>0</v>
      </c>
      <c r="AV324" s="42">
        <f>VLOOKUP(A324,'[1]Chứng chỉ'!$B$8:$Q$1111,15,0)</f>
        <v>0</v>
      </c>
      <c r="AW324" s="42" t="str">
        <f>VLOOKUP(A324,'[1]Chứng chỉ'!$B$8:$Q$1111,16,0)</f>
        <v>Cơ bản</v>
      </c>
      <c r="AX324" s="42"/>
      <c r="AY324" s="57" t="s">
        <v>85</v>
      </c>
      <c r="AZ324" s="65"/>
      <c r="BA324" s="74" t="e">
        <f t="shared" si="131"/>
        <v>#REF!</v>
      </c>
      <c r="BB324" s="74" t="e">
        <f t="shared" si="132"/>
        <v>#REF!</v>
      </c>
      <c r="BC324" s="81"/>
      <c r="BD324" s="47"/>
    </row>
    <row r="325" spans="1:56" ht="40.799999999999997" x14ac:dyDescent="0.3">
      <c r="A325" s="41" t="s">
        <v>2397</v>
      </c>
      <c r="B325" s="42">
        <f t="shared" si="110"/>
        <v>319</v>
      </c>
      <c r="C325" s="68" t="s">
        <v>2398</v>
      </c>
      <c r="D325" s="41" t="s">
        <v>2397</v>
      </c>
      <c r="E325" s="61">
        <v>1503002660</v>
      </c>
      <c r="F325" s="64"/>
      <c r="G325" s="49" t="s">
        <v>2399</v>
      </c>
      <c r="H325" s="76"/>
      <c r="I325" s="76">
        <v>28797</v>
      </c>
      <c r="J325" s="66">
        <f t="shared" ca="1" si="135"/>
        <v>47</v>
      </c>
      <c r="K325" s="75" t="s">
        <v>2400</v>
      </c>
      <c r="L325" s="41" t="s">
        <v>2401</v>
      </c>
      <c r="M325" s="53" t="s">
        <v>67</v>
      </c>
      <c r="N325" s="66" t="s">
        <v>2402</v>
      </c>
      <c r="O325" s="53" t="s">
        <v>2403</v>
      </c>
      <c r="P325" s="49" t="s">
        <v>2404</v>
      </c>
      <c r="Q325" s="49" t="s">
        <v>2405</v>
      </c>
      <c r="R325" s="49" t="s">
        <v>2406</v>
      </c>
      <c r="S325" s="49" t="s">
        <v>194</v>
      </c>
      <c r="T325" s="49" t="s">
        <v>195</v>
      </c>
      <c r="U325" s="49" t="s">
        <v>94</v>
      </c>
      <c r="V325" s="49" t="str">
        <f t="shared" si="130"/>
        <v>Xã Chi Lăng, Huyện Tràng Định, Tỉnh Lạng Sơn</v>
      </c>
      <c r="W325" s="55" t="s">
        <v>146</v>
      </c>
      <c r="X325" s="41"/>
      <c r="Y325" s="41"/>
      <c r="Z325" s="41"/>
      <c r="AA325" s="68">
        <f>VLOOKUP(A325,'[1]DANH SÁCH'!$B$8:$AD$841,12,0)</f>
        <v>0</v>
      </c>
      <c r="AB325" s="49" t="str">
        <f>VLOOKUP(A325,'[1]DANH SÁCH'!$B$8:$H$841,6,0)</f>
        <v>TĐ012</v>
      </c>
      <c r="AC325" s="69" t="str">
        <f>VLOOKUP(A325,'[1]DANH SÁCH'!$B$8:$J$841,9,0)</f>
        <v>GM-HS</v>
      </c>
      <c r="AD325" s="69" t="str">
        <f>VLOOKUP(A325,'[1]DANH SÁCH'!$B$8:$AC$841,10,0)</f>
        <v>KP025</v>
      </c>
      <c r="AE325" s="69" t="str">
        <f>VLOOKUP(A325,'[1]DANH SÁCH'!$B$8:$AD$841,13,0)</f>
        <v>Viên chức</v>
      </c>
      <c r="AF325" s="41" t="s">
        <v>157</v>
      </c>
      <c r="AG325" s="42" t="str">
        <f>VLOOKUP(A325,'[1]DANH SÁCH'!$B$8:$H$841,7,0)</f>
        <v>Điều dưỡng (hạng IV)</v>
      </c>
      <c r="AH325" s="45">
        <v>3.65</v>
      </c>
      <c r="AI325" s="42">
        <v>6</v>
      </c>
      <c r="AJ325" s="70">
        <v>0</v>
      </c>
      <c r="AK325" s="69">
        <v>45413</v>
      </c>
      <c r="AL325" s="71" t="s">
        <v>158</v>
      </c>
      <c r="AM325" s="53" t="str">
        <f>VLOOKUP(A325,'[1]DANH SÁCH'!$B$8:$F$841,5,0)</f>
        <v>Điều dưỡng CĐ</v>
      </c>
      <c r="AN325" s="53"/>
      <c r="AO325" s="53" t="s">
        <v>1093</v>
      </c>
      <c r="AP325" s="53">
        <v>2000</v>
      </c>
      <c r="AQ325" s="72" t="s">
        <v>113</v>
      </c>
      <c r="AR325" s="42">
        <f>VLOOKUP(A325,'[1]Chứng chỉ'!$B$8:$Q$1111,11,0)</f>
        <v>0</v>
      </c>
      <c r="AS325" s="42">
        <f>VLOOKUP(A325,'[1]Chứng chỉ'!$B$8:$Q$1111,12,0)</f>
        <v>0</v>
      </c>
      <c r="AT325" s="47">
        <f>VLOOKUP(A325,'[1]Chứng chỉ'!$B$8:$Q$1111,13,0)</f>
        <v>0</v>
      </c>
      <c r="AU325" s="42">
        <f>VLOOKUP(A325,'[1]Chứng chỉ'!$B$8:$Q$1111,14,0)</f>
        <v>0</v>
      </c>
      <c r="AV325" s="42">
        <f>VLOOKUP(A325,'[1]Chứng chỉ'!$B$8:$Q$1111,15,0)</f>
        <v>0</v>
      </c>
      <c r="AW325" s="42" t="str">
        <f>VLOOKUP(A325,'[1]Chứng chỉ'!$B$8:$Q$1111,16,0)</f>
        <v>Cơ bản</v>
      </c>
      <c r="AX325" s="42"/>
      <c r="AY325" s="57" t="s">
        <v>87</v>
      </c>
      <c r="AZ325" s="65"/>
      <c r="BA325" s="74" t="e">
        <f t="shared" si="131"/>
        <v>#REF!</v>
      </c>
      <c r="BB325" s="74" t="e">
        <f t="shared" si="132"/>
        <v>#REF!</v>
      </c>
      <c r="BC325" s="61" t="s">
        <v>128</v>
      </c>
      <c r="BD325" s="62"/>
    </row>
    <row r="326" spans="1:56" ht="51" x14ac:dyDescent="0.3">
      <c r="A326" s="41" t="s">
        <v>2407</v>
      </c>
      <c r="B326" s="42">
        <f t="shared" si="110"/>
        <v>320</v>
      </c>
      <c r="C326" s="68" t="s">
        <v>2408</v>
      </c>
      <c r="D326" s="41" t="s">
        <v>2407</v>
      </c>
      <c r="E326" s="61">
        <v>2009000941</v>
      </c>
      <c r="F326" s="64"/>
      <c r="G326" s="49" t="s">
        <v>2409</v>
      </c>
      <c r="H326" s="76"/>
      <c r="I326" s="76">
        <v>31723</v>
      </c>
      <c r="J326" s="66">
        <f t="shared" ca="1" si="135"/>
        <v>39</v>
      </c>
      <c r="K326" s="75" t="s">
        <v>2410</v>
      </c>
      <c r="L326" s="41" t="s">
        <v>2411</v>
      </c>
      <c r="M326" s="53" t="s">
        <v>67</v>
      </c>
      <c r="N326" s="66"/>
      <c r="O326" s="53"/>
      <c r="P326" s="49" t="s">
        <v>93</v>
      </c>
      <c r="Q326" s="49" t="s">
        <v>94</v>
      </c>
      <c r="R326" s="49"/>
      <c r="S326" s="49" t="s">
        <v>73</v>
      </c>
      <c r="T326" s="49" t="s">
        <v>97</v>
      </c>
      <c r="U326" s="49" t="s">
        <v>94</v>
      </c>
      <c r="V326" s="49" t="str">
        <f t="shared" si="130"/>
        <v>Phường Vĩnh Trại, Thành phố Lạng Sơn, Tỉnh Lạng Sơn</v>
      </c>
      <c r="W326" s="55" t="s">
        <v>98</v>
      </c>
      <c r="X326" s="41"/>
      <c r="Y326" s="41"/>
      <c r="Z326" s="41"/>
      <c r="AA326" s="68">
        <f>VLOOKUP(A326,'[1]DANH SÁCH'!$B$8:$AD$841,12,0)</f>
        <v>0</v>
      </c>
      <c r="AB326" s="49" t="str">
        <f>VLOOKUP(A326,'[1]DANH SÁCH'!$B$8:$H$841,6,0)</f>
        <v>TĐ012</v>
      </c>
      <c r="AC326" s="69" t="str">
        <f>VLOOKUP(A326,'[1]DANH SÁCH'!$B$8:$J$841,9,0)</f>
        <v>GM-HS</v>
      </c>
      <c r="AD326" s="69" t="str">
        <f>VLOOKUP(A326,'[1]DANH SÁCH'!$B$8:$AC$841,10,0)</f>
        <v>KP025</v>
      </c>
      <c r="AE326" s="69" t="str">
        <f>VLOOKUP(A326,'[1]DANH SÁCH'!$B$8:$AD$841,13,0)</f>
        <v>Viên chức</v>
      </c>
      <c r="AF326" s="41" t="s">
        <v>157</v>
      </c>
      <c r="AG326" s="42" t="str">
        <f>VLOOKUP(A326,'[1]DANH SÁCH'!$B$8:$H$841,7,0)</f>
        <v>Điều dưỡng (hạng IV)</v>
      </c>
      <c r="AH326" s="45">
        <v>3.65</v>
      </c>
      <c r="AI326" s="42">
        <v>6</v>
      </c>
      <c r="AJ326" s="70">
        <v>0</v>
      </c>
      <c r="AK326" s="69">
        <v>45839</v>
      </c>
      <c r="AL326" s="71" t="s">
        <v>158</v>
      </c>
      <c r="AM326" s="53" t="str">
        <f>VLOOKUP(A326,'[1]DANH SÁCH'!$B$8:$F$841,5,0)</f>
        <v>Điều dưỡng CĐ</v>
      </c>
      <c r="AN326" s="53"/>
      <c r="AO326" s="53"/>
      <c r="AP326" s="53"/>
      <c r="AQ326" s="72" t="s">
        <v>113</v>
      </c>
      <c r="AR326" s="42">
        <f>VLOOKUP(A326,'[1]Chứng chỉ'!$B$8:$Q$1111,11,0)</f>
        <v>0</v>
      </c>
      <c r="AS326" s="42">
        <f>VLOOKUP(A326,'[1]Chứng chỉ'!$B$8:$Q$1111,12,0)</f>
        <v>0</v>
      </c>
      <c r="AT326" s="47">
        <f>VLOOKUP(A326,'[1]Chứng chỉ'!$B$8:$Q$1111,13,0)</f>
        <v>0</v>
      </c>
      <c r="AU326" s="42">
        <f>VLOOKUP(A326,'[1]Chứng chỉ'!$B$8:$Q$1111,14,0)</f>
        <v>0</v>
      </c>
      <c r="AV326" s="42">
        <f>VLOOKUP(A326,'[1]Chứng chỉ'!$B$8:$Q$1111,15,0)</f>
        <v>0</v>
      </c>
      <c r="AW326" s="42">
        <f>VLOOKUP(A326,'[1]Chứng chỉ'!$B$8:$Q$1111,16,0)</f>
        <v>0</v>
      </c>
      <c r="AX326" s="42"/>
      <c r="AY326" s="57" t="s">
        <v>85</v>
      </c>
      <c r="AZ326" s="65">
        <v>41460</v>
      </c>
      <c r="BA326" s="74" t="e">
        <f t="shared" si="131"/>
        <v>#REF!</v>
      </c>
      <c r="BB326" s="74" t="e">
        <f t="shared" si="132"/>
        <v>#REF!</v>
      </c>
      <c r="BC326" s="41"/>
      <c r="BD326" s="42"/>
    </row>
    <row r="327" spans="1:56" ht="51" x14ac:dyDescent="0.3">
      <c r="A327" s="41" t="s">
        <v>2412</v>
      </c>
      <c r="B327" s="42">
        <f t="shared" si="110"/>
        <v>321</v>
      </c>
      <c r="C327" s="68" t="s">
        <v>2413</v>
      </c>
      <c r="D327" s="41" t="s">
        <v>2412</v>
      </c>
      <c r="E327" s="61">
        <v>2010000176</v>
      </c>
      <c r="F327" s="64"/>
      <c r="G327" s="49" t="s">
        <v>2414</v>
      </c>
      <c r="H327" s="76"/>
      <c r="I327" s="76">
        <v>31543</v>
      </c>
      <c r="J327" s="66">
        <f t="shared" ca="1" si="135"/>
        <v>40</v>
      </c>
      <c r="K327" s="109" t="s">
        <v>2415</v>
      </c>
      <c r="L327" s="41" t="s">
        <v>2416</v>
      </c>
      <c r="M327" s="53" t="s">
        <v>67</v>
      </c>
      <c r="N327" s="66"/>
      <c r="O327" s="53" t="s">
        <v>481</v>
      </c>
      <c r="P327" s="49" t="s">
        <v>195</v>
      </c>
      <c r="Q327" s="49" t="s">
        <v>94</v>
      </c>
      <c r="R327" s="49" t="s">
        <v>2417</v>
      </c>
      <c r="S327" s="49" t="s">
        <v>214</v>
      </c>
      <c r="T327" s="49" t="s">
        <v>97</v>
      </c>
      <c r="U327" s="49" t="s">
        <v>94</v>
      </c>
      <c r="V327" s="49" t="str">
        <f t="shared" si="130"/>
        <v>Xã Hoàng Đồng, Thành phố Lạng Sơn, Tỉnh Lạng Sơn</v>
      </c>
      <c r="W327" s="55" t="s">
        <v>236</v>
      </c>
      <c r="X327" s="41"/>
      <c r="Y327" s="41"/>
      <c r="Z327" s="41"/>
      <c r="AA327" s="68">
        <f>VLOOKUP(A327,'[1]DANH SÁCH'!$B$8:$AD$841,12,0)</f>
        <v>0</v>
      </c>
      <c r="AB327" s="49" t="str">
        <f>VLOOKUP(A327,'[1]DANH SÁCH'!$B$8:$H$841,6,0)</f>
        <v>TĐ011</v>
      </c>
      <c r="AC327" s="69" t="str">
        <f>VLOOKUP(A327,'[1]DANH SÁCH'!$B$8:$J$841,9,0)</f>
        <v>GM-HS</v>
      </c>
      <c r="AD327" s="69" t="str">
        <f>VLOOKUP(A327,'[1]DANH SÁCH'!$B$8:$AC$841,10,0)</f>
        <v>KP025</v>
      </c>
      <c r="AE327" s="69" t="str">
        <f>VLOOKUP(A327,'[1]DANH SÁCH'!$B$8:$AD$841,13,0)</f>
        <v>Viên chức</v>
      </c>
      <c r="AF327" s="41" t="s">
        <v>147</v>
      </c>
      <c r="AG327" s="42" t="str">
        <f>VLOOKUP(A327,'[1]DANH SÁCH'!$B$8:$H$841,7,0)</f>
        <v>Điều dưỡng (hạng III)</v>
      </c>
      <c r="AH327" s="45">
        <v>3.66</v>
      </c>
      <c r="AI327" s="42">
        <v>5</v>
      </c>
      <c r="AJ327" s="70">
        <v>0</v>
      </c>
      <c r="AK327" s="69">
        <v>45383</v>
      </c>
      <c r="AL327" s="71" t="s">
        <v>80</v>
      </c>
      <c r="AM327" s="53" t="str">
        <f>VLOOKUP(A327,'[1]DANH SÁCH'!$B$8:$F$841,5,0)</f>
        <v>Điều dưỡng ĐH</v>
      </c>
      <c r="AN327" s="53"/>
      <c r="AO327" s="53"/>
      <c r="AP327" s="53"/>
      <c r="AQ327" s="72" t="s">
        <v>113</v>
      </c>
      <c r="AR327" s="42">
        <f>VLOOKUP(A327,'[1]Chứng chỉ'!$B$8:$Q$1111,11,0)</f>
        <v>0</v>
      </c>
      <c r="AS327" s="42">
        <f>VLOOKUP(A327,'[1]Chứng chỉ'!$B$8:$Q$1111,12,0)</f>
        <v>0</v>
      </c>
      <c r="AT327" s="47">
        <f>VLOOKUP(A327,'[1]Chứng chỉ'!$B$8:$Q$1111,13,0)</f>
        <v>0</v>
      </c>
      <c r="AU327" s="42" t="str">
        <f>VLOOKUP(A327,'[1]Chứng chỉ'!$B$8:$Q$1111,14,0)</f>
        <v>TOEIC</v>
      </c>
      <c r="AV327" s="42" t="str">
        <f>VLOOKUP(A327,'[1]Chứng chỉ'!$B$8:$Q$1111,15,0)</f>
        <v>tày</v>
      </c>
      <c r="AW327" s="42" t="str">
        <f>VLOOKUP(A327,'[1]Chứng chỉ'!$B$8:$Q$1111,16,0)</f>
        <v>Cơ bản</v>
      </c>
      <c r="AX327" s="42"/>
      <c r="AY327" s="57" t="s">
        <v>127</v>
      </c>
      <c r="AZ327" s="65">
        <v>41898</v>
      </c>
      <c r="BA327" s="74" t="e">
        <f t="shared" si="131"/>
        <v>#REF!</v>
      </c>
      <c r="BB327" s="74" t="e">
        <f t="shared" si="132"/>
        <v>#REF!</v>
      </c>
      <c r="BC327" s="41" t="s">
        <v>128</v>
      </c>
      <c r="BD327" s="42"/>
    </row>
    <row r="328" spans="1:56" ht="51" x14ac:dyDescent="0.3">
      <c r="A328" s="41" t="s">
        <v>2418</v>
      </c>
      <c r="B328" s="42">
        <f t="shared" si="110"/>
        <v>322</v>
      </c>
      <c r="C328" s="68" t="s">
        <v>2419</v>
      </c>
      <c r="D328" s="41" t="s">
        <v>2418</v>
      </c>
      <c r="E328" s="61">
        <v>2010000178</v>
      </c>
      <c r="F328" s="64"/>
      <c r="G328" s="49" t="s">
        <v>2420</v>
      </c>
      <c r="H328" s="76"/>
      <c r="I328" s="76">
        <v>31733</v>
      </c>
      <c r="J328" s="66">
        <f t="shared" ca="1" si="135"/>
        <v>39</v>
      </c>
      <c r="K328" s="75" t="s">
        <v>2421</v>
      </c>
      <c r="L328" s="41" t="s">
        <v>2422</v>
      </c>
      <c r="M328" s="53" t="s">
        <v>67</v>
      </c>
      <c r="N328" s="66"/>
      <c r="O328" s="53" t="s">
        <v>1108</v>
      </c>
      <c r="P328" s="76" t="s">
        <v>222</v>
      </c>
      <c r="Q328" s="49" t="s">
        <v>94</v>
      </c>
      <c r="R328" s="49" t="s">
        <v>2423</v>
      </c>
      <c r="S328" s="49" t="s">
        <v>174</v>
      </c>
      <c r="T328" s="49" t="s">
        <v>97</v>
      </c>
      <c r="U328" s="49" t="s">
        <v>94</v>
      </c>
      <c r="V328" s="49" t="str">
        <f t="shared" si="130"/>
        <v>Xã Mai Pha, Thành phố Lạng Sơn, Tỉnh Lạng Sơn</v>
      </c>
      <c r="W328" s="55" t="s">
        <v>236</v>
      </c>
      <c r="X328" s="41"/>
      <c r="Y328" s="41"/>
      <c r="Z328" s="41"/>
      <c r="AA328" s="68">
        <f>VLOOKUP(A328,'[1]DANH SÁCH'!$B$8:$AD$841,12,0)</f>
        <v>0</v>
      </c>
      <c r="AB328" s="49" t="str">
        <f>VLOOKUP(A328,'[1]DANH SÁCH'!$B$8:$H$841,6,0)</f>
        <v>TĐ012</v>
      </c>
      <c r="AC328" s="69" t="str">
        <f>VLOOKUP(A328,'[1]DANH SÁCH'!$B$8:$J$841,9,0)</f>
        <v>GM-HS</v>
      </c>
      <c r="AD328" s="69" t="str">
        <f>VLOOKUP(A328,'[1]DANH SÁCH'!$B$8:$AC$841,10,0)</f>
        <v>KP025</v>
      </c>
      <c r="AE328" s="69" t="str">
        <f>VLOOKUP(A328,'[1]DANH SÁCH'!$B$8:$AD$841,13,0)</f>
        <v>Viên chức</v>
      </c>
      <c r="AF328" s="41" t="s">
        <v>157</v>
      </c>
      <c r="AG328" s="42" t="str">
        <f>VLOOKUP(A328,'[1]DANH SÁCH'!$B$8:$H$841,7,0)</f>
        <v>Điều dưỡng (hạng IV)</v>
      </c>
      <c r="AH328" s="45">
        <v>3.34</v>
      </c>
      <c r="AI328" s="42">
        <v>5</v>
      </c>
      <c r="AJ328" s="70">
        <v>0</v>
      </c>
      <c r="AK328" s="69">
        <v>44927</v>
      </c>
      <c r="AL328" s="71" t="s">
        <v>158</v>
      </c>
      <c r="AM328" s="53" t="str">
        <f>VLOOKUP(A328,'[1]DANH SÁCH'!$B$8:$F$841,5,0)</f>
        <v>Điều dưỡng CĐ</v>
      </c>
      <c r="AN328" s="53"/>
      <c r="AO328" s="53"/>
      <c r="AP328" s="53"/>
      <c r="AQ328" s="72" t="s">
        <v>113</v>
      </c>
      <c r="AR328" s="42">
        <f>VLOOKUP(A328,'[1]Chứng chỉ'!$B$8:$Q$1111,11,0)</f>
        <v>0</v>
      </c>
      <c r="AS328" s="42">
        <f>VLOOKUP(A328,'[1]Chứng chỉ'!$B$8:$Q$1111,12,0)</f>
        <v>0</v>
      </c>
      <c r="AT328" s="47">
        <f>VLOOKUP(A328,'[1]Chứng chỉ'!$B$8:$Q$1111,13,0)</f>
        <v>0</v>
      </c>
      <c r="AU328" s="42">
        <f>VLOOKUP(A328,'[1]Chứng chỉ'!$B$8:$Q$1111,14,0)</f>
        <v>0</v>
      </c>
      <c r="AV328" s="42">
        <f>VLOOKUP(A328,'[1]Chứng chỉ'!$B$8:$Q$1111,15,0)</f>
        <v>0</v>
      </c>
      <c r="AW328" s="42" t="str">
        <f>VLOOKUP(A328,'[1]Chứng chỉ'!$B$8:$Q$1111,16,0)</f>
        <v>Cơ bản</v>
      </c>
      <c r="AX328" s="42"/>
      <c r="AY328" s="57" t="s">
        <v>127</v>
      </c>
      <c r="AZ328" s="65"/>
      <c r="BA328" s="74" t="e">
        <f t="shared" si="131"/>
        <v>#REF!</v>
      </c>
      <c r="BB328" s="74" t="e">
        <f t="shared" si="132"/>
        <v>#REF!</v>
      </c>
      <c r="BC328" s="41" t="s">
        <v>2424</v>
      </c>
      <c r="BD328" s="42"/>
    </row>
    <row r="329" spans="1:56" ht="51" x14ac:dyDescent="0.3">
      <c r="A329" s="41" t="s">
        <v>2425</v>
      </c>
      <c r="B329" s="42">
        <f t="shared" si="110"/>
        <v>323</v>
      </c>
      <c r="C329" s="68" t="s">
        <v>2426</v>
      </c>
      <c r="D329" s="41" t="s">
        <v>2425</v>
      </c>
      <c r="E329" s="61">
        <v>2010000177</v>
      </c>
      <c r="F329" s="64"/>
      <c r="G329" s="49" t="s">
        <v>2427</v>
      </c>
      <c r="H329" s="76"/>
      <c r="I329" s="76">
        <v>32047</v>
      </c>
      <c r="J329" s="66">
        <f t="shared" ca="1" si="135"/>
        <v>38</v>
      </c>
      <c r="K329" s="75" t="s">
        <v>2428</v>
      </c>
      <c r="L329" s="41" t="s">
        <v>2429</v>
      </c>
      <c r="M329" s="53" t="s">
        <v>67</v>
      </c>
      <c r="N329" s="66"/>
      <c r="O329" s="53" t="s">
        <v>551</v>
      </c>
      <c r="P329" s="76" t="s">
        <v>222</v>
      </c>
      <c r="Q329" s="49" t="s">
        <v>94</v>
      </c>
      <c r="R329" s="49" t="s">
        <v>2430</v>
      </c>
      <c r="S329" s="49" t="s">
        <v>73</v>
      </c>
      <c r="T329" s="49" t="s">
        <v>97</v>
      </c>
      <c r="U329" s="49" t="s">
        <v>94</v>
      </c>
      <c r="V329" s="49" t="str">
        <f t="shared" si="130"/>
        <v>Phường Vĩnh Trại, Thành phố Lạng Sơn, Tỉnh Lạng Sơn</v>
      </c>
      <c r="W329" s="55" t="s">
        <v>236</v>
      </c>
      <c r="X329" s="41"/>
      <c r="Y329" s="41"/>
      <c r="Z329" s="41"/>
      <c r="AA329" s="68">
        <f>VLOOKUP(A329,'[1]DANH SÁCH'!$B$8:$AD$841,12,0)</f>
        <v>0</v>
      </c>
      <c r="AB329" s="49" t="str">
        <f>VLOOKUP(A329,'[1]DANH SÁCH'!$B$8:$H$841,6,0)</f>
        <v>TĐ012</v>
      </c>
      <c r="AC329" s="69" t="str">
        <f>VLOOKUP(A329,'[1]DANH SÁCH'!$B$8:$J$841,9,0)</f>
        <v>GM-HS</v>
      </c>
      <c r="AD329" s="69" t="str">
        <f>VLOOKUP(A329,'[1]DANH SÁCH'!$B$8:$AC$841,10,0)</f>
        <v>KP025</v>
      </c>
      <c r="AE329" s="69" t="str">
        <f>VLOOKUP(A329,'[1]DANH SÁCH'!$B$8:$AD$841,13,0)</f>
        <v>Viên chức</v>
      </c>
      <c r="AF329" s="41" t="s">
        <v>157</v>
      </c>
      <c r="AG329" s="42" t="str">
        <f>VLOOKUP(A329,'[1]DANH SÁCH'!$B$8:$H$841,7,0)</f>
        <v>Điều dưỡng (hạng IV)</v>
      </c>
      <c r="AH329" s="45">
        <v>3.34</v>
      </c>
      <c r="AI329" s="42">
        <v>5</v>
      </c>
      <c r="AJ329" s="70">
        <v>0</v>
      </c>
      <c r="AK329" s="69">
        <v>44927</v>
      </c>
      <c r="AL329" s="71" t="s">
        <v>158</v>
      </c>
      <c r="AM329" s="53" t="str">
        <f>VLOOKUP(A329,'[1]DANH SÁCH'!$B$8:$F$841,5,0)</f>
        <v>Điều dưỡng CĐ</v>
      </c>
      <c r="AN329" s="53"/>
      <c r="AO329" s="53" t="s">
        <v>1093</v>
      </c>
      <c r="AP329" s="53">
        <v>2008</v>
      </c>
      <c r="AQ329" s="72" t="s">
        <v>113</v>
      </c>
      <c r="AR329" s="42">
        <f>VLOOKUP(A329,'[1]Chứng chỉ'!$B$8:$Q$1111,11,0)</f>
        <v>0</v>
      </c>
      <c r="AS329" s="42">
        <f>VLOOKUP(A329,'[1]Chứng chỉ'!$B$8:$Q$1111,12,0)</f>
        <v>0</v>
      </c>
      <c r="AT329" s="47">
        <f>VLOOKUP(A329,'[1]Chứng chỉ'!$B$8:$Q$1111,13,0)</f>
        <v>0</v>
      </c>
      <c r="AU329" s="42" t="str">
        <f>VLOOKUP(A329,'[1]Chứng chỉ'!$B$8:$Q$1111,14,0)</f>
        <v>B</v>
      </c>
      <c r="AV329" s="42">
        <f>VLOOKUP(A329,'[1]Chứng chỉ'!$B$8:$Q$1111,15,0)</f>
        <v>0</v>
      </c>
      <c r="AW329" s="42" t="str">
        <f>VLOOKUP(A329,'[1]Chứng chỉ'!$B$8:$Q$1111,16,0)</f>
        <v>A</v>
      </c>
      <c r="AX329" s="42"/>
      <c r="AY329" s="57" t="s">
        <v>85</v>
      </c>
      <c r="AZ329" s="65"/>
      <c r="BA329" s="74" t="e">
        <f t="shared" si="131"/>
        <v>#REF!</v>
      </c>
      <c r="BB329" s="74" t="e">
        <f t="shared" si="132"/>
        <v>#REF!</v>
      </c>
      <c r="BC329" s="41"/>
      <c r="BD329" s="42"/>
    </row>
    <row r="330" spans="1:56" ht="61.2" x14ac:dyDescent="0.3">
      <c r="A330" s="41" t="s">
        <v>2431</v>
      </c>
      <c r="B330" s="42">
        <f t="shared" si="110"/>
        <v>324</v>
      </c>
      <c r="C330" s="68" t="s">
        <v>2432</v>
      </c>
      <c r="D330" s="41" t="s">
        <v>2431</v>
      </c>
      <c r="E330" s="61">
        <v>2010001253</v>
      </c>
      <c r="F330" s="64"/>
      <c r="G330" s="49" t="s">
        <v>2433</v>
      </c>
      <c r="H330" s="76"/>
      <c r="I330" s="76">
        <v>31881</v>
      </c>
      <c r="J330" s="66">
        <f t="shared" ca="1" si="135"/>
        <v>39</v>
      </c>
      <c r="K330" s="75" t="s">
        <v>2434</v>
      </c>
      <c r="L330" s="41" t="s">
        <v>2435</v>
      </c>
      <c r="M330" s="53" t="s">
        <v>67</v>
      </c>
      <c r="N330" s="66"/>
      <c r="O330" s="53" t="s">
        <v>1108</v>
      </c>
      <c r="P330" s="76" t="s">
        <v>222</v>
      </c>
      <c r="Q330" s="49" t="s">
        <v>94</v>
      </c>
      <c r="R330" s="49"/>
      <c r="S330" s="49" t="s">
        <v>166</v>
      </c>
      <c r="T330" s="49" t="s">
        <v>97</v>
      </c>
      <c r="U330" s="49" t="s">
        <v>94</v>
      </c>
      <c r="V330" s="49" t="str">
        <f t="shared" si="130"/>
        <v>Phường Tam Thanh, Thành phố Lạng Sơn, Tỉnh Lạng Sơn</v>
      </c>
      <c r="W330" s="55" t="s">
        <v>224</v>
      </c>
      <c r="X330" s="41"/>
      <c r="Y330" s="41"/>
      <c r="Z330" s="41"/>
      <c r="AA330" s="68">
        <f>VLOOKUP(A330,'[1]DANH SÁCH'!$B$8:$AD$841,12,0)</f>
        <v>0</v>
      </c>
      <c r="AB330" s="49" t="str">
        <f>VLOOKUP(A330,'[1]DANH SÁCH'!$B$8:$H$841,6,0)</f>
        <v>TĐ012</v>
      </c>
      <c r="AC330" s="69" t="str">
        <f>VLOOKUP(A330,'[1]DANH SÁCH'!$B$8:$J$841,9,0)</f>
        <v>GM-HS</v>
      </c>
      <c r="AD330" s="69" t="str">
        <f>VLOOKUP(A330,'[1]DANH SÁCH'!$B$8:$AC$841,10,0)</f>
        <v>KP025</v>
      </c>
      <c r="AE330" s="69" t="str">
        <f>VLOOKUP(A330,'[1]DANH SÁCH'!$B$8:$AD$841,13,0)</f>
        <v>Viên chức</v>
      </c>
      <c r="AF330" s="41" t="s">
        <v>157</v>
      </c>
      <c r="AG330" s="42" t="str">
        <f>VLOOKUP(A330,'[1]DANH SÁCH'!$B$8:$H$841,7,0)</f>
        <v>Điều dưỡng (hạng IV)</v>
      </c>
      <c r="AH330" s="45">
        <v>3.34</v>
      </c>
      <c r="AI330" s="42">
        <v>5</v>
      </c>
      <c r="AJ330" s="70">
        <v>0</v>
      </c>
      <c r="AK330" s="69">
        <v>45261</v>
      </c>
      <c r="AL330" s="71" t="s">
        <v>158</v>
      </c>
      <c r="AM330" s="53" t="str">
        <f>VLOOKUP(A330,'[1]DANH SÁCH'!$B$8:$F$841,5,0)</f>
        <v>Điều dưỡng CĐ</v>
      </c>
      <c r="AN330" s="53"/>
      <c r="AO330" s="53"/>
      <c r="AP330" s="53"/>
      <c r="AQ330" s="72" t="s">
        <v>113</v>
      </c>
      <c r="AR330" s="42">
        <f>VLOOKUP(A330,'[1]Chứng chỉ'!$B$8:$Q$1111,11,0)</f>
        <v>0</v>
      </c>
      <c r="AS330" s="42">
        <f>VLOOKUP(A330,'[1]Chứng chỉ'!$B$8:$Q$1111,12,0)</f>
        <v>0</v>
      </c>
      <c r="AT330" s="47">
        <f>VLOOKUP(A330,'[1]Chứng chỉ'!$B$8:$Q$1111,13,0)</f>
        <v>0</v>
      </c>
      <c r="AU330" s="42" t="str">
        <f>VLOOKUP(A330,'[1]Chứng chỉ'!$B$8:$Q$1111,14,0)</f>
        <v>B</v>
      </c>
      <c r="AV330" s="42">
        <f>VLOOKUP(A330,'[1]Chứng chỉ'!$B$8:$Q$1111,15,0)</f>
        <v>0</v>
      </c>
      <c r="AW330" s="42" t="str">
        <f>VLOOKUP(A330,'[1]Chứng chỉ'!$B$8:$Q$1111,16,0)</f>
        <v>A</v>
      </c>
      <c r="AX330" s="42"/>
      <c r="AY330" s="57" t="s">
        <v>85</v>
      </c>
      <c r="AZ330" s="65"/>
      <c r="BA330" s="74" t="e">
        <f t="shared" si="131"/>
        <v>#REF!</v>
      </c>
      <c r="BB330" s="74" t="e">
        <f t="shared" si="132"/>
        <v>#REF!</v>
      </c>
      <c r="BC330" s="41" t="s">
        <v>1412</v>
      </c>
      <c r="BD330" s="42"/>
    </row>
    <row r="331" spans="1:56" ht="61.2" x14ac:dyDescent="0.3">
      <c r="A331" s="41" t="s">
        <v>2436</v>
      </c>
      <c r="B331" s="42">
        <f t="shared" si="110"/>
        <v>325</v>
      </c>
      <c r="C331" s="68" t="s">
        <v>2437</v>
      </c>
      <c r="D331" s="41" t="s">
        <v>2436</v>
      </c>
      <c r="E331" s="61">
        <v>2013002145</v>
      </c>
      <c r="F331" s="64"/>
      <c r="G331" s="49" t="s">
        <v>2438</v>
      </c>
      <c r="H331" s="76"/>
      <c r="I331" s="76">
        <v>32917</v>
      </c>
      <c r="J331" s="66">
        <f t="shared" ca="1" si="135"/>
        <v>36</v>
      </c>
      <c r="K331" s="75" t="s">
        <v>2439</v>
      </c>
      <c r="L331" s="41" t="s">
        <v>2440</v>
      </c>
      <c r="M331" s="53" t="s">
        <v>67</v>
      </c>
      <c r="N331" s="66"/>
      <c r="O331" s="53" t="s">
        <v>2441</v>
      </c>
      <c r="P331" s="49" t="s">
        <v>134</v>
      </c>
      <c r="Q331" s="49" t="s">
        <v>135</v>
      </c>
      <c r="R331" s="49"/>
      <c r="S331" s="49" t="s">
        <v>166</v>
      </c>
      <c r="T331" s="49" t="s">
        <v>97</v>
      </c>
      <c r="U331" s="49" t="s">
        <v>94</v>
      </c>
      <c r="V331" s="49" t="str">
        <f t="shared" si="130"/>
        <v>Phường Tam Thanh, Thành phố Lạng Sơn, Tỉnh Lạng Sơn</v>
      </c>
      <c r="W331" s="55" t="s">
        <v>315</v>
      </c>
      <c r="X331" s="41"/>
      <c r="Y331" s="41"/>
      <c r="Z331" s="41"/>
      <c r="AA331" s="68">
        <f>VLOOKUP(A331,'[1]DANH SÁCH'!$B$8:$AD$841,12,0)</f>
        <v>0</v>
      </c>
      <c r="AB331" s="49" t="str">
        <f>VLOOKUP(A331,'[1]DANH SÁCH'!$B$8:$H$841,6,0)</f>
        <v>TĐ012</v>
      </c>
      <c r="AC331" s="69" t="str">
        <f>VLOOKUP(A331,'[1]DANH SÁCH'!$B$8:$J$841,9,0)</f>
        <v>GM-HS</v>
      </c>
      <c r="AD331" s="69" t="str">
        <f>VLOOKUP(A331,'[1]DANH SÁCH'!$B$8:$AC$841,10,0)</f>
        <v>KP025</v>
      </c>
      <c r="AE331" s="69" t="str">
        <f>VLOOKUP(A331,'[1]DANH SÁCH'!$B$8:$AD$841,13,0)</f>
        <v>Viên chức</v>
      </c>
      <c r="AF331" s="41" t="s">
        <v>157</v>
      </c>
      <c r="AG331" s="42" t="str">
        <f>VLOOKUP(A331,'[1]DANH SÁCH'!$B$8:$H$841,7,0)</f>
        <v>Điều dưỡng (hạng IV)</v>
      </c>
      <c r="AH331" s="45">
        <v>3.03</v>
      </c>
      <c r="AI331" s="42">
        <v>4</v>
      </c>
      <c r="AJ331" s="70">
        <v>0</v>
      </c>
      <c r="AK331" s="69">
        <v>45636</v>
      </c>
      <c r="AL331" s="71" t="s">
        <v>158</v>
      </c>
      <c r="AM331" s="53" t="str">
        <f>VLOOKUP(A331,'[1]DANH SÁCH'!$B$8:$F$841,5,0)</f>
        <v>Điều dưỡng CĐ</v>
      </c>
      <c r="AN331" s="53"/>
      <c r="AO331" s="53"/>
      <c r="AP331" s="53"/>
      <c r="AQ331" s="72" t="s">
        <v>113</v>
      </c>
      <c r="AR331" s="42">
        <f>VLOOKUP(A331,'[1]Chứng chỉ'!$B$8:$Q$1111,11,0)</f>
        <v>0</v>
      </c>
      <c r="AS331" s="42">
        <f>VLOOKUP(A331,'[1]Chứng chỉ'!$B$8:$Q$1111,12,0)</f>
        <v>0</v>
      </c>
      <c r="AT331" s="47">
        <f>VLOOKUP(A331,'[1]Chứng chỉ'!$B$8:$Q$1111,13,0)</f>
        <v>0</v>
      </c>
      <c r="AU331" s="42" t="str">
        <f>VLOOKUP(A331,'[1]Chứng chỉ'!$B$8:$Q$1111,14,0)</f>
        <v>Anh B</v>
      </c>
      <c r="AV331" s="42">
        <f>VLOOKUP(A331,'[1]Chứng chỉ'!$B$8:$Q$1111,15,0)</f>
        <v>0</v>
      </c>
      <c r="AW331" s="42" t="str">
        <f>VLOOKUP(A331,'[1]Chứng chỉ'!$B$8:$Q$1111,16,0)</f>
        <v>Cơ bản</v>
      </c>
      <c r="AX331" s="42"/>
      <c r="AY331" s="57" t="s">
        <v>298</v>
      </c>
      <c r="AZ331" s="65"/>
      <c r="BA331" s="74" t="e">
        <f t="shared" si="131"/>
        <v>#REF!</v>
      </c>
      <c r="BB331" s="74" t="e">
        <f t="shared" si="132"/>
        <v>#REF!</v>
      </c>
      <c r="BC331" s="41" t="s">
        <v>128</v>
      </c>
      <c r="BD331" s="42"/>
    </row>
    <row r="332" spans="1:56" ht="40.799999999999997" x14ac:dyDescent="0.3">
      <c r="A332" s="41" t="s">
        <v>2442</v>
      </c>
      <c r="B332" s="42">
        <f t="shared" si="110"/>
        <v>326</v>
      </c>
      <c r="C332" s="68" t="s">
        <v>2443</v>
      </c>
      <c r="D332" s="41" t="s">
        <v>2442</v>
      </c>
      <c r="E332" s="61">
        <v>2010000156</v>
      </c>
      <c r="F332" s="64"/>
      <c r="G332" s="49" t="s">
        <v>2444</v>
      </c>
      <c r="H332" s="76"/>
      <c r="I332" s="76">
        <v>30960</v>
      </c>
      <c r="J332" s="66">
        <f t="shared" ca="1" si="135"/>
        <v>41</v>
      </c>
      <c r="K332" s="75" t="s">
        <v>2445</v>
      </c>
      <c r="L332" s="41" t="s">
        <v>164</v>
      </c>
      <c r="M332" s="53" t="s">
        <v>67</v>
      </c>
      <c r="N332" s="66" t="s">
        <v>2446</v>
      </c>
      <c r="O332" s="53" t="s">
        <v>154</v>
      </c>
      <c r="P332" s="49" t="s">
        <v>155</v>
      </c>
      <c r="Q332" s="49" t="s">
        <v>94</v>
      </c>
      <c r="R332" s="49" t="s">
        <v>2447</v>
      </c>
      <c r="S332" s="49" t="s">
        <v>154</v>
      </c>
      <c r="T332" s="49" t="s">
        <v>155</v>
      </c>
      <c r="U332" s="49" t="s">
        <v>94</v>
      </c>
      <c r="V332" s="49" t="str">
        <f t="shared" si="130"/>
        <v>Xã Chu Túc, Huyện Văn Quan, Tỉnh Lạng Sơn</v>
      </c>
      <c r="W332" s="55" t="s">
        <v>236</v>
      </c>
      <c r="X332" s="41"/>
      <c r="Y332" s="41"/>
      <c r="Z332" s="41"/>
      <c r="AA332" s="68">
        <f>VLOOKUP(A332,'[1]DANH SÁCH'!$B$8:$AD$841,12,0)</f>
        <v>0</v>
      </c>
      <c r="AB332" s="49" t="str">
        <f>VLOOKUP(A332,'[1]DANH SÁCH'!$B$8:$H$841,6,0)</f>
        <v>TĐ012</v>
      </c>
      <c r="AC332" s="69" t="str">
        <f>VLOOKUP(A332,'[1]DANH SÁCH'!$B$8:$J$841,9,0)</f>
        <v>GM-HS</v>
      </c>
      <c r="AD332" s="69" t="str">
        <f>VLOOKUP(A332,'[1]DANH SÁCH'!$B$8:$AC$841,10,0)</f>
        <v>KP025</v>
      </c>
      <c r="AE332" s="69" t="str">
        <f>VLOOKUP(A332,'[1]DANH SÁCH'!$B$8:$AD$841,13,0)</f>
        <v>Viên chức</v>
      </c>
      <c r="AF332" s="41" t="s">
        <v>157</v>
      </c>
      <c r="AG332" s="42" t="str">
        <f>VLOOKUP(A332,'[1]DANH SÁCH'!$B$8:$H$841,7,0)</f>
        <v>Điều dưỡng (hạng IV)</v>
      </c>
      <c r="AH332" s="45">
        <v>3.34</v>
      </c>
      <c r="AI332" s="42">
        <v>5</v>
      </c>
      <c r="AJ332" s="70">
        <v>0</v>
      </c>
      <c r="AK332" s="69">
        <v>44927</v>
      </c>
      <c r="AL332" s="71" t="s">
        <v>158</v>
      </c>
      <c r="AM332" s="53" t="str">
        <f>VLOOKUP(A332,'[1]DANH SÁCH'!$B$8:$F$841,5,0)</f>
        <v>Điều dưỡng CĐ</v>
      </c>
      <c r="AN332" s="53"/>
      <c r="AO332" s="53" t="s">
        <v>1093</v>
      </c>
      <c r="AP332" s="53">
        <v>2006</v>
      </c>
      <c r="AQ332" s="72" t="s">
        <v>113</v>
      </c>
      <c r="AR332" s="42">
        <f>VLOOKUP(A332,'[1]Chứng chỉ'!$B$8:$Q$1111,11,0)</f>
        <v>0</v>
      </c>
      <c r="AS332" s="42">
        <f>VLOOKUP(A332,'[1]Chứng chỉ'!$B$8:$Q$1111,12,0)</f>
        <v>0</v>
      </c>
      <c r="AT332" s="47">
        <f>VLOOKUP(A332,'[1]Chứng chỉ'!$B$8:$Q$1111,13,0)</f>
        <v>0</v>
      </c>
      <c r="AU332" s="42">
        <f>VLOOKUP(A332,'[1]Chứng chỉ'!$B$8:$Q$1111,14,0)</f>
        <v>0</v>
      </c>
      <c r="AV332" s="42">
        <f>VLOOKUP(A332,'[1]Chứng chỉ'!$B$8:$Q$1111,15,0)</f>
        <v>0</v>
      </c>
      <c r="AW332" s="42" t="str">
        <f>VLOOKUP(A332,'[1]Chứng chỉ'!$B$8:$Q$1111,16,0)</f>
        <v>B</v>
      </c>
      <c r="AX332" s="42"/>
      <c r="AY332" s="57" t="s">
        <v>127</v>
      </c>
      <c r="AZ332" s="65"/>
      <c r="BA332" s="74" t="e">
        <f t="shared" si="131"/>
        <v>#REF!</v>
      </c>
      <c r="BB332" s="74" t="e">
        <f t="shared" si="132"/>
        <v>#REF!</v>
      </c>
      <c r="BC332" s="41" t="s">
        <v>128</v>
      </c>
      <c r="BD332" s="42"/>
    </row>
    <row r="333" spans="1:56" ht="61.2" x14ac:dyDescent="0.3">
      <c r="A333" s="41" t="s">
        <v>2448</v>
      </c>
      <c r="B333" s="42">
        <f t="shared" si="110"/>
        <v>327</v>
      </c>
      <c r="C333" s="68" t="s">
        <v>2449</v>
      </c>
      <c r="D333" s="41" t="s">
        <v>2448</v>
      </c>
      <c r="E333" s="61">
        <v>1504000562</v>
      </c>
      <c r="F333" s="64"/>
      <c r="G333" s="49" t="s">
        <v>2450</v>
      </c>
      <c r="H333" s="76"/>
      <c r="I333" s="76">
        <v>27364</v>
      </c>
      <c r="J333" s="66">
        <f t="shared" ca="1" si="135"/>
        <v>51</v>
      </c>
      <c r="K333" s="75" t="s">
        <v>2451</v>
      </c>
      <c r="L333" s="41" t="s">
        <v>255</v>
      </c>
      <c r="M333" s="53" t="s">
        <v>67</v>
      </c>
      <c r="N333" s="66"/>
      <c r="O333" s="53"/>
      <c r="P333" s="49" t="s">
        <v>195</v>
      </c>
      <c r="Q333" s="49" t="s">
        <v>94</v>
      </c>
      <c r="R333" s="49"/>
      <c r="S333" s="49" t="s">
        <v>166</v>
      </c>
      <c r="T333" s="49" t="s">
        <v>97</v>
      </c>
      <c r="U333" s="49" t="s">
        <v>94</v>
      </c>
      <c r="V333" s="49" t="str">
        <f t="shared" si="130"/>
        <v>Phường Tam Thanh, Thành phố Lạng Sơn, Tỉnh Lạng Sơn</v>
      </c>
      <c r="W333" s="41" t="s">
        <v>2452</v>
      </c>
      <c r="X333" s="41"/>
      <c r="Y333" s="41"/>
      <c r="Z333" s="41"/>
      <c r="AA333" s="68">
        <f>VLOOKUP(A333,'[1]DANH SÁCH'!$B$8:$AD$841,12,0)</f>
        <v>0</v>
      </c>
      <c r="AB333" s="49" t="str">
        <f>VLOOKUP(A333,'[1]DANH SÁCH'!$B$8:$H$841,6,0)</f>
        <v>TĐ011</v>
      </c>
      <c r="AC333" s="69" t="str">
        <f>VLOOKUP(A333,'[1]DANH SÁCH'!$B$8:$J$841,9,0)</f>
        <v>GM-HS</v>
      </c>
      <c r="AD333" s="69" t="str">
        <f>VLOOKUP(A333,'[1]DANH SÁCH'!$B$8:$AC$841,10,0)</f>
        <v>KP025</v>
      </c>
      <c r="AE333" s="69" t="str">
        <f>VLOOKUP(A333,'[1]DANH SÁCH'!$B$8:$AD$841,13,0)</f>
        <v>Viên chức</v>
      </c>
      <c r="AF333" s="41" t="s">
        <v>257</v>
      </c>
      <c r="AG333" s="42" t="str">
        <f>VLOOKUP(A333,'[1]DANH SÁCH'!$B$8:$H$841,7,0)</f>
        <v>Điều dưỡng (hạng III)</v>
      </c>
      <c r="AH333" s="45">
        <v>3.99</v>
      </c>
      <c r="AI333" s="42">
        <v>6</v>
      </c>
      <c r="AJ333" s="70">
        <v>0</v>
      </c>
      <c r="AK333" s="69">
        <v>45352</v>
      </c>
      <c r="AL333" s="71" t="s">
        <v>158</v>
      </c>
      <c r="AM333" s="53" t="str">
        <f>VLOOKUP(A333,'[1]DANH SÁCH'!$B$8:$F$841,5,0)</f>
        <v>Điều dưỡng ĐH</v>
      </c>
      <c r="AN333" s="53"/>
      <c r="AO333" s="53"/>
      <c r="AP333" s="53"/>
      <c r="AQ333" s="72" t="s">
        <v>113</v>
      </c>
      <c r="AR333" s="42">
        <f>VLOOKUP(A333,'[1]Chứng chỉ'!$B$8:$Q$1111,11,0)</f>
        <v>0</v>
      </c>
      <c r="AS333" s="42">
        <f>VLOOKUP(A333,'[1]Chứng chỉ'!$B$8:$Q$1111,12,0)</f>
        <v>0</v>
      </c>
      <c r="AT333" s="47">
        <f>VLOOKUP(A333,'[1]Chứng chỉ'!$B$8:$Q$1111,13,0)</f>
        <v>0</v>
      </c>
      <c r="AU333" s="42">
        <f>VLOOKUP(A333,'[1]Chứng chỉ'!$B$8:$Q$1111,14,0)</f>
        <v>0</v>
      </c>
      <c r="AV333" s="42">
        <f>VLOOKUP(A333,'[1]Chứng chỉ'!$B$8:$Q$1111,15,0)</f>
        <v>0</v>
      </c>
      <c r="AW333" s="42" t="str">
        <f>VLOOKUP(A333,'[1]Chứng chỉ'!$B$8:$Q$1111,16,0)</f>
        <v>Cơ bản</v>
      </c>
      <c r="AX333" s="42"/>
      <c r="AY333" s="57" t="s">
        <v>85</v>
      </c>
      <c r="AZ333" s="65">
        <v>36200</v>
      </c>
      <c r="BA333" s="74" t="e">
        <f t="shared" si="131"/>
        <v>#REF!</v>
      </c>
      <c r="BB333" s="74" t="e">
        <f t="shared" si="132"/>
        <v>#REF!</v>
      </c>
      <c r="BC333" s="41" t="s">
        <v>128</v>
      </c>
      <c r="BD333" s="42"/>
    </row>
    <row r="334" spans="1:56" ht="51" x14ac:dyDescent="0.3">
      <c r="A334" s="41" t="s">
        <v>2453</v>
      </c>
      <c r="B334" s="42">
        <f t="shared" si="110"/>
        <v>328</v>
      </c>
      <c r="C334" s="68" t="s">
        <v>2454</v>
      </c>
      <c r="D334" s="41" t="s">
        <v>2453</v>
      </c>
      <c r="E334" s="61">
        <v>1505002509</v>
      </c>
      <c r="F334" s="64"/>
      <c r="G334" s="49" t="s">
        <v>2455</v>
      </c>
      <c r="H334" s="76"/>
      <c r="I334" s="76">
        <v>29189</v>
      </c>
      <c r="J334" s="66">
        <f t="shared" ca="1" si="135"/>
        <v>46</v>
      </c>
      <c r="K334" s="75" t="s">
        <v>2456</v>
      </c>
      <c r="L334" s="41" t="s">
        <v>2457</v>
      </c>
      <c r="M334" s="53" t="s">
        <v>67</v>
      </c>
      <c r="N334" s="66"/>
      <c r="O334" s="53"/>
      <c r="P334" s="49" t="s">
        <v>155</v>
      </c>
      <c r="Q334" s="49" t="s">
        <v>94</v>
      </c>
      <c r="R334" s="49"/>
      <c r="S334" s="49" t="s">
        <v>2458</v>
      </c>
      <c r="T334" s="49" t="s">
        <v>155</v>
      </c>
      <c r="U334" s="49" t="s">
        <v>94</v>
      </c>
      <c r="V334" s="49" t="str">
        <f t="shared" si="130"/>
        <v>Xã Bình Phúc, Huyện Văn Quan, Tỉnh Lạng Sơn</v>
      </c>
      <c r="W334" s="55" t="s">
        <v>724</v>
      </c>
      <c r="X334" s="41"/>
      <c r="Y334" s="41"/>
      <c r="Z334" s="41"/>
      <c r="AA334" s="68">
        <f>VLOOKUP(A334,'[1]DANH SÁCH'!$B$8:$AD$841,12,0)</f>
        <v>0</v>
      </c>
      <c r="AB334" s="49" t="str">
        <f>VLOOKUP(A334,'[1]DANH SÁCH'!$B$8:$H$841,6,0)</f>
        <v>TĐ012</v>
      </c>
      <c r="AC334" s="69" t="str">
        <f>VLOOKUP(A334,'[1]DANH SÁCH'!$B$8:$J$841,9,0)</f>
        <v>GM-HS</v>
      </c>
      <c r="AD334" s="69" t="str">
        <f>VLOOKUP(A334,'[1]DANH SÁCH'!$B$8:$AC$841,10,0)</f>
        <v>KP025</v>
      </c>
      <c r="AE334" s="69" t="str">
        <f>VLOOKUP(A334,'[1]DANH SÁCH'!$B$8:$AD$841,13,0)</f>
        <v>Viên chức</v>
      </c>
      <c r="AF334" s="41" t="s">
        <v>257</v>
      </c>
      <c r="AG334" s="42" t="str">
        <f>VLOOKUP(A334,'[1]DANH SÁCH'!$B$8:$H$841,7,0)</f>
        <v>Kỹ thuật y (hạng IV)</v>
      </c>
      <c r="AH334" s="45">
        <v>3.96</v>
      </c>
      <c r="AI334" s="42">
        <v>7</v>
      </c>
      <c r="AJ334" s="70">
        <v>0</v>
      </c>
      <c r="AK334" s="69">
        <v>45672</v>
      </c>
      <c r="AL334" s="71" t="s">
        <v>101</v>
      </c>
      <c r="AM334" s="53" t="str">
        <f>VLOOKUP(A334,'[1]DANH SÁCH'!$B$8:$F$841,5,0)</f>
        <v>Điều dưỡng CĐ</v>
      </c>
      <c r="AN334" s="53"/>
      <c r="AO334" s="53"/>
      <c r="AP334" s="53"/>
      <c r="AQ334" s="72" t="s">
        <v>113</v>
      </c>
      <c r="AR334" s="42">
        <f>VLOOKUP(A334,'[1]Chứng chỉ'!$B$8:$Q$1111,11,0)</f>
        <v>0</v>
      </c>
      <c r="AS334" s="42">
        <f>VLOOKUP(A334,'[1]Chứng chỉ'!$B$8:$Q$1111,12,0)</f>
        <v>0</v>
      </c>
      <c r="AT334" s="47">
        <f>VLOOKUP(A334,'[1]Chứng chỉ'!$B$8:$Q$1111,13,0)</f>
        <v>0</v>
      </c>
      <c r="AU334" s="42">
        <f>VLOOKUP(A334,'[1]Chứng chỉ'!$B$8:$Q$1111,14,0)</f>
        <v>0</v>
      </c>
      <c r="AV334" s="42">
        <f>VLOOKUP(A334,'[1]Chứng chỉ'!$B$8:$Q$1111,15,0)</f>
        <v>0</v>
      </c>
      <c r="AW334" s="42">
        <f>VLOOKUP(A334,'[1]Chứng chỉ'!$B$8:$Q$1111,16,0)</f>
        <v>0</v>
      </c>
      <c r="AX334" s="42"/>
      <c r="AY334" s="57" t="s">
        <v>85</v>
      </c>
      <c r="AZ334" s="65">
        <v>40175</v>
      </c>
      <c r="BA334" s="74" t="e">
        <f t="shared" si="131"/>
        <v>#REF!</v>
      </c>
      <c r="BB334" s="74" t="e">
        <f t="shared" si="132"/>
        <v>#REF!</v>
      </c>
      <c r="BC334" s="41" t="s">
        <v>128</v>
      </c>
      <c r="BD334" s="42"/>
    </row>
    <row r="335" spans="1:56" ht="51" x14ac:dyDescent="0.3">
      <c r="A335" s="41" t="s">
        <v>2459</v>
      </c>
      <c r="B335" s="42">
        <f t="shared" si="110"/>
        <v>329</v>
      </c>
      <c r="C335" s="68" t="s">
        <v>2460</v>
      </c>
      <c r="D335" s="41" t="s">
        <v>2459</v>
      </c>
      <c r="E335" s="61">
        <v>2009001497</v>
      </c>
      <c r="F335" s="64"/>
      <c r="G335" s="49" t="s">
        <v>2461</v>
      </c>
      <c r="H335" s="76">
        <v>30571</v>
      </c>
      <c r="I335" s="76"/>
      <c r="J335" s="66">
        <f ca="1">INT(DATEDIF(H335,$J$2,"d")/365)</f>
        <v>42</v>
      </c>
      <c r="K335" s="109" t="s">
        <v>2462</v>
      </c>
      <c r="L335" s="41" t="s">
        <v>2463</v>
      </c>
      <c r="M335" s="53" t="s">
        <v>67</v>
      </c>
      <c r="N335" s="66"/>
      <c r="O335" s="53"/>
      <c r="P335" s="49" t="s">
        <v>97</v>
      </c>
      <c r="Q335" s="49" t="s">
        <v>94</v>
      </c>
      <c r="R335" s="49"/>
      <c r="S335" s="49" t="s">
        <v>136</v>
      </c>
      <c r="T335" s="49" t="s">
        <v>97</v>
      </c>
      <c r="U335" s="49" t="s">
        <v>94</v>
      </c>
      <c r="V335" s="49" t="str">
        <f t="shared" si="130"/>
        <v>Phường Chi Lăng, Thành phố Lạng Sơn, Tỉnh Lạng Sơn</v>
      </c>
      <c r="W335" s="55" t="s">
        <v>224</v>
      </c>
      <c r="X335" s="41"/>
      <c r="Y335" s="41"/>
      <c r="Z335" s="41"/>
      <c r="AA335" s="68">
        <f>VLOOKUP(A335,'[1]DANH SÁCH'!$B$8:$AD$841,12,0)</f>
        <v>0</v>
      </c>
      <c r="AB335" s="49" t="str">
        <f>VLOOKUP(A335,'[1]DANH SÁCH'!$B$8:$H$841,6,0)</f>
        <v>TĐ012</v>
      </c>
      <c r="AC335" s="69" t="str">
        <f>VLOOKUP(A335,'[1]DANH SÁCH'!$B$8:$J$841,9,0)</f>
        <v>GM-HS</v>
      </c>
      <c r="AD335" s="69" t="str">
        <f>VLOOKUP(A335,'[1]DANH SÁCH'!$B$8:$AC$841,10,0)</f>
        <v>KP025</v>
      </c>
      <c r="AE335" s="69" t="str">
        <f>VLOOKUP(A335,'[1]DANH SÁCH'!$B$8:$AD$841,13,0)</f>
        <v>Viên chức</v>
      </c>
      <c r="AF335" s="41" t="s">
        <v>257</v>
      </c>
      <c r="AG335" s="42" t="str">
        <f>VLOOKUP(A335,'[1]DANH SÁCH'!$B$8:$H$841,7,0)</f>
        <v>Kỹ thuật y (hạng IV)</v>
      </c>
      <c r="AH335" s="45">
        <v>3.34</v>
      </c>
      <c r="AI335" s="42">
        <v>5</v>
      </c>
      <c r="AJ335" s="70">
        <v>0</v>
      </c>
      <c r="AK335" s="69">
        <v>45444</v>
      </c>
      <c r="AL335" s="71" t="s">
        <v>158</v>
      </c>
      <c r="AM335" s="53" t="str">
        <f>VLOOKUP(A335,'[1]DANH SÁCH'!$B$8:$F$841,5,0)</f>
        <v>Điều dưỡng CĐ</v>
      </c>
      <c r="AN335" s="53"/>
      <c r="AO335" s="53"/>
      <c r="AP335" s="53"/>
      <c r="AQ335" s="72" t="s">
        <v>113</v>
      </c>
      <c r="AR335" s="42">
        <f>VLOOKUP(A335,'[1]Chứng chỉ'!$B$8:$Q$1111,11,0)</f>
        <v>0</v>
      </c>
      <c r="AS335" s="42">
        <f>VLOOKUP(A335,'[1]Chứng chỉ'!$B$8:$Q$1111,12,0)</f>
        <v>0</v>
      </c>
      <c r="AT335" s="47">
        <f>VLOOKUP(A335,'[1]Chứng chỉ'!$B$8:$Q$1111,13,0)</f>
        <v>0</v>
      </c>
      <c r="AU335" s="42">
        <f>VLOOKUP(A335,'[1]Chứng chỉ'!$B$8:$Q$1111,14,0)</f>
        <v>0</v>
      </c>
      <c r="AV335" s="42">
        <f>VLOOKUP(A335,'[1]Chứng chỉ'!$B$8:$Q$1111,15,0)</f>
        <v>0</v>
      </c>
      <c r="AW335" s="42" t="str">
        <f>VLOOKUP(A335,'[1]Chứng chỉ'!$B$8:$Q$1111,16,0)</f>
        <v>Cơ bản</v>
      </c>
      <c r="AX335" s="42"/>
      <c r="AY335" s="57" t="s">
        <v>127</v>
      </c>
      <c r="AZ335" s="65">
        <v>42209</v>
      </c>
      <c r="BA335" s="74" t="e">
        <f t="shared" si="131"/>
        <v>#REF!</v>
      </c>
      <c r="BB335" s="74" t="e">
        <f t="shared" si="132"/>
        <v>#REF!</v>
      </c>
      <c r="BC335" s="41" t="s">
        <v>128</v>
      </c>
      <c r="BD335" s="42"/>
    </row>
    <row r="336" spans="1:56" ht="30.6" x14ac:dyDescent="0.3">
      <c r="A336" s="46" t="s">
        <v>2464</v>
      </c>
      <c r="B336" s="42">
        <f t="shared" si="110"/>
        <v>330</v>
      </c>
      <c r="C336" s="63" t="s">
        <v>2465</v>
      </c>
      <c r="D336" s="46" t="s">
        <v>2464</v>
      </c>
      <c r="E336" s="61" t="s">
        <v>2466</v>
      </c>
      <c r="F336" s="64"/>
      <c r="G336" s="49" t="s">
        <v>2467</v>
      </c>
      <c r="H336" s="47"/>
      <c r="I336" s="47" t="s">
        <v>2468</v>
      </c>
      <c r="J336" s="66">
        <f t="shared" ref="J336:J349" ca="1" si="136">INT(DATEDIF(I336,$J$2,"d")/365)</f>
        <v>31</v>
      </c>
      <c r="K336" s="75" t="s">
        <v>2469</v>
      </c>
      <c r="L336" s="46" t="s">
        <v>2470</v>
      </c>
      <c r="M336" s="53" t="s">
        <v>67</v>
      </c>
      <c r="N336" s="66"/>
      <c r="O336" s="56" t="s">
        <v>2471</v>
      </c>
      <c r="P336" s="47" t="s">
        <v>1193</v>
      </c>
      <c r="Q336" s="47" t="s">
        <v>71</v>
      </c>
      <c r="R336" s="47"/>
      <c r="S336" s="47" t="s">
        <v>1117</v>
      </c>
      <c r="T336" s="47" t="s">
        <v>71</v>
      </c>
      <c r="U336" s="47" t="s">
        <v>71</v>
      </c>
      <c r="V336" s="49" t="str">
        <f t="shared" si="130"/>
        <v>Đông Kinh, Lạng Sơn, Lạng Sơn</v>
      </c>
      <c r="W336" s="67" t="s">
        <v>2472</v>
      </c>
      <c r="X336" s="46" t="s">
        <v>2473</v>
      </c>
      <c r="Y336" s="46"/>
      <c r="Z336" s="46"/>
      <c r="AA336" s="68">
        <f>VLOOKUP(A336,'[1]DANH SÁCH'!$B$8:$AD$841,12,0)</f>
        <v>0</v>
      </c>
      <c r="AB336" s="49" t="str">
        <f>VLOOKUP(A336,'[1]DANH SÁCH'!$B$8:$H$841,6,0)</f>
        <v>TĐ012</v>
      </c>
      <c r="AC336" s="69" t="str">
        <f>VLOOKUP(A336,'[1]DANH SÁCH'!$B$8:$J$841,9,0)</f>
        <v>GM-HS</v>
      </c>
      <c r="AD336" s="69" t="str">
        <f>VLOOKUP(A336,'[1]DANH SÁCH'!$B$8:$AC$841,10,0)</f>
        <v>KP025</v>
      </c>
      <c r="AE336" s="69" t="str">
        <f>VLOOKUP(A336,'[1]DANH SÁCH'!$B$8:$AD$841,13,0)</f>
        <v>Viên chức</v>
      </c>
      <c r="AF336" s="41" t="s">
        <v>527</v>
      </c>
      <c r="AG336" s="42" t="str">
        <f>VLOOKUP(A336,'[1]DANH SÁCH'!$B$8:$H$841,7,0)</f>
        <v>Điều dưỡng (hạng IV)</v>
      </c>
      <c r="AH336" s="45" t="s">
        <v>1841</v>
      </c>
      <c r="AI336" s="42">
        <v>3</v>
      </c>
      <c r="AJ336" s="70">
        <v>0</v>
      </c>
      <c r="AK336" s="69">
        <v>45484</v>
      </c>
      <c r="AL336" s="71" t="s">
        <v>101</v>
      </c>
      <c r="AM336" s="53" t="str">
        <f>VLOOKUP(A336,'[1]DANH SÁCH'!$B$8:$F$841,5,0)</f>
        <v>Điều dưỡng CĐ</v>
      </c>
      <c r="AN336" s="53"/>
      <c r="AO336" s="53"/>
      <c r="AP336" s="53"/>
      <c r="AQ336" s="72" t="s">
        <v>113</v>
      </c>
      <c r="AR336" s="42">
        <f>VLOOKUP(A336,'[1]Chứng chỉ'!$B$8:$Q$1111,11,0)</f>
        <v>0</v>
      </c>
      <c r="AS336" s="42">
        <f>VLOOKUP(A336,'[1]Chứng chỉ'!$B$8:$Q$1111,12,0)</f>
        <v>0</v>
      </c>
      <c r="AT336" s="47">
        <f>VLOOKUP(A336,'[1]Chứng chỉ'!$B$8:$Q$1111,13,0)</f>
        <v>0</v>
      </c>
      <c r="AU336" s="42">
        <f>VLOOKUP(A336,'[1]Chứng chỉ'!$B$8:$Q$1111,14,0)</f>
        <v>0</v>
      </c>
      <c r="AV336" s="42">
        <f>VLOOKUP(A336,'[1]Chứng chỉ'!$B$8:$Q$1111,15,0)</f>
        <v>0</v>
      </c>
      <c r="AW336" s="42" t="str">
        <f>VLOOKUP(A336,'[1]Chứng chỉ'!$B$8:$Q$1111,16,0)</f>
        <v>Cơ bản</v>
      </c>
      <c r="AX336" s="47"/>
      <c r="AY336" s="73" t="s">
        <v>85</v>
      </c>
      <c r="AZ336" s="65"/>
      <c r="BA336" s="74" t="e">
        <f t="shared" si="131"/>
        <v>#REF!</v>
      </c>
      <c r="BB336" s="74" t="e">
        <f t="shared" si="132"/>
        <v>#REF!</v>
      </c>
      <c r="BC336" s="41"/>
      <c r="BD336" s="42"/>
    </row>
    <row r="337" spans="1:56" ht="61.2" x14ac:dyDescent="0.3">
      <c r="A337" s="41" t="s">
        <v>2474</v>
      </c>
      <c r="B337" s="42">
        <f t="shared" si="110"/>
        <v>331</v>
      </c>
      <c r="C337" s="68" t="s">
        <v>2475</v>
      </c>
      <c r="D337" s="41" t="s">
        <v>2474</v>
      </c>
      <c r="E337" s="61">
        <v>1505002930</v>
      </c>
      <c r="F337" s="64"/>
      <c r="G337" s="49" t="s">
        <v>2476</v>
      </c>
      <c r="H337" s="76"/>
      <c r="I337" s="76">
        <v>29892</v>
      </c>
      <c r="J337" s="66">
        <f t="shared" ca="1" si="136"/>
        <v>44</v>
      </c>
      <c r="K337" s="75" t="s">
        <v>2477</v>
      </c>
      <c r="L337" s="41" t="s">
        <v>2478</v>
      </c>
      <c r="M337" s="53" t="s">
        <v>67</v>
      </c>
      <c r="N337" s="66"/>
      <c r="O337" s="53" t="s">
        <v>2479</v>
      </c>
      <c r="P337" s="49" t="s">
        <v>97</v>
      </c>
      <c r="Q337" s="49" t="s">
        <v>94</v>
      </c>
      <c r="R337" s="49"/>
      <c r="S337" s="49" t="s">
        <v>166</v>
      </c>
      <c r="T337" s="49" t="s">
        <v>97</v>
      </c>
      <c r="U337" s="49" t="s">
        <v>94</v>
      </c>
      <c r="V337" s="49" t="str">
        <f t="shared" si="130"/>
        <v>Phường Tam Thanh, Thành phố Lạng Sơn, Tỉnh Lạng Sơn</v>
      </c>
      <c r="W337" s="55" t="s">
        <v>2480</v>
      </c>
      <c r="X337" s="41"/>
      <c r="Y337" s="41"/>
      <c r="Z337" s="41"/>
      <c r="AA337" s="68" t="str">
        <f>VLOOKUP(A337,'[1]DANH SÁCH'!$B$8:$AD$841,12,0)</f>
        <v>Điều dưỡng trưởng</v>
      </c>
      <c r="AB337" s="49" t="str">
        <f>VLOOKUP(A337,'[1]DANH SÁCH'!$B$8:$H$841,6,0)</f>
        <v>TĐ011</v>
      </c>
      <c r="AC337" s="69" t="str">
        <f>VLOOKUP(A337,'[1]DANH SÁCH'!$B$8:$J$841,9,0)</f>
        <v>Dinh Dưỡng</v>
      </c>
      <c r="AD337" s="69" t="str">
        <f>VLOOKUP(A337,'[1]DANH SÁCH'!$B$8:$AC$841,10,0)</f>
        <v>KP026</v>
      </c>
      <c r="AE337" s="69" t="str">
        <f>VLOOKUP(A337,'[1]DANH SÁCH'!$B$8:$AD$841,13,0)</f>
        <v>Viên chức</v>
      </c>
      <c r="AF337" s="41" t="s">
        <v>147</v>
      </c>
      <c r="AG337" s="42" t="str">
        <f>VLOOKUP(A337,'[1]DANH SÁCH'!$B$8:$H$841,7,0)</f>
        <v>Điều dưỡng (hạng III)</v>
      </c>
      <c r="AH337" s="45">
        <v>3.99</v>
      </c>
      <c r="AI337" s="42">
        <v>6</v>
      </c>
      <c r="AJ337" s="70">
        <v>0</v>
      </c>
      <c r="AK337" s="69">
        <v>45108</v>
      </c>
      <c r="AL337" s="71" t="s">
        <v>80</v>
      </c>
      <c r="AM337" s="53" t="str">
        <f>VLOOKUP(A337,'[1]DANH SÁCH'!$B$8:$F$841,5,0)</f>
        <v>Điều dưỡng ĐH</v>
      </c>
      <c r="AN337" s="53"/>
      <c r="AO337" s="53"/>
      <c r="AP337" s="53"/>
      <c r="AQ337" s="53"/>
      <c r="AR337" s="42">
        <f>VLOOKUP(A337,'[1]Chứng chỉ'!$B$8:$Q$1111,11,0)</f>
        <v>0</v>
      </c>
      <c r="AS337" s="42">
        <f>VLOOKUP(A337,'[1]Chứng chỉ'!$B$8:$Q$1111,12,0)</f>
        <v>0</v>
      </c>
      <c r="AT337" s="47" t="s">
        <v>139</v>
      </c>
      <c r="AU337" s="42">
        <f>VLOOKUP(A337,'[1]Chứng chỉ'!$B$8:$Q$1111,14,0)</f>
        <v>0</v>
      </c>
      <c r="AV337" s="42" t="str">
        <f>VLOOKUP(A337,'[1]Chứng chỉ'!$B$8:$Q$1111,15,0)</f>
        <v>Tiếng tày</v>
      </c>
      <c r="AW337" s="42" t="str">
        <f>VLOOKUP(A337,'[1]Chứng chỉ'!$B$8:$Q$1111,16,0)</f>
        <v>Cơ bản</v>
      </c>
      <c r="AX337" s="42"/>
      <c r="AY337" s="57" t="s">
        <v>127</v>
      </c>
      <c r="AZ337" s="65"/>
      <c r="BA337" s="74" t="e">
        <f t="shared" si="131"/>
        <v>#REF!</v>
      </c>
      <c r="BB337" s="74" t="e">
        <f t="shared" si="132"/>
        <v>#REF!</v>
      </c>
      <c r="BC337" s="41" t="s">
        <v>128</v>
      </c>
      <c r="BD337" s="42"/>
    </row>
    <row r="338" spans="1:56" ht="51" x14ac:dyDescent="0.3">
      <c r="A338" s="41" t="s">
        <v>2481</v>
      </c>
      <c r="B338" s="42">
        <f t="shared" si="110"/>
        <v>332</v>
      </c>
      <c r="C338" s="68" t="s">
        <v>2482</v>
      </c>
      <c r="D338" s="41" t="s">
        <v>2481</v>
      </c>
      <c r="E338" s="61" t="s">
        <v>2483</v>
      </c>
      <c r="F338" s="64"/>
      <c r="G338" s="49" t="s">
        <v>2484</v>
      </c>
      <c r="H338" s="76"/>
      <c r="I338" s="76">
        <v>31209</v>
      </c>
      <c r="J338" s="66">
        <f t="shared" ca="1" si="136"/>
        <v>41</v>
      </c>
      <c r="K338" s="75" t="s">
        <v>2485</v>
      </c>
      <c r="L338" s="41" t="s">
        <v>2486</v>
      </c>
      <c r="M338" s="53" t="s">
        <v>67</v>
      </c>
      <c r="N338" s="66"/>
      <c r="O338" s="53" t="s">
        <v>1675</v>
      </c>
      <c r="P338" s="76" t="s">
        <v>343</v>
      </c>
      <c r="Q338" s="49" t="s">
        <v>94</v>
      </c>
      <c r="R338" s="49"/>
      <c r="S338" s="49" t="s">
        <v>1041</v>
      </c>
      <c r="T338" s="49" t="s">
        <v>155</v>
      </c>
      <c r="U338" s="49" t="s">
        <v>94</v>
      </c>
      <c r="V338" s="49" t="str">
        <f t="shared" si="130"/>
        <v>Thị trấn Văn Quan, Huyện Văn Quan, Tỉnh Lạng Sơn</v>
      </c>
      <c r="W338" s="55" t="s">
        <v>315</v>
      </c>
      <c r="X338" s="41"/>
      <c r="Y338" s="41"/>
      <c r="Z338" s="41"/>
      <c r="AA338" s="68" t="str">
        <f>VLOOKUP(A338,'[1]DANH SÁCH'!$B$8:$AD$841,12,0)</f>
        <v>Trưởng khoa</v>
      </c>
      <c r="AB338" s="49" t="str">
        <f>VLOOKUP(A338,'[1]DANH SÁCH'!$B$8:$H$841,6,0)</f>
        <v>TĐ007</v>
      </c>
      <c r="AC338" s="69" t="str">
        <f>VLOOKUP(A338,'[1]DANH SÁCH'!$B$8:$J$841,9,0)</f>
        <v>Dược</v>
      </c>
      <c r="AD338" s="69" t="str">
        <f>VLOOKUP(A338,'[1]DANH SÁCH'!$B$8:$AC$841,10,0)</f>
        <v>KP028</v>
      </c>
      <c r="AE338" s="69" t="str">
        <f>VLOOKUP(A338,'[1]DANH SÁCH'!$B$8:$AD$841,13,0)</f>
        <v>Viên chức</v>
      </c>
      <c r="AF338" s="115" t="s">
        <v>2487</v>
      </c>
      <c r="AG338" s="42" t="str">
        <f>VLOOKUP(A338,'[1]DANH SÁCH'!$B$8:$H$841,7,0)</f>
        <v>Dược sĩ chính (hạng II)</v>
      </c>
      <c r="AH338" s="45">
        <v>4.4000000000000004</v>
      </c>
      <c r="AI338" s="42">
        <v>1</v>
      </c>
      <c r="AJ338" s="70">
        <v>0</v>
      </c>
      <c r="AK338" s="69">
        <v>45809</v>
      </c>
      <c r="AL338" s="71" t="s">
        <v>80</v>
      </c>
      <c r="AM338" s="53" t="str">
        <f>VLOOKUP(A338,'[1]DANH SÁCH'!$B$8:$F$841,5,0)</f>
        <v>DSCKI</v>
      </c>
      <c r="AN338" s="53" t="s">
        <v>2488</v>
      </c>
      <c r="AO338" s="53"/>
      <c r="AP338" s="53"/>
      <c r="AQ338" s="53"/>
      <c r="AR338" s="42" t="s">
        <v>82</v>
      </c>
      <c r="AS338" s="42" t="s">
        <v>100</v>
      </c>
      <c r="AT338" s="47" t="s">
        <v>139</v>
      </c>
      <c r="AU338" s="42">
        <f>VLOOKUP(A338,'[1]Chứng chỉ'!$B$8:$Q$1111,14,0)</f>
        <v>0</v>
      </c>
      <c r="AV338" s="42">
        <f>VLOOKUP(A338,'[1]Chứng chỉ'!$B$8:$Q$1111,15,0)</f>
        <v>0</v>
      </c>
      <c r="AW338" s="42">
        <f>VLOOKUP(A338,'[1]Chứng chỉ'!$B$8:$Q$1111,16,0)</f>
        <v>0</v>
      </c>
      <c r="AX338" s="42"/>
      <c r="AY338" s="57" t="s">
        <v>127</v>
      </c>
      <c r="AZ338" s="65">
        <v>42895</v>
      </c>
      <c r="BA338" s="74"/>
      <c r="BB338" s="74"/>
      <c r="BC338" s="41" t="s">
        <v>128</v>
      </c>
      <c r="BD338" s="42"/>
    </row>
    <row r="339" spans="1:56" ht="51" x14ac:dyDescent="0.3">
      <c r="A339" s="46" t="s">
        <v>2489</v>
      </c>
      <c r="B339" s="42">
        <f t="shared" si="110"/>
        <v>333</v>
      </c>
      <c r="C339" s="63" t="s">
        <v>2490</v>
      </c>
      <c r="D339" s="46" t="s">
        <v>2489</v>
      </c>
      <c r="E339" s="61" t="s">
        <v>2491</v>
      </c>
      <c r="F339" s="64"/>
      <c r="G339" s="49" t="s">
        <v>2492</v>
      </c>
      <c r="H339" s="47"/>
      <c r="I339" s="65">
        <v>33860</v>
      </c>
      <c r="J339" s="66">
        <f t="shared" ca="1" si="136"/>
        <v>33</v>
      </c>
      <c r="K339" s="75" t="s">
        <v>2493</v>
      </c>
      <c r="L339" s="46" t="s">
        <v>2494</v>
      </c>
      <c r="M339" s="56" t="s">
        <v>2495</v>
      </c>
      <c r="N339" s="66" t="s">
        <v>2496</v>
      </c>
      <c r="O339" s="56" t="s">
        <v>2497</v>
      </c>
      <c r="P339" s="47" t="s">
        <v>2498</v>
      </c>
      <c r="Q339" s="47" t="s">
        <v>2499</v>
      </c>
      <c r="R339" s="47" t="s">
        <v>2500</v>
      </c>
      <c r="S339" s="47" t="s">
        <v>73</v>
      </c>
      <c r="T339" s="49" t="s">
        <v>97</v>
      </c>
      <c r="U339" s="49" t="s">
        <v>94</v>
      </c>
      <c r="V339" s="49" t="str">
        <f t="shared" si="130"/>
        <v>Phường Vĩnh Trại, Thành phố Lạng Sơn, Tỉnh Lạng Sơn</v>
      </c>
      <c r="W339" s="67" t="s">
        <v>1208</v>
      </c>
      <c r="X339" s="46"/>
      <c r="Y339" s="46"/>
      <c r="Z339" s="46"/>
      <c r="AA339" s="68">
        <f>VLOOKUP(A339,'[1]DANH SÁCH'!$B$8:$AD$841,12,0)</f>
        <v>0</v>
      </c>
      <c r="AB339" s="49" t="str">
        <f>VLOOKUP(A339,'[1]DANH SÁCH'!$B$8:$H$841,6,0)</f>
        <v>TĐ007</v>
      </c>
      <c r="AC339" s="69" t="str">
        <f>VLOOKUP(A339,'[1]DANH SÁCH'!$B$8:$J$841,9,0)</f>
        <v>Dược</v>
      </c>
      <c r="AD339" s="69" t="str">
        <f>VLOOKUP(A339,'[1]DANH SÁCH'!$B$8:$AC$841,10,0)</f>
        <v>KP028</v>
      </c>
      <c r="AE339" s="69" t="str">
        <f>VLOOKUP(A339,'[1]DANH SÁCH'!$B$8:$AD$841,13,0)</f>
        <v>Viên chức</v>
      </c>
      <c r="AF339" s="115" t="s">
        <v>2487</v>
      </c>
      <c r="AG339" s="42" t="str">
        <f>VLOOKUP(A339,'[1]DANH SÁCH'!$B$8:$H$841,7,0)</f>
        <v>Dược sĩ (hạng III)</v>
      </c>
      <c r="AH339" s="45">
        <v>3.33</v>
      </c>
      <c r="AI339" s="42">
        <v>4</v>
      </c>
      <c r="AJ339" s="70">
        <v>0</v>
      </c>
      <c r="AK339" s="69">
        <v>45885</v>
      </c>
      <c r="AL339" s="71" t="s">
        <v>80</v>
      </c>
      <c r="AM339" s="53" t="str">
        <f>VLOOKUP(A339,'[1]DANH SÁCH'!$B$8:$F$841,5,0)</f>
        <v>DSCKI</v>
      </c>
      <c r="AN339" s="53" t="s">
        <v>2488</v>
      </c>
      <c r="AO339" s="53"/>
      <c r="AP339" s="53"/>
      <c r="AQ339" s="53"/>
      <c r="AR339" s="42">
        <f>VLOOKUP(A339,'[1]Chứng chỉ'!$B$8:$Q$1111,11,0)</f>
        <v>0</v>
      </c>
      <c r="AS339" s="42">
        <f>VLOOKUP(A339,'[1]Chứng chỉ'!$B$8:$Q$1111,12,0)</f>
        <v>0</v>
      </c>
      <c r="AT339" s="47" t="s">
        <v>139</v>
      </c>
      <c r="AU339" s="42">
        <f>VLOOKUP(A339,'[1]Chứng chỉ'!$B$8:$Q$1111,14,0)</f>
        <v>0</v>
      </c>
      <c r="AV339" s="42">
        <f>VLOOKUP(A339,'[1]Chứng chỉ'!$B$8:$Q$1111,15,0)</f>
        <v>0</v>
      </c>
      <c r="AW339" s="42">
        <f>VLOOKUP(A339,'[1]Chứng chỉ'!$B$8:$Q$1111,16,0)</f>
        <v>0</v>
      </c>
      <c r="AX339" s="47"/>
      <c r="AY339" s="73" t="s">
        <v>85</v>
      </c>
      <c r="AZ339" s="65"/>
      <c r="BA339" s="74"/>
      <c r="BB339" s="74"/>
      <c r="BC339" s="41" t="s">
        <v>128</v>
      </c>
      <c r="BD339" s="42"/>
    </row>
    <row r="340" spans="1:56" ht="61.2" x14ac:dyDescent="0.3">
      <c r="A340" s="41" t="s">
        <v>2501</v>
      </c>
      <c r="B340" s="42">
        <f t="shared" si="110"/>
        <v>334</v>
      </c>
      <c r="C340" s="68" t="s">
        <v>2502</v>
      </c>
      <c r="D340" s="41" t="s">
        <v>2501</v>
      </c>
      <c r="E340" s="61">
        <v>1506002925</v>
      </c>
      <c r="F340" s="64"/>
      <c r="G340" s="49" t="s">
        <v>2503</v>
      </c>
      <c r="H340" s="76"/>
      <c r="I340" s="76">
        <v>31117</v>
      </c>
      <c r="J340" s="66">
        <f t="shared" ca="1" si="136"/>
        <v>41</v>
      </c>
      <c r="K340" s="75" t="s">
        <v>2504</v>
      </c>
      <c r="L340" s="41" t="s">
        <v>2505</v>
      </c>
      <c r="M340" s="53" t="s">
        <v>67</v>
      </c>
      <c r="N340" s="66"/>
      <c r="O340" s="53"/>
      <c r="P340" s="49" t="s">
        <v>155</v>
      </c>
      <c r="Q340" s="49" t="s">
        <v>94</v>
      </c>
      <c r="R340" s="49"/>
      <c r="S340" s="49" t="s">
        <v>124</v>
      </c>
      <c r="T340" s="49" t="s">
        <v>97</v>
      </c>
      <c r="U340" s="49" t="s">
        <v>94</v>
      </c>
      <c r="V340" s="49" t="str">
        <f t="shared" si="130"/>
        <v>Phường Đông Kinh, Thành phố Lạng Sơn, Tỉnh Lạng Sơn</v>
      </c>
      <c r="W340" s="55" t="s">
        <v>411</v>
      </c>
      <c r="X340" s="41"/>
      <c r="Y340" s="41"/>
      <c r="Z340" s="41"/>
      <c r="AA340" s="68" t="str">
        <f>VLOOKUP(A340,'[1]DANH SÁCH'!$B$8:$AD$841,12,0)</f>
        <v>Phó trưởng khoa</v>
      </c>
      <c r="AB340" s="49" t="str">
        <f>VLOOKUP(A340,'[1]DANH SÁCH'!$B$8:$H$841,6,0)</f>
        <v>TĐ007</v>
      </c>
      <c r="AC340" s="69" t="str">
        <f>VLOOKUP(A340,'[1]DANH SÁCH'!$B$8:$J$841,9,0)</f>
        <v>Dược</v>
      </c>
      <c r="AD340" s="69" t="str">
        <f>VLOOKUP(A340,'[1]DANH SÁCH'!$B$8:$AC$841,10,0)</f>
        <v>KP028</v>
      </c>
      <c r="AE340" s="69" t="str">
        <f>VLOOKUP(A340,'[1]DANH SÁCH'!$B$8:$AD$841,13,0)</f>
        <v>Viên chức</v>
      </c>
      <c r="AF340" s="115" t="s">
        <v>2487</v>
      </c>
      <c r="AG340" s="42" t="str">
        <f>VLOOKUP(A340,'[1]DANH SÁCH'!$B$8:$H$841,7,0)</f>
        <v>Dược sĩ (hạng III)</v>
      </c>
      <c r="AH340" s="45">
        <v>3.99</v>
      </c>
      <c r="AI340" s="42">
        <v>6</v>
      </c>
      <c r="AJ340" s="70">
        <v>0</v>
      </c>
      <c r="AK340" s="69">
        <v>45778</v>
      </c>
      <c r="AL340" s="71" t="s">
        <v>80</v>
      </c>
      <c r="AM340" s="53" t="str">
        <f>VLOOKUP(A340,'[1]DANH SÁCH'!$B$8:$F$841,5,0)</f>
        <v>DSCKI</v>
      </c>
      <c r="AN340" s="53" t="s">
        <v>2488</v>
      </c>
      <c r="AO340" s="53"/>
      <c r="AP340" s="53"/>
      <c r="AQ340" s="53"/>
      <c r="AR340" s="42">
        <f>VLOOKUP(A340,'[1]Chứng chỉ'!$B$8:$Q$1111,11,0)</f>
        <v>0</v>
      </c>
      <c r="AS340" s="42" t="s">
        <v>100</v>
      </c>
      <c r="AT340" s="47" t="s">
        <v>139</v>
      </c>
      <c r="AU340" s="42">
        <f>VLOOKUP(A340,'[1]Chứng chỉ'!$B$8:$Q$1111,14,0)</f>
        <v>0</v>
      </c>
      <c r="AV340" s="42">
        <f>VLOOKUP(A340,'[1]Chứng chỉ'!$B$8:$Q$1111,15,0)</f>
        <v>0</v>
      </c>
      <c r="AW340" s="42">
        <f>VLOOKUP(A340,'[1]Chứng chỉ'!$B$8:$Q$1111,16,0)</f>
        <v>0</v>
      </c>
      <c r="AX340" s="42"/>
      <c r="AY340" s="57" t="s">
        <v>127</v>
      </c>
      <c r="AZ340" s="65">
        <v>41298</v>
      </c>
      <c r="BA340" s="74"/>
      <c r="BB340" s="74"/>
      <c r="BC340" s="41"/>
      <c r="BD340" s="42"/>
    </row>
    <row r="341" spans="1:56" ht="61.2" x14ac:dyDescent="0.3">
      <c r="A341" s="41" t="s">
        <v>2506</v>
      </c>
      <c r="B341" s="42">
        <f t="shared" si="110"/>
        <v>335</v>
      </c>
      <c r="C341" s="68" t="s">
        <v>2507</v>
      </c>
      <c r="D341" s="41" t="s">
        <v>2506</v>
      </c>
      <c r="E341" s="61">
        <v>2008002396</v>
      </c>
      <c r="F341" s="64"/>
      <c r="G341" s="49" t="s">
        <v>2508</v>
      </c>
      <c r="H341" s="76"/>
      <c r="I341" s="76">
        <v>32011</v>
      </c>
      <c r="J341" s="66">
        <f t="shared" ca="1" si="136"/>
        <v>38</v>
      </c>
      <c r="K341" s="75" t="s">
        <v>2509</v>
      </c>
      <c r="L341" s="41" t="s">
        <v>2510</v>
      </c>
      <c r="M341" s="53" t="s">
        <v>67</v>
      </c>
      <c r="N341" s="66"/>
      <c r="O341" s="53"/>
      <c r="P341" s="49" t="s">
        <v>282</v>
      </c>
      <c r="Q341" s="49" t="s">
        <v>94</v>
      </c>
      <c r="R341" s="49"/>
      <c r="S341" s="49" t="s">
        <v>166</v>
      </c>
      <c r="T341" s="49" t="s">
        <v>97</v>
      </c>
      <c r="U341" s="49" t="s">
        <v>94</v>
      </c>
      <c r="V341" s="49" t="str">
        <f t="shared" si="130"/>
        <v>Phường Tam Thanh, Thành phố Lạng Sơn, Tỉnh Lạng Sơn</v>
      </c>
      <c r="W341" s="55" t="s">
        <v>2511</v>
      </c>
      <c r="X341" s="41"/>
      <c r="Y341" s="41"/>
      <c r="Z341" s="41"/>
      <c r="AA341" s="68">
        <f>VLOOKUP(A341,'[1]DANH SÁCH'!$B$8:$AD$841,12,0)</f>
        <v>0</v>
      </c>
      <c r="AB341" s="49" t="str">
        <f>VLOOKUP(A341,'[1]DANH SÁCH'!$B$8:$H$841,6,0)</f>
        <v>TĐ008</v>
      </c>
      <c r="AC341" s="69" t="str">
        <f>VLOOKUP(A341,'[1]DANH SÁCH'!$B$8:$J$841,9,0)</f>
        <v>VT-TTBYT</v>
      </c>
      <c r="AD341" s="69" t="str">
        <f>VLOOKUP(A341,'[1]DANH SÁCH'!$B$8:$AC$841,10,0)</f>
        <v>KP038</v>
      </c>
      <c r="AE341" s="69" t="str">
        <f>VLOOKUP(A341,'[1]DANH SÁCH'!$B$8:$AD$841,13,0)</f>
        <v>Viên chức</v>
      </c>
      <c r="AF341" s="41" t="s">
        <v>2512</v>
      </c>
      <c r="AG341" s="42" t="str">
        <f>VLOOKUP(A341,'[1]DANH SÁCH'!$B$8:$H$841,7,0)</f>
        <v>Dược sĩ (hạng III)</v>
      </c>
      <c r="AH341" s="45">
        <v>3.66</v>
      </c>
      <c r="AI341" s="42">
        <v>5</v>
      </c>
      <c r="AJ341" s="70">
        <v>0</v>
      </c>
      <c r="AK341" s="69">
        <v>45383</v>
      </c>
      <c r="AL341" s="71" t="s">
        <v>80</v>
      </c>
      <c r="AM341" s="53" t="str">
        <f>VLOOKUP(A341,'[1]DANH SÁCH'!$B$8:$F$841,5,0)</f>
        <v>Dược sỹ ĐH</v>
      </c>
      <c r="AN341" s="53"/>
      <c r="AO341" s="53"/>
      <c r="AP341" s="53"/>
      <c r="AQ341" s="53"/>
      <c r="AR341" s="42">
        <f>VLOOKUP(A341,'[1]Chứng chỉ'!$B$8:$Q$1111,11,0)</f>
        <v>0</v>
      </c>
      <c r="AS341" s="42">
        <f>VLOOKUP(A341,'[1]Chứng chỉ'!$B$8:$Q$1111,12,0)</f>
        <v>0</v>
      </c>
      <c r="AT341" s="47" t="s">
        <v>139</v>
      </c>
      <c r="AU341" s="42">
        <f>VLOOKUP(A341,'[1]Chứng chỉ'!$B$8:$Q$1111,14,0)</f>
        <v>0</v>
      </c>
      <c r="AV341" s="42">
        <f>VLOOKUP(A341,'[1]Chứng chỉ'!$B$8:$Q$1111,15,0)</f>
        <v>0</v>
      </c>
      <c r="AW341" s="42">
        <f>VLOOKUP(A341,'[1]Chứng chỉ'!$B$8:$Q$1111,16,0)</f>
        <v>0</v>
      </c>
      <c r="AX341" s="42"/>
      <c r="AY341" s="57" t="s">
        <v>127</v>
      </c>
      <c r="AZ341" s="65"/>
      <c r="BA341" s="74"/>
      <c r="BB341" s="74"/>
      <c r="BC341" s="41" t="s">
        <v>128</v>
      </c>
      <c r="BD341" s="42"/>
    </row>
    <row r="342" spans="1:56" ht="61.2" x14ac:dyDescent="0.3">
      <c r="A342" s="41" t="s">
        <v>2513</v>
      </c>
      <c r="B342" s="42">
        <f t="shared" si="110"/>
        <v>336</v>
      </c>
      <c r="C342" s="68" t="s">
        <v>2514</v>
      </c>
      <c r="D342" s="41" t="s">
        <v>2513</v>
      </c>
      <c r="E342" s="61">
        <v>2008002401</v>
      </c>
      <c r="F342" s="64"/>
      <c r="G342" s="49" t="s">
        <v>2515</v>
      </c>
      <c r="H342" s="76"/>
      <c r="I342" s="76">
        <v>31611</v>
      </c>
      <c r="J342" s="66">
        <f t="shared" ca="1" si="136"/>
        <v>40</v>
      </c>
      <c r="K342" s="75" t="s">
        <v>2516</v>
      </c>
      <c r="L342" s="41" t="s">
        <v>473</v>
      </c>
      <c r="M342" s="53" t="s">
        <v>67</v>
      </c>
      <c r="N342" s="66"/>
      <c r="O342" s="53"/>
      <c r="P342" s="76" t="s">
        <v>343</v>
      </c>
      <c r="Q342" s="49" t="s">
        <v>94</v>
      </c>
      <c r="R342" s="49"/>
      <c r="S342" s="49" t="s">
        <v>166</v>
      </c>
      <c r="T342" s="49" t="s">
        <v>97</v>
      </c>
      <c r="U342" s="49" t="s">
        <v>94</v>
      </c>
      <c r="V342" s="49" t="str">
        <f t="shared" si="130"/>
        <v>Phường Tam Thanh, Thành phố Lạng Sơn, Tỉnh Lạng Sơn</v>
      </c>
      <c r="W342" s="55" t="s">
        <v>2511</v>
      </c>
      <c r="X342" s="41"/>
      <c r="Y342" s="41"/>
      <c r="Z342" s="41"/>
      <c r="AA342" s="68">
        <f>VLOOKUP(A342,'[1]DANH SÁCH'!$B$8:$AD$841,12,0)</f>
        <v>0</v>
      </c>
      <c r="AB342" s="49" t="str">
        <f>VLOOKUP(A342,'[1]DANH SÁCH'!$B$8:$H$841,6,0)</f>
        <v>TĐ008</v>
      </c>
      <c r="AC342" s="69" t="str">
        <f>VLOOKUP(A342,'[1]DANH SÁCH'!$B$8:$J$841,9,0)</f>
        <v>Dược</v>
      </c>
      <c r="AD342" s="69" t="str">
        <f>VLOOKUP(A342,'[1]DANH SÁCH'!$B$8:$AC$841,10,0)</f>
        <v>KP028</v>
      </c>
      <c r="AE342" s="69" t="str">
        <f>VLOOKUP(A342,'[1]DANH SÁCH'!$B$8:$AD$841,13,0)</f>
        <v>Viên chức</v>
      </c>
      <c r="AF342" s="115" t="s">
        <v>2487</v>
      </c>
      <c r="AG342" s="42" t="str">
        <f>VLOOKUP(A342,'[1]DANH SÁCH'!$B$8:$H$841,7,0)</f>
        <v>Dược sĩ (hạng III)</v>
      </c>
      <c r="AH342" s="45">
        <v>3.33</v>
      </c>
      <c r="AI342" s="42">
        <v>4</v>
      </c>
      <c r="AJ342" s="70">
        <v>0</v>
      </c>
      <c r="AK342" s="69">
        <v>45078</v>
      </c>
      <c r="AL342" s="71" t="s">
        <v>80</v>
      </c>
      <c r="AM342" s="53" t="str">
        <f>VLOOKUP(A342,'[1]DANH SÁCH'!$B$8:$F$841,5,0)</f>
        <v>Dược sỹ ĐH</v>
      </c>
      <c r="AN342" s="53"/>
      <c r="AO342" s="53"/>
      <c r="AP342" s="53"/>
      <c r="AQ342" s="53"/>
      <c r="AR342" s="42">
        <f>VLOOKUP(A342,'[1]Chứng chỉ'!$B$8:$Q$1111,11,0)</f>
        <v>0</v>
      </c>
      <c r="AS342" s="42">
        <f>VLOOKUP(A342,'[1]Chứng chỉ'!$B$8:$Q$1111,12,0)</f>
        <v>0</v>
      </c>
      <c r="AT342" s="47" t="s">
        <v>139</v>
      </c>
      <c r="AU342" s="42">
        <f>VLOOKUP(A342,'[1]Chứng chỉ'!$B$8:$Q$1111,14,0)</f>
        <v>0</v>
      </c>
      <c r="AV342" s="42">
        <f>VLOOKUP(A342,'[1]Chứng chỉ'!$B$8:$Q$1111,15,0)</f>
        <v>0</v>
      </c>
      <c r="AW342" s="42">
        <f>VLOOKUP(A342,'[1]Chứng chỉ'!$B$8:$Q$1111,16,0)</f>
        <v>0</v>
      </c>
      <c r="AX342" s="42"/>
      <c r="AY342" s="57" t="s">
        <v>85</v>
      </c>
      <c r="AZ342" s="65"/>
      <c r="BA342" s="74"/>
      <c r="BB342" s="74"/>
      <c r="BC342" s="41" t="s">
        <v>128</v>
      </c>
      <c r="BD342" s="42"/>
    </row>
    <row r="343" spans="1:56" ht="61.2" x14ac:dyDescent="0.3">
      <c r="A343" s="41" t="s">
        <v>2517</v>
      </c>
      <c r="B343" s="42">
        <f t="shared" si="110"/>
        <v>337</v>
      </c>
      <c r="C343" s="68" t="s">
        <v>2518</v>
      </c>
      <c r="D343" s="41" t="s">
        <v>2517</v>
      </c>
      <c r="E343" s="61">
        <v>1504002804</v>
      </c>
      <c r="F343" s="64"/>
      <c r="G343" s="49" t="s">
        <v>2519</v>
      </c>
      <c r="H343" s="76"/>
      <c r="I343" s="76">
        <v>29899</v>
      </c>
      <c r="J343" s="66">
        <f t="shared" ca="1" si="136"/>
        <v>44</v>
      </c>
      <c r="K343" s="75" t="s">
        <v>2520</v>
      </c>
      <c r="L343" s="41" t="s">
        <v>2521</v>
      </c>
      <c r="M343" s="53" t="s">
        <v>67</v>
      </c>
      <c r="N343" s="66"/>
      <c r="O343" s="53"/>
      <c r="P343" s="76" t="s">
        <v>343</v>
      </c>
      <c r="Q343" s="49" t="s">
        <v>94</v>
      </c>
      <c r="R343" s="49"/>
      <c r="S343" s="49" t="s">
        <v>96</v>
      </c>
      <c r="T343" s="76" t="s">
        <v>343</v>
      </c>
      <c r="U343" s="49" t="s">
        <v>94</v>
      </c>
      <c r="V343" s="49" t="str">
        <f t="shared" si="130"/>
        <v>Phường Hoàng Văn Thụ, Huyện Bình Gia, Tỉnh Lạng Sơn</v>
      </c>
      <c r="W343" s="55" t="s">
        <v>2522</v>
      </c>
      <c r="X343" s="41"/>
      <c r="Y343" s="41"/>
      <c r="Z343" s="41"/>
      <c r="AA343" s="68">
        <f>VLOOKUP(A343,'[1]DANH SÁCH'!$B$8:$AD$841,12,0)</f>
        <v>0</v>
      </c>
      <c r="AB343" s="49" t="str">
        <f>VLOOKUP(A343,'[1]DANH SÁCH'!$B$8:$H$841,6,0)</f>
        <v>TĐ009</v>
      </c>
      <c r="AC343" s="69" t="str">
        <f>VLOOKUP(A343,'[1]DANH SÁCH'!$B$8:$J$841,9,0)</f>
        <v>Dược</v>
      </c>
      <c r="AD343" s="69" t="str">
        <f>VLOOKUP(A343,'[1]DANH SÁCH'!$B$8:$AC$841,10,0)</f>
        <v>KP028</v>
      </c>
      <c r="AE343" s="69" t="str">
        <f>VLOOKUP(A343,'[1]DANH SÁCH'!$B$8:$AD$841,13,0)</f>
        <v>Viên chức</v>
      </c>
      <c r="AF343" s="41" t="s">
        <v>2512</v>
      </c>
      <c r="AG343" s="42" t="str">
        <f>VLOOKUP(A343,'[1]DANH SÁCH'!$B$8:$H$841,7,0)</f>
        <v>Dược (hạng IV)</v>
      </c>
      <c r="AH343" s="45">
        <v>3.96</v>
      </c>
      <c r="AI343" s="42">
        <v>7</v>
      </c>
      <c r="AJ343" s="70">
        <v>0</v>
      </c>
      <c r="AK343" s="69">
        <v>45170</v>
      </c>
      <c r="AL343" s="71" t="s">
        <v>158</v>
      </c>
      <c r="AM343" s="53" t="str">
        <f>VLOOKUP(A343,'[1]DANH SÁCH'!$B$8:$F$841,5,0)</f>
        <v>Dược sỹ CĐ</v>
      </c>
      <c r="AN343" s="53"/>
      <c r="AO343" s="53"/>
      <c r="AP343" s="53"/>
      <c r="AQ343" s="53"/>
      <c r="AR343" s="42">
        <f>VLOOKUP(A343,'[1]Chứng chỉ'!$B$8:$Q$1111,11,0)</f>
        <v>0</v>
      </c>
      <c r="AS343" s="42">
        <f>VLOOKUP(A343,'[1]Chứng chỉ'!$B$8:$Q$1111,12,0)</f>
        <v>0</v>
      </c>
      <c r="AT343" s="47" t="s">
        <v>139</v>
      </c>
      <c r="AU343" s="42">
        <f>VLOOKUP(A343,'[1]Chứng chỉ'!$B$8:$Q$1111,14,0)</f>
        <v>0</v>
      </c>
      <c r="AV343" s="42">
        <f>VLOOKUP(A343,'[1]Chứng chỉ'!$B$8:$Q$1111,15,0)</f>
        <v>0</v>
      </c>
      <c r="AW343" s="42">
        <f>VLOOKUP(A343,'[1]Chứng chỉ'!$B$8:$Q$1111,16,0)</f>
        <v>0</v>
      </c>
      <c r="AX343" s="42"/>
      <c r="AY343" s="57" t="s">
        <v>85</v>
      </c>
      <c r="AZ343" s="65"/>
      <c r="BA343" s="74"/>
      <c r="BB343" s="74"/>
      <c r="BC343" s="41" t="s">
        <v>128</v>
      </c>
      <c r="BD343" s="42"/>
    </row>
    <row r="344" spans="1:56" ht="61.2" x14ac:dyDescent="0.3">
      <c r="A344" s="41" t="s">
        <v>2523</v>
      </c>
      <c r="B344" s="42">
        <f t="shared" si="110"/>
        <v>338</v>
      </c>
      <c r="C344" s="68" t="s">
        <v>2524</v>
      </c>
      <c r="D344" s="41" t="s">
        <v>2523</v>
      </c>
      <c r="E344" s="61">
        <v>2010000183</v>
      </c>
      <c r="F344" s="64"/>
      <c r="G344" s="49" t="s">
        <v>2525</v>
      </c>
      <c r="H344" s="76"/>
      <c r="I344" s="76">
        <v>32322</v>
      </c>
      <c r="J344" s="66">
        <f t="shared" ca="1" si="136"/>
        <v>38</v>
      </c>
      <c r="K344" s="75" t="s">
        <v>2526</v>
      </c>
      <c r="L344" s="41" t="s">
        <v>2527</v>
      </c>
      <c r="M344" s="53" t="s">
        <v>67</v>
      </c>
      <c r="N344" s="66"/>
      <c r="O344" s="53" t="s">
        <v>2528</v>
      </c>
      <c r="P344" s="49" t="s">
        <v>2529</v>
      </c>
      <c r="Q344" s="49" t="s">
        <v>2530</v>
      </c>
      <c r="R344" s="49"/>
      <c r="S344" s="49" t="s">
        <v>166</v>
      </c>
      <c r="T344" s="49" t="s">
        <v>97</v>
      </c>
      <c r="U344" s="49" t="s">
        <v>94</v>
      </c>
      <c r="V344" s="49" t="str">
        <f t="shared" si="130"/>
        <v>Phường Tam Thanh, Thành phố Lạng Sơn, Tỉnh Lạng Sơn</v>
      </c>
      <c r="W344" s="55" t="s">
        <v>236</v>
      </c>
      <c r="X344" s="41"/>
      <c r="Y344" s="41"/>
      <c r="Z344" s="41"/>
      <c r="AA344" s="68">
        <f>VLOOKUP(A344,'[1]DANH SÁCH'!$B$8:$AD$841,12,0)</f>
        <v>0</v>
      </c>
      <c r="AB344" s="49" t="str">
        <f>VLOOKUP(A344,'[1]DANH SÁCH'!$B$8:$H$841,6,0)</f>
        <v>TĐ009</v>
      </c>
      <c r="AC344" s="69" t="str">
        <f>VLOOKUP(A344,'[1]DANH SÁCH'!$B$8:$J$841,9,0)</f>
        <v>Dược</v>
      </c>
      <c r="AD344" s="69" t="str">
        <f>VLOOKUP(A344,'[1]DANH SÁCH'!$B$8:$AC$841,10,0)</f>
        <v>KP028</v>
      </c>
      <c r="AE344" s="69" t="str">
        <f>VLOOKUP(A344,'[1]DANH SÁCH'!$B$8:$AD$841,13,0)</f>
        <v>Viên chức</v>
      </c>
      <c r="AF344" s="41" t="s">
        <v>2512</v>
      </c>
      <c r="AG344" s="42" t="str">
        <f>VLOOKUP(A344,'[1]DANH SÁCH'!$B$8:$H$841,7,0)</f>
        <v>Dược (hạng IV)</v>
      </c>
      <c r="AH344" s="45">
        <v>3.65</v>
      </c>
      <c r="AI344" s="42">
        <v>6</v>
      </c>
      <c r="AJ344" s="70">
        <v>0</v>
      </c>
      <c r="AK344" s="69">
        <v>45839</v>
      </c>
      <c r="AL344" s="71" t="s">
        <v>158</v>
      </c>
      <c r="AM344" s="53" t="str">
        <f>VLOOKUP(A344,'[1]DANH SÁCH'!$B$8:$F$841,5,0)</f>
        <v>Dược sỹ CĐ</v>
      </c>
      <c r="AN344" s="53"/>
      <c r="AO344" s="53"/>
      <c r="AP344" s="53"/>
      <c r="AQ344" s="53"/>
      <c r="AR344" s="42">
        <f>VLOOKUP(A344,'[1]Chứng chỉ'!$B$8:$Q$1111,11,0)</f>
        <v>0</v>
      </c>
      <c r="AS344" s="42">
        <f>VLOOKUP(A344,'[1]Chứng chỉ'!$B$8:$Q$1111,12,0)</f>
        <v>0</v>
      </c>
      <c r="AT344" s="47">
        <f>VLOOKUP(A344,'[1]Chứng chỉ'!$B$8:$Q$1111,13,0)</f>
        <v>0</v>
      </c>
      <c r="AU344" s="42">
        <f>VLOOKUP(A344,'[1]Chứng chỉ'!$B$8:$Q$1111,14,0)</f>
        <v>0</v>
      </c>
      <c r="AV344" s="42">
        <f>VLOOKUP(A344,'[1]Chứng chỉ'!$B$8:$Q$1111,15,0)</f>
        <v>0</v>
      </c>
      <c r="AW344" s="42">
        <f>VLOOKUP(A344,'[1]Chứng chỉ'!$B$8:$Q$1111,16,0)</f>
        <v>0</v>
      </c>
      <c r="AX344" s="42"/>
      <c r="AY344" s="57" t="s">
        <v>85</v>
      </c>
      <c r="AZ344" s="65">
        <v>42425</v>
      </c>
      <c r="BA344" s="74"/>
      <c r="BB344" s="74"/>
      <c r="BC344" s="41" t="s">
        <v>128</v>
      </c>
      <c r="BD344" s="42"/>
    </row>
    <row r="345" spans="1:56" ht="61.2" x14ac:dyDescent="0.3">
      <c r="A345" s="41" t="s">
        <v>2531</v>
      </c>
      <c r="B345" s="42">
        <f t="shared" si="110"/>
        <v>339</v>
      </c>
      <c r="C345" s="68" t="s">
        <v>2532</v>
      </c>
      <c r="D345" s="41" t="s">
        <v>2531</v>
      </c>
      <c r="E345" s="61">
        <v>2011004195</v>
      </c>
      <c r="F345" s="64"/>
      <c r="G345" s="49" t="s">
        <v>2533</v>
      </c>
      <c r="H345" s="76"/>
      <c r="I345" s="76">
        <v>32452</v>
      </c>
      <c r="J345" s="66">
        <f t="shared" ca="1" si="136"/>
        <v>37</v>
      </c>
      <c r="K345" s="75" t="s">
        <v>2534</v>
      </c>
      <c r="L345" s="41" t="s">
        <v>2535</v>
      </c>
      <c r="M345" s="53" t="s">
        <v>67</v>
      </c>
      <c r="N345" s="66"/>
      <c r="O345" s="53" t="s">
        <v>2536</v>
      </c>
      <c r="P345" s="49" t="s">
        <v>265</v>
      </c>
      <c r="Q345" s="49" t="s">
        <v>235</v>
      </c>
      <c r="R345" s="49"/>
      <c r="S345" s="49" t="s">
        <v>166</v>
      </c>
      <c r="T345" s="49" t="s">
        <v>97</v>
      </c>
      <c r="U345" s="49" t="s">
        <v>94</v>
      </c>
      <c r="V345" s="49" t="str">
        <f t="shared" si="130"/>
        <v>Phường Tam Thanh, Thành phố Lạng Sơn, Tỉnh Lạng Sơn</v>
      </c>
      <c r="W345" s="55" t="s">
        <v>315</v>
      </c>
      <c r="X345" s="41"/>
      <c r="Y345" s="41"/>
      <c r="Z345" s="41"/>
      <c r="AA345" s="68">
        <f>VLOOKUP(A345,'[1]DANH SÁCH'!$B$8:$AD$841,12,0)</f>
        <v>0</v>
      </c>
      <c r="AB345" s="49" t="str">
        <f>VLOOKUP(A345,'[1]DANH SÁCH'!$B$8:$H$841,6,0)</f>
        <v>TĐ009</v>
      </c>
      <c r="AC345" s="69" t="str">
        <f>VLOOKUP(A345,'[1]DANH SÁCH'!$B$8:$J$841,9,0)</f>
        <v>Dược</v>
      </c>
      <c r="AD345" s="69" t="str">
        <f>VLOOKUP(A345,'[1]DANH SÁCH'!$B$8:$AC$841,10,0)</f>
        <v>KP028</v>
      </c>
      <c r="AE345" s="69" t="str">
        <f>VLOOKUP(A345,'[1]DANH SÁCH'!$B$8:$AD$841,13,0)</f>
        <v>Viên chức</v>
      </c>
      <c r="AF345" s="41" t="s">
        <v>2512</v>
      </c>
      <c r="AG345" s="42" t="str">
        <f>VLOOKUP(A345,'[1]DANH SÁCH'!$B$8:$H$841,7,0)</f>
        <v>Dược (hạng IV)</v>
      </c>
      <c r="AH345" s="45">
        <v>3.03</v>
      </c>
      <c r="AI345" s="42">
        <v>4</v>
      </c>
      <c r="AJ345" s="70">
        <v>0</v>
      </c>
      <c r="AK345" s="69">
        <v>44896</v>
      </c>
      <c r="AL345" s="71" t="s">
        <v>158</v>
      </c>
      <c r="AM345" s="53" t="str">
        <f>VLOOKUP(A345,'[1]DANH SÁCH'!$B$8:$F$841,5,0)</f>
        <v>Dược sỹ CĐ</v>
      </c>
      <c r="AN345" s="53"/>
      <c r="AO345" s="53"/>
      <c r="AP345" s="53"/>
      <c r="AQ345" s="53"/>
      <c r="AR345" s="42">
        <f>VLOOKUP(A345,'[1]Chứng chỉ'!$B$8:$Q$1111,11,0)</f>
        <v>0</v>
      </c>
      <c r="AS345" s="42">
        <f>VLOOKUP(A345,'[1]Chứng chỉ'!$B$8:$Q$1111,12,0)</f>
        <v>0</v>
      </c>
      <c r="AT345" s="47">
        <f>VLOOKUP(A345,'[1]Chứng chỉ'!$B$8:$Q$1111,13,0)</f>
        <v>0</v>
      </c>
      <c r="AU345" s="42">
        <f>VLOOKUP(A345,'[1]Chứng chỉ'!$B$8:$Q$1111,14,0)</f>
        <v>0</v>
      </c>
      <c r="AV345" s="42">
        <f>VLOOKUP(A345,'[1]Chứng chỉ'!$B$8:$Q$1111,15,0)</f>
        <v>0</v>
      </c>
      <c r="AW345" s="42">
        <f>VLOOKUP(A345,'[1]Chứng chỉ'!$B$8:$Q$1111,16,0)</f>
        <v>0</v>
      </c>
      <c r="AX345" s="42"/>
      <c r="AY345" s="57" t="s">
        <v>87</v>
      </c>
      <c r="AZ345" s="65"/>
      <c r="BA345" s="74"/>
      <c r="BB345" s="74"/>
      <c r="BC345" s="41" t="s">
        <v>128</v>
      </c>
      <c r="BD345" s="42"/>
    </row>
    <row r="346" spans="1:56" ht="51" x14ac:dyDescent="0.3">
      <c r="A346" s="41" t="s">
        <v>2537</v>
      </c>
      <c r="B346" s="42">
        <f t="shared" si="110"/>
        <v>340</v>
      </c>
      <c r="C346" s="68" t="s">
        <v>2538</v>
      </c>
      <c r="D346" s="41" t="s">
        <v>2537</v>
      </c>
      <c r="E346" s="61">
        <v>2008002394</v>
      </c>
      <c r="F346" s="64"/>
      <c r="G346" s="49" t="s">
        <v>2539</v>
      </c>
      <c r="H346" s="76"/>
      <c r="I346" s="76">
        <v>31693</v>
      </c>
      <c r="J346" s="66">
        <f t="shared" ca="1" si="136"/>
        <v>39</v>
      </c>
      <c r="K346" s="75" t="s">
        <v>2540</v>
      </c>
      <c r="L346" s="41" t="s">
        <v>2541</v>
      </c>
      <c r="M346" s="53" t="s">
        <v>67</v>
      </c>
      <c r="N346" s="66"/>
      <c r="O346" s="53"/>
      <c r="P346" s="49" t="s">
        <v>2542</v>
      </c>
      <c r="Q346" s="49" t="s">
        <v>873</v>
      </c>
      <c r="R346" s="49"/>
      <c r="S346" s="49" t="s">
        <v>619</v>
      </c>
      <c r="T346" s="49" t="s">
        <v>108</v>
      </c>
      <c r="U346" s="49" t="s">
        <v>94</v>
      </c>
      <c r="V346" s="49" t="str">
        <f t="shared" si="130"/>
        <v>Xã Hợp Thành, Huyện Cao Lộc, Tỉnh Lạng Sơn</v>
      </c>
      <c r="W346" s="55" t="s">
        <v>2543</v>
      </c>
      <c r="X346" s="41"/>
      <c r="Y346" s="41"/>
      <c r="Z346" s="41"/>
      <c r="AA346" s="68">
        <f>VLOOKUP(A346,'[1]DANH SÁCH'!$B$8:$AD$841,12,0)</f>
        <v>0</v>
      </c>
      <c r="AB346" s="49" t="str">
        <f>VLOOKUP(A346,'[1]DANH SÁCH'!$B$8:$H$841,6,0)</f>
        <v>TĐ009</v>
      </c>
      <c r="AC346" s="69" t="str">
        <f>VLOOKUP(A346,'[1]DANH SÁCH'!$B$8:$J$841,9,0)</f>
        <v>Dược</v>
      </c>
      <c r="AD346" s="69" t="str">
        <f>VLOOKUP(A346,'[1]DANH SÁCH'!$B$8:$AC$841,10,0)</f>
        <v>KP028</v>
      </c>
      <c r="AE346" s="69" t="str">
        <f>VLOOKUP(A346,'[1]DANH SÁCH'!$B$8:$AD$841,13,0)</f>
        <v>Viên chức</v>
      </c>
      <c r="AF346" s="41" t="s">
        <v>2512</v>
      </c>
      <c r="AG346" s="42" t="str">
        <f>VLOOKUP(A346,'[1]DANH SÁCH'!$B$8:$H$841,7,0)</f>
        <v>Dược (hạng IV)</v>
      </c>
      <c r="AH346" s="45">
        <v>3.34</v>
      </c>
      <c r="AI346" s="42">
        <v>5</v>
      </c>
      <c r="AJ346" s="70">
        <v>0</v>
      </c>
      <c r="AK346" s="69">
        <v>44927</v>
      </c>
      <c r="AL346" s="71" t="s">
        <v>158</v>
      </c>
      <c r="AM346" s="53" t="str">
        <f>VLOOKUP(A346,'[1]DANH SÁCH'!$B$8:$F$841,5,0)</f>
        <v>Dược sỹ CĐ</v>
      </c>
      <c r="AN346" s="53"/>
      <c r="AO346" s="53"/>
      <c r="AP346" s="53"/>
      <c r="AQ346" s="53"/>
      <c r="AR346" s="42">
        <f>VLOOKUP(A346,'[1]Chứng chỉ'!$B$8:$Q$1111,11,0)</f>
        <v>0</v>
      </c>
      <c r="AS346" s="42">
        <f>VLOOKUP(A346,'[1]Chứng chỉ'!$B$8:$Q$1111,12,0)</f>
        <v>0</v>
      </c>
      <c r="AT346" s="47" t="s">
        <v>139</v>
      </c>
      <c r="AU346" s="42">
        <f>VLOOKUP(A346,'[1]Chứng chỉ'!$B$8:$Q$1111,14,0)</f>
        <v>0</v>
      </c>
      <c r="AV346" s="42">
        <f>VLOOKUP(A346,'[1]Chứng chỉ'!$B$8:$Q$1111,15,0)</f>
        <v>0</v>
      </c>
      <c r="AW346" s="42">
        <f>VLOOKUP(A346,'[1]Chứng chỉ'!$B$8:$Q$1111,16,0)</f>
        <v>0</v>
      </c>
      <c r="AX346" s="42"/>
      <c r="AY346" s="57" t="s">
        <v>87</v>
      </c>
      <c r="AZ346" s="65">
        <v>43320</v>
      </c>
      <c r="BA346" s="74"/>
      <c r="BB346" s="74"/>
      <c r="BC346" s="41" t="s">
        <v>128</v>
      </c>
      <c r="BD346" s="42"/>
    </row>
    <row r="347" spans="1:56" ht="61.2" x14ac:dyDescent="0.3">
      <c r="A347" s="41" t="s">
        <v>2544</v>
      </c>
      <c r="B347" s="42">
        <f t="shared" si="110"/>
        <v>341</v>
      </c>
      <c r="C347" s="68" t="s">
        <v>2545</v>
      </c>
      <c r="D347" s="41" t="s">
        <v>2544</v>
      </c>
      <c r="E347" s="61">
        <v>2011000010</v>
      </c>
      <c r="F347" s="64"/>
      <c r="G347" s="49" t="s">
        <v>2546</v>
      </c>
      <c r="H347" s="76"/>
      <c r="I347" s="76">
        <v>32685</v>
      </c>
      <c r="J347" s="66">
        <f t="shared" ca="1" si="136"/>
        <v>37</v>
      </c>
      <c r="K347" s="75" t="s">
        <v>2547</v>
      </c>
      <c r="L347" s="41" t="s">
        <v>2548</v>
      </c>
      <c r="M347" s="53" t="s">
        <v>67</v>
      </c>
      <c r="N347" s="66"/>
      <c r="O347" s="53" t="s">
        <v>2549</v>
      </c>
      <c r="P347" s="49" t="s">
        <v>2550</v>
      </c>
      <c r="Q347" s="49" t="s">
        <v>733</v>
      </c>
      <c r="R347" s="76" t="s">
        <v>2551</v>
      </c>
      <c r="S347" s="49" t="s">
        <v>166</v>
      </c>
      <c r="T347" s="49" t="s">
        <v>97</v>
      </c>
      <c r="U347" s="49" t="s">
        <v>94</v>
      </c>
      <c r="V347" s="49" t="str">
        <f t="shared" si="130"/>
        <v>Phường Tam Thanh, Thành phố Lạng Sơn, Tỉnh Lạng Sơn</v>
      </c>
      <c r="W347" s="55" t="s">
        <v>224</v>
      </c>
      <c r="X347" s="41"/>
      <c r="Y347" s="41"/>
      <c r="Z347" s="41"/>
      <c r="AA347" s="68">
        <f>VLOOKUP(A347,'[1]DANH SÁCH'!$B$8:$AD$841,12,0)</f>
        <v>0</v>
      </c>
      <c r="AB347" s="49" t="str">
        <f>VLOOKUP(A347,'[1]DANH SÁCH'!$B$8:$H$841,6,0)</f>
        <v>TĐ009</v>
      </c>
      <c r="AC347" s="69" t="str">
        <f>VLOOKUP(A347,'[1]DANH SÁCH'!$B$8:$J$841,9,0)</f>
        <v>VT-TTBYT</v>
      </c>
      <c r="AD347" s="69" t="str">
        <f>VLOOKUP(A347,'[1]DANH SÁCH'!$B$8:$AC$841,10,0)</f>
        <v>KP038</v>
      </c>
      <c r="AE347" s="69" t="str">
        <f>VLOOKUP(A347,'[1]DANH SÁCH'!$B$8:$AD$841,13,0)</f>
        <v>Viên chức</v>
      </c>
      <c r="AF347" s="41" t="s">
        <v>2512</v>
      </c>
      <c r="AG347" s="42" t="str">
        <f>VLOOKUP(A347,'[1]DANH SÁCH'!$B$8:$H$841,7,0)</f>
        <v>Dược (hạng IV)</v>
      </c>
      <c r="AH347" s="45">
        <v>3.34</v>
      </c>
      <c r="AI347" s="42">
        <v>5</v>
      </c>
      <c r="AJ347" s="70">
        <v>0</v>
      </c>
      <c r="AK347" s="69">
        <v>45444</v>
      </c>
      <c r="AL347" s="71" t="s">
        <v>158</v>
      </c>
      <c r="AM347" s="53" t="str">
        <f>VLOOKUP(A347,'[1]DANH SÁCH'!$B$8:$F$841,5,0)</f>
        <v>Dược sỹ CĐ</v>
      </c>
      <c r="AN347" s="53"/>
      <c r="AO347" s="53" t="s">
        <v>1093</v>
      </c>
      <c r="AP347" s="53">
        <v>2009</v>
      </c>
      <c r="AQ347" s="72" t="s">
        <v>113</v>
      </c>
      <c r="AR347" s="42">
        <f>VLOOKUP(A347,'[1]Chứng chỉ'!$B$8:$Q$1111,11,0)</f>
        <v>0</v>
      </c>
      <c r="AS347" s="42">
        <f>VLOOKUP(A347,'[1]Chứng chỉ'!$B$8:$Q$1111,12,0)</f>
        <v>0</v>
      </c>
      <c r="AT347" s="47">
        <f>VLOOKUP(A347,'[1]Chứng chỉ'!$B$8:$Q$1111,13,0)</f>
        <v>0</v>
      </c>
      <c r="AU347" s="42">
        <f>VLOOKUP(A347,'[1]Chứng chỉ'!$B$8:$Q$1111,14,0)</f>
        <v>0</v>
      </c>
      <c r="AV347" s="42">
        <f>VLOOKUP(A347,'[1]Chứng chỉ'!$B$8:$Q$1111,15,0)</f>
        <v>0</v>
      </c>
      <c r="AW347" s="42">
        <f>VLOOKUP(A347,'[1]Chứng chỉ'!$B$8:$Q$1111,16,0)</f>
        <v>0</v>
      </c>
      <c r="AX347" s="42"/>
      <c r="AY347" s="57" t="s">
        <v>127</v>
      </c>
      <c r="AZ347" s="65"/>
      <c r="BA347" s="74"/>
      <c r="BB347" s="74"/>
      <c r="BC347" s="41" t="s">
        <v>128</v>
      </c>
      <c r="BD347" s="42"/>
    </row>
    <row r="348" spans="1:56" ht="61.2" x14ac:dyDescent="0.3">
      <c r="A348" s="41" t="s">
        <v>2552</v>
      </c>
      <c r="B348" s="42">
        <f t="shared" si="110"/>
        <v>342</v>
      </c>
      <c r="C348" s="68" t="s">
        <v>2553</v>
      </c>
      <c r="D348" s="41" t="s">
        <v>2552</v>
      </c>
      <c r="E348" s="61">
        <v>2010000919</v>
      </c>
      <c r="F348" s="64"/>
      <c r="G348" s="49" t="s">
        <v>2554</v>
      </c>
      <c r="H348" s="76"/>
      <c r="I348" s="76">
        <v>32237</v>
      </c>
      <c r="J348" s="66">
        <f t="shared" ca="1" si="136"/>
        <v>38</v>
      </c>
      <c r="K348" s="75" t="s">
        <v>2555</v>
      </c>
      <c r="L348" s="41" t="s">
        <v>2556</v>
      </c>
      <c r="M348" s="53" t="s">
        <v>67</v>
      </c>
      <c r="N348" s="66"/>
      <c r="O348" s="53" t="s">
        <v>166</v>
      </c>
      <c r="P348" s="49" t="s">
        <v>97</v>
      </c>
      <c r="Q348" s="49" t="s">
        <v>94</v>
      </c>
      <c r="R348" s="49"/>
      <c r="S348" s="49" t="s">
        <v>166</v>
      </c>
      <c r="T348" s="49" t="s">
        <v>97</v>
      </c>
      <c r="U348" s="49" t="s">
        <v>94</v>
      </c>
      <c r="V348" s="49" t="str">
        <f t="shared" si="130"/>
        <v>Phường Tam Thanh, Thành phố Lạng Sơn, Tỉnh Lạng Sơn</v>
      </c>
      <c r="W348" s="55" t="s">
        <v>461</v>
      </c>
      <c r="X348" s="41"/>
      <c r="Y348" s="41"/>
      <c r="Z348" s="41"/>
      <c r="AA348" s="68">
        <f>VLOOKUP(A348,'[1]DANH SÁCH'!$B$8:$AD$841,12,0)</f>
        <v>0</v>
      </c>
      <c r="AB348" s="49" t="str">
        <f>VLOOKUP(A348,'[1]DANH SÁCH'!$B$8:$H$841,6,0)</f>
        <v>TĐ009</v>
      </c>
      <c r="AC348" s="69" t="str">
        <f>VLOOKUP(A348,'[1]DANH SÁCH'!$B$8:$J$841,9,0)</f>
        <v>Dược</v>
      </c>
      <c r="AD348" s="69" t="str">
        <f>VLOOKUP(A348,'[1]DANH SÁCH'!$B$8:$AC$841,10,0)</f>
        <v>KP028</v>
      </c>
      <c r="AE348" s="69" t="str">
        <f>VLOOKUP(A348,'[1]DANH SÁCH'!$B$8:$AD$841,13,0)</f>
        <v>Viên chức</v>
      </c>
      <c r="AF348" s="41" t="s">
        <v>2512</v>
      </c>
      <c r="AG348" s="42" t="str">
        <f>VLOOKUP(A348,'[1]DANH SÁCH'!$B$8:$H$841,7,0)</f>
        <v>Dược (hạng IV)</v>
      </c>
      <c r="AH348" s="45">
        <v>3.65</v>
      </c>
      <c r="AI348" s="42">
        <v>6</v>
      </c>
      <c r="AJ348" s="70">
        <v>0</v>
      </c>
      <c r="AK348" s="69">
        <v>45839</v>
      </c>
      <c r="AL348" s="71" t="s">
        <v>158</v>
      </c>
      <c r="AM348" s="53" t="str">
        <f>VLOOKUP(A348,'[1]DANH SÁCH'!$B$8:$F$841,5,0)</f>
        <v>Dược sỹ CĐ</v>
      </c>
      <c r="AN348" s="53"/>
      <c r="AO348" s="53"/>
      <c r="AP348" s="53"/>
      <c r="AQ348" s="53"/>
      <c r="AR348" s="42">
        <f>VLOOKUP(A348,'[1]Chứng chỉ'!$B$8:$Q$1111,11,0)</f>
        <v>0</v>
      </c>
      <c r="AS348" s="42">
        <f>VLOOKUP(A348,'[1]Chứng chỉ'!$B$8:$Q$1111,12,0)</f>
        <v>0</v>
      </c>
      <c r="AT348" s="47">
        <f>VLOOKUP(A348,'[1]Chứng chỉ'!$B$8:$Q$1111,13,0)</f>
        <v>0</v>
      </c>
      <c r="AU348" s="42">
        <f>VLOOKUP(A348,'[1]Chứng chỉ'!$B$8:$Q$1111,14,0)</f>
        <v>0</v>
      </c>
      <c r="AV348" s="42">
        <f>VLOOKUP(A348,'[1]Chứng chỉ'!$B$8:$Q$1111,15,0)</f>
        <v>0</v>
      </c>
      <c r="AW348" s="42">
        <f>VLOOKUP(A348,'[1]Chứng chỉ'!$B$8:$Q$1111,16,0)</f>
        <v>0</v>
      </c>
      <c r="AX348" s="42"/>
      <c r="AY348" s="57" t="s">
        <v>85</v>
      </c>
      <c r="AZ348" s="65">
        <v>41796</v>
      </c>
      <c r="BA348" s="74"/>
      <c r="BB348" s="74"/>
      <c r="BC348" s="41" t="s">
        <v>128</v>
      </c>
      <c r="BD348" s="42"/>
    </row>
    <row r="349" spans="1:56" ht="61.2" x14ac:dyDescent="0.3">
      <c r="A349" s="41" t="s">
        <v>2557</v>
      </c>
      <c r="B349" s="42">
        <f t="shared" si="110"/>
        <v>343</v>
      </c>
      <c r="C349" s="68" t="s">
        <v>2558</v>
      </c>
      <c r="D349" s="41" t="s">
        <v>2557</v>
      </c>
      <c r="E349" s="61">
        <v>2010000194</v>
      </c>
      <c r="F349" s="64"/>
      <c r="G349" s="49" t="s">
        <v>2559</v>
      </c>
      <c r="H349" s="76"/>
      <c r="I349" s="76">
        <v>32421</v>
      </c>
      <c r="J349" s="66">
        <f t="shared" ca="1" si="136"/>
        <v>37</v>
      </c>
      <c r="K349" s="75" t="s">
        <v>2560</v>
      </c>
      <c r="L349" s="41" t="s">
        <v>2561</v>
      </c>
      <c r="M349" s="53" t="s">
        <v>67</v>
      </c>
      <c r="N349" s="66"/>
      <c r="O349" s="53"/>
      <c r="P349" s="49" t="s">
        <v>2562</v>
      </c>
      <c r="Q349" s="49" t="s">
        <v>410</v>
      </c>
      <c r="R349" s="49"/>
      <c r="S349" s="49" t="s">
        <v>166</v>
      </c>
      <c r="T349" s="49" t="s">
        <v>97</v>
      </c>
      <c r="U349" s="49" t="s">
        <v>94</v>
      </c>
      <c r="V349" s="49" t="str">
        <f t="shared" si="130"/>
        <v>Phường Tam Thanh, Thành phố Lạng Sơn, Tỉnh Lạng Sơn</v>
      </c>
      <c r="W349" s="86" t="s">
        <v>249</v>
      </c>
      <c r="X349" s="41"/>
      <c r="Y349" s="41"/>
      <c r="Z349" s="41"/>
      <c r="AA349" s="68">
        <f>VLOOKUP(A349,'[1]DANH SÁCH'!$B$8:$AD$841,12,0)</f>
        <v>0</v>
      </c>
      <c r="AB349" s="49" t="str">
        <f>VLOOKUP(A349,'[1]DANH SÁCH'!$B$8:$H$841,6,0)</f>
        <v>TĐ009</v>
      </c>
      <c r="AC349" s="69" t="str">
        <f>VLOOKUP(A349,'[1]DANH SÁCH'!$B$8:$J$841,9,0)</f>
        <v>VT-TTBYT</v>
      </c>
      <c r="AD349" s="69" t="str">
        <f>VLOOKUP(A349,'[1]DANH SÁCH'!$B$8:$AC$841,10,0)</f>
        <v>KP038</v>
      </c>
      <c r="AE349" s="69" t="str">
        <f>VLOOKUP(A349,'[1]DANH SÁCH'!$B$8:$AD$841,13,0)</f>
        <v>Viên chức</v>
      </c>
      <c r="AF349" s="41" t="s">
        <v>2512</v>
      </c>
      <c r="AG349" s="42" t="str">
        <f>VLOOKUP(A349,'[1]DANH SÁCH'!$B$8:$H$841,7,0)</f>
        <v>Dược (hạng IV)</v>
      </c>
      <c r="AH349" s="45">
        <v>3.34</v>
      </c>
      <c r="AI349" s="42">
        <v>5</v>
      </c>
      <c r="AJ349" s="70">
        <v>0</v>
      </c>
      <c r="AK349" s="69">
        <v>45352</v>
      </c>
      <c r="AL349" s="71" t="s">
        <v>158</v>
      </c>
      <c r="AM349" s="53" t="str">
        <f>VLOOKUP(A349,'[1]DANH SÁCH'!$B$8:$F$841,5,0)</f>
        <v>Dược sỹ CĐ</v>
      </c>
      <c r="AN349" s="53"/>
      <c r="AO349" s="53"/>
      <c r="AP349" s="53"/>
      <c r="AQ349" s="53"/>
      <c r="AR349" s="42">
        <f>VLOOKUP(A349,'[1]Chứng chỉ'!$B$8:$Q$1111,11,0)</f>
        <v>0</v>
      </c>
      <c r="AS349" s="42">
        <f>VLOOKUP(A349,'[1]Chứng chỉ'!$B$8:$Q$1111,12,0)</f>
        <v>0</v>
      </c>
      <c r="AT349" s="47">
        <f>VLOOKUP(A349,'[1]Chứng chỉ'!$B$8:$Q$1111,13,0)</f>
        <v>0</v>
      </c>
      <c r="AU349" s="42">
        <f>VLOOKUP(A349,'[1]Chứng chỉ'!$B$8:$Q$1111,14,0)</f>
        <v>0</v>
      </c>
      <c r="AV349" s="42">
        <f>VLOOKUP(A349,'[1]Chứng chỉ'!$B$8:$Q$1111,15,0)</f>
        <v>0</v>
      </c>
      <c r="AW349" s="42">
        <f>VLOOKUP(A349,'[1]Chứng chỉ'!$B$8:$Q$1111,16,0)</f>
        <v>0</v>
      </c>
      <c r="AX349" s="42"/>
      <c r="AY349" s="57" t="s">
        <v>87</v>
      </c>
      <c r="AZ349" s="65"/>
      <c r="BA349" s="74"/>
      <c r="BB349" s="74"/>
      <c r="BC349" s="41" t="s">
        <v>128</v>
      </c>
      <c r="BD349" s="42"/>
    </row>
    <row r="350" spans="1:56" ht="40.799999999999997" x14ac:dyDescent="0.3">
      <c r="A350" s="102" t="s">
        <v>2563</v>
      </c>
      <c r="B350" s="42">
        <f t="shared" si="110"/>
        <v>344</v>
      </c>
      <c r="C350" s="93" t="s">
        <v>2564</v>
      </c>
      <c r="D350" s="102" t="s">
        <v>2563</v>
      </c>
      <c r="E350" s="61" t="s">
        <v>2565</v>
      </c>
      <c r="F350" s="122"/>
      <c r="G350" s="49" t="s">
        <v>2566</v>
      </c>
      <c r="H350" s="102" t="s">
        <v>2567</v>
      </c>
      <c r="I350" s="102"/>
      <c r="J350" s="66">
        <f ca="1">INT(DATEDIF(H350,$J$2,"d")/365)</f>
        <v>39</v>
      </c>
      <c r="K350" s="75" t="s">
        <v>2568</v>
      </c>
      <c r="L350" s="120" t="s">
        <v>2569</v>
      </c>
      <c r="M350" s="53" t="s">
        <v>67</v>
      </c>
      <c r="N350" s="131" t="s">
        <v>2570</v>
      </c>
      <c r="O350" s="132" t="s">
        <v>2014</v>
      </c>
      <c r="P350" s="115" t="s">
        <v>2015</v>
      </c>
      <c r="Q350" s="115" t="s">
        <v>71</v>
      </c>
      <c r="R350" s="115" t="s">
        <v>2571</v>
      </c>
      <c r="S350" s="115" t="s">
        <v>2014</v>
      </c>
      <c r="T350" s="115" t="s">
        <v>2015</v>
      </c>
      <c r="U350" s="115" t="s">
        <v>71</v>
      </c>
      <c r="V350" s="49" t="str">
        <f t="shared" si="130"/>
        <v>Hồng Phong, Cao Lộc, Lạng Sơn</v>
      </c>
      <c r="W350" s="130" t="s">
        <v>809</v>
      </c>
      <c r="X350" s="120" t="s">
        <v>762</v>
      </c>
      <c r="Y350" s="120"/>
      <c r="Z350" s="137" t="s">
        <v>2572</v>
      </c>
      <c r="AA350" s="68">
        <f>VLOOKUP(A350,'[1]DANH SÁCH'!$B$8:$AD$841,12,0)</f>
        <v>0</v>
      </c>
      <c r="AB350" s="49" t="str">
        <f>VLOOKUP(A350,'[1]DANH SÁCH'!$B$8:$H$841,6,0)</f>
        <v>TĐ009</v>
      </c>
      <c r="AC350" s="69" t="str">
        <f>VLOOKUP(A350,'[1]DANH SÁCH'!$B$8:$J$841,9,0)</f>
        <v>KSNK</v>
      </c>
      <c r="AD350" s="69" t="str">
        <f>VLOOKUP(A350,'[1]DANH SÁCH'!$B$8:$AC$841,10,0)</f>
        <v>KP036</v>
      </c>
      <c r="AE350" s="69" t="str">
        <f>VLOOKUP(A350,'[1]DANH SÁCH'!$B$8:$AD$841,13,0)</f>
        <v>Viên chức</v>
      </c>
      <c r="AF350" s="120" t="s">
        <v>2512</v>
      </c>
      <c r="AG350" s="115" t="s">
        <v>2573</v>
      </c>
      <c r="AH350" s="45">
        <v>3.34</v>
      </c>
      <c r="AI350" s="42">
        <v>5</v>
      </c>
      <c r="AJ350" s="70">
        <v>0</v>
      </c>
      <c r="AK350" s="69">
        <v>44927</v>
      </c>
      <c r="AL350" s="71" t="s">
        <v>158</v>
      </c>
      <c r="AM350" s="53" t="str">
        <f>VLOOKUP(A350,'[1]DANH SÁCH'!$B$8:$F$841,5,0)</f>
        <v>Dược sỹ CĐ</v>
      </c>
      <c r="AN350" s="53"/>
      <c r="AO350" s="53"/>
      <c r="AP350" s="53"/>
      <c r="AQ350" s="53"/>
      <c r="AR350" s="42">
        <f>VLOOKUP(A350,'[1]Chứng chỉ'!$B$8:$Q$1111,11,0)</f>
        <v>0</v>
      </c>
      <c r="AS350" s="42">
        <f>VLOOKUP(A350,'[1]Chứng chỉ'!$B$8:$Q$1111,12,0)</f>
        <v>0</v>
      </c>
      <c r="AT350" s="47">
        <f>VLOOKUP(A350,'[1]Chứng chỉ'!$B$8:$Q$1111,13,0)</f>
        <v>0</v>
      </c>
      <c r="AU350" s="42">
        <f>VLOOKUP(A350,'[1]Chứng chỉ'!$B$8:$Q$1111,14,0)</f>
        <v>0</v>
      </c>
      <c r="AV350" s="42">
        <f>VLOOKUP(A350,'[1]Chứng chỉ'!$B$8:$Q$1111,15,0)</f>
        <v>0</v>
      </c>
      <c r="AW350" s="42">
        <f>VLOOKUP(A350,'[1]Chứng chỉ'!$B$8:$Q$1111,16,0)</f>
        <v>0</v>
      </c>
      <c r="AX350" s="115"/>
      <c r="AY350" s="115" t="s">
        <v>85</v>
      </c>
      <c r="AZ350" s="65"/>
      <c r="BA350" s="74"/>
      <c r="BB350" s="74"/>
      <c r="BC350" s="41" t="s">
        <v>128</v>
      </c>
      <c r="BD350" s="42"/>
    </row>
    <row r="351" spans="1:56" ht="40.799999999999997" x14ac:dyDescent="0.3">
      <c r="A351" s="61" t="s">
        <v>2574</v>
      </c>
      <c r="B351" s="42">
        <f t="shared" si="110"/>
        <v>345</v>
      </c>
      <c r="C351" s="92" t="s">
        <v>2575</v>
      </c>
      <c r="D351" s="61" t="s">
        <v>2574</v>
      </c>
      <c r="E351" s="61" t="s">
        <v>2576</v>
      </c>
      <c r="F351" s="64"/>
      <c r="G351" s="49" t="s">
        <v>2577</v>
      </c>
      <c r="H351" s="47"/>
      <c r="I351" s="65">
        <v>32574</v>
      </c>
      <c r="J351" s="66">
        <f t="shared" ref="J351:J360" ca="1" si="137">INT(DATEDIF(I351,$J$2,"d")/365)</f>
        <v>37</v>
      </c>
      <c r="K351" s="46" t="s">
        <v>2578</v>
      </c>
      <c r="L351" s="65">
        <v>38944</v>
      </c>
      <c r="M351" s="56"/>
      <c r="N351" s="52"/>
      <c r="O351" s="56"/>
      <c r="P351" s="47"/>
      <c r="Q351" s="47"/>
      <c r="R351" s="47"/>
      <c r="S351" s="47" t="s">
        <v>2579</v>
      </c>
      <c r="T351" s="47" t="s">
        <v>2015</v>
      </c>
      <c r="U351" s="47" t="s">
        <v>71</v>
      </c>
      <c r="V351" s="47"/>
      <c r="W351" s="67" t="s">
        <v>2580</v>
      </c>
      <c r="X351" s="46" t="s">
        <v>396</v>
      </c>
      <c r="Y351" s="46"/>
      <c r="Z351" s="46"/>
      <c r="AA351" s="68">
        <f>VLOOKUP(A351,'[1]DANH SÁCH'!$B$8:$AD$841,12,0)</f>
        <v>0</v>
      </c>
      <c r="AB351" s="47"/>
      <c r="AC351" s="69" t="str">
        <f>VLOOKUP(A351,'[1]DANH SÁCH'!$B$8:$J$841,9,0)</f>
        <v>Dược</v>
      </c>
      <c r="AD351" s="69" t="str">
        <f>VLOOKUP(A351,'[1]DANH SÁCH'!$B$8:$AC$841,10,0)</f>
        <v>KP028</v>
      </c>
      <c r="AE351" s="69" t="str">
        <f>VLOOKUP(A351,'[1]DANH SÁCH'!$B$8:$AD$841,13,0)</f>
        <v>Viên chức</v>
      </c>
      <c r="AF351" s="46" t="s">
        <v>2512</v>
      </c>
      <c r="AG351" s="47" t="s">
        <v>2581</v>
      </c>
      <c r="AH351" s="45">
        <v>3.34</v>
      </c>
      <c r="AI351" s="42">
        <v>5</v>
      </c>
      <c r="AJ351" s="70">
        <v>0</v>
      </c>
      <c r="AK351" s="69">
        <v>45566</v>
      </c>
      <c r="AL351" s="71" t="s">
        <v>158</v>
      </c>
      <c r="AM351" s="53" t="str">
        <f>VLOOKUP(A351,'[1]DANH SÁCH'!$B$8:$F$841,5,0)</f>
        <v>Dược sỹ CĐ</v>
      </c>
      <c r="AN351" s="47"/>
      <c r="AO351" s="47"/>
      <c r="AP351" s="47"/>
      <c r="AQ351" s="47"/>
      <c r="AR351" s="42" t="e">
        <f>VLOOKUP(A351,'[1]Chứng chỉ'!$B$8:$Q$1111,11,0)</f>
        <v>#N/A</v>
      </c>
      <c r="AS351" s="42" t="e">
        <f>VLOOKUP(A351,'[1]Chứng chỉ'!$B$8:$Q$1111,12,0)</f>
        <v>#N/A</v>
      </c>
      <c r="AT351" s="47" t="e">
        <f>VLOOKUP(A351,'[1]Chứng chỉ'!$B$8:$Q$1111,13,0)</f>
        <v>#N/A</v>
      </c>
      <c r="AU351" s="42" t="e">
        <f>VLOOKUP(A351,'[1]Chứng chỉ'!$B$8:$Q$1111,14,0)</f>
        <v>#N/A</v>
      </c>
      <c r="AV351" s="42" t="e">
        <f>VLOOKUP(A351,'[1]Chứng chỉ'!$B$8:$Q$1111,15,0)</f>
        <v>#N/A</v>
      </c>
      <c r="AW351" s="42" t="e">
        <f>VLOOKUP(A351,'[1]Chứng chỉ'!$B$8:$Q$1111,16,0)</f>
        <v>#N/A</v>
      </c>
      <c r="AX351" s="47"/>
      <c r="AY351" s="47" t="s">
        <v>85</v>
      </c>
      <c r="AZ351" s="65">
        <v>43826</v>
      </c>
      <c r="BA351" s="47"/>
      <c r="BB351" s="47"/>
      <c r="BC351" s="81"/>
      <c r="BD351" s="47"/>
    </row>
    <row r="352" spans="1:56" ht="40.799999999999997" x14ac:dyDescent="0.3">
      <c r="A352" s="41" t="s">
        <v>2582</v>
      </c>
      <c r="B352" s="42">
        <f t="shared" si="110"/>
        <v>346</v>
      </c>
      <c r="C352" s="68" t="s">
        <v>2583</v>
      </c>
      <c r="D352" s="41" t="s">
        <v>2582</v>
      </c>
      <c r="E352" s="61">
        <v>2014002793</v>
      </c>
      <c r="F352" s="64"/>
      <c r="G352" s="49" t="s">
        <v>2584</v>
      </c>
      <c r="H352" s="76"/>
      <c r="I352" s="76">
        <v>32407</v>
      </c>
      <c r="J352" s="66">
        <f t="shared" ca="1" si="137"/>
        <v>37</v>
      </c>
      <c r="K352" s="75" t="s">
        <v>2585</v>
      </c>
      <c r="L352" s="41" t="s">
        <v>2586</v>
      </c>
      <c r="M352" s="53" t="s">
        <v>67</v>
      </c>
      <c r="N352" s="66"/>
      <c r="O352" s="85" t="s">
        <v>1517</v>
      </c>
      <c r="P352" s="76" t="s">
        <v>222</v>
      </c>
      <c r="Q352" s="49" t="s">
        <v>94</v>
      </c>
      <c r="R352" s="76"/>
      <c r="S352" s="76" t="s">
        <v>2381</v>
      </c>
      <c r="T352" s="76" t="s">
        <v>222</v>
      </c>
      <c r="U352" s="49" t="s">
        <v>94</v>
      </c>
      <c r="V352" s="49" t="str">
        <f t="shared" ref="V352:V374" si="138">S352&amp;", "&amp;T352&amp;", "&amp;U352</f>
        <v>Xã Nhân Lý, Huyện Chi Lăng, Tỉnh Lạng Sơn</v>
      </c>
      <c r="W352" s="86" t="s">
        <v>249</v>
      </c>
      <c r="X352" s="41"/>
      <c r="Y352" s="41"/>
      <c r="Z352" s="41"/>
      <c r="AA352" s="68" t="str">
        <f>VLOOKUP(A352,'[1]DANH SÁCH'!$B$8:$AD$841,12,0)</f>
        <v>Phó trưởng khoa</v>
      </c>
      <c r="AB352" s="49" t="str">
        <f>VLOOKUP(A352,'[1]DANH SÁCH'!$B$8:$H$841,6,0)</f>
        <v>TĐ003</v>
      </c>
      <c r="AC352" s="69" t="str">
        <f>VLOOKUP(A352,'[1]DANH SÁCH'!$B$8:$J$841,9,0)</f>
        <v>HH-TM</v>
      </c>
      <c r="AD352" s="69" t="str">
        <f>VLOOKUP(A352,'[1]DANH SÁCH'!$B$8:$AC$841,10,0)</f>
        <v>KP029</v>
      </c>
      <c r="AE352" s="69" t="str">
        <f>VLOOKUP(A352,'[1]DANH SÁCH'!$B$8:$AD$841,13,0)</f>
        <v>Viên chức</v>
      </c>
      <c r="AF352" s="41" t="s">
        <v>274</v>
      </c>
      <c r="AG352" s="42" t="str">
        <f>VLOOKUP(A352,'[1]DANH SÁCH'!$B$8:$H$841,7,0)</f>
        <v>Bác sĩ chính (hạng II)</v>
      </c>
      <c r="AH352" s="45">
        <v>4.4000000000000004</v>
      </c>
      <c r="AI352" s="42">
        <v>1</v>
      </c>
      <c r="AJ352" s="70">
        <v>0</v>
      </c>
      <c r="AK352" s="69">
        <v>45809</v>
      </c>
      <c r="AL352" s="71" t="s">
        <v>80</v>
      </c>
      <c r="AM352" s="53" t="str">
        <f>VLOOKUP(A352,'[1]DANH SÁCH'!$B$8:$F$841,5,0)</f>
        <v>BSCKI</v>
      </c>
      <c r="AN352" s="53" t="s">
        <v>2587</v>
      </c>
      <c r="AO352" s="53"/>
      <c r="AP352" s="53"/>
      <c r="AQ352" s="53"/>
      <c r="AR352" s="42" t="s">
        <v>82</v>
      </c>
      <c r="AS352" s="42">
        <f>VLOOKUP(A352,'[1]Chứng chỉ'!$B$8:$Q$1111,12,0)</f>
        <v>0</v>
      </c>
      <c r="AT352" s="47" t="s">
        <v>139</v>
      </c>
      <c r="AU352" s="42" t="str">
        <f>VLOOKUP(A352,'[1]Chứng chỉ'!$B$8:$Q$1111,14,0)</f>
        <v>Anh B</v>
      </c>
      <c r="AV352" s="42" t="str">
        <f>VLOOKUP(A352,'[1]Chứng chỉ'!$B$8:$Q$1111,15,0)</f>
        <v>Tày</v>
      </c>
      <c r="AW352" s="42" t="str">
        <f>VLOOKUP(A352,'[1]Chứng chỉ'!$B$8:$Q$1111,16,0)</f>
        <v>Cơ bản</v>
      </c>
      <c r="AX352" s="42"/>
      <c r="AY352" s="57" t="s">
        <v>127</v>
      </c>
      <c r="AZ352" s="65">
        <v>43326</v>
      </c>
      <c r="BA352" s="74" t="e">
        <f t="shared" ref="BA352:BA374" si="139">VLOOKUP(A352,#REF!,4,0)</f>
        <v>#REF!</v>
      </c>
      <c r="BB352" s="74" t="e">
        <f t="shared" ref="BB352:BB374" si="140">VLOOKUP(A352,#REF!,5,0)</f>
        <v>#REF!</v>
      </c>
      <c r="BC352" s="41"/>
      <c r="BD352" s="42"/>
    </row>
    <row r="353" spans="1:56" ht="51" x14ac:dyDescent="0.3">
      <c r="A353" s="41" t="s">
        <v>2588</v>
      </c>
      <c r="B353" s="42">
        <f t="shared" si="110"/>
        <v>347</v>
      </c>
      <c r="C353" s="68" t="s">
        <v>2589</v>
      </c>
      <c r="D353" s="41" t="s">
        <v>2588</v>
      </c>
      <c r="E353" s="61">
        <v>1596003066</v>
      </c>
      <c r="F353" s="64"/>
      <c r="G353" s="49" t="s">
        <v>2590</v>
      </c>
      <c r="H353" s="76"/>
      <c r="I353" s="76">
        <v>27315</v>
      </c>
      <c r="J353" s="66">
        <f t="shared" ca="1" si="137"/>
        <v>51</v>
      </c>
      <c r="K353" s="75" t="s">
        <v>2591</v>
      </c>
      <c r="L353" s="41" t="s">
        <v>2592</v>
      </c>
      <c r="M353" s="53" t="s">
        <v>67</v>
      </c>
      <c r="N353" s="66"/>
      <c r="O353" s="53"/>
      <c r="P353" s="49" t="s">
        <v>182</v>
      </c>
      <c r="Q353" s="49" t="s">
        <v>94</v>
      </c>
      <c r="R353" s="49"/>
      <c r="S353" s="49" t="s">
        <v>184</v>
      </c>
      <c r="T353" s="49" t="s">
        <v>182</v>
      </c>
      <c r="U353" s="49" t="s">
        <v>94</v>
      </c>
      <c r="V353" s="49" t="str">
        <f t="shared" si="138"/>
        <v>Thị trấn Lộc Bình, Huyện Lộc Bình, Tỉnh Lạng Sơn</v>
      </c>
      <c r="W353" s="55" t="s">
        <v>2593</v>
      </c>
      <c r="X353" s="41"/>
      <c r="Y353" s="41"/>
      <c r="Z353" s="41"/>
      <c r="AA353" s="68" t="str">
        <f>VLOOKUP(A353,'[1]DANH SÁCH'!$B$8:$AD$841,12,0)</f>
        <v>Phó trưởng khoa</v>
      </c>
      <c r="AB353" s="49" t="str">
        <f>VLOOKUP(A353,'[1]DANH SÁCH'!$B$8:$H$841,6,0)</f>
        <v>TĐ005</v>
      </c>
      <c r="AC353" s="69" t="str">
        <f>VLOOKUP(A353,'[1]DANH SÁCH'!$B$8:$J$841,9,0)</f>
        <v>HH-TM</v>
      </c>
      <c r="AD353" s="69" t="str">
        <f>VLOOKUP(A353,'[1]DANH SÁCH'!$B$8:$AC$841,10,0)</f>
        <v>KP029</v>
      </c>
      <c r="AE353" s="69" t="str">
        <f>VLOOKUP(A353,'[1]DANH SÁCH'!$B$8:$AD$841,13,0)</f>
        <v>Viên chức</v>
      </c>
      <c r="AF353" s="41" t="s">
        <v>274</v>
      </c>
      <c r="AG353" s="42" t="str">
        <f>VLOOKUP(A353,'[1]DANH SÁCH'!$B$8:$H$841,7,0)</f>
        <v>Bác sĩ (hạng III)</v>
      </c>
      <c r="AH353" s="45">
        <v>4.9800000000000004</v>
      </c>
      <c r="AI353" s="42">
        <v>9</v>
      </c>
      <c r="AJ353" s="70">
        <v>0</v>
      </c>
      <c r="AK353" s="69">
        <v>45505</v>
      </c>
      <c r="AL353" s="71" t="s">
        <v>80</v>
      </c>
      <c r="AM353" s="53" t="str">
        <f>VLOOKUP(A353,'[1]DANH SÁCH'!$B$8:$F$841,5,0)</f>
        <v>Bác sĩ</v>
      </c>
      <c r="AN353" s="53" t="s">
        <v>2587</v>
      </c>
      <c r="AO353" s="53"/>
      <c r="AP353" s="53"/>
      <c r="AQ353" s="53"/>
      <c r="AR353" s="42">
        <f>VLOOKUP(A353,'[1]Chứng chỉ'!$B$8:$Q$1111,11,0)</f>
        <v>0</v>
      </c>
      <c r="AS353" s="42" t="str">
        <f>VLOOKUP(A353,'[1]Chứng chỉ'!$B$8:$Q$1111,12,0)</f>
        <v>x</v>
      </c>
      <c r="AT353" s="47" t="str">
        <f>VLOOKUP(A353,'[1]Chứng chỉ'!$B$8:$Q$1111,13,0)</f>
        <v>Sơ cấp</v>
      </c>
      <c r="AU353" s="42" t="str">
        <f>VLOOKUP(A353,'[1]Chứng chỉ'!$B$8:$Q$1111,14,0)</f>
        <v>Anh B</v>
      </c>
      <c r="AV353" s="42">
        <f>VLOOKUP(A353,'[1]Chứng chỉ'!$B$8:$Q$1111,15,0)</f>
        <v>0</v>
      </c>
      <c r="AW353" s="42" t="str">
        <f>VLOOKUP(A353,'[1]Chứng chỉ'!$B$8:$Q$1111,16,0)</f>
        <v>Tin B</v>
      </c>
      <c r="AX353" s="42"/>
      <c r="AY353" s="57" t="s">
        <v>85</v>
      </c>
      <c r="AZ353" s="65">
        <v>36461</v>
      </c>
      <c r="BA353" s="74" t="e">
        <f t="shared" si="139"/>
        <v>#REF!</v>
      </c>
      <c r="BB353" s="74" t="e">
        <f t="shared" si="140"/>
        <v>#REF!</v>
      </c>
      <c r="BC353" s="41"/>
      <c r="BD353" s="42"/>
    </row>
    <row r="354" spans="1:56" ht="51" x14ac:dyDescent="0.3">
      <c r="A354" s="41" t="s">
        <v>2594</v>
      </c>
      <c r="B354" s="42">
        <f t="shared" si="110"/>
        <v>348</v>
      </c>
      <c r="C354" s="68" t="s">
        <v>2595</v>
      </c>
      <c r="D354" s="41" t="s">
        <v>2594</v>
      </c>
      <c r="E354" s="61">
        <v>1505002939</v>
      </c>
      <c r="F354" s="64"/>
      <c r="G354" s="49" t="s">
        <v>2596</v>
      </c>
      <c r="H354" s="76"/>
      <c r="I354" s="76">
        <v>30242</v>
      </c>
      <c r="J354" s="66">
        <f t="shared" ca="1" si="137"/>
        <v>43</v>
      </c>
      <c r="K354" s="75" t="s">
        <v>2597</v>
      </c>
      <c r="L354" s="41" t="s">
        <v>2598</v>
      </c>
      <c r="M354" s="53" t="s">
        <v>67</v>
      </c>
      <c r="N354" s="66"/>
      <c r="O354" s="53"/>
      <c r="P354" s="49" t="s">
        <v>182</v>
      </c>
      <c r="Q354" s="49" t="s">
        <v>94</v>
      </c>
      <c r="R354" s="49"/>
      <c r="S354" s="49" t="s">
        <v>136</v>
      </c>
      <c r="T354" s="49" t="s">
        <v>108</v>
      </c>
      <c r="U354" s="49" t="s">
        <v>94</v>
      </c>
      <c r="V354" s="49" t="str">
        <f t="shared" si="138"/>
        <v>Phường Chi Lăng, Huyện Cao Lộc, Tỉnh Lạng Sơn</v>
      </c>
      <c r="W354" s="55" t="s">
        <v>724</v>
      </c>
      <c r="X354" s="41"/>
      <c r="Y354" s="41"/>
      <c r="Z354" s="41"/>
      <c r="AA354" s="68" t="str">
        <f>VLOOKUP(A354,'[1]DANH SÁCH'!$B$8:$AD$841,12,0)</f>
        <v>Kỹ thuật y trưởng</v>
      </c>
      <c r="AB354" s="49" t="str">
        <f>VLOOKUP(A354,'[1]DANH SÁCH'!$B$8:$H$841,6,0)</f>
        <v>TĐ014</v>
      </c>
      <c r="AC354" s="69" t="str">
        <f>VLOOKUP(A354,'[1]DANH SÁCH'!$B$8:$J$841,9,0)</f>
        <v>HH-TM</v>
      </c>
      <c r="AD354" s="69" t="str">
        <f>VLOOKUP(A354,'[1]DANH SÁCH'!$B$8:$AC$841,10,0)</f>
        <v>KP029</v>
      </c>
      <c r="AE354" s="69" t="str">
        <f>VLOOKUP(A354,'[1]DANH SÁCH'!$B$8:$AD$841,13,0)</f>
        <v>Viên chức</v>
      </c>
      <c r="AF354" s="41" t="s">
        <v>257</v>
      </c>
      <c r="AG354" s="42" t="str">
        <f>VLOOKUP(A354,'[1]DANH SÁCH'!$B$8:$H$841,7,0)</f>
        <v>Kỹ thuật y (hạng III)</v>
      </c>
      <c r="AH354" s="45">
        <v>3.99</v>
      </c>
      <c r="AI354" s="42">
        <v>6</v>
      </c>
      <c r="AJ354" s="70">
        <v>0</v>
      </c>
      <c r="AK354" s="69">
        <v>44986</v>
      </c>
      <c r="AL354" s="71" t="s">
        <v>80</v>
      </c>
      <c r="AM354" s="53" t="str">
        <f>VLOOKUP(A354,'[1]DANH SÁCH'!$B$8:$F$841,5,0)</f>
        <v>KTY ĐH</v>
      </c>
      <c r="AN354" s="53"/>
      <c r="AO354" s="53"/>
      <c r="AP354" s="53"/>
      <c r="AQ354" s="53"/>
      <c r="AR354" s="42">
        <f>VLOOKUP(A354,'[1]Chứng chỉ'!$B$8:$Q$1111,11,0)</f>
        <v>0</v>
      </c>
      <c r="AS354" s="42">
        <f>VLOOKUP(A354,'[1]Chứng chỉ'!$B$8:$Q$1111,12,0)</f>
        <v>0</v>
      </c>
      <c r="AT354" s="47" t="s">
        <v>139</v>
      </c>
      <c r="AU354" s="42" t="str">
        <f>VLOOKUP(A354,'[1]Chứng chỉ'!$B$8:$Q$1111,14,0)</f>
        <v>Anh C</v>
      </c>
      <c r="AV354" s="42" t="str">
        <f>VLOOKUP(A354,'[1]Chứng chỉ'!$B$8:$Q$1111,15,0)</f>
        <v>Tày</v>
      </c>
      <c r="AW354" s="42" t="str">
        <f>VLOOKUP(A354,'[1]Chứng chỉ'!$B$8:$Q$1111,16,0)</f>
        <v>Tin B</v>
      </c>
      <c r="AX354" s="42"/>
      <c r="AY354" s="57" t="s">
        <v>127</v>
      </c>
      <c r="AZ354" s="65">
        <v>41911</v>
      </c>
      <c r="BA354" s="74" t="e">
        <f t="shared" si="139"/>
        <v>#REF!</v>
      </c>
      <c r="BB354" s="74" t="e">
        <f t="shared" si="140"/>
        <v>#REF!</v>
      </c>
      <c r="BC354" s="41"/>
      <c r="BD354" s="42"/>
    </row>
    <row r="355" spans="1:56" ht="61.2" x14ac:dyDescent="0.3">
      <c r="A355" s="41" t="s">
        <v>2599</v>
      </c>
      <c r="B355" s="42">
        <f t="shared" si="110"/>
        <v>349</v>
      </c>
      <c r="C355" s="68" t="s">
        <v>325</v>
      </c>
      <c r="D355" s="41" t="s">
        <v>2599</v>
      </c>
      <c r="E355" s="61">
        <v>2010000128</v>
      </c>
      <c r="F355" s="64"/>
      <c r="G355" s="49" t="s">
        <v>2600</v>
      </c>
      <c r="H355" s="76"/>
      <c r="I355" s="76">
        <v>31633</v>
      </c>
      <c r="J355" s="66">
        <f t="shared" ca="1" si="137"/>
        <v>40</v>
      </c>
      <c r="K355" s="75" t="s">
        <v>2601</v>
      </c>
      <c r="L355" s="41" t="s">
        <v>2602</v>
      </c>
      <c r="M355" s="53" t="s">
        <v>67</v>
      </c>
      <c r="N355" s="66"/>
      <c r="O355" s="53" t="s">
        <v>194</v>
      </c>
      <c r="P355" s="49" t="s">
        <v>195</v>
      </c>
      <c r="Q355" s="49" t="s">
        <v>94</v>
      </c>
      <c r="R355" s="49" t="s">
        <v>2603</v>
      </c>
      <c r="S355" s="49" t="s">
        <v>124</v>
      </c>
      <c r="T355" s="49" t="s">
        <v>97</v>
      </c>
      <c r="U355" s="49" t="s">
        <v>94</v>
      </c>
      <c r="V355" s="49" t="str">
        <f t="shared" si="138"/>
        <v>Phường Đông Kinh, Thành phố Lạng Sơn, Tỉnh Lạng Sơn</v>
      </c>
      <c r="W355" s="55" t="s">
        <v>236</v>
      </c>
      <c r="X355" s="41"/>
      <c r="Y355" s="41"/>
      <c r="Z355" s="41"/>
      <c r="AA355" s="68">
        <f>VLOOKUP(A355,'[1]DANH SÁCH'!$B$8:$AD$841,12,0)</f>
        <v>0</v>
      </c>
      <c r="AB355" s="49" t="str">
        <f>VLOOKUP(A355,'[1]DANH SÁCH'!$B$8:$H$841,6,0)</f>
        <v>TĐ014</v>
      </c>
      <c r="AC355" s="69" t="str">
        <f>VLOOKUP(A355,'[1]DANH SÁCH'!$B$8:$J$841,9,0)</f>
        <v>HH-TM</v>
      </c>
      <c r="AD355" s="69" t="str">
        <f>VLOOKUP(A355,'[1]DANH SÁCH'!$B$8:$AC$841,10,0)</f>
        <v>KP029</v>
      </c>
      <c r="AE355" s="69" t="str">
        <f>VLOOKUP(A355,'[1]DANH SÁCH'!$B$8:$AD$841,13,0)</f>
        <v>Viên chức</v>
      </c>
      <c r="AF355" s="41" t="s">
        <v>257</v>
      </c>
      <c r="AG355" s="42" t="str">
        <f>VLOOKUP(A355,'[1]DANH SÁCH'!$B$8:$H$841,7,0)</f>
        <v>Kỹ thuật y (hạng III)</v>
      </c>
      <c r="AH355" s="45">
        <v>3.66</v>
      </c>
      <c r="AI355" s="42">
        <v>5</v>
      </c>
      <c r="AJ355" s="70">
        <v>0</v>
      </c>
      <c r="AK355" s="69">
        <v>45383</v>
      </c>
      <c r="AL355" s="71" t="s">
        <v>80</v>
      </c>
      <c r="AM355" s="53" t="str">
        <f>VLOOKUP(A355,'[1]DANH SÁCH'!$B$8:$F$841,5,0)</f>
        <v>KTY ĐH</v>
      </c>
      <c r="AN355" s="53"/>
      <c r="AO355" s="53"/>
      <c r="AP355" s="53"/>
      <c r="AQ355" s="53"/>
      <c r="AR355" s="42">
        <f>VLOOKUP(A355,'[1]Chứng chỉ'!$B$8:$Q$1111,11,0)</f>
        <v>0</v>
      </c>
      <c r="AS355" s="42">
        <f>VLOOKUP(A355,'[1]Chứng chỉ'!$B$8:$Q$1111,12,0)</f>
        <v>0</v>
      </c>
      <c r="AT355" s="47" t="s">
        <v>139</v>
      </c>
      <c r="AU355" s="42" t="str">
        <f>VLOOKUP(A355,'[1]Chứng chỉ'!$B$8:$Q$1111,14,0)</f>
        <v>Anh B</v>
      </c>
      <c r="AV355" s="42" t="str">
        <f>VLOOKUP(A355,'[1]Chứng chỉ'!$B$8:$Q$1111,15,0)</f>
        <v>Tày</v>
      </c>
      <c r="AW355" s="42" t="str">
        <f>VLOOKUP(A355,'[1]Chứng chỉ'!$B$8:$Q$1111,16,0)</f>
        <v>Cơ bản</v>
      </c>
      <c r="AX355" s="42"/>
      <c r="AY355" s="57" t="s">
        <v>127</v>
      </c>
      <c r="AZ355" s="65"/>
      <c r="BA355" s="74" t="e">
        <f t="shared" si="139"/>
        <v>#REF!</v>
      </c>
      <c r="BB355" s="74" t="e">
        <f t="shared" si="140"/>
        <v>#REF!</v>
      </c>
      <c r="BC355" s="41"/>
      <c r="BD355" s="115"/>
    </row>
    <row r="356" spans="1:56" ht="61.2" x14ac:dyDescent="0.3">
      <c r="A356" s="41" t="s">
        <v>2604</v>
      </c>
      <c r="B356" s="42">
        <f t="shared" si="110"/>
        <v>350</v>
      </c>
      <c r="C356" s="68" t="s">
        <v>2605</v>
      </c>
      <c r="D356" s="41" t="s">
        <v>2604</v>
      </c>
      <c r="E356" s="61">
        <v>2010000169</v>
      </c>
      <c r="F356" s="64"/>
      <c r="G356" s="49" t="s">
        <v>2606</v>
      </c>
      <c r="H356" s="76"/>
      <c r="I356" s="76">
        <v>32405</v>
      </c>
      <c r="J356" s="66">
        <f t="shared" ca="1" si="137"/>
        <v>37</v>
      </c>
      <c r="K356" s="75" t="s">
        <v>2607</v>
      </c>
      <c r="L356" s="41" t="s">
        <v>2608</v>
      </c>
      <c r="M356" s="53" t="s">
        <v>67</v>
      </c>
      <c r="N356" s="66"/>
      <c r="O356" s="53" t="s">
        <v>2609</v>
      </c>
      <c r="P356" s="49" t="s">
        <v>182</v>
      </c>
      <c r="Q356" s="49" t="s">
        <v>94</v>
      </c>
      <c r="R356" s="49" t="s">
        <v>2610</v>
      </c>
      <c r="S356" s="49" t="s">
        <v>166</v>
      </c>
      <c r="T356" s="49" t="s">
        <v>97</v>
      </c>
      <c r="U356" s="49" t="s">
        <v>94</v>
      </c>
      <c r="V356" s="49" t="str">
        <f t="shared" si="138"/>
        <v>Phường Tam Thanh, Thành phố Lạng Sơn, Tỉnh Lạng Sơn</v>
      </c>
      <c r="W356" s="55" t="s">
        <v>236</v>
      </c>
      <c r="X356" s="41"/>
      <c r="Y356" s="41"/>
      <c r="Z356" s="41"/>
      <c r="AA356" s="68">
        <f>VLOOKUP(A356,'[1]DANH SÁCH'!$B$8:$AD$841,12,0)</f>
        <v>0</v>
      </c>
      <c r="AB356" s="49" t="str">
        <f>VLOOKUP(A356,'[1]DANH SÁCH'!$B$8:$H$841,6,0)</f>
        <v>TĐ014</v>
      </c>
      <c r="AC356" s="69" t="str">
        <f>VLOOKUP(A356,'[1]DANH SÁCH'!$B$8:$J$841,9,0)</f>
        <v>HH-TM</v>
      </c>
      <c r="AD356" s="69" t="str">
        <f>VLOOKUP(A356,'[1]DANH SÁCH'!$B$8:$AC$841,10,0)</f>
        <v>KP029</v>
      </c>
      <c r="AE356" s="69" t="str">
        <f>VLOOKUP(A356,'[1]DANH SÁCH'!$B$8:$AD$841,13,0)</f>
        <v>Viên chức</v>
      </c>
      <c r="AF356" s="41" t="s">
        <v>257</v>
      </c>
      <c r="AG356" s="42" t="str">
        <f>VLOOKUP(A356,'[1]DANH SÁCH'!$B$8:$H$841,7,0)</f>
        <v>Kỹ thuật y (hạng III)</v>
      </c>
      <c r="AH356" s="45">
        <v>3.66</v>
      </c>
      <c r="AI356" s="42">
        <v>5</v>
      </c>
      <c r="AJ356" s="70">
        <v>0</v>
      </c>
      <c r="AK356" s="69">
        <v>45383</v>
      </c>
      <c r="AL356" s="71" t="s">
        <v>80</v>
      </c>
      <c r="AM356" s="53" t="str">
        <f>VLOOKUP(A356,'[1]DANH SÁCH'!$B$8:$F$841,5,0)</f>
        <v>KTY ĐH</v>
      </c>
      <c r="AN356" s="53"/>
      <c r="AO356" s="53"/>
      <c r="AP356" s="53"/>
      <c r="AQ356" s="53"/>
      <c r="AR356" s="42">
        <f>VLOOKUP(A356,'[1]Chứng chỉ'!$B$8:$Q$1111,11,0)</f>
        <v>0</v>
      </c>
      <c r="AS356" s="42">
        <f>VLOOKUP(A356,'[1]Chứng chỉ'!$B$8:$Q$1111,12,0)</f>
        <v>0</v>
      </c>
      <c r="AT356" s="47">
        <f>VLOOKUP(A356,'[1]Chứng chỉ'!$B$8:$Q$1111,13,0)</f>
        <v>0</v>
      </c>
      <c r="AU356" s="42" t="str">
        <f>VLOOKUP(A356,'[1]Chứng chỉ'!$B$8:$Q$1111,14,0)</f>
        <v>Anh B</v>
      </c>
      <c r="AV356" s="42" t="str">
        <f>VLOOKUP(A356,'[1]Chứng chỉ'!$B$8:$Q$1111,15,0)</f>
        <v>Tày</v>
      </c>
      <c r="AW356" s="42" t="str">
        <f>VLOOKUP(A356,'[1]Chứng chỉ'!$B$8:$Q$1111,16,0)</f>
        <v>Cơ bản</v>
      </c>
      <c r="AX356" s="42"/>
      <c r="AY356" s="57" t="s">
        <v>85</v>
      </c>
      <c r="AZ356" s="65">
        <v>43138</v>
      </c>
      <c r="BA356" s="74" t="e">
        <f t="shared" si="139"/>
        <v>#REF!</v>
      </c>
      <c r="BB356" s="74" t="e">
        <f t="shared" si="140"/>
        <v>#REF!</v>
      </c>
      <c r="BC356" s="41" t="s">
        <v>128</v>
      </c>
      <c r="BD356" s="42"/>
    </row>
    <row r="357" spans="1:56" ht="40.799999999999997" x14ac:dyDescent="0.3">
      <c r="A357" s="41" t="s">
        <v>2611</v>
      </c>
      <c r="B357" s="42">
        <f t="shared" si="110"/>
        <v>351</v>
      </c>
      <c r="C357" s="68" t="s">
        <v>2612</v>
      </c>
      <c r="D357" s="41" t="s">
        <v>2611</v>
      </c>
      <c r="E357" s="61">
        <v>2011000028</v>
      </c>
      <c r="F357" s="64"/>
      <c r="G357" s="49" t="s">
        <v>2613</v>
      </c>
      <c r="H357" s="76"/>
      <c r="I357" s="76">
        <v>32458</v>
      </c>
      <c r="J357" s="66">
        <f t="shared" ca="1" si="137"/>
        <v>37</v>
      </c>
      <c r="K357" s="75" t="s">
        <v>2614</v>
      </c>
      <c r="L357" s="41" t="s">
        <v>2615</v>
      </c>
      <c r="M357" s="53" t="s">
        <v>67</v>
      </c>
      <c r="N357" s="66"/>
      <c r="O357" s="53" t="s">
        <v>2616</v>
      </c>
      <c r="P357" s="49" t="s">
        <v>282</v>
      </c>
      <c r="Q357" s="49" t="s">
        <v>94</v>
      </c>
      <c r="R357" s="49"/>
      <c r="S357" s="49" t="s">
        <v>2617</v>
      </c>
      <c r="T357" s="49" t="s">
        <v>282</v>
      </c>
      <c r="U357" s="49" t="s">
        <v>94</v>
      </c>
      <c r="V357" s="49" t="str">
        <f t="shared" si="138"/>
        <v>Xẫ Hữu Liên, Huyện Hữu Lũng, Tỉnh Lạng Sơn</v>
      </c>
      <c r="W357" s="55" t="s">
        <v>224</v>
      </c>
      <c r="X357" s="41"/>
      <c r="Y357" s="41"/>
      <c r="Z357" s="41"/>
      <c r="AA357" s="68">
        <f>VLOOKUP(A357,'[1]DANH SÁCH'!$B$8:$AD$841,12,0)</f>
        <v>0</v>
      </c>
      <c r="AB357" s="49" t="str">
        <f>VLOOKUP(A357,'[1]DANH SÁCH'!$B$8:$H$841,6,0)</f>
        <v>TĐ014</v>
      </c>
      <c r="AC357" s="69" t="str">
        <f>VLOOKUP(A357,'[1]DANH SÁCH'!$B$8:$J$841,9,0)</f>
        <v>HH-TM</v>
      </c>
      <c r="AD357" s="69" t="str">
        <f>VLOOKUP(A357,'[1]DANH SÁCH'!$B$8:$AC$841,10,0)</f>
        <v>KP029</v>
      </c>
      <c r="AE357" s="69" t="str">
        <f>VLOOKUP(A357,'[1]DANH SÁCH'!$B$8:$AD$841,13,0)</f>
        <v>Viên chức</v>
      </c>
      <c r="AF357" s="41" t="s">
        <v>257</v>
      </c>
      <c r="AG357" s="42" t="str">
        <f>VLOOKUP(A357,'[1]DANH SÁCH'!$B$8:$H$841,7,0)</f>
        <v>Kỹ thuật y (hạng III)</v>
      </c>
      <c r="AH357" s="45">
        <v>3.66</v>
      </c>
      <c r="AI357" s="42">
        <v>5</v>
      </c>
      <c r="AJ357" s="70">
        <v>0</v>
      </c>
      <c r="AK357" s="69">
        <v>45383</v>
      </c>
      <c r="AL357" s="71" t="s">
        <v>80</v>
      </c>
      <c r="AM357" s="53" t="str">
        <f>VLOOKUP(A357,'[1]DANH SÁCH'!$B$8:$F$841,5,0)</f>
        <v>KTY ĐH</v>
      </c>
      <c r="AN357" s="53"/>
      <c r="AO357" s="53"/>
      <c r="AP357" s="53"/>
      <c r="AQ357" s="53"/>
      <c r="AR357" s="42">
        <f>VLOOKUP(A357,'[1]Chứng chỉ'!$B$8:$Q$1111,11,0)</f>
        <v>0</v>
      </c>
      <c r="AS357" s="42">
        <f>VLOOKUP(A357,'[1]Chứng chỉ'!$B$8:$Q$1111,12,0)</f>
        <v>0</v>
      </c>
      <c r="AT357" s="47">
        <f>VLOOKUP(A357,'[1]Chứng chỉ'!$B$8:$Q$1111,13,0)</f>
        <v>0</v>
      </c>
      <c r="AU357" s="42" t="str">
        <f>VLOOKUP(A357,'[1]Chứng chỉ'!$B$8:$Q$1111,14,0)</f>
        <v>Anh A2</v>
      </c>
      <c r="AV357" s="42" t="str">
        <f>VLOOKUP(A357,'[1]Chứng chỉ'!$B$8:$Q$1111,15,0)</f>
        <v>Tày</v>
      </c>
      <c r="AW357" s="42" t="str">
        <f>VLOOKUP(A357,'[1]Chứng chỉ'!$B$8:$Q$1111,16,0)</f>
        <v>Cơ bản</v>
      </c>
      <c r="AX357" s="42"/>
      <c r="AY357" s="57" t="s">
        <v>127</v>
      </c>
      <c r="AZ357" s="65"/>
      <c r="BA357" s="74" t="e">
        <f t="shared" si="139"/>
        <v>#REF!</v>
      </c>
      <c r="BB357" s="74" t="e">
        <f t="shared" si="140"/>
        <v>#REF!</v>
      </c>
      <c r="BC357" s="41" t="s">
        <v>128</v>
      </c>
      <c r="BD357" s="42"/>
    </row>
    <row r="358" spans="1:56" ht="40.799999999999997" x14ac:dyDescent="0.3">
      <c r="A358" s="46" t="s">
        <v>2618</v>
      </c>
      <c r="B358" s="42">
        <f t="shared" si="110"/>
        <v>352</v>
      </c>
      <c r="C358" s="63" t="s">
        <v>2619</v>
      </c>
      <c r="D358" s="46" t="s">
        <v>2618</v>
      </c>
      <c r="E358" s="61">
        <v>2016002888</v>
      </c>
      <c r="F358" s="64">
        <v>2099882217</v>
      </c>
      <c r="G358" s="49" t="s">
        <v>2620</v>
      </c>
      <c r="H358" s="47"/>
      <c r="I358" s="117" t="s">
        <v>2621</v>
      </c>
      <c r="J358" s="66">
        <f t="shared" ca="1" si="137"/>
        <v>33</v>
      </c>
      <c r="K358" s="75" t="s">
        <v>2622</v>
      </c>
      <c r="L358" s="119" t="s">
        <v>2623</v>
      </c>
      <c r="M358" s="53" t="s">
        <v>67</v>
      </c>
      <c r="N358" s="66"/>
      <c r="O358" s="56" t="s">
        <v>1532</v>
      </c>
      <c r="P358" s="47" t="s">
        <v>2624</v>
      </c>
      <c r="Q358" s="47" t="s">
        <v>71</v>
      </c>
      <c r="R358" s="47" t="s">
        <v>2625</v>
      </c>
      <c r="S358" s="47" t="s">
        <v>1532</v>
      </c>
      <c r="T358" s="47" t="s">
        <v>2624</v>
      </c>
      <c r="U358" s="47" t="s">
        <v>71</v>
      </c>
      <c r="V358" s="49" t="str">
        <f t="shared" si="138"/>
        <v>Kiên Mộc, Đình Lập, Lạng Sơn</v>
      </c>
      <c r="W358" s="67" t="s">
        <v>2626</v>
      </c>
      <c r="X358" s="46"/>
      <c r="Y358" s="46"/>
      <c r="Z358" s="46"/>
      <c r="AA358" s="68">
        <f>VLOOKUP(A358,'[1]DANH SÁCH'!$B$8:$AD$841,12,0)</f>
        <v>0</v>
      </c>
      <c r="AB358" s="49" t="str">
        <f>VLOOKUP(A358,'[1]DANH SÁCH'!$B$8:$H$841,6,0)</f>
        <v>TĐ015</v>
      </c>
      <c r="AC358" s="69" t="str">
        <f>VLOOKUP(A358,'[1]DANH SÁCH'!$B$8:$J$841,9,0)</f>
        <v>HH-TM</v>
      </c>
      <c r="AD358" s="69" t="str">
        <f>VLOOKUP(A358,'[1]DANH SÁCH'!$B$8:$AC$841,10,0)</f>
        <v>KP029</v>
      </c>
      <c r="AE358" s="69" t="str">
        <f>VLOOKUP(A358,'[1]DANH SÁCH'!$B$8:$AD$841,13,0)</f>
        <v>Viên chức</v>
      </c>
      <c r="AF358" s="41" t="s">
        <v>257</v>
      </c>
      <c r="AG358" s="42" t="str">
        <f>VLOOKUP(A358,'[1]DANH SÁCH'!$B$8:$H$841,7,0)</f>
        <v>Kỹ thuật y (hạng IV)</v>
      </c>
      <c r="AH358" s="45">
        <v>2.72</v>
      </c>
      <c r="AI358" s="42">
        <v>3</v>
      </c>
      <c r="AJ358" s="70">
        <v>0</v>
      </c>
      <c r="AK358" s="69">
        <v>44927</v>
      </c>
      <c r="AL358" s="71" t="s">
        <v>158</v>
      </c>
      <c r="AM358" s="72" t="str">
        <f>VLOOKUP(A358,'[1]DANH SÁCH'!$B$8:$F$841,5,0)</f>
        <v>KTY CĐ</v>
      </c>
      <c r="AN358" s="53"/>
      <c r="AO358" s="53"/>
      <c r="AP358" s="53"/>
      <c r="AQ358" s="53"/>
      <c r="AR358" s="42">
        <f>VLOOKUP(A358,'[1]Chứng chỉ'!$B$8:$Q$1111,11,0)</f>
        <v>0</v>
      </c>
      <c r="AS358" s="42">
        <f>VLOOKUP(A358,'[1]Chứng chỉ'!$B$8:$Q$1111,12,0)</f>
        <v>0</v>
      </c>
      <c r="AT358" s="47">
        <f>VLOOKUP(A358,'[1]Chứng chỉ'!$B$8:$Q$1111,13,0)</f>
        <v>0</v>
      </c>
      <c r="AU358" s="42" t="str">
        <f>VLOOKUP(A358,'[1]Chứng chỉ'!$B$8:$Q$1111,14,0)</f>
        <v>Anh B</v>
      </c>
      <c r="AV358" s="42">
        <f>VLOOKUP(A358,'[1]Chứng chỉ'!$B$8:$Q$1111,15,0)</f>
        <v>0</v>
      </c>
      <c r="AW358" s="42" t="str">
        <f>VLOOKUP(A358,'[1]Chứng chỉ'!$B$8:$Q$1111,16,0)</f>
        <v>Tin B</v>
      </c>
      <c r="AX358" s="47"/>
      <c r="AY358" s="73" t="s">
        <v>85</v>
      </c>
      <c r="AZ358" s="65"/>
      <c r="BA358" s="74" t="e">
        <f t="shared" si="139"/>
        <v>#REF!</v>
      </c>
      <c r="BB358" s="74" t="e">
        <f t="shared" si="140"/>
        <v>#REF!</v>
      </c>
      <c r="BC358" s="41" t="s">
        <v>128</v>
      </c>
      <c r="BD358" s="42"/>
    </row>
    <row r="359" spans="1:56" ht="61.2" x14ac:dyDescent="0.3">
      <c r="A359" s="41" t="s">
        <v>2627</v>
      </c>
      <c r="B359" s="42">
        <f t="shared" si="110"/>
        <v>353</v>
      </c>
      <c r="C359" s="68" t="s">
        <v>2628</v>
      </c>
      <c r="D359" s="41" t="s">
        <v>2627</v>
      </c>
      <c r="E359" s="61">
        <v>1505002502</v>
      </c>
      <c r="F359" s="64"/>
      <c r="G359" s="49" t="s">
        <v>2629</v>
      </c>
      <c r="H359" s="76"/>
      <c r="I359" s="76">
        <v>29791</v>
      </c>
      <c r="J359" s="66">
        <f t="shared" ca="1" si="137"/>
        <v>45</v>
      </c>
      <c r="K359" s="75" t="s">
        <v>2630</v>
      </c>
      <c r="L359" s="41" t="s">
        <v>2631</v>
      </c>
      <c r="M359" s="53" t="s">
        <v>67</v>
      </c>
      <c r="N359" s="66"/>
      <c r="O359" s="85"/>
      <c r="P359" s="76" t="s">
        <v>2632</v>
      </c>
      <c r="Q359" s="76" t="s">
        <v>1578</v>
      </c>
      <c r="R359" s="49"/>
      <c r="S359" s="76" t="s">
        <v>96</v>
      </c>
      <c r="T359" s="76" t="s">
        <v>97</v>
      </c>
      <c r="U359" s="76" t="s">
        <v>94</v>
      </c>
      <c r="V359" s="49" t="str">
        <f t="shared" si="138"/>
        <v>Phường Hoàng Văn Thụ, Thành phố Lạng Sơn, Tỉnh Lạng Sơn</v>
      </c>
      <c r="W359" s="55" t="s">
        <v>724</v>
      </c>
      <c r="X359" s="41"/>
      <c r="Y359" s="41"/>
      <c r="Z359" s="41"/>
      <c r="AA359" s="68">
        <f>VLOOKUP(A359,'[1]DANH SÁCH'!$B$8:$AD$841,12,0)</f>
        <v>0</v>
      </c>
      <c r="AB359" s="49" t="str">
        <f>VLOOKUP(A359,'[1]DANH SÁCH'!$B$8:$H$841,6,0)</f>
        <v>TĐ014</v>
      </c>
      <c r="AC359" s="69" t="str">
        <f>VLOOKUP(A359,'[1]DANH SÁCH'!$B$8:$J$841,9,0)</f>
        <v>HH-TM</v>
      </c>
      <c r="AD359" s="69" t="str">
        <f>VLOOKUP(A359,'[1]DANH SÁCH'!$B$8:$AC$841,10,0)</f>
        <v>KP029</v>
      </c>
      <c r="AE359" s="69" t="str">
        <f>VLOOKUP(A359,'[1]DANH SÁCH'!$B$8:$AD$841,13,0)</f>
        <v>Viên chức</v>
      </c>
      <c r="AF359" s="41" t="s">
        <v>257</v>
      </c>
      <c r="AG359" s="42" t="str">
        <f>VLOOKUP(A359,'[1]DANH SÁCH'!$B$8:$H$841,7,0)</f>
        <v>Kỹ thuật y (hạng III)</v>
      </c>
      <c r="AH359" s="45">
        <v>3.99</v>
      </c>
      <c r="AI359" s="42">
        <v>6</v>
      </c>
      <c r="AJ359" s="70">
        <v>0</v>
      </c>
      <c r="AK359" s="69">
        <v>45536</v>
      </c>
      <c r="AL359" s="71" t="s">
        <v>80</v>
      </c>
      <c r="AM359" s="53" t="str">
        <f>VLOOKUP(A359,'[1]DANH SÁCH'!$B$8:$F$841,5,0)</f>
        <v>KTY ĐH</v>
      </c>
      <c r="AN359" s="53"/>
      <c r="AO359" s="53"/>
      <c r="AP359" s="53"/>
      <c r="AQ359" s="53"/>
      <c r="AR359" s="42">
        <f>VLOOKUP(A359,'[1]Chứng chỉ'!$B$8:$Q$1111,11,0)</f>
        <v>0</v>
      </c>
      <c r="AS359" s="42">
        <f>VLOOKUP(A359,'[1]Chứng chỉ'!$B$8:$Q$1111,12,0)</f>
        <v>0</v>
      </c>
      <c r="AT359" s="47">
        <f>VLOOKUP(A359,'[1]Chứng chỉ'!$B$8:$Q$1111,13,0)</f>
        <v>0</v>
      </c>
      <c r="AU359" s="42" t="str">
        <f>VLOOKUP(A359,'[1]Chứng chỉ'!$B$8:$Q$1111,14,0)</f>
        <v>Anh A2</v>
      </c>
      <c r="AV359" s="42">
        <f>VLOOKUP(A359,'[1]Chứng chỉ'!$B$8:$Q$1111,15,0)</f>
        <v>0</v>
      </c>
      <c r="AW359" s="42" t="str">
        <f>VLOOKUP(A359,'[1]Chứng chỉ'!$B$8:$Q$1111,16,0)</f>
        <v>Cơ bản</v>
      </c>
      <c r="AX359" s="42"/>
      <c r="AY359" s="57" t="s">
        <v>87</v>
      </c>
      <c r="AZ359" s="65"/>
      <c r="BA359" s="74" t="e">
        <f t="shared" si="139"/>
        <v>#REF!</v>
      </c>
      <c r="BB359" s="74" t="e">
        <f t="shared" si="140"/>
        <v>#REF!</v>
      </c>
      <c r="BC359" s="41"/>
      <c r="BD359" s="42"/>
    </row>
    <row r="360" spans="1:56" ht="51" x14ac:dyDescent="0.3">
      <c r="A360" s="41" t="s">
        <v>2633</v>
      </c>
      <c r="B360" s="42">
        <f t="shared" si="110"/>
        <v>354</v>
      </c>
      <c r="C360" s="68" t="s">
        <v>2634</v>
      </c>
      <c r="D360" s="41" t="s">
        <v>2633</v>
      </c>
      <c r="E360" s="61">
        <v>2009000946</v>
      </c>
      <c r="F360" s="64"/>
      <c r="G360" s="49" t="s">
        <v>2635</v>
      </c>
      <c r="H360" s="76"/>
      <c r="I360" s="76">
        <v>30424</v>
      </c>
      <c r="J360" s="66">
        <f t="shared" ca="1" si="137"/>
        <v>43</v>
      </c>
      <c r="K360" s="109" t="s">
        <v>2636</v>
      </c>
      <c r="L360" s="41" t="s">
        <v>2637</v>
      </c>
      <c r="M360" s="53" t="s">
        <v>67</v>
      </c>
      <c r="N360" s="66"/>
      <c r="O360" s="53"/>
      <c r="P360" s="76" t="s">
        <v>343</v>
      </c>
      <c r="Q360" s="49" t="s">
        <v>94</v>
      </c>
      <c r="R360" s="49"/>
      <c r="S360" s="49" t="s">
        <v>2638</v>
      </c>
      <c r="T360" s="76" t="s">
        <v>343</v>
      </c>
      <c r="U360" s="49" t="s">
        <v>94</v>
      </c>
      <c r="V360" s="49" t="str">
        <f t="shared" si="138"/>
        <v>Xã Thiện Hoà, Huyện Bình Gia, Tỉnh Lạng Sơn</v>
      </c>
      <c r="W360" s="55" t="s">
        <v>678</v>
      </c>
      <c r="X360" s="41"/>
      <c r="Y360" s="41"/>
      <c r="Z360" s="41"/>
      <c r="AA360" s="68">
        <f>VLOOKUP(A360,'[1]DANH SÁCH'!$B$8:$AD$841,12,0)</f>
        <v>0</v>
      </c>
      <c r="AB360" s="49" t="str">
        <f>VLOOKUP(A360,'[1]DANH SÁCH'!$B$8:$H$841,6,0)</f>
        <v>TĐ015</v>
      </c>
      <c r="AC360" s="69" t="str">
        <f>VLOOKUP(A360,'[1]DANH SÁCH'!$B$8:$J$841,9,0)</f>
        <v>HH-TM</v>
      </c>
      <c r="AD360" s="69" t="str">
        <f>VLOOKUP(A360,'[1]DANH SÁCH'!$B$8:$AC$841,10,0)</f>
        <v>KP029</v>
      </c>
      <c r="AE360" s="69" t="str">
        <f>VLOOKUP(A360,'[1]DANH SÁCH'!$B$8:$AD$841,13,0)</f>
        <v>Viên chức</v>
      </c>
      <c r="AF360" s="41" t="s">
        <v>257</v>
      </c>
      <c r="AG360" s="42" t="str">
        <f>VLOOKUP(A360,'[1]DANH SÁCH'!$B$8:$H$841,7,0)</f>
        <v>Kỹ thuật y (hạng IV)</v>
      </c>
      <c r="AH360" s="45">
        <v>3.65</v>
      </c>
      <c r="AI360" s="42">
        <v>6</v>
      </c>
      <c r="AJ360" s="70">
        <v>0</v>
      </c>
      <c r="AK360" s="69">
        <v>45627</v>
      </c>
      <c r="AL360" s="71" t="s">
        <v>101</v>
      </c>
      <c r="AM360" s="53" t="str">
        <f>VLOOKUP(A360,'[1]DANH SÁCH'!$B$8:$F$841,5,0)</f>
        <v>KTY CĐ</v>
      </c>
      <c r="AN360" s="53"/>
      <c r="AO360" s="53"/>
      <c r="AP360" s="53"/>
      <c r="AQ360" s="53"/>
      <c r="AR360" s="42">
        <f>VLOOKUP(A360,'[1]Chứng chỉ'!$B$8:$Q$1111,11,0)</f>
        <v>0</v>
      </c>
      <c r="AS360" s="42">
        <f>VLOOKUP(A360,'[1]Chứng chỉ'!$B$8:$Q$1111,12,0)</f>
        <v>0</v>
      </c>
      <c r="AT360" s="47">
        <f>VLOOKUP(A360,'[1]Chứng chỉ'!$B$8:$Q$1111,13,0)</f>
        <v>0</v>
      </c>
      <c r="AU360" s="42">
        <f>VLOOKUP(A360,'[1]Chứng chỉ'!$B$8:$Q$1111,14,0)</f>
        <v>0</v>
      </c>
      <c r="AV360" s="42">
        <f>VLOOKUP(A360,'[1]Chứng chỉ'!$B$8:$Q$1111,15,0)</f>
        <v>0</v>
      </c>
      <c r="AW360" s="42">
        <f>VLOOKUP(A360,'[1]Chứng chỉ'!$B$8:$Q$1111,16,0)</f>
        <v>0</v>
      </c>
      <c r="AX360" s="42"/>
      <c r="AY360" s="57" t="s">
        <v>127</v>
      </c>
      <c r="AZ360" s="65">
        <v>42165</v>
      </c>
      <c r="BA360" s="74" t="e">
        <f t="shared" si="139"/>
        <v>#REF!</v>
      </c>
      <c r="BB360" s="74" t="e">
        <f t="shared" si="140"/>
        <v>#REF!</v>
      </c>
      <c r="BC360" s="41"/>
      <c r="BD360" s="42"/>
    </row>
    <row r="361" spans="1:56" ht="51" x14ac:dyDescent="0.3">
      <c r="A361" s="41" t="s">
        <v>2639</v>
      </c>
      <c r="B361" s="42">
        <f t="shared" si="110"/>
        <v>355</v>
      </c>
      <c r="C361" s="68" t="s">
        <v>2640</v>
      </c>
      <c r="D361" s="41" t="s">
        <v>2639</v>
      </c>
      <c r="E361" s="61">
        <v>2011000029</v>
      </c>
      <c r="F361" s="64"/>
      <c r="G361" s="49" t="s">
        <v>2641</v>
      </c>
      <c r="H361" s="76">
        <v>31459</v>
      </c>
      <c r="I361" s="76"/>
      <c r="J361" s="66">
        <f ca="1">INT(DATEDIF(H361,$J$2,"d")/365)</f>
        <v>40</v>
      </c>
      <c r="K361" s="75" t="s">
        <v>2642</v>
      </c>
      <c r="L361" s="41" t="s">
        <v>2643</v>
      </c>
      <c r="M361" s="53" t="s">
        <v>67</v>
      </c>
      <c r="N361" s="66"/>
      <c r="O361" s="53" t="s">
        <v>2279</v>
      </c>
      <c r="P361" s="49" t="s">
        <v>155</v>
      </c>
      <c r="Q361" s="49" t="s">
        <v>94</v>
      </c>
      <c r="R361" s="49" t="s">
        <v>2644</v>
      </c>
      <c r="S361" s="49" t="s">
        <v>2279</v>
      </c>
      <c r="T361" s="49" t="s">
        <v>155</v>
      </c>
      <c r="U361" s="49" t="s">
        <v>94</v>
      </c>
      <c r="V361" s="49" t="str">
        <f t="shared" si="138"/>
        <v>Xã Vân Mộng, Huyện Văn Quan, Tỉnh Lạng Sơn</v>
      </c>
      <c r="W361" s="55" t="s">
        <v>224</v>
      </c>
      <c r="X361" s="41"/>
      <c r="Y361" s="41"/>
      <c r="Z361" s="41"/>
      <c r="AA361" s="68">
        <f>VLOOKUP(A361,'[1]DANH SÁCH'!$B$8:$AD$841,12,0)</f>
        <v>0</v>
      </c>
      <c r="AB361" s="49" t="str">
        <f>VLOOKUP(A361,'[1]DANH SÁCH'!$B$8:$H$841,6,0)</f>
        <v>TĐ015</v>
      </c>
      <c r="AC361" s="69" t="str">
        <f>VLOOKUP(A361,'[1]DANH SÁCH'!$B$8:$J$841,9,0)</f>
        <v>HH-TM</v>
      </c>
      <c r="AD361" s="69" t="str">
        <f>VLOOKUP(A361,'[1]DANH SÁCH'!$B$8:$AC$841,10,0)</f>
        <v>KP029</v>
      </c>
      <c r="AE361" s="69" t="str">
        <f>VLOOKUP(A361,'[1]DANH SÁCH'!$B$8:$AD$841,13,0)</f>
        <v>Viên chức</v>
      </c>
      <c r="AF361" s="41" t="s">
        <v>257</v>
      </c>
      <c r="AG361" s="42" t="str">
        <f>VLOOKUP(A361,'[1]DANH SÁCH'!$B$8:$H$841,7,0)</f>
        <v>Kỹ thuật y (hạng IV)</v>
      </c>
      <c r="AH361" s="45">
        <v>3.34</v>
      </c>
      <c r="AI361" s="42">
        <v>5</v>
      </c>
      <c r="AJ361" s="70">
        <v>0</v>
      </c>
      <c r="AK361" s="69">
        <v>45627</v>
      </c>
      <c r="AL361" s="71" t="s">
        <v>101</v>
      </c>
      <c r="AM361" s="53" t="str">
        <f>VLOOKUP(A361,'[1]DANH SÁCH'!$B$8:$F$841,5,0)</f>
        <v>KTY CĐ</v>
      </c>
      <c r="AN361" s="53"/>
      <c r="AO361" s="53"/>
      <c r="AP361" s="53"/>
      <c r="AQ361" s="53"/>
      <c r="AR361" s="42">
        <f>VLOOKUP(A361,'[1]Chứng chỉ'!$B$8:$Q$1111,11,0)</f>
        <v>0</v>
      </c>
      <c r="AS361" s="42">
        <f>VLOOKUP(A361,'[1]Chứng chỉ'!$B$8:$Q$1111,12,0)</f>
        <v>0</v>
      </c>
      <c r="AT361" s="47">
        <f>VLOOKUP(A361,'[1]Chứng chỉ'!$B$8:$Q$1111,13,0)</f>
        <v>0</v>
      </c>
      <c r="AU361" s="42">
        <f>VLOOKUP(A361,'[1]Chứng chỉ'!$B$8:$Q$1111,14,0)</f>
        <v>0</v>
      </c>
      <c r="AV361" s="42">
        <f>VLOOKUP(A361,'[1]Chứng chỉ'!$B$8:$Q$1111,15,0)</f>
        <v>0</v>
      </c>
      <c r="AW361" s="42">
        <f>VLOOKUP(A361,'[1]Chứng chỉ'!$B$8:$Q$1111,16,0)</f>
        <v>0</v>
      </c>
      <c r="AX361" s="42"/>
      <c r="AY361" s="57" t="s">
        <v>85</v>
      </c>
      <c r="AZ361" s="65"/>
      <c r="BA361" s="74" t="e">
        <f t="shared" si="139"/>
        <v>#REF!</v>
      </c>
      <c r="BB361" s="74" t="e">
        <f t="shared" si="140"/>
        <v>#REF!</v>
      </c>
      <c r="BC361" s="41"/>
      <c r="BD361" s="42"/>
    </row>
    <row r="362" spans="1:56" ht="51" x14ac:dyDescent="0.3">
      <c r="A362" s="102" t="s">
        <v>2645</v>
      </c>
      <c r="B362" s="42">
        <f t="shared" si="110"/>
        <v>356</v>
      </c>
      <c r="C362" s="93" t="s">
        <v>2646</v>
      </c>
      <c r="D362" s="102" t="s">
        <v>2645</v>
      </c>
      <c r="E362" s="61" t="s">
        <v>2647</v>
      </c>
      <c r="F362" s="122"/>
      <c r="G362" s="49" t="s">
        <v>2648</v>
      </c>
      <c r="H362" s="102"/>
      <c r="I362" s="102" t="s">
        <v>2649</v>
      </c>
      <c r="J362" s="66">
        <f t="shared" ref="J362:J371" ca="1" si="141">INT(DATEDIF(I362,$J$2,"d")/365)</f>
        <v>39</v>
      </c>
      <c r="K362" s="75" t="s">
        <v>2650</v>
      </c>
      <c r="L362" s="102" t="s">
        <v>747</v>
      </c>
      <c r="M362" s="53" t="s">
        <v>67</v>
      </c>
      <c r="N362" s="131" t="s">
        <v>2651</v>
      </c>
      <c r="O362" s="132" t="s">
        <v>2652</v>
      </c>
      <c r="P362" s="115" t="s">
        <v>2653</v>
      </c>
      <c r="Q362" s="115" t="s">
        <v>71</v>
      </c>
      <c r="R362" s="115" t="s">
        <v>2654</v>
      </c>
      <c r="S362" s="115" t="s">
        <v>124</v>
      </c>
      <c r="T362" s="115" t="s">
        <v>379</v>
      </c>
      <c r="U362" s="115" t="s">
        <v>71</v>
      </c>
      <c r="V362" s="49" t="str">
        <f t="shared" si="138"/>
        <v>Phường Đông Kinh, TP. Lạng Sơn, Lạng Sơn</v>
      </c>
      <c r="W362" s="130" t="s">
        <v>315</v>
      </c>
      <c r="X362" s="120" t="s">
        <v>2655</v>
      </c>
      <c r="Y362" s="120" t="s">
        <v>2656</v>
      </c>
      <c r="Z362" s="120" t="s">
        <v>156</v>
      </c>
      <c r="AA362" s="68">
        <f>VLOOKUP(A362,'[1]DANH SÁCH'!$B$8:$AD$841,12,0)</f>
        <v>0</v>
      </c>
      <c r="AB362" s="49" t="str">
        <f>VLOOKUP(A362,'[1]DANH SÁCH'!$B$8:$H$841,6,0)</f>
        <v>TĐ015</v>
      </c>
      <c r="AC362" s="69" t="str">
        <f>VLOOKUP(A362,'[1]DANH SÁCH'!$B$8:$J$841,9,0)</f>
        <v>HH-TM</v>
      </c>
      <c r="AD362" s="69" t="str">
        <f>VLOOKUP(A362,'[1]DANH SÁCH'!$B$8:$AC$841,10,0)</f>
        <v>KP029</v>
      </c>
      <c r="AE362" s="69" t="str">
        <f>VLOOKUP(A362,'[1]DANH SÁCH'!$B$8:$AD$841,13,0)</f>
        <v>Viên chức</v>
      </c>
      <c r="AF362" s="41" t="s">
        <v>257</v>
      </c>
      <c r="AG362" s="115" t="s">
        <v>2657</v>
      </c>
      <c r="AH362" s="45">
        <v>3.03</v>
      </c>
      <c r="AI362" s="42">
        <v>4</v>
      </c>
      <c r="AJ362" s="70">
        <v>0</v>
      </c>
      <c r="AK362" s="69">
        <v>45270</v>
      </c>
      <c r="AL362" s="71" t="s">
        <v>101</v>
      </c>
      <c r="AM362" s="53" t="str">
        <f>VLOOKUP(A362,'[1]DANH SÁCH'!$B$8:$F$841,5,0)</f>
        <v>KTY CĐ</v>
      </c>
      <c r="AN362" s="53"/>
      <c r="AO362" s="53"/>
      <c r="AP362" s="53"/>
      <c r="AQ362" s="53"/>
      <c r="AR362" s="42">
        <f>VLOOKUP(A362,'[1]Chứng chỉ'!$B$8:$Q$1111,11,0)</f>
        <v>0</v>
      </c>
      <c r="AS362" s="42">
        <f>VLOOKUP(A362,'[1]Chứng chỉ'!$B$8:$Q$1111,12,0)</f>
        <v>0</v>
      </c>
      <c r="AT362" s="47">
        <f>VLOOKUP(A362,'[1]Chứng chỉ'!$B$8:$Q$1111,13,0)</f>
        <v>0</v>
      </c>
      <c r="AU362" s="42" t="str">
        <f>VLOOKUP(A362,'[1]Chứng chỉ'!$B$8:$Q$1111,14,0)</f>
        <v>Tin B</v>
      </c>
      <c r="AV362" s="42">
        <f>VLOOKUP(A362,'[1]Chứng chỉ'!$B$8:$Q$1111,15,0)</f>
        <v>0</v>
      </c>
      <c r="AW362" s="42" t="str">
        <f>VLOOKUP(A362,'[1]Chứng chỉ'!$B$8:$Q$1111,16,0)</f>
        <v>Tin B</v>
      </c>
      <c r="AX362" s="115"/>
      <c r="AY362" s="115" t="s">
        <v>85</v>
      </c>
      <c r="AZ362" s="65">
        <v>42892</v>
      </c>
      <c r="BA362" s="74" t="e">
        <f t="shared" si="139"/>
        <v>#REF!</v>
      </c>
      <c r="BB362" s="74" t="e">
        <f t="shared" si="140"/>
        <v>#REF!</v>
      </c>
      <c r="BC362" s="41"/>
      <c r="BD362" s="42"/>
    </row>
    <row r="363" spans="1:56" ht="51" x14ac:dyDescent="0.3">
      <c r="A363" s="41" t="s">
        <v>2658</v>
      </c>
      <c r="B363" s="42">
        <f t="shared" si="110"/>
        <v>357</v>
      </c>
      <c r="C363" s="68" t="s">
        <v>2659</v>
      </c>
      <c r="D363" s="41" t="s">
        <v>2658</v>
      </c>
      <c r="E363" s="61">
        <v>1504000565</v>
      </c>
      <c r="F363" s="64"/>
      <c r="G363" s="49" t="s">
        <v>2660</v>
      </c>
      <c r="H363" s="76"/>
      <c r="I363" s="76">
        <v>28757</v>
      </c>
      <c r="J363" s="66">
        <f t="shared" ca="1" si="141"/>
        <v>47</v>
      </c>
      <c r="K363" s="75" t="s">
        <v>2661</v>
      </c>
      <c r="L363" s="41" t="s">
        <v>2662</v>
      </c>
      <c r="M363" s="53" t="s">
        <v>67</v>
      </c>
      <c r="N363" s="66"/>
      <c r="O363" s="53"/>
      <c r="P363" s="49" t="s">
        <v>2663</v>
      </c>
      <c r="Q363" s="49" t="s">
        <v>544</v>
      </c>
      <c r="R363" s="49"/>
      <c r="S363" s="49" t="s">
        <v>174</v>
      </c>
      <c r="T363" s="49" t="s">
        <v>97</v>
      </c>
      <c r="U363" s="49" t="s">
        <v>94</v>
      </c>
      <c r="V363" s="49" t="str">
        <f t="shared" si="138"/>
        <v>Xã Mai Pha, Thành phố Lạng Sơn, Tỉnh Lạng Sơn</v>
      </c>
      <c r="W363" s="55" t="s">
        <v>2664</v>
      </c>
      <c r="X363" s="41"/>
      <c r="Y363" s="41"/>
      <c r="Z363" s="41"/>
      <c r="AA363" s="68" t="str">
        <f>VLOOKUP(A363,'[1]DANH SÁCH'!$B$8:$AD$841,12,0)</f>
        <v>Trưởng khoa</v>
      </c>
      <c r="AB363" s="49" t="str">
        <f>VLOOKUP(A363,'[1]DANH SÁCH'!$B$8:$H$841,6,0)</f>
        <v>TĐ001</v>
      </c>
      <c r="AC363" s="69" t="str">
        <f>VLOOKUP(A363,'[1]DANH SÁCH'!$B$8:$J$841,9,0)</f>
        <v>HS-VS</v>
      </c>
      <c r="AD363" s="69" t="str">
        <f>VLOOKUP(A363,'[1]DANH SÁCH'!$B$8:$AC$841,10,0)</f>
        <v>KP030</v>
      </c>
      <c r="AE363" s="69" t="str">
        <f>VLOOKUP(A363,'[1]DANH SÁCH'!$B$8:$AD$841,13,0)</f>
        <v>Viên chức</v>
      </c>
      <c r="AF363" s="41" t="s">
        <v>79</v>
      </c>
      <c r="AG363" s="42" t="str">
        <f>VLOOKUP(A363,'[1]DANH SÁCH'!$B$8:$H$841,7,0)</f>
        <v>Bác sĩ chính (hạng II)</v>
      </c>
      <c r="AH363" s="45">
        <v>5.08</v>
      </c>
      <c r="AI363" s="42">
        <v>3</v>
      </c>
      <c r="AJ363" s="70">
        <v>0</v>
      </c>
      <c r="AK363" s="69">
        <v>45108</v>
      </c>
      <c r="AL363" s="71" t="s">
        <v>80</v>
      </c>
      <c r="AM363" s="53" t="str">
        <f>VLOOKUP(A363,'[1]DANH SÁCH'!$B$8:$F$841,5,0)</f>
        <v>BSCKII</v>
      </c>
      <c r="AN363" s="53" t="s">
        <v>2665</v>
      </c>
      <c r="AO363" s="53"/>
      <c r="AP363" s="53"/>
      <c r="AQ363" s="53"/>
      <c r="AR363" s="42" t="s">
        <v>82</v>
      </c>
      <c r="AS363" s="42" t="s">
        <v>100</v>
      </c>
      <c r="AT363" s="47" t="s">
        <v>101</v>
      </c>
      <c r="AU363" s="42" t="str">
        <f>VLOOKUP(A363,'[1]Chứng chỉ'!$B$8:$Q$1111,14,0)</f>
        <v>Anh C</v>
      </c>
      <c r="AV363" s="42" t="str">
        <f>VLOOKUP(A363,'[1]Chứng chỉ'!$B$8:$Q$1111,15,0)</f>
        <v>Có</v>
      </c>
      <c r="AW363" s="42" t="str">
        <f>VLOOKUP(A363,'[1]Chứng chỉ'!$B$8:$Q$1111,16,0)</f>
        <v>Tin học văn phòng B</v>
      </c>
      <c r="AX363" s="42"/>
      <c r="AY363" s="57" t="s">
        <v>87</v>
      </c>
      <c r="AZ363" s="65">
        <v>37422</v>
      </c>
      <c r="BA363" s="74" t="e">
        <f t="shared" si="139"/>
        <v>#REF!</v>
      </c>
      <c r="BB363" s="74" t="e">
        <f t="shared" si="140"/>
        <v>#REF!</v>
      </c>
      <c r="BC363" s="41"/>
      <c r="BD363" s="42"/>
    </row>
    <row r="364" spans="1:56" ht="40.799999999999997" x14ac:dyDescent="0.3">
      <c r="A364" s="41" t="s">
        <v>2666</v>
      </c>
      <c r="B364" s="42">
        <f t="shared" si="110"/>
        <v>358</v>
      </c>
      <c r="C364" s="68" t="s">
        <v>2051</v>
      </c>
      <c r="D364" s="41" t="s">
        <v>2666</v>
      </c>
      <c r="E364" s="61">
        <v>2013002637</v>
      </c>
      <c r="F364" s="64"/>
      <c r="G364" s="49" t="s">
        <v>2667</v>
      </c>
      <c r="H364" s="76"/>
      <c r="I364" s="118" t="s">
        <v>2668</v>
      </c>
      <c r="J364" s="66">
        <f t="shared" ca="1" si="141"/>
        <v>38</v>
      </c>
      <c r="K364" s="75" t="s">
        <v>2669</v>
      </c>
      <c r="L364" s="41" t="s">
        <v>2670</v>
      </c>
      <c r="M364" s="53" t="s">
        <v>67</v>
      </c>
      <c r="N364" s="66"/>
      <c r="O364" s="53" t="s">
        <v>2671</v>
      </c>
      <c r="P364" s="49" t="s">
        <v>70</v>
      </c>
      <c r="Q364" s="49" t="s">
        <v>71</v>
      </c>
      <c r="R364" s="49"/>
      <c r="S364" s="49" t="s">
        <v>2671</v>
      </c>
      <c r="T364" s="49" t="s">
        <v>70</v>
      </c>
      <c r="U364" s="49" t="s">
        <v>94</v>
      </c>
      <c r="V364" s="49" t="str">
        <f t="shared" si="138"/>
        <v>TT Thất Khê, Tràng Định, Tỉnh Lạng Sơn</v>
      </c>
      <c r="W364" s="86" t="s">
        <v>249</v>
      </c>
      <c r="X364" s="41"/>
      <c r="Y364" s="41"/>
      <c r="Z364" s="41"/>
      <c r="AA364" s="68" t="str">
        <f>VLOOKUP(A364,'[1]DANH SÁCH'!$B$8:$AD$841,12,0)</f>
        <v>Phó trưởng khoa</v>
      </c>
      <c r="AB364" s="49" t="str">
        <f>VLOOKUP(A364,'[1]DANH SÁCH'!$B$8:$H$841,6,0)</f>
        <v>TĐ003</v>
      </c>
      <c r="AC364" s="69" t="str">
        <f>VLOOKUP(A364,'[1]DANH SÁCH'!$B$8:$J$841,9,0)</f>
        <v>HS-VS</v>
      </c>
      <c r="AD364" s="69" t="str">
        <f>VLOOKUP(A364,'[1]DANH SÁCH'!$B$8:$AC$841,10,0)</f>
        <v>KP030</v>
      </c>
      <c r="AE364" s="69" t="str">
        <f>VLOOKUP(A364,'[1]DANH SÁCH'!$B$8:$AD$841,13,0)</f>
        <v>Viên chức</v>
      </c>
      <c r="AF364" s="41" t="s">
        <v>274</v>
      </c>
      <c r="AG364" s="42" t="str">
        <f>VLOOKUP(A364,'[1]DANH SÁCH'!$B$8:$H$841,7,0)</f>
        <v>Bác sĩ chính (hạng II)</v>
      </c>
      <c r="AH364" s="45">
        <v>4.4000000000000004</v>
      </c>
      <c r="AI364" s="42">
        <v>1</v>
      </c>
      <c r="AJ364" s="70">
        <v>0</v>
      </c>
      <c r="AK364" s="69">
        <v>45809</v>
      </c>
      <c r="AL364" s="71" t="s">
        <v>80</v>
      </c>
      <c r="AM364" s="53" t="str">
        <f>VLOOKUP(A364,'[1]DANH SÁCH'!$B$8:$F$841,5,0)</f>
        <v>BSCKI</v>
      </c>
      <c r="AN364" s="53" t="s">
        <v>2672</v>
      </c>
      <c r="AO364" s="53"/>
      <c r="AP364" s="53"/>
      <c r="AQ364" s="53"/>
      <c r="AR364" s="42">
        <f>VLOOKUP(A364,'[1]Chứng chỉ'!$B$8:$Q$1111,11,0)</f>
        <v>0</v>
      </c>
      <c r="AS364" s="42" t="str">
        <f>VLOOKUP(A364,'[1]Chứng chỉ'!$B$8:$Q$1111,12,0)</f>
        <v>Có</v>
      </c>
      <c r="AT364" s="47" t="s">
        <v>139</v>
      </c>
      <c r="AU364" s="42" t="str">
        <f>VLOOKUP(A364,'[1]Chứng chỉ'!$B$8:$Q$1111,14,0)</f>
        <v>Anh B</v>
      </c>
      <c r="AV364" s="42">
        <f>VLOOKUP(A364,'[1]Chứng chỉ'!$B$8:$Q$1111,15,0)</f>
        <v>0</v>
      </c>
      <c r="AW364" s="42" t="str">
        <f>VLOOKUP(A364,'[1]Chứng chỉ'!$B$8:$Q$1111,16,0)</f>
        <v>Tin học văn phòng B</v>
      </c>
      <c r="AX364" s="42"/>
      <c r="AY364" s="115" t="s">
        <v>85</v>
      </c>
      <c r="AZ364" s="65"/>
      <c r="BA364" s="74" t="e">
        <f t="shared" si="139"/>
        <v>#REF!</v>
      </c>
      <c r="BB364" s="74" t="e">
        <f t="shared" si="140"/>
        <v>#REF!</v>
      </c>
      <c r="BC364" s="41"/>
      <c r="BD364" s="42"/>
    </row>
    <row r="365" spans="1:56" ht="61.2" x14ac:dyDescent="0.3">
      <c r="A365" s="41" t="s">
        <v>2673</v>
      </c>
      <c r="B365" s="42">
        <f t="shared" si="110"/>
        <v>359</v>
      </c>
      <c r="C365" s="68" t="s">
        <v>2674</v>
      </c>
      <c r="D365" s="41" t="s">
        <v>2673</v>
      </c>
      <c r="E365" s="61">
        <v>2008000249</v>
      </c>
      <c r="F365" s="64"/>
      <c r="G365" s="49" t="s">
        <v>2675</v>
      </c>
      <c r="H365" s="76"/>
      <c r="I365" s="76">
        <v>30768</v>
      </c>
      <c r="J365" s="66">
        <f t="shared" ca="1" si="141"/>
        <v>42</v>
      </c>
      <c r="K365" s="75" t="s">
        <v>2676</v>
      </c>
      <c r="L365" s="41" t="s">
        <v>2677</v>
      </c>
      <c r="M365" s="53" t="s">
        <v>67</v>
      </c>
      <c r="N365" s="66"/>
      <c r="O365" s="85"/>
      <c r="P365" s="76" t="s">
        <v>2678</v>
      </c>
      <c r="Q365" s="76" t="s">
        <v>235</v>
      </c>
      <c r="R365" s="76"/>
      <c r="S365" s="76" t="s">
        <v>96</v>
      </c>
      <c r="T365" s="76" t="s">
        <v>97</v>
      </c>
      <c r="U365" s="76" t="s">
        <v>94</v>
      </c>
      <c r="V365" s="49" t="str">
        <f t="shared" si="138"/>
        <v>Phường Hoàng Văn Thụ, Thành phố Lạng Sơn, Tỉnh Lạng Sơn</v>
      </c>
      <c r="W365" s="55" t="s">
        <v>315</v>
      </c>
      <c r="X365" s="41"/>
      <c r="Y365" s="41"/>
      <c r="Z365" s="41"/>
      <c r="AA365" s="68" t="str">
        <f>VLOOKUP(A365,'[1]DANH SÁCH'!$B$8:$AD$841,12,0)</f>
        <v>Phụ trách điều dưỡng</v>
      </c>
      <c r="AB365" s="49" t="str">
        <f>VLOOKUP(A365,'[1]DANH SÁCH'!$B$8:$H$841,6,0)</f>
        <v>TĐ014</v>
      </c>
      <c r="AC365" s="69" t="str">
        <f>VLOOKUP(A365,'[1]DANH SÁCH'!$B$8:$J$841,9,0)</f>
        <v>HS-VS</v>
      </c>
      <c r="AD365" s="69" t="str">
        <f>VLOOKUP(A365,'[1]DANH SÁCH'!$B$8:$AC$841,10,0)</f>
        <v>KP030</v>
      </c>
      <c r="AE365" s="69" t="str">
        <f>VLOOKUP(A365,'[1]DANH SÁCH'!$B$8:$AD$841,13,0)</f>
        <v>Viên chức</v>
      </c>
      <c r="AF365" s="41" t="s">
        <v>257</v>
      </c>
      <c r="AG365" s="42" t="str">
        <f>VLOOKUP(A365,'[1]DANH SÁCH'!$B$8:$H$841,7,0)</f>
        <v>Kỹ thuật y (hạng III)</v>
      </c>
      <c r="AH365" s="45">
        <v>3.33</v>
      </c>
      <c r="AI365" s="42">
        <v>4</v>
      </c>
      <c r="AJ365" s="70">
        <v>0</v>
      </c>
      <c r="AK365" s="69">
        <v>45292</v>
      </c>
      <c r="AL365" s="71" t="s">
        <v>80</v>
      </c>
      <c r="AM365" s="53" t="str">
        <f>VLOOKUP(A365,'[1]DANH SÁCH'!$B$8:$F$841,5,0)</f>
        <v>KTY ĐH</v>
      </c>
      <c r="AN365" s="53"/>
      <c r="AO365" s="53"/>
      <c r="AP365" s="53"/>
      <c r="AQ365" s="53"/>
      <c r="AR365" s="42">
        <f>VLOOKUP(A365,'[1]Chứng chỉ'!$B$8:$Q$1111,11,0)</f>
        <v>0</v>
      </c>
      <c r="AS365" s="42">
        <f>VLOOKUP(A365,'[1]Chứng chỉ'!$B$8:$Q$1111,12,0)</f>
        <v>0</v>
      </c>
      <c r="AT365" s="47">
        <f>VLOOKUP(A365,'[1]Chứng chỉ'!$B$8:$Q$1111,13,0)</f>
        <v>0</v>
      </c>
      <c r="AU365" s="42">
        <f>VLOOKUP(A365,'[1]Chứng chỉ'!$B$8:$Q$1111,14,0)</f>
        <v>0</v>
      </c>
      <c r="AV365" s="42" t="str">
        <f>VLOOKUP(A365,'[1]Chứng chỉ'!$B$8:$Q$1111,15,0)</f>
        <v>Có</v>
      </c>
      <c r="AW365" s="42" t="str">
        <f>VLOOKUP(A365,'[1]Chứng chỉ'!$B$8:$Q$1111,16,0)</f>
        <v>Cơ bản</v>
      </c>
      <c r="AX365" s="42"/>
      <c r="AY365" s="57" t="s">
        <v>87</v>
      </c>
      <c r="AZ365" s="65"/>
      <c r="BA365" s="74" t="e">
        <f t="shared" si="139"/>
        <v>#REF!</v>
      </c>
      <c r="BB365" s="74" t="e">
        <f t="shared" si="140"/>
        <v>#REF!</v>
      </c>
      <c r="BC365" s="41"/>
      <c r="BD365" s="42"/>
    </row>
    <row r="366" spans="1:56" ht="51" x14ac:dyDescent="0.3">
      <c r="A366" s="41" t="s">
        <v>2679</v>
      </c>
      <c r="B366" s="42">
        <f t="shared" si="110"/>
        <v>360</v>
      </c>
      <c r="C366" s="68" t="s">
        <v>2680</v>
      </c>
      <c r="D366" s="41" t="s">
        <v>2679</v>
      </c>
      <c r="E366" s="61">
        <v>1596003572</v>
      </c>
      <c r="F366" s="64"/>
      <c r="G366" s="49" t="s">
        <v>2681</v>
      </c>
      <c r="H366" s="76"/>
      <c r="I366" s="76">
        <v>26541</v>
      </c>
      <c r="J366" s="66">
        <f t="shared" ca="1" si="141"/>
        <v>53</v>
      </c>
      <c r="K366" s="75" t="s">
        <v>2682</v>
      </c>
      <c r="L366" s="41" t="s">
        <v>2683</v>
      </c>
      <c r="M366" s="53" t="s">
        <v>67</v>
      </c>
      <c r="N366" s="66"/>
      <c r="O366" s="53"/>
      <c r="P366" s="49" t="s">
        <v>231</v>
      </c>
      <c r="Q366" s="49" t="s">
        <v>94</v>
      </c>
      <c r="R366" s="49" t="s">
        <v>2684</v>
      </c>
      <c r="S366" s="49" t="s">
        <v>230</v>
      </c>
      <c r="T366" s="49" t="s">
        <v>231</v>
      </c>
      <c r="U366" s="49" t="s">
        <v>94</v>
      </c>
      <c r="V366" s="49" t="str">
        <f t="shared" si="138"/>
        <v>Thị trấn Đình Lập, Huyện Đình Lập, Tỉnh Lạng Sơn</v>
      </c>
      <c r="W366" s="55" t="s">
        <v>2685</v>
      </c>
      <c r="X366" s="41"/>
      <c r="Y366" s="41"/>
      <c r="Z366" s="41"/>
      <c r="AA366" s="68">
        <f>VLOOKUP(A366,'[1]DANH SÁCH'!$B$8:$AD$841,12,0)</f>
        <v>0</v>
      </c>
      <c r="AB366" s="49" t="str">
        <f>VLOOKUP(A366,'[1]DANH SÁCH'!$B$8:$H$841,6,0)</f>
        <v>TĐ015</v>
      </c>
      <c r="AC366" s="69" t="str">
        <f>VLOOKUP(A366,'[1]DANH SÁCH'!$B$8:$J$841,9,0)</f>
        <v>HS-VS</v>
      </c>
      <c r="AD366" s="69" t="str">
        <f>VLOOKUP(A366,'[1]DANH SÁCH'!$B$8:$AC$841,10,0)</f>
        <v>KP030</v>
      </c>
      <c r="AE366" s="69" t="str">
        <f>VLOOKUP(A366,'[1]DANH SÁCH'!$B$8:$AD$841,13,0)</f>
        <v>Viên chức</v>
      </c>
      <c r="AF366" s="41" t="s">
        <v>257</v>
      </c>
      <c r="AG366" s="42" t="str">
        <f>VLOOKUP(A366,'[1]DANH SÁCH'!$B$8:$H$841,7,0)</f>
        <v>Kỹ thuật y (hạng IV)</v>
      </c>
      <c r="AH366" s="45">
        <v>4.8899999999999997</v>
      </c>
      <c r="AI366" s="42">
        <v>10</v>
      </c>
      <c r="AJ366" s="70">
        <v>0</v>
      </c>
      <c r="AK366" s="69">
        <v>45839</v>
      </c>
      <c r="AL366" s="71" t="s">
        <v>158</v>
      </c>
      <c r="AM366" s="53" t="str">
        <f>VLOOKUP(A366,'[1]DANH SÁCH'!$B$8:$F$841,5,0)</f>
        <v>KTY CĐ</v>
      </c>
      <c r="AN366" s="53"/>
      <c r="AO366" s="53"/>
      <c r="AP366" s="53"/>
      <c r="AQ366" s="53"/>
      <c r="AR366" s="42">
        <f>VLOOKUP(A366,'[1]Chứng chỉ'!$B$8:$Q$1111,11,0)</f>
        <v>0</v>
      </c>
      <c r="AS366" s="42">
        <f>VLOOKUP(A366,'[1]Chứng chỉ'!$B$8:$Q$1111,12,0)</f>
        <v>0</v>
      </c>
      <c r="AT366" s="47">
        <f>VLOOKUP(A366,'[1]Chứng chỉ'!$B$8:$Q$1111,13,0)</f>
        <v>0</v>
      </c>
      <c r="AU366" s="42" t="str">
        <f>VLOOKUP(A366,'[1]Chứng chỉ'!$B$8:$Q$1111,14,0)</f>
        <v>Anh B</v>
      </c>
      <c r="AV366" s="42">
        <f>VLOOKUP(A366,'[1]Chứng chỉ'!$B$8:$Q$1111,15,0)</f>
        <v>0</v>
      </c>
      <c r="AW366" s="42" t="str">
        <f>VLOOKUP(A366,'[1]Chứng chỉ'!$B$8:$Q$1111,16,0)</f>
        <v>Tin học B</v>
      </c>
      <c r="AX366" s="42"/>
      <c r="AY366" s="57" t="s">
        <v>85</v>
      </c>
      <c r="AZ366" s="65">
        <v>36515</v>
      </c>
      <c r="BA366" s="74" t="e">
        <f t="shared" si="139"/>
        <v>#REF!</v>
      </c>
      <c r="BB366" s="74" t="e">
        <f t="shared" si="140"/>
        <v>#REF!</v>
      </c>
      <c r="BC366" s="41"/>
      <c r="BD366" s="42"/>
    </row>
    <row r="367" spans="1:56" ht="61.2" x14ac:dyDescent="0.3">
      <c r="A367" s="41" t="s">
        <v>2686</v>
      </c>
      <c r="B367" s="42">
        <f t="shared" si="110"/>
        <v>361</v>
      </c>
      <c r="C367" s="68" t="s">
        <v>2687</v>
      </c>
      <c r="D367" s="41" t="s">
        <v>2686</v>
      </c>
      <c r="E367" s="61">
        <v>2014002800</v>
      </c>
      <c r="F367" s="64"/>
      <c r="G367" s="49" t="s">
        <v>2688</v>
      </c>
      <c r="H367" s="76"/>
      <c r="I367" s="76">
        <v>33638</v>
      </c>
      <c r="J367" s="66">
        <f t="shared" ca="1" si="141"/>
        <v>34</v>
      </c>
      <c r="K367" s="75" t="s">
        <v>2689</v>
      </c>
      <c r="L367" s="41" t="s">
        <v>1929</v>
      </c>
      <c r="M367" s="53" t="s">
        <v>67</v>
      </c>
      <c r="N367" s="66"/>
      <c r="O367" s="53" t="s">
        <v>124</v>
      </c>
      <c r="P367" s="49" t="s">
        <v>97</v>
      </c>
      <c r="Q367" s="49" t="s">
        <v>94</v>
      </c>
      <c r="R367" s="76"/>
      <c r="S367" s="49" t="s">
        <v>124</v>
      </c>
      <c r="T367" s="49" t="s">
        <v>97</v>
      </c>
      <c r="U367" s="49" t="s">
        <v>94</v>
      </c>
      <c r="V367" s="49" t="str">
        <f t="shared" si="138"/>
        <v>Phường Đông Kinh, Thành phố Lạng Sơn, Tỉnh Lạng Sơn</v>
      </c>
      <c r="W367" s="86" t="s">
        <v>249</v>
      </c>
      <c r="X367" s="41"/>
      <c r="Y367" s="41"/>
      <c r="Z367" s="41"/>
      <c r="AA367" s="68">
        <f>VLOOKUP(A367,'[1]DANH SÁCH'!$B$8:$AD$841,12,0)</f>
        <v>0</v>
      </c>
      <c r="AB367" s="49" t="str">
        <f>VLOOKUP(A367,'[1]DANH SÁCH'!$B$8:$H$841,6,0)</f>
        <v>TĐ015</v>
      </c>
      <c r="AC367" s="69" t="str">
        <f>VLOOKUP(A367,'[1]DANH SÁCH'!$B$8:$J$841,9,0)</f>
        <v>HS-VS</v>
      </c>
      <c r="AD367" s="69" t="str">
        <f>VLOOKUP(A367,'[1]DANH SÁCH'!$B$8:$AC$841,10,0)</f>
        <v>KP030</v>
      </c>
      <c r="AE367" s="69" t="str">
        <f>VLOOKUP(A367,'[1]DANH SÁCH'!$B$8:$AD$841,13,0)</f>
        <v>Viên chức</v>
      </c>
      <c r="AF367" s="41" t="s">
        <v>257</v>
      </c>
      <c r="AG367" s="42" t="str">
        <f>VLOOKUP(A367,'[1]DANH SÁCH'!$B$8:$H$841,7,0)</f>
        <v>Kỹ thuật y (hạng IV)</v>
      </c>
      <c r="AH367" s="45">
        <v>3.03</v>
      </c>
      <c r="AI367" s="42">
        <v>4</v>
      </c>
      <c r="AJ367" s="70">
        <v>0</v>
      </c>
      <c r="AK367" s="69">
        <v>45231</v>
      </c>
      <c r="AL367" s="71" t="s">
        <v>158</v>
      </c>
      <c r="AM367" s="53" t="str">
        <f>VLOOKUP(A367,'[1]DANH SÁCH'!$B$8:$F$841,5,0)</f>
        <v>KTY CĐ</v>
      </c>
      <c r="AN367" s="53"/>
      <c r="AO367" s="53"/>
      <c r="AP367" s="53"/>
      <c r="AQ367" s="53"/>
      <c r="AR367" s="42">
        <f>VLOOKUP(A367,'[1]Chứng chỉ'!$B$8:$Q$1111,11,0)</f>
        <v>0</v>
      </c>
      <c r="AS367" s="42">
        <f>VLOOKUP(A367,'[1]Chứng chỉ'!$B$8:$Q$1111,12,0)</f>
        <v>0</v>
      </c>
      <c r="AT367" s="47">
        <f>VLOOKUP(A367,'[1]Chứng chỉ'!$B$8:$Q$1111,13,0)</f>
        <v>0</v>
      </c>
      <c r="AU367" s="42" t="str">
        <f>VLOOKUP(A367,'[1]Chứng chỉ'!$B$8:$Q$1111,14,0)</f>
        <v>Anh B</v>
      </c>
      <c r="AV367" s="42">
        <f>VLOOKUP(A367,'[1]Chứng chỉ'!$B$8:$Q$1111,15,0)</f>
        <v>0</v>
      </c>
      <c r="AW367" s="42" t="str">
        <f>VLOOKUP(A367,'[1]Chứng chỉ'!$B$8:$Q$1111,16,0)</f>
        <v>Tin học văn phòng B</v>
      </c>
      <c r="AX367" s="42"/>
      <c r="AY367" s="57" t="s">
        <v>85</v>
      </c>
      <c r="AZ367" s="65"/>
      <c r="BA367" s="74" t="e">
        <f t="shared" si="139"/>
        <v>#REF!</v>
      </c>
      <c r="BB367" s="74" t="e">
        <f t="shared" si="140"/>
        <v>#REF!</v>
      </c>
      <c r="BC367" s="41"/>
      <c r="BD367" s="42"/>
    </row>
    <row r="368" spans="1:56" ht="61.2" x14ac:dyDescent="0.3">
      <c r="A368" s="41" t="s">
        <v>2690</v>
      </c>
      <c r="B368" s="42">
        <f t="shared" si="110"/>
        <v>362</v>
      </c>
      <c r="C368" s="68" t="s">
        <v>2691</v>
      </c>
      <c r="D368" s="41" t="s">
        <v>2690</v>
      </c>
      <c r="E368" s="61">
        <v>2011001410</v>
      </c>
      <c r="F368" s="64"/>
      <c r="G368" s="49" t="s">
        <v>2692</v>
      </c>
      <c r="H368" s="76"/>
      <c r="I368" s="76">
        <v>32137</v>
      </c>
      <c r="J368" s="66">
        <f t="shared" ca="1" si="141"/>
        <v>38</v>
      </c>
      <c r="K368" s="75" t="s">
        <v>2693</v>
      </c>
      <c r="L368" s="41" t="s">
        <v>2694</v>
      </c>
      <c r="M368" s="53" t="s">
        <v>67</v>
      </c>
      <c r="N368" s="66"/>
      <c r="O368" s="53"/>
      <c r="P368" s="49"/>
      <c r="Q368" s="49" t="s">
        <v>135</v>
      </c>
      <c r="R368" s="49"/>
      <c r="S368" s="49" t="s">
        <v>166</v>
      </c>
      <c r="T368" s="49" t="s">
        <v>97</v>
      </c>
      <c r="U368" s="49" t="s">
        <v>94</v>
      </c>
      <c r="V368" s="49" t="str">
        <f t="shared" si="138"/>
        <v>Phường Tam Thanh, Thành phố Lạng Sơn, Tỉnh Lạng Sơn</v>
      </c>
      <c r="W368" s="55" t="s">
        <v>315</v>
      </c>
      <c r="X368" s="41"/>
      <c r="Y368" s="41"/>
      <c r="Z368" s="41"/>
      <c r="AA368" s="68">
        <f>VLOOKUP(A368,'[1]DANH SÁCH'!$B$8:$AD$841,12,0)</f>
        <v>0</v>
      </c>
      <c r="AB368" s="49" t="str">
        <f>VLOOKUP(A368,'[1]DANH SÁCH'!$B$8:$H$841,6,0)</f>
        <v>TĐ015</v>
      </c>
      <c r="AC368" s="69" t="str">
        <f>VLOOKUP(A368,'[1]DANH SÁCH'!$B$8:$J$841,9,0)</f>
        <v>HS-VS</v>
      </c>
      <c r="AD368" s="69" t="str">
        <f>VLOOKUP(A368,'[1]DANH SÁCH'!$B$8:$AC$841,10,0)</f>
        <v>KP030</v>
      </c>
      <c r="AE368" s="69" t="str">
        <f>VLOOKUP(A368,'[1]DANH SÁCH'!$B$8:$AD$841,13,0)</f>
        <v>Viên chức</v>
      </c>
      <c r="AF368" s="41" t="s">
        <v>257</v>
      </c>
      <c r="AG368" s="42" t="str">
        <f>VLOOKUP(A368,'[1]DANH SÁCH'!$B$8:$H$841,7,0)</f>
        <v>Kỹ thuật y (hạng IV)</v>
      </c>
      <c r="AH368" s="45">
        <v>3.34</v>
      </c>
      <c r="AI368" s="42">
        <v>5</v>
      </c>
      <c r="AJ368" s="70">
        <v>0</v>
      </c>
      <c r="AK368" s="69">
        <v>45672</v>
      </c>
      <c r="AL368" s="71" t="s">
        <v>101</v>
      </c>
      <c r="AM368" s="53" t="str">
        <f>VLOOKUP(A368,'[1]DANH SÁCH'!$B$8:$F$841,5,0)</f>
        <v>KTY CĐ</v>
      </c>
      <c r="AN368" s="53"/>
      <c r="AO368" s="53"/>
      <c r="AP368" s="53"/>
      <c r="AQ368" s="53"/>
      <c r="AR368" s="42">
        <f>VLOOKUP(A368,'[1]Chứng chỉ'!$B$8:$Q$1111,11,0)</f>
        <v>0</v>
      </c>
      <c r="AS368" s="42">
        <f>VLOOKUP(A368,'[1]Chứng chỉ'!$B$8:$Q$1111,12,0)</f>
        <v>0</v>
      </c>
      <c r="AT368" s="47">
        <f>VLOOKUP(A368,'[1]Chứng chỉ'!$B$8:$Q$1111,13,0)</f>
        <v>0</v>
      </c>
      <c r="AU368" s="42" t="str">
        <f>VLOOKUP(A368,'[1]Chứng chỉ'!$B$8:$Q$1111,14,0)</f>
        <v>Anh B</v>
      </c>
      <c r="AV368" s="42">
        <f>VLOOKUP(A368,'[1]Chứng chỉ'!$B$8:$Q$1111,15,0)</f>
        <v>0</v>
      </c>
      <c r="AW368" s="42" t="str">
        <f>VLOOKUP(A368,'[1]Chứng chỉ'!$B$8:$Q$1111,16,0)</f>
        <v>Tin học văn phòng B</v>
      </c>
      <c r="AX368" s="42"/>
      <c r="AY368" s="57" t="s">
        <v>87</v>
      </c>
      <c r="AZ368" s="65"/>
      <c r="BA368" s="74" t="e">
        <f t="shared" si="139"/>
        <v>#REF!</v>
      </c>
      <c r="BB368" s="74" t="e">
        <f t="shared" si="140"/>
        <v>#REF!</v>
      </c>
      <c r="BC368" s="41"/>
      <c r="BD368" s="42"/>
    </row>
    <row r="369" spans="1:56" ht="61.2" x14ac:dyDescent="0.3">
      <c r="A369" s="41" t="s">
        <v>2695</v>
      </c>
      <c r="B369" s="42">
        <f t="shared" si="110"/>
        <v>363</v>
      </c>
      <c r="C369" s="68" t="s">
        <v>2696</v>
      </c>
      <c r="D369" s="41" t="s">
        <v>2695</v>
      </c>
      <c r="E369" s="61">
        <v>1597020309</v>
      </c>
      <c r="F369" s="64"/>
      <c r="G369" s="49" t="s">
        <v>2697</v>
      </c>
      <c r="H369" s="76"/>
      <c r="I369" s="76">
        <v>25486</v>
      </c>
      <c r="J369" s="66">
        <f t="shared" ca="1" si="141"/>
        <v>56</v>
      </c>
      <c r="K369" s="75" t="s">
        <v>2698</v>
      </c>
      <c r="L369" s="41" t="s">
        <v>2699</v>
      </c>
      <c r="M369" s="53" t="s">
        <v>67</v>
      </c>
      <c r="N369" s="66"/>
      <c r="O369" s="53"/>
      <c r="P369" s="49" t="s">
        <v>108</v>
      </c>
      <c r="Q369" s="49" t="s">
        <v>94</v>
      </c>
      <c r="R369" s="49"/>
      <c r="S369" s="49" t="s">
        <v>166</v>
      </c>
      <c r="T369" s="49" t="s">
        <v>97</v>
      </c>
      <c r="U369" s="49" t="s">
        <v>94</v>
      </c>
      <c r="V369" s="49" t="str">
        <f t="shared" si="138"/>
        <v>Phường Tam Thanh, Thành phố Lạng Sơn, Tỉnh Lạng Sơn</v>
      </c>
      <c r="W369" s="55" t="s">
        <v>2700</v>
      </c>
      <c r="X369" s="41"/>
      <c r="Y369" s="41"/>
      <c r="Z369" s="41"/>
      <c r="AA369" s="68">
        <f>VLOOKUP(A369,'[1]DANH SÁCH'!$B$8:$AD$841,12,0)</f>
        <v>0</v>
      </c>
      <c r="AB369" s="49" t="str">
        <f>VLOOKUP(A369,'[1]DANH SÁCH'!$B$8:$H$841,6,0)</f>
        <v>TĐ016</v>
      </c>
      <c r="AC369" s="69" t="str">
        <f>VLOOKUP(A369,'[1]DANH SÁCH'!$B$8:$J$841,9,0)</f>
        <v>HS-VS</v>
      </c>
      <c r="AD369" s="69" t="str">
        <f>VLOOKUP(A369,'[1]DANH SÁCH'!$B$8:$AC$841,10,0)</f>
        <v>KP030</v>
      </c>
      <c r="AE369" s="69" t="str">
        <f>VLOOKUP(A369,'[1]DANH SÁCH'!$B$8:$AD$841,13,0)</f>
        <v>Viên chức</v>
      </c>
      <c r="AF369" s="41" t="s">
        <v>257</v>
      </c>
      <c r="AG369" s="42" t="str">
        <f>VLOOKUP(A369,'[1]DANH SÁCH'!$B$8:$H$841,7,0)</f>
        <v>Kỹ thuật y (hạng IV)</v>
      </c>
      <c r="AH369" s="45">
        <v>4.0599999999999996</v>
      </c>
      <c r="AI369" s="42">
        <v>12</v>
      </c>
      <c r="AJ369" s="70">
        <v>0.16</v>
      </c>
      <c r="AK369" s="69">
        <v>45778</v>
      </c>
      <c r="AL369" s="71" t="s">
        <v>101</v>
      </c>
      <c r="AM369" s="53" t="str">
        <f>VLOOKUP(A369,'[1]DANH SÁCH'!$B$8:$F$841,5,0)</f>
        <v>KTY TC</v>
      </c>
      <c r="AN369" s="53"/>
      <c r="AO369" s="53"/>
      <c r="AP369" s="53"/>
      <c r="AQ369" s="53"/>
      <c r="AR369" s="42">
        <f>VLOOKUP(A369,'[1]Chứng chỉ'!$B$8:$Q$1111,11,0)</f>
        <v>0</v>
      </c>
      <c r="AS369" s="42">
        <f>VLOOKUP(A369,'[1]Chứng chỉ'!$B$8:$Q$1111,12,0)</f>
        <v>0</v>
      </c>
      <c r="AT369" s="47">
        <f>VLOOKUP(A369,'[1]Chứng chỉ'!$B$8:$Q$1111,13,0)</f>
        <v>0</v>
      </c>
      <c r="AU369" s="42" t="str">
        <f>VLOOKUP(A369,'[1]Chứng chỉ'!$B$8:$Q$1111,14,0)</f>
        <v>Anh B</v>
      </c>
      <c r="AV369" s="42">
        <f>VLOOKUP(A369,'[1]Chứng chỉ'!$B$8:$Q$1111,15,0)</f>
        <v>0</v>
      </c>
      <c r="AW369" s="42" t="str">
        <f>VLOOKUP(A369,'[1]Chứng chỉ'!$B$8:$Q$1111,16,0)</f>
        <v>Tin học A</v>
      </c>
      <c r="AX369" s="42"/>
      <c r="AY369" s="57" t="s">
        <v>85</v>
      </c>
      <c r="AZ369" s="65">
        <v>38971</v>
      </c>
      <c r="BA369" s="74" t="e">
        <f t="shared" si="139"/>
        <v>#REF!</v>
      </c>
      <c r="BB369" s="74" t="e">
        <f t="shared" si="140"/>
        <v>#REF!</v>
      </c>
      <c r="BC369" s="41"/>
      <c r="BD369" s="64"/>
    </row>
    <row r="370" spans="1:56" ht="40.799999999999997" x14ac:dyDescent="0.3">
      <c r="A370" s="41" t="s">
        <v>2701</v>
      </c>
      <c r="B370" s="42">
        <f t="shared" si="110"/>
        <v>364</v>
      </c>
      <c r="C370" s="68" t="s">
        <v>2702</v>
      </c>
      <c r="D370" s="41" t="s">
        <v>2701</v>
      </c>
      <c r="E370" s="61" t="s">
        <v>2703</v>
      </c>
      <c r="F370" s="64"/>
      <c r="G370" s="49" t="s">
        <v>2704</v>
      </c>
      <c r="H370" s="76"/>
      <c r="I370" s="76">
        <v>30992</v>
      </c>
      <c r="J370" s="66">
        <f t="shared" ca="1" si="141"/>
        <v>41</v>
      </c>
      <c r="K370" s="75" t="s">
        <v>2705</v>
      </c>
      <c r="L370" s="41" t="s">
        <v>2706</v>
      </c>
      <c r="M370" s="53" t="s">
        <v>67</v>
      </c>
      <c r="N370" s="66"/>
      <c r="O370" s="53" t="s">
        <v>1022</v>
      </c>
      <c r="P370" s="49" t="s">
        <v>93</v>
      </c>
      <c r="Q370" s="49" t="s">
        <v>94</v>
      </c>
      <c r="R370" s="49" t="s">
        <v>2707</v>
      </c>
      <c r="S370" s="49" t="s">
        <v>1022</v>
      </c>
      <c r="T370" s="49" t="s">
        <v>93</v>
      </c>
      <c r="U370" s="49" t="s">
        <v>94</v>
      </c>
      <c r="V370" s="49" t="str">
        <f t="shared" si="138"/>
        <v>Xã Hưng Vũ, Huyện Bắc Sơn, Tỉnh Lạng Sơn</v>
      </c>
      <c r="W370" s="55" t="s">
        <v>236</v>
      </c>
      <c r="X370" s="41"/>
      <c r="Y370" s="41"/>
      <c r="Z370" s="41"/>
      <c r="AA370" s="68">
        <f>VLOOKUP(A370,'[1]DANH SÁCH'!$B$8:$AD$841,12,0)</f>
        <v>0</v>
      </c>
      <c r="AB370" s="49" t="str">
        <f>VLOOKUP(A370,'[1]DANH SÁCH'!$B$8:$H$841,6,0)</f>
        <v>TĐ014</v>
      </c>
      <c r="AC370" s="69" t="str">
        <f>VLOOKUP(A370,'[1]DANH SÁCH'!$B$8:$J$841,9,0)</f>
        <v>HS-VS</v>
      </c>
      <c r="AD370" s="69" t="str">
        <f>VLOOKUP(A370,'[1]DANH SÁCH'!$B$8:$AC$841,10,0)</f>
        <v>KP030</v>
      </c>
      <c r="AE370" s="69" t="str">
        <f>VLOOKUP(A370,'[1]DANH SÁCH'!$B$8:$AD$841,13,0)</f>
        <v>Viên chức</v>
      </c>
      <c r="AF370" s="41" t="s">
        <v>257</v>
      </c>
      <c r="AG370" s="42" t="str">
        <f>VLOOKUP(A370,'[1]DANH SÁCH'!$B$8:$H$841,7,0)</f>
        <v>Kỹ thuật y (hạng III)</v>
      </c>
      <c r="AH370" s="45">
        <v>3.66</v>
      </c>
      <c r="AI370" s="42">
        <v>5</v>
      </c>
      <c r="AJ370" s="70">
        <v>0</v>
      </c>
      <c r="AK370" s="69">
        <v>45383</v>
      </c>
      <c r="AL370" s="71" t="s">
        <v>80</v>
      </c>
      <c r="AM370" s="53" t="str">
        <f>VLOOKUP(A370,'[1]DANH SÁCH'!$B$8:$F$841,5,0)</f>
        <v>KTY ĐH</v>
      </c>
      <c r="AN370" s="53"/>
      <c r="AO370" s="53"/>
      <c r="AP370" s="53"/>
      <c r="AQ370" s="53"/>
      <c r="AR370" s="42">
        <f>VLOOKUP(A370,'[1]Chứng chỉ'!$B$8:$Q$1111,11,0)</f>
        <v>0</v>
      </c>
      <c r="AS370" s="42">
        <f>VLOOKUP(A370,'[1]Chứng chỉ'!$B$8:$Q$1111,12,0)</f>
        <v>0</v>
      </c>
      <c r="AT370" s="47">
        <f>VLOOKUP(A370,'[1]Chứng chỉ'!$B$8:$Q$1111,13,0)</f>
        <v>0</v>
      </c>
      <c r="AU370" s="42" t="str">
        <f>VLOOKUP(A370,'[1]Chứng chỉ'!$B$8:$Q$1111,14,0)</f>
        <v>Anh A2</v>
      </c>
      <c r="AV370" s="42">
        <f>VLOOKUP(A370,'[1]Chứng chỉ'!$B$8:$Q$1111,15,0)</f>
        <v>0</v>
      </c>
      <c r="AW370" s="42" t="str">
        <f>VLOOKUP(A370,'[1]Chứng chỉ'!$B$8:$Q$1111,16,0)</f>
        <v>Cơ bản</v>
      </c>
      <c r="AX370" s="42"/>
      <c r="AY370" s="57" t="s">
        <v>85</v>
      </c>
      <c r="AZ370" s="65"/>
      <c r="BA370" s="74" t="e">
        <f t="shared" si="139"/>
        <v>#REF!</v>
      </c>
      <c r="BB370" s="74" t="e">
        <f t="shared" si="140"/>
        <v>#REF!</v>
      </c>
      <c r="BC370" s="41"/>
      <c r="BD370" s="42"/>
    </row>
    <row r="371" spans="1:56" ht="61.2" x14ac:dyDescent="0.3">
      <c r="A371" s="41" t="s">
        <v>2708</v>
      </c>
      <c r="B371" s="42">
        <f t="shared" si="110"/>
        <v>365</v>
      </c>
      <c r="C371" s="68" t="s">
        <v>2709</v>
      </c>
      <c r="D371" s="41" t="s">
        <v>2708</v>
      </c>
      <c r="E371" s="61">
        <v>2008002403</v>
      </c>
      <c r="F371" s="64"/>
      <c r="G371" s="49" t="s">
        <v>2710</v>
      </c>
      <c r="H371" s="76"/>
      <c r="I371" s="76">
        <v>30905</v>
      </c>
      <c r="J371" s="66">
        <f t="shared" ca="1" si="141"/>
        <v>42</v>
      </c>
      <c r="K371" s="109" t="s">
        <v>2711</v>
      </c>
      <c r="L371" s="41" t="s">
        <v>2712</v>
      </c>
      <c r="M371" s="53" t="s">
        <v>67</v>
      </c>
      <c r="N371" s="66"/>
      <c r="O371" s="85"/>
      <c r="P371" s="49" t="s">
        <v>195</v>
      </c>
      <c r="Q371" s="76" t="s">
        <v>94</v>
      </c>
      <c r="R371" s="49"/>
      <c r="S371" s="76" t="s">
        <v>96</v>
      </c>
      <c r="T371" s="76" t="s">
        <v>97</v>
      </c>
      <c r="U371" s="76" t="s">
        <v>94</v>
      </c>
      <c r="V371" s="49" t="str">
        <f t="shared" si="138"/>
        <v>Phường Hoàng Văn Thụ, Thành phố Lạng Sơn, Tỉnh Lạng Sơn</v>
      </c>
      <c r="W371" s="55" t="s">
        <v>98</v>
      </c>
      <c r="X371" s="41"/>
      <c r="Y371" s="41"/>
      <c r="Z371" s="41"/>
      <c r="AA371" s="68">
        <f>VLOOKUP(A371,'[1]DANH SÁCH'!$B$8:$AD$841,12,0)</f>
        <v>0</v>
      </c>
      <c r="AB371" s="49" t="str">
        <f>VLOOKUP(A371,'[1]DANH SÁCH'!$B$8:$H$841,6,0)</f>
        <v>TĐ014</v>
      </c>
      <c r="AC371" s="69" t="str">
        <f>VLOOKUP(A371,'[1]DANH SÁCH'!$B$8:$J$841,9,0)</f>
        <v>HS-VS</v>
      </c>
      <c r="AD371" s="69" t="str">
        <f>VLOOKUP(A371,'[1]DANH SÁCH'!$B$8:$AC$841,10,0)</f>
        <v>KP030</v>
      </c>
      <c r="AE371" s="69" t="str">
        <f>VLOOKUP(A371,'[1]DANH SÁCH'!$B$8:$AD$841,13,0)</f>
        <v>Viên chức</v>
      </c>
      <c r="AF371" s="41" t="s">
        <v>257</v>
      </c>
      <c r="AG371" s="42" t="str">
        <f>VLOOKUP(A371,'[1]DANH SÁCH'!$B$8:$H$841,7,0)</f>
        <v>Kỹ thuật y (hạng III)</v>
      </c>
      <c r="AH371" s="45">
        <v>3.66</v>
      </c>
      <c r="AI371" s="42">
        <v>5</v>
      </c>
      <c r="AJ371" s="70">
        <v>0</v>
      </c>
      <c r="AK371" s="69">
        <v>45383</v>
      </c>
      <c r="AL371" s="71" t="s">
        <v>80</v>
      </c>
      <c r="AM371" s="53" t="str">
        <f>VLOOKUP(A371,'[1]DANH SÁCH'!$B$8:$F$841,5,0)</f>
        <v>KTY ĐH</v>
      </c>
      <c r="AN371" s="53"/>
      <c r="AO371" s="53"/>
      <c r="AP371" s="53"/>
      <c r="AQ371" s="53"/>
      <c r="AR371" s="42">
        <f>VLOOKUP(A371,'[1]Chứng chỉ'!$B$8:$Q$1111,11,0)</f>
        <v>0</v>
      </c>
      <c r="AS371" s="42">
        <f>VLOOKUP(A371,'[1]Chứng chỉ'!$B$8:$Q$1111,12,0)</f>
        <v>0</v>
      </c>
      <c r="AT371" s="47">
        <f>VLOOKUP(A371,'[1]Chứng chỉ'!$B$8:$Q$1111,13,0)</f>
        <v>0</v>
      </c>
      <c r="AU371" s="42" t="str">
        <f>VLOOKUP(A371,'[1]Chứng chỉ'!$B$8:$Q$1111,14,0)</f>
        <v>Anh A2</v>
      </c>
      <c r="AV371" s="42">
        <f>VLOOKUP(A371,'[1]Chứng chỉ'!$B$8:$Q$1111,15,0)</f>
        <v>0</v>
      </c>
      <c r="AW371" s="42" t="str">
        <f>VLOOKUP(A371,'[1]Chứng chỉ'!$B$8:$Q$1111,16,0)</f>
        <v>Cơ bản</v>
      </c>
      <c r="AX371" s="42"/>
      <c r="AY371" s="57" t="s">
        <v>85</v>
      </c>
      <c r="AZ371" s="65">
        <v>40843</v>
      </c>
      <c r="BA371" s="74" t="e">
        <f t="shared" si="139"/>
        <v>#REF!</v>
      </c>
      <c r="BB371" s="74" t="e">
        <f t="shared" si="140"/>
        <v>#REF!</v>
      </c>
      <c r="BC371" s="41"/>
      <c r="BD371" s="42"/>
    </row>
    <row r="372" spans="1:56" ht="40.799999999999997" x14ac:dyDescent="0.3">
      <c r="A372" s="102" t="s">
        <v>2713</v>
      </c>
      <c r="B372" s="42">
        <f t="shared" si="110"/>
        <v>366</v>
      </c>
      <c r="C372" s="93" t="s">
        <v>2714</v>
      </c>
      <c r="D372" s="102" t="s">
        <v>2713</v>
      </c>
      <c r="E372" s="61" t="s">
        <v>2715</v>
      </c>
      <c r="F372" s="122"/>
      <c r="G372" s="49" t="s">
        <v>2716</v>
      </c>
      <c r="H372" s="102" t="s">
        <v>2717</v>
      </c>
      <c r="I372" s="102"/>
      <c r="J372" s="66">
        <f ca="1">INT(DATEDIF(H372,$J$2,"d")/365)</f>
        <v>34</v>
      </c>
      <c r="K372" s="75" t="s">
        <v>2718</v>
      </c>
      <c r="L372" s="120" t="s">
        <v>2719</v>
      </c>
      <c r="M372" s="53" t="s">
        <v>67</v>
      </c>
      <c r="N372" s="131" t="s">
        <v>2720</v>
      </c>
      <c r="O372" s="132" t="s">
        <v>2721</v>
      </c>
      <c r="P372" s="115" t="s">
        <v>1116</v>
      </c>
      <c r="Q372" s="115" t="s">
        <v>71</v>
      </c>
      <c r="R372" s="115" t="s">
        <v>2722</v>
      </c>
      <c r="S372" s="115" t="s">
        <v>2723</v>
      </c>
      <c r="T372" s="115" t="s">
        <v>1116</v>
      </c>
      <c r="U372" s="115" t="s">
        <v>71</v>
      </c>
      <c r="V372" s="49" t="str">
        <f t="shared" si="138"/>
        <v>Tô Hiệu, Bình Gia, Lạng Sơn</v>
      </c>
      <c r="W372" s="130" t="s">
        <v>249</v>
      </c>
      <c r="X372" s="120" t="s">
        <v>2724</v>
      </c>
      <c r="Y372" s="120" t="s">
        <v>2725</v>
      </c>
      <c r="Z372" s="120" t="s">
        <v>2726</v>
      </c>
      <c r="AA372" s="68">
        <f>VLOOKUP(A372,'[1]DANH SÁCH'!$B$8:$AD$841,12,0)</f>
        <v>0</v>
      </c>
      <c r="AB372" s="49" t="str">
        <f>VLOOKUP(A372,'[1]DANH SÁCH'!$B$8:$H$841,6,0)</f>
        <v>TĐ015</v>
      </c>
      <c r="AC372" s="69" t="str">
        <f>VLOOKUP(A372,'[1]DANH SÁCH'!$B$8:$J$841,9,0)</f>
        <v>HS-VS</v>
      </c>
      <c r="AD372" s="69" t="str">
        <f>VLOOKUP(A372,'[1]DANH SÁCH'!$B$8:$AC$841,10,0)</f>
        <v>KP030</v>
      </c>
      <c r="AE372" s="69" t="str">
        <f>VLOOKUP(A372,'[1]DANH SÁCH'!$B$8:$AD$841,13,0)</f>
        <v>Viên chức</v>
      </c>
      <c r="AF372" s="41" t="s">
        <v>257</v>
      </c>
      <c r="AG372" s="115" t="s">
        <v>2657</v>
      </c>
      <c r="AH372" s="45">
        <v>3.03</v>
      </c>
      <c r="AI372" s="42">
        <v>4</v>
      </c>
      <c r="AJ372" s="70">
        <v>0</v>
      </c>
      <c r="AK372" s="69">
        <v>45597</v>
      </c>
      <c r="AL372" s="71" t="s">
        <v>101</v>
      </c>
      <c r="AM372" s="53" t="str">
        <f>VLOOKUP(A372,'[1]DANH SÁCH'!$B$8:$F$841,5,0)</f>
        <v>KTY CĐ</v>
      </c>
      <c r="AN372" s="53"/>
      <c r="AO372" s="53"/>
      <c r="AP372" s="53"/>
      <c r="AQ372" s="53"/>
      <c r="AR372" s="42">
        <f>VLOOKUP(A372,'[1]Chứng chỉ'!$B$8:$Q$1111,11,0)</f>
        <v>0</v>
      </c>
      <c r="AS372" s="42">
        <f>VLOOKUP(A372,'[1]Chứng chỉ'!$B$8:$Q$1111,12,0)</f>
        <v>0</v>
      </c>
      <c r="AT372" s="47">
        <f>VLOOKUP(A372,'[1]Chứng chỉ'!$B$8:$Q$1111,13,0)</f>
        <v>0</v>
      </c>
      <c r="AU372" s="42" t="str">
        <f>VLOOKUP(A372,'[1]Chứng chỉ'!$B$8:$Q$1111,14,0)</f>
        <v>Anh B</v>
      </c>
      <c r="AV372" s="42" t="str">
        <f>VLOOKUP(A372,'[1]Chứng chỉ'!$B$8:$Q$1111,15,0)</f>
        <v>Có</v>
      </c>
      <c r="AW372" s="42" t="str">
        <f>VLOOKUP(A372,'[1]Chứng chỉ'!$B$8:$Q$1111,16,0)</f>
        <v>Tin học văn phòng B</v>
      </c>
      <c r="AX372" s="115"/>
      <c r="AY372" s="115" t="s">
        <v>127</v>
      </c>
      <c r="AZ372" s="65"/>
      <c r="BA372" s="74" t="e">
        <f t="shared" si="139"/>
        <v>#REF!</v>
      </c>
      <c r="BB372" s="74" t="e">
        <f t="shared" si="140"/>
        <v>#REF!</v>
      </c>
      <c r="BC372" s="41"/>
      <c r="BD372" s="64"/>
    </row>
    <row r="373" spans="1:56" ht="61.2" x14ac:dyDescent="0.3">
      <c r="A373" s="41" t="s">
        <v>2727</v>
      </c>
      <c r="B373" s="42">
        <f t="shared" si="110"/>
        <v>367</v>
      </c>
      <c r="C373" s="68" t="s">
        <v>2728</v>
      </c>
      <c r="D373" s="41" t="s">
        <v>2727</v>
      </c>
      <c r="E373" s="61">
        <v>2011001568</v>
      </c>
      <c r="F373" s="64"/>
      <c r="G373" s="49" t="s">
        <v>2729</v>
      </c>
      <c r="H373" s="76"/>
      <c r="I373" s="76">
        <v>32061</v>
      </c>
      <c r="J373" s="66">
        <f ca="1">INT(DATEDIF(I373,$J$2,"d")/365)</f>
        <v>38</v>
      </c>
      <c r="K373" s="75" t="s">
        <v>2730</v>
      </c>
      <c r="L373" s="41" t="s">
        <v>2731</v>
      </c>
      <c r="M373" s="53" t="s">
        <v>67</v>
      </c>
      <c r="N373" s="66"/>
      <c r="O373" s="53"/>
      <c r="P373" s="49"/>
      <c r="Q373" s="49" t="s">
        <v>94</v>
      </c>
      <c r="R373" s="49"/>
      <c r="S373" s="49" t="s">
        <v>166</v>
      </c>
      <c r="T373" s="49" t="s">
        <v>97</v>
      </c>
      <c r="U373" s="49" t="s">
        <v>94</v>
      </c>
      <c r="V373" s="49" t="str">
        <f t="shared" si="138"/>
        <v>Phường Tam Thanh, Thành phố Lạng Sơn, Tỉnh Lạng Sơn</v>
      </c>
      <c r="W373" s="55" t="s">
        <v>315</v>
      </c>
      <c r="X373" s="41"/>
      <c r="Y373" s="41"/>
      <c r="Z373" s="41"/>
      <c r="AA373" s="68" t="str">
        <f>VLOOKUP(A373,'[1]DANH SÁCH'!$B$8:$AD$841,12,0)</f>
        <v>Phó trưởng khoa</v>
      </c>
      <c r="AB373" s="49" t="str">
        <f>VLOOKUP(A373,'[1]DANH SÁCH'!$B$8:$H$841,6,0)</f>
        <v>TĐ003</v>
      </c>
      <c r="AC373" s="69" t="str">
        <f>VLOOKUP(A373,'[1]DANH SÁCH'!$B$8:$J$841,9,0)</f>
        <v>TDCN</v>
      </c>
      <c r="AD373" s="69" t="str">
        <f>VLOOKUP(A373,'[1]DANH SÁCH'!$B$8:$AC$841,10,0)</f>
        <v>KP033</v>
      </c>
      <c r="AE373" s="69" t="str">
        <f>VLOOKUP(A373,'[1]DANH SÁCH'!$B$8:$AD$841,13,0)</f>
        <v>Viên chức</v>
      </c>
      <c r="AF373" s="41" t="s">
        <v>274</v>
      </c>
      <c r="AG373" s="42" t="str">
        <f>VLOOKUP(A373,'[1]DANH SÁCH'!$B$8:$H$841,7,0)</f>
        <v>Bác sĩ chính (hạng II)</v>
      </c>
      <c r="AH373" s="45">
        <v>4.4000000000000004</v>
      </c>
      <c r="AI373" s="42">
        <v>1</v>
      </c>
      <c r="AJ373" s="70">
        <v>0</v>
      </c>
      <c r="AK373" s="69">
        <v>45809</v>
      </c>
      <c r="AL373" s="71" t="s">
        <v>80</v>
      </c>
      <c r="AM373" s="53" t="str">
        <f>VLOOKUP(A373,'[1]DANH SÁCH'!$B$8:$F$841,5,0)</f>
        <v>BSCKI</v>
      </c>
      <c r="AN373" s="53" t="s">
        <v>138</v>
      </c>
      <c r="AO373" s="53"/>
      <c r="AP373" s="53"/>
      <c r="AQ373" s="53"/>
      <c r="AR373" s="42">
        <f>VLOOKUP(A373,'[1]Chứng chỉ'!$B$8:$Q$1111,11,0)</f>
        <v>0</v>
      </c>
      <c r="AS373" s="42" t="str">
        <f>VLOOKUP(A373,'[1]Chứng chỉ'!$B$8:$Q$1111,12,0)</f>
        <v>x</v>
      </c>
      <c r="AT373" s="47">
        <f>VLOOKUP(A373,'[1]Chứng chỉ'!$B$8:$Q$1111,13,0)</f>
        <v>0</v>
      </c>
      <c r="AU373" s="42" t="str">
        <f>VLOOKUP(A373,'[1]Chứng chỉ'!$B$8:$Q$1111,14,0)</f>
        <v>Anh B</v>
      </c>
      <c r="AV373" s="42">
        <f>VLOOKUP(A373,'[1]Chứng chỉ'!$B$8:$Q$1111,15,0)</f>
        <v>0</v>
      </c>
      <c r="AW373" s="42" t="str">
        <f>VLOOKUP(A373,'[1]Chứng chỉ'!$B$8:$Q$1111,16,0)</f>
        <v>CC sau ĐH</v>
      </c>
      <c r="AX373" s="42"/>
      <c r="AY373" s="57" t="s">
        <v>87</v>
      </c>
      <c r="AZ373" s="65"/>
      <c r="BA373" s="74" t="e">
        <f t="shared" si="139"/>
        <v>#REF!</v>
      </c>
      <c r="BB373" s="74" t="e">
        <f t="shared" si="140"/>
        <v>#REF!</v>
      </c>
      <c r="BC373" s="41"/>
      <c r="BD373" s="42"/>
    </row>
    <row r="374" spans="1:56" ht="61.2" x14ac:dyDescent="0.3">
      <c r="A374" s="41" t="s">
        <v>2732</v>
      </c>
      <c r="B374" s="42">
        <f t="shared" si="110"/>
        <v>368</v>
      </c>
      <c r="C374" s="68" t="s">
        <v>2733</v>
      </c>
      <c r="D374" s="41" t="s">
        <v>2732</v>
      </c>
      <c r="E374" s="61">
        <v>1504000545</v>
      </c>
      <c r="F374" s="64"/>
      <c r="G374" s="49" t="s">
        <v>2734</v>
      </c>
      <c r="H374" s="76">
        <v>28985</v>
      </c>
      <c r="I374" s="76"/>
      <c r="J374" s="66">
        <f t="shared" ref="J374:J375" ca="1" si="142">INT(DATEDIF(H374,$J$2,"d")/365)</f>
        <v>47</v>
      </c>
      <c r="K374" s="109" t="s">
        <v>2735</v>
      </c>
      <c r="L374" s="41" t="s">
        <v>2736</v>
      </c>
      <c r="M374" s="53" t="s">
        <v>67</v>
      </c>
      <c r="N374" s="66"/>
      <c r="O374" s="53"/>
      <c r="P374" s="49" t="s">
        <v>872</v>
      </c>
      <c r="Q374" s="49" t="s">
        <v>873</v>
      </c>
      <c r="R374" s="49"/>
      <c r="S374" s="49" t="s">
        <v>166</v>
      </c>
      <c r="T374" s="49" t="s">
        <v>97</v>
      </c>
      <c r="U374" s="49" t="s">
        <v>94</v>
      </c>
      <c r="V374" s="49" t="str">
        <f t="shared" si="138"/>
        <v>Phường Tam Thanh, Thành phố Lạng Sơn, Tỉnh Lạng Sơn</v>
      </c>
      <c r="W374" s="55" t="s">
        <v>125</v>
      </c>
      <c r="X374" s="41"/>
      <c r="Y374" s="41"/>
      <c r="Z374" s="41"/>
      <c r="AA374" s="68" t="str">
        <f>VLOOKUP(A374,'[1]DANH SÁCH'!$B$8:$AD$841,12,0)</f>
        <v>Trưởng khoa</v>
      </c>
      <c r="AB374" s="49" t="str">
        <f>VLOOKUP(A374,'[1]DANH SÁCH'!$B$8:$H$841,6,0)</f>
        <v>TĐ004</v>
      </c>
      <c r="AC374" s="69" t="str">
        <f>VLOOKUP(A374,'[1]DANH SÁCH'!$B$8:$J$841,9,0)</f>
        <v>TDCN</v>
      </c>
      <c r="AD374" s="69" t="str">
        <f>VLOOKUP(A374,'[1]DANH SÁCH'!$B$8:$AC$841,10,0)</f>
        <v>KP033</v>
      </c>
      <c r="AE374" s="69" t="str">
        <f>VLOOKUP(A374,'[1]DANH SÁCH'!$B$8:$AD$841,13,0)</f>
        <v>Viên chức</v>
      </c>
      <c r="AF374" s="41" t="s">
        <v>79</v>
      </c>
      <c r="AG374" s="42" t="str">
        <f>VLOOKUP(A374,'[1]DANH SÁCH'!$B$8:$H$841,7,0)</f>
        <v>Bác sĩ chính (hạng II)</v>
      </c>
      <c r="AH374" s="45">
        <v>4.74</v>
      </c>
      <c r="AI374" s="42">
        <v>2</v>
      </c>
      <c r="AJ374" s="70">
        <v>0</v>
      </c>
      <c r="AK374" s="69">
        <v>45992</v>
      </c>
      <c r="AL374" s="71" t="s">
        <v>80</v>
      </c>
      <c r="AM374" s="53" t="str">
        <f>VLOOKUP(A374,'[1]DANH SÁCH'!$B$8:$F$841,5,0)</f>
        <v>Thạc sỹ</v>
      </c>
      <c r="AN374" s="53" t="s">
        <v>138</v>
      </c>
      <c r="AO374" s="53"/>
      <c r="AP374" s="53"/>
      <c r="AQ374" s="53"/>
      <c r="AR374" s="42">
        <f>VLOOKUP(A374,'[1]Chứng chỉ'!$B$8:$Q$1111,11,0)</f>
        <v>0</v>
      </c>
      <c r="AS374" s="42" t="str">
        <f>VLOOKUP(A374,'[1]Chứng chỉ'!$B$8:$Q$1111,12,0)</f>
        <v>x</v>
      </c>
      <c r="AT374" s="47" t="s">
        <v>139</v>
      </c>
      <c r="AU374" s="42" t="str">
        <f>VLOOKUP(A374,'[1]Chứng chỉ'!$B$8:$Q$1111,14,0)</f>
        <v>Anh B1</v>
      </c>
      <c r="AV374" s="42">
        <f>VLOOKUP(A374,'[1]Chứng chỉ'!$B$8:$Q$1111,15,0)</f>
        <v>0</v>
      </c>
      <c r="AW374" s="42" t="str">
        <f>VLOOKUP(A374,'[1]Chứng chỉ'!$B$8:$Q$1111,16,0)</f>
        <v>B</v>
      </c>
      <c r="AX374" s="42"/>
      <c r="AY374" s="57" t="s">
        <v>87</v>
      </c>
      <c r="AZ374" s="65">
        <v>38714</v>
      </c>
      <c r="BA374" s="74" t="e">
        <f t="shared" si="139"/>
        <v>#REF!</v>
      </c>
      <c r="BB374" s="74" t="e">
        <f t="shared" si="140"/>
        <v>#REF!</v>
      </c>
      <c r="BC374" s="41"/>
      <c r="BD374" s="115"/>
    </row>
    <row r="375" spans="1:56" ht="30.6" x14ac:dyDescent="0.3">
      <c r="A375" s="46" t="s">
        <v>2737</v>
      </c>
      <c r="B375" s="42">
        <f t="shared" si="110"/>
        <v>369</v>
      </c>
      <c r="C375" s="93" t="s">
        <v>2738</v>
      </c>
      <c r="D375" s="46" t="s">
        <v>2737</v>
      </c>
      <c r="E375" s="61">
        <v>2016002276</v>
      </c>
      <c r="F375" s="64"/>
      <c r="G375" s="49" t="s">
        <v>2739</v>
      </c>
      <c r="H375" s="46" t="s">
        <v>2740</v>
      </c>
      <c r="I375" s="101"/>
      <c r="J375" s="66">
        <f t="shared" ca="1" si="142"/>
        <v>36</v>
      </c>
      <c r="K375" s="75" t="s">
        <v>2741</v>
      </c>
      <c r="L375" s="120" t="s">
        <v>2742</v>
      </c>
      <c r="M375" s="53" t="s">
        <v>67</v>
      </c>
      <c r="N375" s="52" t="s">
        <v>124</v>
      </c>
      <c r="O375" s="56" t="s">
        <v>2743</v>
      </c>
      <c r="P375" s="47" t="s">
        <v>2744</v>
      </c>
      <c r="Q375" s="47" t="s">
        <v>2745</v>
      </c>
      <c r="R375" s="122" t="s">
        <v>2746</v>
      </c>
      <c r="S375" s="47" t="s">
        <v>174</v>
      </c>
      <c r="T375" s="47" t="s">
        <v>97</v>
      </c>
      <c r="U375" s="47" t="s">
        <v>94</v>
      </c>
      <c r="V375" s="122" t="s">
        <v>2747</v>
      </c>
      <c r="W375" s="104" t="s">
        <v>384</v>
      </c>
      <c r="X375" s="46"/>
      <c r="Y375" s="122">
        <v>568</v>
      </c>
      <c r="Z375" s="122" t="s">
        <v>386</v>
      </c>
      <c r="AA375" s="68">
        <f>VLOOKUP(A375,'[1]DANH SÁCH'!$B$8:$AD$841,12,0)</f>
        <v>0</v>
      </c>
      <c r="AB375" s="49" t="str">
        <f>VLOOKUP(A375,'[1]DANH SÁCH'!$B$8:$H$841,6,0)</f>
        <v>TĐ005</v>
      </c>
      <c r="AC375" s="69" t="str">
        <f>VLOOKUP(A375,'[1]DANH SÁCH'!$B$8:$J$841,9,0)</f>
        <v>TDCN</v>
      </c>
      <c r="AD375" s="69" t="str">
        <f>VLOOKUP(A375,'[1]DANH SÁCH'!$B$8:$AC$841,10,0)</f>
        <v>KP033</v>
      </c>
      <c r="AE375" s="69" t="str">
        <f>VLOOKUP(A375,'[1]DANH SÁCH'!$B$8:$AD$841,13,0)</f>
        <v>Viên chức</v>
      </c>
      <c r="AF375" s="41" t="s">
        <v>274</v>
      </c>
      <c r="AG375" s="122" t="s">
        <v>296</v>
      </c>
      <c r="AH375" s="45">
        <v>3</v>
      </c>
      <c r="AI375" s="42">
        <v>3</v>
      </c>
      <c r="AJ375" s="70">
        <v>0</v>
      </c>
      <c r="AK375" s="69">
        <v>45474</v>
      </c>
      <c r="AL375" s="71" t="s">
        <v>80</v>
      </c>
      <c r="AM375" s="53" t="str">
        <f>VLOOKUP(A375,'[1]DANH SÁCH'!$B$8:$F$841,5,0)</f>
        <v>Bác sĩ</v>
      </c>
      <c r="AN375" s="53" t="s">
        <v>372</v>
      </c>
      <c r="AO375" s="53" t="s">
        <v>662</v>
      </c>
      <c r="AP375" s="53">
        <v>2015</v>
      </c>
      <c r="AQ375" s="99" t="s">
        <v>113</v>
      </c>
      <c r="AR375" s="42">
        <f>VLOOKUP(A375,'[1]Chứng chỉ'!$B$8:$Q$1111,11,0)</f>
        <v>0</v>
      </c>
      <c r="AS375" s="42">
        <f>VLOOKUP(A375,'[1]Chứng chỉ'!$B$8:$Q$1111,12,0)</f>
        <v>0</v>
      </c>
      <c r="AT375" s="47">
        <f>VLOOKUP(A375,'[1]Chứng chỉ'!$B$8:$Q$1111,13,0)</f>
        <v>0</v>
      </c>
      <c r="AU375" s="42" t="str">
        <f>VLOOKUP(A375,'[1]Chứng chỉ'!$B$8:$Q$1111,14,0)</f>
        <v>Anh B</v>
      </c>
      <c r="AV375" s="42">
        <f>VLOOKUP(A375,'[1]Chứng chỉ'!$B$8:$Q$1111,15,0)</f>
        <v>0</v>
      </c>
      <c r="AW375" s="42" t="str">
        <f>VLOOKUP(A375,'[1]Chứng chỉ'!$B$8:$Q$1111,16,0)</f>
        <v>B</v>
      </c>
      <c r="AX375" s="47"/>
      <c r="AY375" s="73" t="s">
        <v>85</v>
      </c>
      <c r="AZ375" s="65"/>
      <c r="BA375" s="74"/>
      <c r="BB375" s="74"/>
      <c r="BC375" s="120"/>
      <c r="BD375" s="115"/>
    </row>
    <row r="376" spans="1:56" ht="51" x14ac:dyDescent="0.3">
      <c r="A376" s="41" t="s">
        <v>2748</v>
      </c>
      <c r="B376" s="42">
        <f t="shared" si="110"/>
        <v>370</v>
      </c>
      <c r="C376" s="68" t="s">
        <v>1568</v>
      </c>
      <c r="D376" s="41" t="s">
        <v>2748</v>
      </c>
      <c r="E376" s="61">
        <v>1596007615</v>
      </c>
      <c r="F376" s="64"/>
      <c r="G376" s="49" t="s">
        <v>2749</v>
      </c>
      <c r="H376" s="76"/>
      <c r="I376" s="76">
        <v>26969</v>
      </c>
      <c r="J376" s="66">
        <f t="shared" ref="J376:J381" ca="1" si="143">INT(DATEDIF(I376,$J$2,"d")/365)</f>
        <v>52</v>
      </c>
      <c r="K376" s="75" t="s">
        <v>2750</v>
      </c>
      <c r="L376" s="41" t="s">
        <v>2751</v>
      </c>
      <c r="M376" s="53" t="s">
        <v>67</v>
      </c>
      <c r="N376" s="66"/>
      <c r="O376" s="53"/>
      <c r="P376" s="76" t="s">
        <v>343</v>
      </c>
      <c r="Q376" s="49" t="s">
        <v>94</v>
      </c>
      <c r="R376" s="49"/>
      <c r="S376" s="49" t="s">
        <v>136</v>
      </c>
      <c r="T376" s="49" t="s">
        <v>97</v>
      </c>
      <c r="U376" s="49" t="s">
        <v>94</v>
      </c>
      <c r="V376" s="49" t="str">
        <f t="shared" ref="V376:V387" si="144">S376&amp;", "&amp;T376&amp;", "&amp;U376</f>
        <v>Phường Chi Lăng, Thành phố Lạng Sơn, Tỉnh Lạng Sơn</v>
      </c>
      <c r="W376" s="55" t="s">
        <v>2752</v>
      </c>
      <c r="X376" s="41"/>
      <c r="Y376" s="41"/>
      <c r="Z376" s="41"/>
      <c r="AA376" s="68">
        <f>VLOOKUP(A376,'[1]DANH SÁCH'!$B$8:$AD$841,12,0)</f>
        <v>0</v>
      </c>
      <c r="AB376" s="49" t="str">
        <f>VLOOKUP(A376,'[1]DANH SÁCH'!$B$8:$H$841,6,0)</f>
        <v>TĐ011</v>
      </c>
      <c r="AC376" s="69" t="str">
        <f>VLOOKUP(A376,'[1]DANH SÁCH'!$B$8:$J$841,9,0)</f>
        <v>TDCN</v>
      </c>
      <c r="AD376" s="69" t="str">
        <f>VLOOKUP(A376,'[1]DANH SÁCH'!$B$8:$AC$841,10,0)</f>
        <v>KP033</v>
      </c>
      <c r="AE376" s="69" t="str">
        <f>VLOOKUP(A376,'[1]DANH SÁCH'!$B$8:$AD$841,13,0)</f>
        <v>Viên chức</v>
      </c>
      <c r="AF376" s="41" t="s">
        <v>147</v>
      </c>
      <c r="AG376" s="42" t="str">
        <f>VLOOKUP(A376,'[1]DANH SÁCH'!$B$8:$H$841,7,0)</f>
        <v>Điều dưỡng (hạng III)</v>
      </c>
      <c r="AH376" s="45">
        <v>4.9800000000000004</v>
      </c>
      <c r="AI376" s="42">
        <v>9</v>
      </c>
      <c r="AJ376" s="70">
        <v>0</v>
      </c>
      <c r="AK376" s="69">
        <v>45261</v>
      </c>
      <c r="AL376" s="71" t="s">
        <v>80</v>
      </c>
      <c r="AM376" s="53" t="str">
        <f>VLOOKUP(A376,'[1]DANH SÁCH'!$B$8:$F$841,5,0)</f>
        <v>Điều dưỡng ĐH</v>
      </c>
      <c r="AN376" s="53"/>
      <c r="AO376" s="53"/>
      <c r="AP376" s="53"/>
      <c r="AQ376" s="53"/>
      <c r="AR376" s="42">
        <f>VLOOKUP(A376,'[1]Chứng chỉ'!$B$8:$Q$1111,11,0)</f>
        <v>0</v>
      </c>
      <c r="AS376" s="42">
        <f>VLOOKUP(A376,'[1]Chứng chỉ'!$B$8:$Q$1111,12,0)</f>
        <v>0</v>
      </c>
      <c r="AT376" s="47" t="s">
        <v>139</v>
      </c>
      <c r="AU376" s="42" t="str">
        <f>VLOOKUP(A376,'[1]Chứng chỉ'!$B$8:$Q$1111,14,0)</f>
        <v>Anh B</v>
      </c>
      <c r="AV376" s="42">
        <f>VLOOKUP(A376,'[1]Chứng chỉ'!$B$8:$Q$1111,15,0)</f>
        <v>0</v>
      </c>
      <c r="AW376" s="42" t="str">
        <f>VLOOKUP(A376,'[1]Chứng chỉ'!$B$8:$Q$1111,16,0)</f>
        <v>B</v>
      </c>
      <c r="AX376" s="42"/>
      <c r="AY376" s="57" t="s">
        <v>85</v>
      </c>
      <c r="AZ376" s="65">
        <v>38108</v>
      </c>
      <c r="BA376" s="74" t="e">
        <f t="shared" ref="BA376:BA384" si="145">VLOOKUP(A376,#REF!,4,0)</f>
        <v>#REF!</v>
      </c>
      <c r="BB376" s="74" t="e">
        <f t="shared" ref="BB376:BB384" si="146">VLOOKUP(A376,#REF!,5,0)</f>
        <v>#REF!</v>
      </c>
      <c r="BC376" s="41" t="s">
        <v>2753</v>
      </c>
      <c r="BD376" s="42"/>
    </row>
    <row r="377" spans="1:56" ht="61.2" x14ac:dyDescent="0.3">
      <c r="A377" s="41" t="s">
        <v>2754</v>
      </c>
      <c r="B377" s="42">
        <f t="shared" si="110"/>
        <v>371</v>
      </c>
      <c r="C377" s="68" t="s">
        <v>2755</v>
      </c>
      <c r="D377" s="41" t="s">
        <v>2754</v>
      </c>
      <c r="E377" s="61">
        <v>2010000133</v>
      </c>
      <c r="F377" s="64"/>
      <c r="G377" s="49" t="s">
        <v>2756</v>
      </c>
      <c r="H377" s="76"/>
      <c r="I377" s="76">
        <v>32194</v>
      </c>
      <c r="J377" s="66">
        <f t="shared" ca="1" si="143"/>
        <v>38</v>
      </c>
      <c r="K377" s="75" t="s">
        <v>2757</v>
      </c>
      <c r="L377" s="41" t="s">
        <v>2758</v>
      </c>
      <c r="M377" s="53" t="s">
        <v>67</v>
      </c>
      <c r="N377" s="66"/>
      <c r="O377" s="53" t="s">
        <v>2759</v>
      </c>
      <c r="P377" s="49" t="s">
        <v>231</v>
      </c>
      <c r="Q377" s="49" t="s">
        <v>94</v>
      </c>
      <c r="R377" s="49"/>
      <c r="S377" s="49" t="s">
        <v>166</v>
      </c>
      <c r="T377" s="49" t="s">
        <v>97</v>
      </c>
      <c r="U377" s="49" t="s">
        <v>94</v>
      </c>
      <c r="V377" s="49" t="str">
        <f t="shared" si="144"/>
        <v>Phường Tam Thanh, Thành phố Lạng Sơn, Tỉnh Lạng Sơn</v>
      </c>
      <c r="W377" s="55" t="s">
        <v>236</v>
      </c>
      <c r="X377" s="41"/>
      <c r="Y377" s="41"/>
      <c r="Z377" s="41"/>
      <c r="AA377" s="68" t="str">
        <f>VLOOKUP(A377,'[1]DANH SÁCH'!$B$8:$AD$841,12,0)</f>
        <v>Điều dưỡng trưởng</v>
      </c>
      <c r="AB377" s="49" t="str">
        <f>VLOOKUP(A377,'[1]DANH SÁCH'!$B$8:$H$841,6,0)</f>
        <v>TĐ011</v>
      </c>
      <c r="AC377" s="69" t="str">
        <f>VLOOKUP(A377,'[1]DANH SÁCH'!$B$8:$J$841,9,0)</f>
        <v>TDCN</v>
      </c>
      <c r="AD377" s="69" t="str">
        <f>VLOOKUP(A377,'[1]DANH SÁCH'!$B$8:$AC$841,10,0)</f>
        <v>KP033</v>
      </c>
      <c r="AE377" s="69" t="str">
        <f>VLOOKUP(A377,'[1]DANH SÁCH'!$B$8:$AD$841,13,0)</f>
        <v>Viên chức</v>
      </c>
      <c r="AF377" s="41" t="s">
        <v>147</v>
      </c>
      <c r="AG377" s="42" t="str">
        <f>VLOOKUP(A377,'[1]DANH SÁCH'!$B$8:$H$841,7,0)</f>
        <v>Điều dưỡng (hạng III)</v>
      </c>
      <c r="AH377" s="45">
        <v>3.33</v>
      </c>
      <c r="AI377" s="42">
        <v>4</v>
      </c>
      <c r="AJ377" s="70">
        <v>0</v>
      </c>
      <c r="AK377" s="69">
        <v>45306</v>
      </c>
      <c r="AL377" s="71" t="s">
        <v>80</v>
      </c>
      <c r="AM377" s="53" t="str">
        <f>VLOOKUP(A377,'[1]DANH SÁCH'!$B$8:$F$841,5,0)</f>
        <v>Điều dưỡng ĐH</v>
      </c>
      <c r="AN377" s="53"/>
      <c r="AO377" s="53"/>
      <c r="AP377" s="53"/>
      <c r="AQ377" s="72"/>
      <c r="AR377" s="42">
        <f>VLOOKUP(A377,'[1]Chứng chỉ'!$B$8:$Q$1111,11,0)</f>
        <v>0</v>
      </c>
      <c r="AS377" s="42">
        <f>VLOOKUP(A377,'[1]Chứng chỉ'!$B$8:$Q$1111,12,0)</f>
        <v>0</v>
      </c>
      <c r="AT377" s="47" t="s">
        <v>139</v>
      </c>
      <c r="AU377" s="42" t="str">
        <f>VLOOKUP(A377,'[1]Chứng chỉ'!$B$8:$Q$1111,14,0)</f>
        <v>x</v>
      </c>
      <c r="AV377" s="42" t="str">
        <f>VLOOKUP(A377,'[1]Chứng chỉ'!$B$8:$Q$1111,15,0)</f>
        <v>Tày</v>
      </c>
      <c r="AW377" s="42" t="str">
        <f>VLOOKUP(A377,'[1]Chứng chỉ'!$B$8:$Q$1111,16,0)</f>
        <v>B</v>
      </c>
      <c r="AX377" s="42"/>
      <c r="AY377" s="57" t="s">
        <v>85</v>
      </c>
      <c r="AZ377" s="65"/>
      <c r="BA377" s="74" t="e">
        <f t="shared" si="145"/>
        <v>#REF!</v>
      </c>
      <c r="BB377" s="74" t="e">
        <f t="shared" si="146"/>
        <v>#REF!</v>
      </c>
      <c r="BC377" s="41" t="s">
        <v>128</v>
      </c>
      <c r="BD377" s="42"/>
    </row>
    <row r="378" spans="1:56" ht="61.2" x14ac:dyDescent="0.3">
      <c r="A378" s="41" t="s">
        <v>2760</v>
      </c>
      <c r="B378" s="42">
        <f t="shared" si="110"/>
        <v>372</v>
      </c>
      <c r="C378" s="68" t="s">
        <v>2761</v>
      </c>
      <c r="D378" s="41" t="s">
        <v>2760</v>
      </c>
      <c r="E378" s="61">
        <v>1596007612</v>
      </c>
      <c r="F378" s="64"/>
      <c r="G378" s="49" t="s">
        <v>2762</v>
      </c>
      <c r="H378" s="76"/>
      <c r="I378" s="76">
        <v>27208</v>
      </c>
      <c r="J378" s="66">
        <f t="shared" ca="1" si="143"/>
        <v>52</v>
      </c>
      <c r="K378" s="75" t="s">
        <v>2763</v>
      </c>
      <c r="L378" s="41" t="s">
        <v>2764</v>
      </c>
      <c r="M378" s="53" t="s">
        <v>67</v>
      </c>
      <c r="N378" s="66"/>
      <c r="O378" s="85"/>
      <c r="P378" s="76" t="s">
        <v>343</v>
      </c>
      <c r="Q378" s="76" t="s">
        <v>94</v>
      </c>
      <c r="R378" s="76"/>
      <c r="S378" s="76" t="s">
        <v>96</v>
      </c>
      <c r="T378" s="76" t="s">
        <v>97</v>
      </c>
      <c r="U378" s="76" t="s">
        <v>94</v>
      </c>
      <c r="V378" s="49" t="str">
        <f t="shared" si="144"/>
        <v>Phường Hoàng Văn Thụ, Thành phố Lạng Sơn, Tỉnh Lạng Sơn</v>
      </c>
      <c r="W378" s="55" t="s">
        <v>526</v>
      </c>
      <c r="X378" s="41"/>
      <c r="Y378" s="41"/>
      <c r="Z378" s="41"/>
      <c r="AA378" s="68">
        <f>VLOOKUP(A378,'[1]DANH SÁCH'!$B$8:$AD$841,12,0)</f>
        <v>0</v>
      </c>
      <c r="AB378" s="49" t="str">
        <f>VLOOKUP(A378,'[1]DANH SÁCH'!$B$8:$H$841,6,0)</f>
        <v>TĐ012</v>
      </c>
      <c r="AC378" s="69" t="str">
        <f>VLOOKUP(A378,'[1]DANH SÁCH'!$B$8:$J$841,9,0)</f>
        <v>TDCN</v>
      </c>
      <c r="AD378" s="69" t="str">
        <f>VLOOKUP(A378,'[1]DANH SÁCH'!$B$8:$AC$841,10,0)</f>
        <v>KP033</v>
      </c>
      <c r="AE378" s="69" t="str">
        <f>VLOOKUP(A378,'[1]DANH SÁCH'!$B$8:$AD$841,13,0)</f>
        <v>Viên chức</v>
      </c>
      <c r="AF378" s="41" t="s">
        <v>157</v>
      </c>
      <c r="AG378" s="42" t="str">
        <f>VLOOKUP(A378,'[1]DANH SÁCH'!$B$8:$H$841,7,0)</f>
        <v>Điều dưỡng (hạng IV)</v>
      </c>
      <c r="AH378" s="45">
        <v>4.8899999999999997</v>
      </c>
      <c r="AI378" s="42">
        <v>10</v>
      </c>
      <c r="AJ378" s="70">
        <v>0</v>
      </c>
      <c r="AK378" s="69">
        <v>45778</v>
      </c>
      <c r="AL378" s="71" t="s">
        <v>158</v>
      </c>
      <c r="AM378" s="53" t="str">
        <f>VLOOKUP(A378,'[1]DANH SÁCH'!$B$8:$F$841,5,0)</f>
        <v>Điều dưỡng CĐ</v>
      </c>
      <c r="AN378" s="53"/>
      <c r="AO378" s="53"/>
      <c r="AP378" s="53"/>
      <c r="AQ378" s="53"/>
      <c r="AR378" s="42">
        <f>VLOOKUP(A378,'[1]Chứng chỉ'!$B$8:$Q$1111,11,0)</f>
        <v>0</v>
      </c>
      <c r="AS378" s="42">
        <f>VLOOKUP(A378,'[1]Chứng chỉ'!$B$8:$Q$1111,12,0)</f>
        <v>0</v>
      </c>
      <c r="AT378" s="47">
        <f>VLOOKUP(A378,'[1]Chứng chỉ'!$B$8:$Q$1111,13,0)</f>
        <v>0</v>
      </c>
      <c r="AU378" s="42" t="str">
        <f>VLOOKUP(A378,'[1]Chứng chỉ'!$B$8:$Q$1111,14,0)</f>
        <v>Anh B</v>
      </c>
      <c r="AV378" s="42">
        <f>VLOOKUP(A378,'[1]Chứng chỉ'!$B$8:$Q$1111,15,0)</f>
        <v>0</v>
      </c>
      <c r="AW378" s="42" t="str">
        <f>VLOOKUP(A378,'[1]Chứng chỉ'!$B$8:$Q$1111,16,0)</f>
        <v>B</v>
      </c>
      <c r="AX378" s="42"/>
      <c r="AY378" s="57" t="s">
        <v>85</v>
      </c>
      <c r="AZ378" s="65"/>
      <c r="BA378" s="74" t="e">
        <f t="shared" si="145"/>
        <v>#REF!</v>
      </c>
      <c r="BB378" s="74" t="e">
        <f t="shared" si="146"/>
        <v>#REF!</v>
      </c>
      <c r="BC378" s="41" t="s">
        <v>128</v>
      </c>
      <c r="BD378" s="42"/>
    </row>
    <row r="379" spans="1:56" ht="61.2" x14ac:dyDescent="0.3">
      <c r="A379" s="41" t="s">
        <v>2765</v>
      </c>
      <c r="B379" s="42">
        <f t="shared" si="110"/>
        <v>373</v>
      </c>
      <c r="C379" s="68" t="s">
        <v>2766</v>
      </c>
      <c r="D379" s="41" t="s">
        <v>2765</v>
      </c>
      <c r="E379" s="61">
        <v>1596007566</v>
      </c>
      <c r="F379" s="64"/>
      <c r="G379" s="49" t="s">
        <v>2767</v>
      </c>
      <c r="H379" s="76"/>
      <c r="I379" s="76">
        <v>27342</v>
      </c>
      <c r="J379" s="66">
        <f t="shared" ca="1" si="143"/>
        <v>51</v>
      </c>
      <c r="K379" s="75" t="s">
        <v>2768</v>
      </c>
      <c r="L379" s="41" t="s">
        <v>2769</v>
      </c>
      <c r="M379" s="53" t="s">
        <v>67</v>
      </c>
      <c r="N379" s="66"/>
      <c r="O379" s="85"/>
      <c r="P379" s="76" t="s">
        <v>343</v>
      </c>
      <c r="Q379" s="76" t="s">
        <v>94</v>
      </c>
      <c r="R379" s="49"/>
      <c r="S379" s="76" t="s">
        <v>96</v>
      </c>
      <c r="T379" s="76" t="s">
        <v>97</v>
      </c>
      <c r="U379" s="76" t="s">
        <v>94</v>
      </c>
      <c r="V379" s="49" t="str">
        <f t="shared" si="144"/>
        <v>Phường Hoàng Văn Thụ, Thành phố Lạng Sơn, Tỉnh Lạng Sơn</v>
      </c>
      <c r="W379" s="55" t="s">
        <v>526</v>
      </c>
      <c r="X379" s="41"/>
      <c r="Y379" s="41"/>
      <c r="Z379" s="41"/>
      <c r="AA379" s="68">
        <f>VLOOKUP(A379,'[1]DANH SÁCH'!$B$8:$AD$841,12,0)</f>
        <v>0</v>
      </c>
      <c r="AB379" s="49" t="str">
        <f>VLOOKUP(A379,'[1]DANH SÁCH'!$B$8:$H$841,6,0)</f>
        <v>TĐ012</v>
      </c>
      <c r="AC379" s="69" t="str">
        <f>VLOOKUP(A379,'[1]DANH SÁCH'!$B$8:$J$841,9,0)</f>
        <v>TDCN</v>
      </c>
      <c r="AD379" s="69" t="str">
        <f>VLOOKUP(A379,'[1]DANH SÁCH'!$B$8:$AC$841,10,0)</f>
        <v>KP033</v>
      </c>
      <c r="AE379" s="69" t="str">
        <f>VLOOKUP(A379,'[1]DANH SÁCH'!$B$8:$AD$841,13,0)</f>
        <v>Viên chức</v>
      </c>
      <c r="AF379" s="41" t="s">
        <v>157</v>
      </c>
      <c r="AG379" s="42" t="str">
        <f>VLOOKUP(A379,'[1]DANH SÁCH'!$B$8:$H$841,7,0)</f>
        <v>Điều dưỡng (hạng IV)</v>
      </c>
      <c r="AH379" s="45">
        <v>4.8899999999999997</v>
      </c>
      <c r="AI379" s="42">
        <v>10</v>
      </c>
      <c r="AJ379" s="70">
        <v>0</v>
      </c>
      <c r="AK379" s="69">
        <v>45778</v>
      </c>
      <c r="AL379" s="71" t="s">
        <v>158</v>
      </c>
      <c r="AM379" s="53" t="str">
        <f>VLOOKUP(A379,'[1]DANH SÁCH'!$B$8:$F$841,5,0)</f>
        <v>Điều dưỡng CĐ</v>
      </c>
      <c r="AN379" s="53"/>
      <c r="AO379" s="53"/>
      <c r="AP379" s="53"/>
      <c r="AQ379" s="53"/>
      <c r="AR379" s="42">
        <f>VLOOKUP(A379,'[1]Chứng chỉ'!$B$8:$Q$1111,11,0)</f>
        <v>0</v>
      </c>
      <c r="AS379" s="42">
        <f>VLOOKUP(A379,'[1]Chứng chỉ'!$B$8:$Q$1111,12,0)</f>
        <v>0</v>
      </c>
      <c r="AT379" s="47">
        <f>VLOOKUP(A379,'[1]Chứng chỉ'!$B$8:$Q$1111,13,0)</f>
        <v>0</v>
      </c>
      <c r="AU379" s="42">
        <f>VLOOKUP(A379,'[1]Chứng chỉ'!$B$8:$Q$1111,14,0)</f>
        <v>0</v>
      </c>
      <c r="AV379" s="42">
        <f>VLOOKUP(A379,'[1]Chứng chỉ'!$B$8:$Q$1111,15,0)</f>
        <v>0</v>
      </c>
      <c r="AW379" s="42" t="str">
        <f>VLOOKUP(A379,'[1]Chứng chỉ'!$B$8:$Q$1111,16,0)</f>
        <v>x</v>
      </c>
      <c r="AX379" s="42"/>
      <c r="AY379" s="57" t="s">
        <v>85</v>
      </c>
      <c r="AZ379" s="65">
        <v>38763</v>
      </c>
      <c r="BA379" s="74" t="e">
        <f t="shared" si="145"/>
        <v>#REF!</v>
      </c>
      <c r="BB379" s="74" t="e">
        <f t="shared" si="146"/>
        <v>#REF!</v>
      </c>
      <c r="BC379" s="41" t="s">
        <v>2770</v>
      </c>
      <c r="BD379" s="42"/>
    </row>
    <row r="380" spans="1:56" ht="61.2" x14ac:dyDescent="0.3">
      <c r="A380" s="41" t="s">
        <v>2771</v>
      </c>
      <c r="B380" s="42">
        <f t="shared" si="110"/>
        <v>374</v>
      </c>
      <c r="C380" s="68" t="s">
        <v>2772</v>
      </c>
      <c r="D380" s="41" t="s">
        <v>2771</v>
      </c>
      <c r="E380" s="61">
        <v>1596007617</v>
      </c>
      <c r="F380" s="64"/>
      <c r="G380" s="49" t="s">
        <v>2773</v>
      </c>
      <c r="H380" s="76"/>
      <c r="I380" s="76">
        <v>26345</v>
      </c>
      <c r="J380" s="66">
        <f t="shared" ca="1" si="143"/>
        <v>54</v>
      </c>
      <c r="K380" s="75" t="s">
        <v>2774</v>
      </c>
      <c r="L380" s="41" t="s">
        <v>2775</v>
      </c>
      <c r="M380" s="53" t="s">
        <v>67</v>
      </c>
      <c r="N380" s="66"/>
      <c r="O380" s="53"/>
      <c r="P380" s="76" t="s">
        <v>343</v>
      </c>
      <c r="Q380" s="49" t="s">
        <v>94</v>
      </c>
      <c r="R380" s="49"/>
      <c r="S380" s="49" t="s">
        <v>166</v>
      </c>
      <c r="T380" s="49" t="s">
        <v>97</v>
      </c>
      <c r="U380" s="49" t="s">
        <v>94</v>
      </c>
      <c r="V380" s="49" t="str">
        <f t="shared" si="144"/>
        <v>Phường Tam Thanh, Thành phố Lạng Sơn, Tỉnh Lạng Sơn</v>
      </c>
      <c r="W380" s="55" t="s">
        <v>2776</v>
      </c>
      <c r="X380" s="41"/>
      <c r="Y380" s="41"/>
      <c r="Z380" s="41"/>
      <c r="AA380" s="68">
        <f>VLOOKUP(A380,'[1]DANH SÁCH'!$B$8:$AD$841,12,0)</f>
        <v>0</v>
      </c>
      <c r="AB380" s="49" t="str">
        <f>VLOOKUP(A380,'[1]DANH SÁCH'!$B$8:$H$841,6,0)</f>
        <v>TĐ012</v>
      </c>
      <c r="AC380" s="69" t="str">
        <f>VLOOKUP(A380,'[1]DANH SÁCH'!$B$8:$J$841,9,0)</f>
        <v>TDCN</v>
      </c>
      <c r="AD380" s="69" t="str">
        <f>VLOOKUP(A380,'[1]DANH SÁCH'!$B$8:$AC$841,10,0)</f>
        <v>KP033</v>
      </c>
      <c r="AE380" s="69" t="str">
        <f>VLOOKUP(A380,'[1]DANH SÁCH'!$B$8:$AD$841,13,0)</f>
        <v>Viên chức</v>
      </c>
      <c r="AF380" s="41" t="s">
        <v>157</v>
      </c>
      <c r="AG380" s="42" t="str">
        <f>VLOOKUP(A380,'[1]DANH SÁCH'!$B$8:$H$841,7,0)</f>
        <v>Điều dưỡng (hạng IV)</v>
      </c>
      <c r="AH380" s="45">
        <v>4.58</v>
      </c>
      <c r="AI380" s="42">
        <v>9</v>
      </c>
      <c r="AJ380" s="70">
        <v>0</v>
      </c>
      <c r="AK380" s="69">
        <v>44927</v>
      </c>
      <c r="AL380" s="71" t="s">
        <v>158</v>
      </c>
      <c r="AM380" s="53" t="str">
        <f>VLOOKUP(A380,'[1]DANH SÁCH'!$B$8:$F$841,5,0)</f>
        <v>Điều dưỡng CĐ</v>
      </c>
      <c r="AN380" s="53"/>
      <c r="AO380" s="53"/>
      <c r="AP380" s="53"/>
      <c r="AQ380" s="53"/>
      <c r="AR380" s="42">
        <f>VLOOKUP(A380,'[1]Chứng chỉ'!$B$8:$Q$1111,11,0)</f>
        <v>0</v>
      </c>
      <c r="AS380" s="42">
        <f>VLOOKUP(A380,'[1]Chứng chỉ'!$B$8:$Q$1111,12,0)</f>
        <v>0</v>
      </c>
      <c r="AT380" s="47">
        <f>VLOOKUP(A380,'[1]Chứng chỉ'!$B$8:$Q$1111,13,0)</f>
        <v>0</v>
      </c>
      <c r="AU380" s="42">
        <f>VLOOKUP(A380,'[1]Chứng chỉ'!$B$8:$Q$1111,14,0)</f>
        <v>0</v>
      </c>
      <c r="AV380" s="42">
        <f>VLOOKUP(A380,'[1]Chứng chỉ'!$B$8:$Q$1111,15,0)</f>
        <v>0</v>
      </c>
      <c r="AW380" s="42" t="str">
        <f>VLOOKUP(A380,'[1]Chứng chỉ'!$B$8:$Q$1111,16,0)</f>
        <v>A</v>
      </c>
      <c r="AX380" s="42"/>
      <c r="AY380" s="57" t="s">
        <v>127</v>
      </c>
      <c r="AZ380" s="65">
        <v>41396</v>
      </c>
      <c r="BA380" s="74" t="e">
        <f t="shared" si="145"/>
        <v>#REF!</v>
      </c>
      <c r="BB380" s="74" t="e">
        <f t="shared" si="146"/>
        <v>#REF!</v>
      </c>
      <c r="BC380" s="41" t="s">
        <v>128</v>
      </c>
      <c r="BD380" s="42"/>
    </row>
    <row r="381" spans="1:56" ht="51" x14ac:dyDescent="0.3">
      <c r="A381" s="41" t="s">
        <v>2777</v>
      </c>
      <c r="B381" s="42">
        <f t="shared" si="110"/>
        <v>375</v>
      </c>
      <c r="C381" s="68" t="s">
        <v>2778</v>
      </c>
      <c r="D381" s="41" t="s">
        <v>2777</v>
      </c>
      <c r="E381" s="61">
        <v>1507000625</v>
      </c>
      <c r="F381" s="64"/>
      <c r="G381" s="49" t="s">
        <v>2779</v>
      </c>
      <c r="H381" s="76"/>
      <c r="I381" s="76">
        <v>30522</v>
      </c>
      <c r="J381" s="66">
        <f t="shared" ca="1" si="143"/>
        <v>43</v>
      </c>
      <c r="K381" s="75" t="s">
        <v>2780</v>
      </c>
      <c r="L381" s="41" t="s">
        <v>2781</v>
      </c>
      <c r="M381" s="53" t="s">
        <v>67</v>
      </c>
      <c r="N381" s="66"/>
      <c r="O381" s="53"/>
      <c r="P381" s="49" t="s">
        <v>108</v>
      </c>
      <c r="Q381" s="49" t="s">
        <v>94</v>
      </c>
      <c r="R381" s="49"/>
      <c r="S381" s="49" t="s">
        <v>460</v>
      </c>
      <c r="T381" s="49" t="s">
        <v>108</v>
      </c>
      <c r="U381" s="49" t="s">
        <v>94</v>
      </c>
      <c r="V381" s="49" t="str">
        <f t="shared" si="144"/>
        <v>Thị trấn Cao Lộc, Huyện Cao Lộc, Tỉnh Lạng Sơn</v>
      </c>
      <c r="W381" s="55" t="s">
        <v>678</v>
      </c>
      <c r="X381" s="41"/>
      <c r="Y381" s="41"/>
      <c r="Z381" s="41"/>
      <c r="AA381" s="68">
        <f>VLOOKUP(A381,'[1]DANH SÁCH'!$B$8:$AD$841,12,0)</f>
        <v>0</v>
      </c>
      <c r="AB381" s="49" t="str">
        <f>VLOOKUP(A381,'[1]DANH SÁCH'!$B$8:$H$841,6,0)</f>
        <v>TĐ012</v>
      </c>
      <c r="AC381" s="69" t="str">
        <f>VLOOKUP(A381,'[1]DANH SÁCH'!$B$8:$J$841,9,0)</f>
        <v>TDCN</v>
      </c>
      <c r="AD381" s="69" t="str">
        <f>VLOOKUP(A381,'[1]DANH SÁCH'!$B$8:$AC$841,10,0)</f>
        <v>KP033</v>
      </c>
      <c r="AE381" s="69" t="str">
        <f>VLOOKUP(A381,'[1]DANH SÁCH'!$B$8:$AD$841,13,0)</f>
        <v>Viên chức</v>
      </c>
      <c r="AF381" s="41" t="s">
        <v>157</v>
      </c>
      <c r="AG381" s="42" t="str">
        <f>VLOOKUP(A381,'[1]DANH SÁCH'!$B$8:$H$841,7,0)</f>
        <v>Điều dưỡng (hạng IV)</v>
      </c>
      <c r="AH381" s="45">
        <v>3.65</v>
      </c>
      <c r="AI381" s="42">
        <v>6</v>
      </c>
      <c r="AJ381" s="70">
        <v>0</v>
      </c>
      <c r="AK381" s="69">
        <v>45992</v>
      </c>
      <c r="AL381" s="71" t="s">
        <v>158</v>
      </c>
      <c r="AM381" s="53" t="str">
        <f>VLOOKUP(A381,'[1]DANH SÁCH'!$B$8:$F$841,5,0)</f>
        <v>Điều dưỡng CĐ</v>
      </c>
      <c r="AN381" s="53"/>
      <c r="AO381" s="53"/>
      <c r="AP381" s="53"/>
      <c r="AQ381" s="53"/>
      <c r="AR381" s="42">
        <f>VLOOKUP(A381,'[1]Chứng chỉ'!$B$8:$Q$1111,11,0)</f>
        <v>0</v>
      </c>
      <c r="AS381" s="42">
        <f>VLOOKUP(A381,'[1]Chứng chỉ'!$B$8:$Q$1111,12,0)</f>
        <v>0</v>
      </c>
      <c r="AT381" s="47">
        <f>VLOOKUP(A381,'[1]Chứng chỉ'!$B$8:$Q$1111,13,0)</f>
        <v>0</v>
      </c>
      <c r="AU381" s="42">
        <f>VLOOKUP(A381,'[1]Chứng chỉ'!$B$8:$Q$1111,14,0)</f>
        <v>0</v>
      </c>
      <c r="AV381" s="42" t="str">
        <f>VLOOKUP(A381,'[1]Chứng chỉ'!$B$8:$Q$1111,15,0)</f>
        <v>x</v>
      </c>
      <c r="AW381" s="42" t="str">
        <f>VLOOKUP(A381,'[1]Chứng chỉ'!$B$8:$Q$1111,16,0)</f>
        <v>B</v>
      </c>
      <c r="AX381" s="42"/>
      <c r="AY381" s="57" t="s">
        <v>85</v>
      </c>
      <c r="AZ381" s="65"/>
      <c r="BA381" s="74" t="e">
        <f t="shared" si="145"/>
        <v>#REF!</v>
      </c>
      <c r="BB381" s="74" t="e">
        <f t="shared" si="146"/>
        <v>#REF!</v>
      </c>
      <c r="BC381" s="41" t="s">
        <v>128</v>
      </c>
      <c r="BD381" s="42"/>
    </row>
    <row r="382" spans="1:56" ht="61.2" x14ac:dyDescent="0.3">
      <c r="A382" s="41" t="s">
        <v>2782</v>
      </c>
      <c r="B382" s="42">
        <f t="shared" si="110"/>
        <v>376</v>
      </c>
      <c r="C382" s="68" t="s">
        <v>2783</v>
      </c>
      <c r="D382" s="41" t="s">
        <v>2782</v>
      </c>
      <c r="E382" s="61">
        <v>1504002809</v>
      </c>
      <c r="F382" s="64"/>
      <c r="G382" s="49" t="s">
        <v>2784</v>
      </c>
      <c r="H382" s="76">
        <v>29587</v>
      </c>
      <c r="I382" s="76"/>
      <c r="J382" s="66">
        <f t="shared" ref="J382:J385" ca="1" si="147">INT(DATEDIF(H382,$J$2,"d")/365)</f>
        <v>45</v>
      </c>
      <c r="K382" s="75" t="s">
        <v>2785</v>
      </c>
      <c r="L382" s="41" t="s">
        <v>2786</v>
      </c>
      <c r="M382" s="53" t="s">
        <v>67</v>
      </c>
      <c r="N382" s="66"/>
      <c r="O382" s="53"/>
      <c r="P382" s="49" t="s">
        <v>155</v>
      </c>
      <c r="Q382" s="49" t="s">
        <v>94</v>
      </c>
      <c r="R382" s="49"/>
      <c r="S382" s="49" t="s">
        <v>166</v>
      </c>
      <c r="T382" s="49" t="s">
        <v>97</v>
      </c>
      <c r="U382" s="49" t="s">
        <v>94</v>
      </c>
      <c r="V382" s="49" t="str">
        <f t="shared" si="144"/>
        <v>Phường Tam Thanh, Thành phố Lạng Sơn, Tỉnh Lạng Sơn</v>
      </c>
      <c r="W382" s="55" t="s">
        <v>2522</v>
      </c>
      <c r="X382" s="41"/>
      <c r="Y382" s="41"/>
      <c r="Z382" s="41"/>
      <c r="AA382" s="68">
        <f>VLOOKUP(A382,'[1]DANH SÁCH'!$B$8:$AD$841,12,0)</f>
        <v>0</v>
      </c>
      <c r="AB382" s="49" t="str">
        <f>VLOOKUP(A382,'[1]DANH SÁCH'!$B$8:$H$841,6,0)</f>
        <v>TĐ012</v>
      </c>
      <c r="AC382" s="69" t="str">
        <f>VLOOKUP(A382,'[1]DANH SÁCH'!$B$8:$J$841,9,0)</f>
        <v>TDCN</v>
      </c>
      <c r="AD382" s="69" t="str">
        <f>VLOOKUP(A382,'[1]DANH SÁCH'!$B$8:$AC$841,10,0)</f>
        <v>KP033</v>
      </c>
      <c r="AE382" s="69" t="str">
        <f>VLOOKUP(A382,'[1]DANH SÁCH'!$B$8:$AD$841,13,0)</f>
        <v>Viên chức</v>
      </c>
      <c r="AF382" s="41" t="s">
        <v>157</v>
      </c>
      <c r="AG382" s="42" t="str">
        <f>VLOOKUP(A382,'[1]DANH SÁCH'!$B$8:$H$841,7,0)</f>
        <v>Điều dưỡng (hạng IV)</v>
      </c>
      <c r="AH382" s="45">
        <v>3.96</v>
      </c>
      <c r="AI382" s="42">
        <v>7</v>
      </c>
      <c r="AJ382" s="70">
        <v>0</v>
      </c>
      <c r="AK382" s="69">
        <v>44927</v>
      </c>
      <c r="AL382" s="71" t="s">
        <v>158</v>
      </c>
      <c r="AM382" s="53" t="str">
        <f>VLOOKUP(A382,'[1]DANH SÁCH'!$B$8:$F$841,5,0)</f>
        <v>Điều dưỡng CĐ</v>
      </c>
      <c r="AN382" s="53"/>
      <c r="AO382" s="53" t="s">
        <v>2787</v>
      </c>
      <c r="AP382" s="53">
        <v>2018</v>
      </c>
      <c r="AQ382" s="53"/>
      <c r="AR382" s="42">
        <f>VLOOKUP(A382,'[1]Chứng chỉ'!$B$8:$Q$1111,11,0)</f>
        <v>0</v>
      </c>
      <c r="AS382" s="42">
        <f>VLOOKUP(A382,'[1]Chứng chỉ'!$B$8:$Q$1111,12,0)</f>
        <v>0</v>
      </c>
      <c r="AT382" s="47">
        <f>VLOOKUP(A382,'[1]Chứng chỉ'!$B$8:$Q$1111,13,0)</f>
        <v>0</v>
      </c>
      <c r="AU382" s="42">
        <f>VLOOKUP(A382,'[1]Chứng chỉ'!$B$8:$Q$1111,14,0)</f>
        <v>0</v>
      </c>
      <c r="AV382" s="42" t="str">
        <f>VLOOKUP(A382,'[1]Chứng chỉ'!$B$8:$Q$1111,15,0)</f>
        <v>x</v>
      </c>
      <c r="AW382" s="42" t="str">
        <f>VLOOKUP(A382,'[1]Chứng chỉ'!$B$8:$Q$1111,16,0)</f>
        <v>A</v>
      </c>
      <c r="AX382" s="42"/>
      <c r="AY382" s="57" t="s">
        <v>127</v>
      </c>
      <c r="AZ382" s="65">
        <v>39902</v>
      </c>
      <c r="BA382" s="74" t="e">
        <f t="shared" si="145"/>
        <v>#REF!</v>
      </c>
      <c r="BB382" s="74" t="e">
        <f t="shared" si="146"/>
        <v>#REF!</v>
      </c>
      <c r="BC382" s="41" t="s">
        <v>128</v>
      </c>
      <c r="BD382" s="42"/>
    </row>
    <row r="383" spans="1:56" ht="61.2" x14ac:dyDescent="0.3">
      <c r="A383" s="41" t="s">
        <v>2788</v>
      </c>
      <c r="B383" s="42">
        <f t="shared" si="110"/>
        <v>377</v>
      </c>
      <c r="C383" s="68" t="s">
        <v>2789</v>
      </c>
      <c r="D383" s="41" t="s">
        <v>2788</v>
      </c>
      <c r="E383" s="61">
        <v>1505002929</v>
      </c>
      <c r="F383" s="64"/>
      <c r="G383" s="49" t="s">
        <v>2790</v>
      </c>
      <c r="H383" s="76">
        <v>29849</v>
      </c>
      <c r="I383" s="76"/>
      <c r="J383" s="66">
        <f t="shared" ca="1" si="147"/>
        <v>44</v>
      </c>
      <c r="K383" s="75" t="s">
        <v>2791</v>
      </c>
      <c r="L383" s="41" t="s">
        <v>2792</v>
      </c>
      <c r="M383" s="53" t="s">
        <v>67</v>
      </c>
      <c r="N383" s="66"/>
      <c r="O383" s="53" t="s">
        <v>592</v>
      </c>
      <c r="P383" s="49" t="s">
        <v>593</v>
      </c>
      <c r="Q383" s="49" t="s">
        <v>2793</v>
      </c>
      <c r="R383" s="49"/>
      <c r="S383" s="49" t="s">
        <v>166</v>
      </c>
      <c r="T383" s="53" t="s">
        <v>97</v>
      </c>
      <c r="U383" s="53" t="s">
        <v>94</v>
      </c>
      <c r="V383" s="49" t="str">
        <f t="shared" si="144"/>
        <v>Phường Tam Thanh, Thành phố Lạng Sơn, Tỉnh Lạng Sơn</v>
      </c>
      <c r="W383" s="55" t="s">
        <v>724</v>
      </c>
      <c r="X383" s="41"/>
      <c r="Y383" s="41"/>
      <c r="Z383" s="41"/>
      <c r="AA383" s="68">
        <f>VLOOKUP(A383,'[1]DANH SÁCH'!$B$8:$AD$841,12,0)</f>
        <v>0</v>
      </c>
      <c r="AB383" s="49" t="str">
        <f>VLOOKUP(A383,'[1]DANH SÁCH'!$B$8:$H$841,6,0)</f>
        <v>TĐ012</v>
      </c>
      <c r="AC383" s="69" t="str">
        <f>VLOOKUP(A383,'[1]DANH SÁCH'!$B$8:$J$841,9,0)</f>
        <v>Chấn thương - Bỏng</v>
      </c>
      <c r="AD383" s="69" t="str">
        <f>VLOOKUP(A383,'[1]DANH SÁCH'!$B$8:$AC$841,10,0)</f>
        <v>KP014</v>
      </c>
      <c r="AE383" s="69" t="str">
        <f>VLOOKUP(A383,'[1]DANH SÁCH'!$B$8:$AD$841,13,0)</f>
        <v>Viên chức</v>
      </c>
      <c r="AF383" s="41" t="s">
        <v>157</v>
      </c>
      <c r="AG383" s="42" t="str">
        <f>VLOOKUP(A383,'[1]DANH SÁCH'!$B$8:$H$841,7,0)</f>
        <v>Điều dưỡng (hạng IV)</v>
      </c>
      <c r="AH383" s="45">
        <v>4.2699999999999996</v>
      </c>
      <c r="AI383" s="42">
        <v>8</v>
      </c>
      <c r="AJ383" s="70">
        <v>0</v>
      </c>
      <c r="AK383" s="69">
        <v>45839</v>
      </c>
      <c r="AL383" s="71" t="s">
        <v>158</v>
      </c>
      <c r="AM383" s="53" t="str">
        <f>VLOOKUP(A383,'[1]DANH SÁCH'!$B$8:$F$841,5,0)</f>
        <v>Điều dưỡng CĐ</v>
      </c>
      <c r="AN383" s="53"/>
      <c r="AO383" s="53" t="s">
        <v>175</v>
      </c>
      <c r="AP383" s="53">
        <v>2002</v>
      </c>
      <c r="AQ383" s="72" t="s">
        <v>113</v>
      </c>
      <c r="AR383" s="42">
        <f>VLOOKUP(A383,'[1]Chứng chỉ'!$B$8:$Q$1111,11,0)</f>
        <v>0</v>
      </c>
      <c r="AS383" s="42">
        <f>VLOOKUP(A383,'[1]Chứng chỉ'!$B$8:$Q$1111,12,0)</f>
        <v>0</v>
      </c>
      <c r="AT383" s="47">
        <f>VLOOKUP(A383,'[1]Chứng chỉ'!$B$8:$Q$1111,13,0)</f>
        <v>0</v>
      </c>
      <c r="AU383" s="42">
        <f>VLOOKUP(A383,'[1]Chứng chỉ'!$B$8:$Q$1111,14,0)</f>
        <v>0</v>
      </c>
      <c r="AV383" s="42" t="str">
        <f>VLOOKUP(A383,'[1]Chứng chỉ'!$B$8:$Q$1111,15,0)</f>
        <v>x</v>
      </c>
      <c r="AW383" s="42" t="str">
        <f>VLOOKUP(A383,'[1]Chứng chỉ'!$B$8:$Q$1111,16,0)</f>
        <v>B</v>
      </c>
      <c r="AX383" s="53"/>
      <c r="AY383" s="57" t="s">
        <v>87</v>
      </c>
      <c r="AZ383" s="65"/>
      <c r="BA383" s="74" t="e">
        <f t="shared" si="145"/>
        <v>#REF!</v>
      </c>
      <c r="BB383" s="74" t="e">
        <f t="shared" si="146"/>
        <v>#REF!</v>
      </c>
      <c r="BC383" s="41"/>
      <c r="BD383" s="115"/>
    </row>
    <row r="384" spans="1:56" ht="51" x14ac:dyDescent="0.3">
      <c r="A384" s="41" t="s">
        <v>2794</v>
      </c>
      <c r="B384" s="42">
        <f t="shared" si="110"/>
        <v>378</v>
      </c>
      <c r="C384" s="68" t="s">
        <v>2795</v>
      </c>
      <c r="D384" s="41" t="s">
        <v>2794</v>
      </c>
      <c r="E384" s="61">
        <v>2010000124</v>
      </c>
      <c r="F384" s="64"/>
      <c r="G384" s="49" t="s">
        <v>2796</v>
      </c>
      <c r="H384" s="76">
        <v>30614</v>
      </c>
      <c r="I384" s="76"/>
      <c r="J384" s="66">
        <f t="shared" ca="1" si="147"/>
        <v>42</v>
      </c>
      <c r="K384" s="75" t="s">
        <v>2797</v>
      </c>
      <c r="L384" s="41" t="s">
        <v>2798</v>
      </c>
      <c r="M384" s="53" t="s">
        <v>67</v>
      </c>
      <c r="N384" s="66"/>
      <c r="O384" s="53" t="s">
        <v>723</v>
      </c>
      <c r="P384" s="49" t="s">
        <v>222</v>
      </c>
      <c r="Q384" s="49" t="s">
        <v>94</v>
      </c>
      <c r="R384" s="49"/>
      <c r="S384" s="49" t="s">
        <v>1108</v>
      </c>
      <c r="T384" s="49" t="s">
        <v>222</v>
      </c>
      <c r="U384" s="49" t="s">
        <v>94</v>
      </c>
      <c r="V384" s="49" t="str">
        <f t="shared" si="144"/>
        <v>Xã Quang Lang, Huyện Chi Lăng, Tỉnh Lạng Sơn</v>
      </c>
      <c r="W384" s="55" t="s">
        <v>236</v>
      </c>
      <c r="X384" s="41"/>
      <c r="Y384" s="41"/>
      <c r="Z384" s="41"/>
      <c r="AA384" s="68" t="str">
        <f>VLOOKUP(A384,'[1]DANH SÁCH'!$B$8:$AD$841,12,0)</f>
        <v>Trưởng khoa</v>
      </c>
      <c r="AB384" s="49" t="str">
        <f>VLOOKUP(A384,'[1]DANH SÁCH'!$B$8:$H$841,6,0)</f>
        <v>TĐ003</v>
      </c>
      <c r="AC384" s="69" t="str">
        <f>VLOOKUP(A384,'[1]DANH SÁCH'!$B$8:$J$841,9,0)</f>
        <v>CĐHA</v>
      </c>
      <c r="AD384" s="69" t="str">
        <f>VLOOKUP(A384,'[1]DANH SÁCH'!$B$8:$AC$841,10,0)</f>
        <v>KP034</v>
      </c>
      <c r="AE384" s="69" t="str">
        <f>VLOOKUP(A384,'[1]DANH SÁCH'!$B$8:$AD$841,13,0)</f>
        <v>Viên chức</v>
      </c>
      <c r="AF384" s="41" t="s">
        <v>79</v>
      </c>
      <c r="AG384" s="42" t="str">
        <f>VLOOKUP(A384,'[1]DANH SÁCH'!$B$8:$H$841,7,0)</f>
        <v>Bác sĩ chính (hạng II)</v>
      </c>
      <c r="AH384" s="45">
        <v>4.74</v>
      </c>
      <c r="AI384" s="42">
        <v>2</v>
      </c>
      <c r="AJ384" s="70">
        <v>0</v>
      </c>
      <c r="AK384" s="69">
        <v>45992</v>
      </c>
      <c r="AL384" s="71" t="s">
        <v>80</v>
      </c>
      <c r="AM384" s="53" t="str">
        <f>VLOOKUP(A384,'[1]DANH SÁCH'!$B$8:$F$841,5,0)</f>
        <v>BSCKI</v>
      </c>
      <c r="AN384" s="53" t="s">
        <v>2799</v>
      </c>
      <c r="AO384" s="53" t="s">
        <v>2800</v>
      </c>
      <c r="AP384" s="53">
        <v>2017</v>
      </c>
      <c r="AQ384" s="72"/>
      <c r="AR384" s="42" t="s">
        <v>82</v>
      </c>
      <c r="AS384" s="42">
        <f>VLOOKUP(A384,'[1]Chứng chỉ'!$B$8:$Q$1111,12,0)</f>
        <v>0</v>
      </c>
      <c r="AT384" s="47" t="s">
        <v>139</v>
      </c>
      <c r="AU384" s="42" t="str">
        <f>VLOOKUP(A384,'[1]Chứng chỉ'!$B$8:$Q$1111,14,0)</f>
        <v>Anh C</v>
      </c>
      <c r="AV384" s="42" t="str">
        <f>VLOOKUP(A384,'[1]Chứng chỉ'!$B$8:$Q$1111,15,0)</f>
        <v>X</v>
      </c>
      <c r="AW384" s="42" t="str">
        <f>VLOOKUP(A384,'[1]Chứng chỉ'!$B$8:$Q$1111,16,0)</f>
        <v>B</v>
      </c>
      <c r="AX384" s="42"/>
      <c r="AY384" s="57" t="s">
        <v>127</v>
      </c>
      <c r="AZ384" s="65">
        <v>41912</v>
      </c>
      <c r="BA384" s="74" t="e">
        <f t="shared" si="145"/>
        <v>#REF!</v>
      </c>
      <c r="BB384" s="74" t="e">
        <f t="shared" si="146"/>
        <v>#REF!</v>
      </c>
      <c r="BC384" s="41" t="s">
        <v>413</v>
      </c>
      <c r="BD384" s="42"/>
    </row>
    <row r="385" spans="1:56" ht="40.799999999999997" x14ac:dyDescent="0.3">
      <c r="A385" s="41" t="s">
        <v>2801</v>
      </c>
      <c r="B385" s="42">
        <f t="shared" si="110"/>
        <v>379</v>
      </c>
      <c r="C385" s="68" t="s">
        <v>2802</v>
      </c>
      <c r="D385" s="41" t="s">
        <v>2801</v>
      </c>
      <c r="E385" s="61">
        <v>2013002638</v>
      </c>
      <c r="F385" s="64"/>
      <c r="G385" s="49" t="s">
        <v>2803</v>
      </c>
      <c r="H385" s="76">
        <v>32055</v>
      </c>
      <c r="I385" s="76"/>
      <c r="J385" s="66">
        <f t="shared" ca="1" si="147"/>
        <v>38</v>
      </c>
      <c r="K385" s="75" t="s">
        <v>2804</v>
      </c>
      <c r="L385" s="41" t="s">
        <v>2805</v>
      </c>
      <c r="M385" s="53" t="s">
        <v>67</v>
      </c>
      <c r="N385" s="66"/>
      <c r="O385" s="53"/>
      <c r="P385" s="49" t="s">
        <v>282</v>
      </c>
      <c r="Q385" s="49" t="s">
        <v>94</v>
      </c>
      <c r="R385" s="49"/>
      <c r="S385" s="49" t="s">
        <v>749</v>
      </c>
      <c r="T385" s="49" t="s">
        <v>282</v>
      </c>
      <c r="U385" s="49" t="s">
        <v>94</v>
      </c>
      <c r="V385" s="49" t="str">
        <f t="shared" si="144"/>
        <v>Xã Yên Bình, Huyện Hữu Lũng, Tỉnh Lạng Sơn</v>
      </c>
      <c r="W385" s="86" t="s">
        <v>249</v>
      </c>
      <c r="X385" s="41"/>
      <c r="Y385" s="41"/>
      <c r="Z385" s="41"/>
      <c r="AA385" s="68" t="str">
        <f>VLOOKUP(A385,'[1]DANH SÁCH'!$B$8:$AD$841,12,0)</f>
        <v>Phó trưởng khoa</v>
      </c>
      <c r="AB385" s="49" t="str">
        <f>VLOOKUP(A385,'[1]DANH SÁCH'!$B$8:$H$841,6,0)</f>
        <v>TĐ003</v>
      </c>
      <c r="AC385" s="69" t="str">
        <f>VLOOKUP(A385,'[1]DANH SÁCH'!$B$8:$J$841,9,0)</f>
        <v>CĐHA</v>
      </c>
      <c r="AD385" s="69" t="str">
        <f>VLOOKUP(A385,'[1]DANH SÁCH'!$B$8:$AC$841,10,0)</f>
        <v>KP034</v>
      </c>
      <c r="AE385" s="69" t="str">
        <f>VLOOKUP(A385,'[1]DANH SÁCH'!$B$8:$AD$841,13,0)</f>
        <v>Viên chức</v>
      </c>
      <c r="AF385" s="41" t="s">
        <v>274</v>
      </c>
      <c r="AG385" s="42" t="str">
        <f>VLOOKUP(A385,'[1]DANH SÁCH'!$B$8:$H$841,7,0)</f>
        <v>Bác sĩ chính (hạng II)</v>
      </c>
      <c r="AH385" s="45">
        <v>4.4000000000000004</v>
      </c>
      <c r="AI385" s="42">
        <v>1</v>
      </c>
      <c r="AJ385" s="70">
        <v>0</v>
      </c>
      <c r="AK385" s="69">
        <v>45809</v>
      </c>
      <c r="AL385" s="71" t="s">
        <v>80</v>
      </c>
      <c r="AM385" s="53" t="str">
        <f>VLOOKUP(A385,'[1]DANH SÁCH'!$B$8:$F$841,5,0)</f>
        <v>BSCKI</v>
      </c>
      <c r="AN385" s="53" t="s">
        <v>2799</v>
      </c>
      <c r="AO385" s="53" t="s">
        <v>2806</v>
      </c>
      <c r="AP385" s="53">
        <v>2013</v>
      </c>
      <c r="AQ385" s="72" t="s">
        <v>113</v>
      </c>
      <c r="AR385" s="42">
        <f>VLOOKUP(A385,'[1]Chứng chỉ'!$B$8:$Q$1111,11,0)</f>
        <v>0</v>
      </c>
      <c r="AS385" s="42" t="str">
        <f>VLOOKUP(A385,'[1]Chứng chỉ'!$B$8:$Q$1111,12,0)</f>
        <v>X</v>
      </c>
      <c r="AT385" s="47" t="s">
        <v>139</v>
      </c>
      <c r="AU385" s="42" t="str">
        <f>VLOOKUP(A385,'[1]Chứng chỉ'!$B$8:$Q$1111,14,0)</f>
        <v>Anh B</v>
      </c>
      <c r="AV385" s="42">
        <f>VLOOKUP(A385,'[1]Chứng chỉ'!$B$8:$Q$1111,15,0)</f>
        <v>0</v>
      </c>
      <c r="AW385" s="42" t="str">
        <f>VLOOKUP(A385,'[1]Chứng chỉ'!$B$8:$Q$1111,16,0)</f>
        <v>B</v>
      </c>
      <c r="AX385" s="42"/>
      <c r="AY385" s="57" t="s">
        <v>127</v>
      </c>
      <c r="AZ385" s="65">
        <v>43070</v>
      </c>
      <c r="BA385" s="74"/>
      <c r="BB385" s="74"/>
      <c r="BC385" s="41" t="s">
        <v>1412</v>
      </c>
      <c r="BD385" s="42"/>
    </row>
    <row r="386" spans="1:56" ht="40.799999999999997" x14ac:dyDescent="0.3">
      <c r="A386" s="41" t="s">
        <v>2807</v>
      </c>
      <c r="B386" s="42">
        <f t="shared" si="110"/>
        <v>380</v>
      </c>
      <c r="C386" s="68" t="s">
        <v>2808</v>
      </c>
      <c r="D386" s="41" t="s">
        <v>2807</v>
      </c>
      <c r="E386" s="61">
        <v>2014002792</v>
      </c>
      <c r="F386" s="64"/>
      <c r="G386" s="49" t="s">
        <v>2809</v>
      </c>
      <c r="H386" s="76"/>
      <c r="I386" s="76">
        <v>32905</v>
      </c>
      <c r="J386" s="66">
        <f ca="1">INT(DATEDIF(I386,$J$2,"d")/365)</f>
        <v>36</v>
      </c>
      <c r="K386" s="75" t="s">
        <v>2810</v>
      </c>
      <c r="L386" s="41" t="s">
        <v>2131</v>
      </c>
      <c r="M386" s="53" t="s">
        <v>67</v>
      </c>
      <c r="N386" s="66"/>
      <c r="O386" s="53" t="s">
        <v>2261</v>
      </c>
      <c r="P386" s="49" t="s">
        <v>93</v>
      </c>
      <c r="Q386" s="49" t="s">
        <v>94</v>
      </c>
      <c r="R386" s="76"/>
      <c r="S386" s="49" t="s">
        <v>2261</v>
      </c>
      <c r="T386" s="49" t="s">
        <v>93</v>
      </c>
      <c r="U386" s="49" t="s">
        <v>94</v>
      </c>
      <c r="V386" s="49" t="str">
        <f t="shared" si="144"/>
        <v>Xã Vũ Lăng, Huyện Bắc Sơn, Tỉnh Lạng Sơn</v>
      </c>
      <c r="W386" s="86" t="s">
        <v>249</v>
      </c>
      <c r="X386" s="41"/>
      <c r="Y386" s="41"/>
      <c r="Z386" s="41"/>
      <c r="AA386" s="68">
        <f>VLOOKUP(A386,'[1]DANH SÁCH'!$B$8:$AD$841,12,0)</f>
        <v>0</v>
      </c>
      <c r="AB386" s="49" t="str">
        <f>VLOOKUP(A386,'[1]DANH SÁCH'!$B$8:$H$841,6,0)</f>
        <v>TĐ005</v>
      </c>
      <c r="AC386" s="69" t="str">
        <f>VLOOKUP(A386,'[1]DANH SÁCH'!$B$8:$J$841,9,0)</f>
        <v>CĐHA</v>
      </c>
      <c r="AD386" s="69" t="str">
        <f>VLOOKUP(A386,'[1]DANH SÁCH'!$B$8:$AC$841,10,0)</f>
        <v>KP034</v>
      </c>
      <c r="AE386" s="69" t="str">
        <f>VLOOKUP(A386,'[1]DANH SÁCH'!$B$8:$AD$841,13,0)</f>
        <v>Viên chức</v>
      </c>
      <c r="AF386" s="41" t="s">
        <v>274</v>
      </c>
      <c r="AG386" s="42" t="str">
        <f>VLOOKUP(A386,'[1]DANH SÁCH'!$B$8:$H$841,7,0)</f>
        <v>Bác sĩ (hạng III)</v>
      </c>
      <c r="AH386" s="45">
        <v>3.33</v>
      </c>
      <c r="AI386" s="42">
        <v>4</v>
      </c>
      <c r="AJ386" s="70">
        <v>0</v>
      </c>
      <c r="AK386" s="69">
        <v>45323</v>
      </c>
      <c r="AL386" s="71" t="s">
        <v>80</v>
      </c>
      <c r="AM386" s="53" t="str">
        <f>VLOOKUP(A386,'[1]DANH SÁCH'!$B$8:$F$841,5,0)</f>
        <v>Bác sĩ</v>
      </c>
      <c r="AN386" s="53" t="s">
        <v>2799</v>
      </c>
      <c r="AO386" s="53" t="s">
        <v>2806</v>
      </c>
      <c r="AP386" s="53">
        <v>2014</v>
      </c>
      <c r="AQ386" s="72" t="s">
        <v>113</v>
      </c>
      <c r="AR386" s="42">
        <f>VLOOKUP(A386,'[1]Chứng chỉ'!$B$8:$Q$1111,11,0)</f>
        <v>0</v>
      </c>
      <c r="AS386" s="42">
        <f>VLOOKUP(A386,'[1]Chứng chỉ'!$B$8:$Q$1111,12,0)</f>
        <v>0</v>
      </c>
      <c r="AT386" s="47" t="s">
        <v>139</v>
      </c>
      <c r="AU386" s="42" t="str">
        <f>VLOOKUP(A386,'[1]Chứng chỉ'!$B$8:$Q$1111,14,0)</f>
        <v>Anh A2</v>
      </c>
      <c r="AV386" s="42">
        <f>VLOOKUP(A386,'[1]Chứng chỉ'!$B$8:$Q$1111,15,0)</f>
        <v>0</v>
      </c>
      <c r="AW386" s="42" t="str">
        <f>VLOOKUP(A386,'[1]Chứng chỉ'!$B$8:$Q$1111,16,0)</f>
        <v>Cơ bản</v>
      </c>
      <c r="AX386" s="42"/>
      <c r="AY386" s="57" t="s">
        <v>85</v>
      </c>
      <c r="AZ386" s="65"/>
      <c r="BA386" s="74" t="e">
        <f t="shared" ref="BA386:BA387" si="148">VLOOKUP(A386,#REF!,4,0)</f>
        <v>#REF!</v>
      </c>
      <c r="BB386" s="74" t="e">
        <f t="shared" ref="BB386:BB387" si="149">VLOOKUP(A386,#REF!,5,0)</f>
        <v>#REF!</v>
      </c>
      <c r="BC386" s="41" t="s">
        <v>128</v>
      </c>
      <c r="BD386" s="42"/>
    </row>
    <row r="387" spans="1:56" ht="40.799999999999997" x14ac:dyDescent="0.3">
      <c r="A387" s="41" t="s">
        <v>2811</v>
      </c>
      <c r="B387" s="42">
        <f t="shared" si="110"/>
        <v>381</v>
      </c>
      <c r="C387" s="44" t="s">
        <v>2812</v>
      </c>
      <c r="D387" s="41" t="s">
        <v>2811</v>
      </c>
      <c r="E387" s="61">
        <v>2016000982</v>
      </c>
      <c r="F387" s="64"/>
      <c r="G387" s="49" t="s">
        <v>2813</v>
      </c>
      <c r="H387" s="41" t="s">
        <v>2814</v>
      </c>
      <c r="I387" s="64"/>
      <c r="J387" s="66">
        <f ca="1">INT(DATEDIF(H387,$J$2,"d")/365)</f>
        <v>36</v>
      </c>
      <c r="K387" s="75" t="s">
        <v>2815</v>
      </c>
      <c r="L387" s="41"/>
      <c r="M387" s="53" t="s">
        <v>67</v>
      </c>
      <c r="N387" s="66"/>
      <c r="O387" s="85" t="s">
        <v>573</v>
      </c>
      <c r="P387" s="76" t="s">
        <v>155</v>
      </c>
      <c r="Q387" s="76" t="s">
        <v>94</v>
      </c>
      <c r="R387" s="87"/>
      <c r="S387" s="76" t="s">
        <v>573</v>
      </c>
      <c r="T387" s="76" t="s">
        <v>155</v>
      </c>
      <c r="U387" s="76" t="s">
        <v>94</v>
      </c>
      <c r="V387" s="49" t="str">
        <f t="shared" si="144"/>
        <v>Xã Văn An, Huyện Văn Quan, Tỉnh Lạng Sơn</v>
      </c>
      <c r="W387" s="89" t="s">
        <v>491</v>
      </c>
      <c r="X387" s="43"/>
      <c r="Y387" s="43"/>
      <c r="Z387" s="43"/>
      <c r="AA387" s="68">
        <f>VLOOKUP(A387,'[1]DANH SÁCH'!$B$8:$AD$841,12,0)</f>
        <v>0</v>
      </c>
      <c r="AB387" s="49" t="str">
        <f>VLOOKUP(A387,'[1]DANH SÁCH'!$B$8:$H$841,6,0)</f>
        <v>TĐ003</v>
      </c>
      <c r="AC387" s="69" t="str">
        <f>VLOOKUP(A387,'[1]DANH SÁCH'!$B$8:$J$841,9,0)</f>
        <v>CĐHA</v>
      </c>
      <c r="AD387" s="69" t="str">
        <f>VLOOKUP(A387,'[1]DANH SÁCH'!$B$8:$AC$841,10,0)</f>
        <v>KP034</v>
      </c>
      <c r="AE387" s="69" t="str">
        <f>VLOOKUP(A387,'[1]DANH SÁCH'!$B$8:$AD$841,13,0)</f>
        <v>Viên chức</v>
      </c>
      <c r="AF387" s="41" t="s">
        <v>274</v>
      </c>
      <c r="AG387" s="42" t="str">
        <f>VLOOKUP(A387,'[1]DANH SÁCH'!$B$8:$H$841,7,0)</f>
        <v>Bác sĩ (hạng III)</v>
      </c>
      <c r="AH387" s="45">
        <v>3.33</v>
      </c>
      <c r="AI387" s="42">
        <v>4</v>
      </c>
      <c r="AJ387" s="70">
        <v>0</v>
      </c>
      <c r="AK387" s="69">
        <v>45951</v>
      </c>
      <c r="AL387" s="71" t="s">
        <v>80</v>
      </c>
      <c r="AM387" s="53" t="str">
        <f>VLOOKUP(A387,'[1]DANH SÁCH'!$B$8:$F$841,5,0)</f>
        <v>BSCKI</v>
      </c>
      <c r="AN387" s="53" t="s">
        <v>2799</v>
      </c>
      <c r="AO387" s="53" t="s">
        <v>1804</v>
      </c>
      <c r="AP387" s="53">
        <v>2015</v>
      </c>
      <c r="AQ387" s="72" t="s">
        <v>113</v>
      </c>
      <c r="AR387" s="42">
        <f>VLOOKUP(A387,'[1]Chứng chỉ'!$B$8:$Q$1111,11,0)</f>
        <v>0</v>
      </c>
      <c r="AS387" s="42">
        <f>VLOOKUP(A387,'[1]Chứng chỉ'!$B$8:$Q$1111,12,0)</f>
        <v>0</v>
      </c>
      <c r="AT387" s="47" t="s">
        <v>139</v>
      </c>
      <c r="AU387" s="42" t="str">
        <f>VLOOKUP(A387,'[1]Chứng chỉ'!$B$8:$Q$1111,14,0)</f>
        <v>Anh B2</v>
      </c>
      <c r="AV387" s="42">
        <f>VLOOKUP(A387,'[1]Chứng chỉ'!$B$8:$Q$1111,15,0)</f>
        <v>0</v>
      </c>
      <c r="AW387" s="42" t="str">
        <f>VLOOKUP(A387,'[1]Chứng chỉ'!$B$8:$Q$1111,16,0)</f>
        <v>B</v>
      </c>
      <c r="AX387" s="42"/>
      <c r="AY387" s="57" t="s">
        <v>298</v>
      </c>
      <c r="AZ387" s="65"/>
      <c r="BA387" s="74" t="e">
        <f t="shared" si="148"/>
        <v>#REF!</v>
      </c>
      <c r="BB387" s="74" t="e">
        <f t="shared" si="149"/>
        <v>#REF!</v>
      </c>
      <c r="BC387" s="41" t="s">
        <v>61</v>
      </c>
      <c r="BD387" s="42"/>
    </row>
    <row r="388" spans="1:56" ht="30.6" x14ac:dyDescent="0.3">
      <c r="A388" s="46" t="s">
        <v>2816</v>
      </c>
      <c r="B388" s="42">
        <f t="shared" si="110"/>
        <v>382</v>
      </c>
      <c r="C388" s="93" t="s">
        <v>2817</v>
      </c>
      <c r="D388" s="46" t="s">
        <v>2816</v>
      </c>
      <c r="E388" s="61" t="s">
        <v>2818</v>
      </c>
      <c r="F388" s="64"/>
      <c r="G388" s="49" t="s">
        <v>2819</v>
      </c>
      <c r="H388" s="46"/>
      <c r="I388" s="113" t="s">
        <v>2820</v>
      </c>
      <c r="J388" s="66">
        <f ca="1">INT(DATEDIF(I388,$J$2,"d")/365)</f>
        <v>36</v>
      </c>
      <c r="K388" s="75" t="s">
        <v>2821</v>
      </c>
      <c r="L388" s="120" t="s">
        <v>2822</v>
      </c>
      <c r="M388" s="53" t="s">
        <v>67</v>
      </c>
      <c r="N388" s="66" t="s">
        <v>94</v>
      </c>
      <c r="O388" s="56" t="s">
        <v>2823</v>
      </c>
      <c r="P388" s="64" t="s">
        <v>2824</v>
      </c>
      <c r="Q388" s="64" t="s">
        <v>2825</v>
      </c>
      <c r="R388" s="121" t="s">
        <v>2826</v>
      </c>
      <c r="S388" s="47"/>
      <c r="T388" s="47"/>
      <c r="U388" s="47"/>
      <c r="V388" s="121" t="s">
        <v>2826</v>
      </c>
      <c r="W388" s="104" t="s">
        <v>384</v>
      </c>
      <c r="X388" s="46" t="s">
        <v>2827</v>
      </c>
      <c r="Y388" s="122">
        <v>600</v>
      </c>
      <c r="Z388" s="122" t="s">
        <v>386</v>
      </c>
      <c r="AA388" s="68">
        <f>VLOOKUP(A388,'[1]DANH SÁCH'!$B$8:$AD$841,12,0)</f>
        <v>0</v>
      </c>
      <c r="AB388" s="49" t="str">
        <f>VLOOKUP(A388,'[1]DANH SÁCH'!$B$8:$H$841,6,0)</f>
        <v>TĐ005</v>
      </c>
      <c r="AC388" s="69" t="str">
        <f>VLOOKUP(A388,'[1]DANH SÁCH'!$B$8:$J$841,9,0)</f>
        <v>CĐHA</v>
      </c>
      <c r="AD388" s="69" t="str">
        <f>VLOOKUP(A388,'[1]DANH SÁCH'!$B$8:$AC$841,10,0)</f>
        <v>KP034</v>
      </c>
      <c r="AE388" s="69" t="str">
        <f>VLOOKUP(A388,'[1]DANH SÁCH'!$B$8:$AD$841,13,0)</f>
        <v>Viên chức</v>
      </c>
      <c r="AF388" s="41" t="s">
        <v>274</v>
      </c>
      <c r="AG388" s="122" t="s">
        <v>296</v>
      </c>
      <c r="AH388" s="45">
        <v>3</v>
      </c>
      <c r="AI388" s="42">
        <v>3</v>
      </c>
      <c r="AJ388" s="70">
        <v>0</v>
      </c>
      <c r="AK388" s="69">
        <v>45250</v>
      </c>
      <c r="AL388" s="71" t="s">
        <v>80</v>
      </c>
      <c r="AM388" s="53" t="str">
        <f>VLOOKUP(A388,'[1]DANH SÁCH'!$B$8:$F$841,5,0)</f>
        <v>Bác sĩ</v>
      </c>
      <c r="AN388" s="53" t="s">
        <v>2799</v>
      </c>
      <c r="AO388" s="53" t="s">
        <v>1341</v>
      </c>
      <c r="AP388" s="53">
        <v>2016</v>
      </c>
      <c r="AQ388" s="72" t="s">
        <v>113</v>
      </c>
      <c r="AR388" s="42">
        <f>VLOOKUP(A388,'[1]Chứng chỉ'!$B$8:$Q$1111,11,0)</f>
        <v>0</v>
      </c>
      <c r="AS388" s="42">
        <f>VLOOKUP(A388,'[1]Chứng chỉ'!$B$8:$Q$1111,12,0)</f>
        <v>0</v>
      </c>
      <c r="AT388" s="47" t="s">
        <v>139</v>
      </c>
      <c r="AU388" s="42" t="str">
        <f>VLOOKUP(A388,'[1]Chứng chỉ'!$B$8:$Q$1111,14,0)</f>
        <v>Anh A2</v>
      </c>
      <c r="AV388" s="42">
        <f>VLOOKUP(A388,'[1]Chứng chỉ'!$B$8:$Q$1111,15,0)</f>
        <v>0</v>
      </c>
      <c r="AW388" s="42" t="str">
        <f>VLOOKUP(A388,'[1]Chứng chỉ'!$B$8:$Q$1111,16,0)</f>
        <v>B</v>
      </c>
      <c r="AX388" s="47"/>
      <c r="AY388" s="73" t="s">
        <v>87</v>
      </c>
      <c r="AZ388" s="65"/>
      <c r="BA388" s="74"/>
      <c r="BB388" s="74"/>
      <c r="BC388" s="41" t="s">
        <v>1668</v>
      </c>
      <c r="BD388" s="42"/>
    </row>
    <row r="389" spans="1:56" ht="40.799999999999997" x14ac:dyDescent="0.3">
      <c r="A389" s="102" t="s">
        <v>2828</v>
      </c>
      <c r="B389" s="42">
        <f t="shared" si="110"/>
        <v>383</v>
      </c>
      <c r="C389" s="93" t="s">
        <v>2829</v>
      </c>
      <c r="D389" s="102" t="s">
        <v>2828</v>
      </c>
      <c r="E389" s="61" t="s">
        <v>2830</v>
      </c>
      <c r="F389" s="122"/>
      <c r="G389" s="49" t="s">
        <v>2831</v>
      </c>
      <c r="H389" s="102" t="s">
        <v>2832</v>
      </c>
      <c r="I389" s="102"/>
      <c r="J389" s="66">
        <f t="shared" ref="J389:J390" ca="1" si="150">INT(DATEDIF(H389,$J$2,"d")/365)</f>
        <v>37</v>
      </c>
      <c r="K389" s="75" t="s">
        <v>2833</v>
      </c>
      <c r="L389" s="120" t="s">
        <v>2834</v>
      </c>
      <c r="M389" s="53" t="s">
        <v>67</v>
      </c>
      <c r="N389" s="131" t="s">
        <v>2835</v>
      </c>
      <c r="O389" s="132" t="s">
        <v>2836</v>
      </c>
      <c r="P389" s="115" t="s">
        <v>2015</v>
      </c>
      <c r="Q389" s="115" t="s">
        <v>71</v>
      </c>
      <c r="R389" s="115" t="s">
        <v>2837</v>
      </c>
      <c r="S389" s="115" t="s">
        <v>2350</v>
      </c>
      <c r="T389" s="115" t="s">
        <v>379</v>
      </c>
      <c r="U389" s="115" t="s">
        <v>71</v>
      </c>
      <c r="V389" s="49" t="str">
        <f t="shared" ref="V389:V401" si="151">S389&amp;", "&amp;T389&amp;", "&amp;U389</f>
        <v>Hoàng Đồng, TP. Lạng Sơn, Lạng Sơn</v>
      </c>
      <c r="W389" s="130" t="s">
        <v>249</v>
      </c>
      <c r="X389" s="120" t="s">
        <v>2724</v>
      </c>
      <c r="Y389" s="120" t="s">
        <v>2838</v>
      </c>
      <c r="Z389" s="120" t="s">
        <v>2839</v>
      </c>
      <c r="AA389" s="68">
        <f>VLOOKUP(A389,'[1]DANH SÁCH'!$B$8:$AD$841,12,0)</f>
        <v>0</v>
      </c>
      <c r="AB389" s="49" t="str">
        <f>VLOOKUP(A389,'[1]DANH SÁCH'!$B$8:$H$841,6,0)</f>
        <v>TĐ005</v>
      </c>
      <c r="AC389" s="69" t="str">
        <f>VLOOKUP(A389,'[1]DANH SÁCH'!$B$8:$J$841,9,0)</f>
        <v>UB-YHHN</v>
      </c>
      <c r="AD389" s="69" t="str">
        <f>VLOOKUP(A389,'[1]DANH SÁCH'!$B$8:$AC$841,10,0)</f>
        <v>KP011</v>
      </c>
      <c r="AE389" s="69" t="str">
        <f>VLOOKUP(A389,'[1]DANH SÁCH'!$B$8:$AD$841,13,0)</f>
        <v>Viên chức</v>
      </c>
      <c r="AF389" s="41" t="s">
        <v>274</v>
      </c>
      <c r="AG389" s="115" t="s">
        <v>296</v>
      </c>
      <c r="AH389" s="45">
        <v>3.66</v>
      </c>
      <c r="AI389" s="42">
        <v>5</v>
      </c>
      <c r="AJ389" s="70">
        <v>0</v>
      </c>
      <c r="AK389" s="69">
        <v>45962</v>
      </c>
      <c r="AL389" s="71" t="s">
        <v>80</v>
      </c>
      <c r="AM389" s="53" t="str">
        <f>VLOOKUP(A389,'[1]DANH SÁCH'!$B$8:$F$841,5,0)</f>
        <v>Bác sĩ</v>
      </c>
      <c r="AN389" s="53" t="s">
        <v>372</v>
      </c>
      <c r="AO389" s="53" t="s">
        <v>1130</v>
      </c>
      <c r="AP389" s="53">
        <v>2013</v>
      </c>
      <c r="AQ389" s="72" t="s">
        <v>113</v>
      </c>
      <c r="AR389" s="42">
        <f>VLOOKUP(A389,'[1]Chứng chỉ'!$B$8:$Q$1111,11,0)</f>
        <v>0</v>
      </c>
      <c r="AS389" s="42" t="str">
        <f>VLOOKUP(A389,'[1]Chứng chỉ'!$B$8:$Q$1111,12,0)</f>
        <v>X</v>
      </c>
      <c r="AT389" s="47" t="str">
        <f>VLOOKUP(A389,'[1]Chứng chỉ'!$B$8:$Q$1111,13,0)</f>
        <v>Sơ cấp</v>
      </c>
      <c r="AU389" s="42">
        <f>VLOOKUP(A389,'[1]Chứng chỉ'!$B$8:$Q$1111,14,0)</f>
        <v>0</v>
      </c>
      <c r="AV389" s="42" t="str">
        <f>VLOOKUP(A389,'[1]Chứng chỉ'!$B$8:$Q$1111,15,0)</f>
        <v>X</v>
      </c>
      <c r="AW389" s="42" t="str">
        <f>VLOOKUP(A389,'[1]Chứng chỉ'!$B$8:$Q$1111,16,0)</f>
        <v>Cơ bản</v>
      </c>
      <c r="AX389" s="115"/>
      <c r="AY389" s="115" t="s">
        <v>85</v>
      </c>
      <c r="AZ389" s="65"/>
      <c r="BA389" s="74"/>
      <c r="BB389" s="74"/>
      <c r="BC389" s="41" t="s">
        <v>2840</v>
      </c>
      <c r="BD389" s="42"/>
    </row>
    <row r="390" spans="1:56" ht="61.2" x14ac:dyDescent="0.3">
      <c r="A390" s="41" t="s">
        <v>2841</v>
      </c>
      <c r="B390" s="42">
        <f t="shared" si="110"/>
        <v>384</v>
      </c>
      <c r="C390" s="68" t="s">
        <v>2842</v>
      </c>
      <c r="D390" s="41" t="s">
        <v>2841</v>
      </c>
      <c r="E390" s="61">
        <v>1596007591</v>
      </c>
      <c r="F390" s="64"/>
      <c r="G390" s="49" t="s">
        <v>2843</v>
      </c>
      <c r="H390" s="76">
        <v>23670</v>
      </c>
      <c r="I390" s="76"/>
      <c r="J390" s="66">
        <f t="shared" ca="1" si="150"/>
        <v>61</v>
      </c>
      <c r="K390" s="75" t="s">
        <v>2844</v>
      </c>
      <c r="L390" s="41" t="s">
        <v>2845</v>
      </c>
      <c r="M390" s="53" t="s">
        <v>67</v>
      </c>
      <c r="N390" s="66"/>
      <c r="O390" s="53"/>
      <c r="P390" s="76" t="s">
        <v>343</v>
      </c>
      <c r="Q390" s="49" t="s">
        <v>94</v>
      </c>
      <c r="R390" s="49"/>
      <c r="S390" s="49" t="s">
        <v>166</v>
      </c>
      <c r="T390" s="49" t="s">
        <v>97</v>
      </c>
      <c r="U390" s="49" t="s">
        <v>94</v>
      </c>
      <c r="V390" s="49" t="str">
        <f t="shared" si="151"/>
        <v>Phường Tam Thanh, Thành phố Lạng Sơn, Tỉnh Lạng Sơn</v>
      </c>
      <c r="W390" s="55" t="s">
        <v>2846</v>
      </c>
      <c r="X390" s="41"/>
      <c r="Y390" s="41"/>
      <c r="Z390" s="41"/>
      <c r="AA390" s="68" t="e">
        <f>VLOOKUP(A390,'[1]DANH SÁCH'!$B$8:$AD$841,12,0)</f>
        <v>#N/A</v>
      </c>
      <c r="AB390" s="49" t="e">
        <f>VLOOKUP(A390,'[1]DANH SÁCH'!$B$8:$H$841,6,0)</f>
        <v>#N/A</v>
      </c>
      <c r="AC390" s="69" t="e">
        <f>VLOOKUP(A390,'[1]DANH SÁCH'!$B$8:$J$841,9,0)</f>
        <v>#N/A</v>
      </c>
      <c r="AD390" s="69" t="e">
        <f>VLOOKUP(A390,'[1]DANH SÁCH'!$B$8:$AC$841,10,0)</f>
        <v>#N/A</v>
      </c>
      <c r="AE390" s="69" t="e">
        <f>VLOOKUP(A390,'[1]DANH SÁCH'!$B$8:$AD$841,13,0)</f>
        <v>#N/A</v>
      </c>
      <c r="AF390" s="41" t="s">
        <v>147</v>
      </c>
      <c r="AG390" s="42" t="e">
        <f>VLOOKUP(A390,'[1]DANH SÁCH'!$B$8:$H$841,7,0)</f>
        <v>#N/A</v>
      </c>
      <c r="AH390" s="45">
        <v>4.9800000000000004</v>
      </c>
      <c r="AI390" s="42">
        <v>9</v>
      </c>
      <c r="AJ390" s="70">
        <v>0.11</v>
      </c>
      <c r="AK390" s="69">
        <v>45962</v>
      </c>
      <c r="AL390" s="71" t="s">
        <v>80</v>
      </c>
      <c r="AM390" s="53" t="e">
        <f>VLOOKUP(A390,'[1]DANH SÁCH'!$B$8:$F$841,5,0)</f>
        <v>#N/A</v>
      </c>
      <c r="AN390" s="53"/>
      <c r="AO390" s="53" t="s">
        <v>2806</v>
      </c>
      <c r="AP390" s="53">
        <v>2010</v>
      </c>
      <c r="AQ390" s="72" t="s">
        <v>113</v>
      </c>
      <c r="AR390" s="42" t="s">
        <v>82</v>
      </c>
      <c r="AS390" s="42" t="s">
        <v>100</v>
      </c>
      <c r="AT390" s="47" t="str">
        <f>VLOOKUP(A390,'[1]Chứng chỉ'!$B$8:$Q$1111,13,0)</f>
        <v>Sơ cấp</v>
      </c>
      <c r="AU390" s="42" t="str">
        <f>VLOOKUP(A390,'[1]Chứng chỉ'!$B$8:$Q$1111,14,0)</f>
        <v>Anh B</v>
      </c>
      <c r="AV390" s="42">
        <f>VLOOKUP(A390,'[1]Chứng chỉ'!$B$8:$Q$1111,15,0)</f>
        <v>0</v>
      </c>
      <c r="AW390" s="42" t="str">
        <f>VLOOKUP(A390,'[1]Chứng chỉ'!$B$8:$Q$1111,16,0)</f>
        <v>B</v>
      </c>
      <c r="AX390" s="42"/>
      <c r="AY390" s="57" t="s">
        <v>87</v>
      </c>
      <c r="AZ390" s="65">
        <v>39532</v>
      </c>
      <c r="BA390" s="74" t="e">
        <f t="shared" ref="BA390:BA401" si="152">VLOOKUP(A390,#REF!,4,0)</f>
        <v>#REF!</v>
      </c>
      <c r="BB390" s="74" t="e">
        <f t="shared" ref="BB390:BB401" si="153">VLOOKUP(A390,#REF!,5,0)</f>
        <v>#REF!</v>
      </c>
      <c r="BC390" s="41" t="s">
        <v>128</v>
      </c>
      <c r="BD390" s="42"/>
    </row>
    <row r="391" spans="1:56" ht="61.2" x14ac:dyDescent="0.3">
      <c r="A391" s="41" t="s">
        <v>2847</v>
      </c>
      <c r="B391" s="42">
        <f t="shared" si="110"/>
        <v>385</v>
      </c>
      <c r="C391" s="68" t="s">
        <v>2848</v>
      </c>
      <c r="D391" s="41" t="s">
        <v>2847</v>
      </c>
      <c r="E391" s="61">
        <v>1505002945</v>
      </c>
      <c r="F391" s="64"/>
      <c r="G391" s="49" t="s">
        <v>2849</v>
      </c>
      <c r="H391" s="76"/>
      <c r="I391" s="76">
        <v>29285</v>
      </c>
      <c r="J391" s="66">
        <f ca="1">INT(DATEDIF(I391,$J$2,"d")/365)</f>
        <v>46</v>
      </c>
      <c r="K391" s="75" t="s">
        <v>2850</v>
      </c>
      <c r="L391" s="41" t="s">
        <v>2851</v>
      </c>
      <c r="M391" s="53" t="s">
        <v>67</v>
      </c>
      <c r="N391" s="66"/>
      <c r="O391" s="53"/>
      <c r="P391" s="49" t="s">
        <v>145</v>
      </c>
      <c r="Q391" s="49" t="s">
        <v>94</v>
      </c>
      <c r="R391" s="49"/>
      <c r="S391" s="49" t="s">
        <v>166</v>
      </c>
      <c r="T391" s="49" t="s">
        <v>97</v>
      </c>
      <c r="U391" s="49" t="s">
        <v>94</v>
      </c>
      <c r="V391" s="49" t="str">
        <f t="shared" si="151"/>
        <v>Phường Tam Thanh, Thành phố Lạng Sơn, Tỉnh Lạng Sơn</v>
      </c>
      <c r="W391" s="55" t="s">
        <v>724</v>
      </c>
      <c r="X391" s="41"/>
      <c r="Y391" s="41"/>
      <c r="Z391" s="41"/>
      <c r="AA391" s="68">
        <f>VLOOKUP(A391,'[1]DANH SÁCH'!$B$8:$AD$841,12,0)</f>
        <v>0</v>
      </c>
      <c r="AB391" s="49" t="str">
        <f>VLOOKUP(A391,'[1]DANH SÁCH'!$B$8:$H$841,6,0)</f>
        <v>TĐ012</v>
      </c>
      <c r="AC391" s="69" t="str">
        <f>VLOOKUP(A391,'[1]DANH SÁCH'!$B$8:$J$841,9,0)</f>
        <v>CĐHA</v>
      </c>
      <c r="AD391" s="69" t="str">
        <f>VLOOKUP(A391,'[1]DANH SÁCH'!$B$8:$AC$841,10,0)</f>
        <v>KP034</v>
      </c>
      <c r="AE391" s="69" t="str">
        <f>VLOOKUP(A391,'[1]DANH SÁCH'!$B$8:$AD$841,13,0)</f>
        <v>Viên chức</v>
      </c>
      <c r="AF391" s="41" t="s">
        <v>157</v>
      </c>
      <c r="AG391" s="42" t="str">
        <f>VLOOKUP(A391,'[1]DANH SÁCH'!$B$8:$H$841,7,0)</f>
        <v>Điều dưỡng (hạng IV)</v>
      </c>
      <c r="AH391" s="45">
        <v>3.96</v>
      </c>
      <c r="AI391" s="42">
        <v>7</v>
      </c>
      <c r="AJ391" s="70">
        <v>0</v>
      </c>
      <c r="AK391" s="69">
        <v>45536</v>
      </c>
      <c r="AL391" s="71" t="s">
        <v>158</v>
      </c>
      <c r="AM391" s="53" t="str">
        <f>VLOOKUP(A391,'[1]DANH SÁCH'!$B$8:$F$841,5,0)</f>
        <v>Điều dưỡng CĐ</v>
      </c>
      <c r="AN391" s="53"/>
      <c r="AO391" s="53"/>
      <c r="AP391" s="53"/>
      <c r="AQ391" s="72" t="s">
        <v>113</v>
      </c>
      <c r="AR391" s="42">
        <f>VLOOKUP(A391,'[1]Chứng chỉ'!$B$8:$Q$1111,11,0)</f>
        <v>0</v>
      </c>
      <c r="AS391" s="42">
        <f>VLOOKUP(A391,'[1]Chứng chỉ'!$B$8:$Q$1111,12,0)</f>
        <v>0</v>
      </c>
      <c r="AT391" s="47">
        <f>VLOOKUP(A391,'[1]Chứng chỉ'!$B$8:$Q$1111,13,0)</f>
        <v>0</v>
      </c>
      <c r="AU391" s="42">
        <f>VLOOKUP(A391,'[1]Chứng chỉ'!$B$8:$Q$1111,14,0)</f>
        <v>0</v>
      </c>
      <c r="AV391" s="42" t="str">
        <f>VLOOKUP(A391,'[1]Chứng chỉ'!$B$8:$Q$1111,15,0)</f>
        <v>Tày</v>
      </c>
      <c r="AW391" s="42" t="str">
        <f>VLOOKUP(A391,'[1]Chứng chỉ'!$B$8:$Q$1111,16,0)</f>
        <v>Cơ bản</v>
      </c>
      <c r="AX391" s="42"/>
      <c r="AY391" s="57" t="s">
        <v>127</v>
      </c>
      <c r="AZ391" s="65"/>
      <c r="BA391" s="74" t="e">
        <f t="shared" si="152"/>
        <v>#REF!</v>
      </c>
      <c r="BB391" s="74" t="e">
        <f t="shared" si="153"/>
        <v>#REF!</v>
      </c>
      <c r="BC391" s="41" t="s">
        <v>128</v>
      </c>
      <c r="BD391" s="42"/>
    </row>
    <row r="392" spans="1:56" ht="40.799999999999997" x14ac:dyDescent="0.3">
      <c r="A392" s="41" t="s">
        <v>2852</v>
      </c>
      <c r="B392" s="42">
        <f t="shared" si="110"/>
        <v>386</v>
      </c>
      <c r="C392" s="68" t="s">
        <v>2853</v>
      </c>
      <c r="D392" s="41" t="s">
        <v>2852</v>
      </c>
      <c r="E392" s="61">
        <v>2010000437</v>
      </c>
      <c r="F392" s="64"/>
      <c r="G392" s="49" t="s">
        <v>2854</v>
      </c>
      <c r="H392" s="76">
        <v>31583</v>
      </c>
      <c r="I392" s="76"/>
      <c r="J392" s="66">
        <f t="shared" ref="J392:J407" ca="1" si="154">INT(DATEDIF(H392,$J$2,"d")/365)</f>
        <v>40</v>
      </c>
      <c r="K392" s="75" t="s">
        <v>2855</v>
      </c>
      <c r="L392" s="41" t="s">
        <v>2856</v>
      </c>
      <c r="M392" s="53" t="s">
        <v>67</v>
      </c>
      <c r="N392" s="66"/>
      <c r="O392" s="53" t="s">
        <v>723</v>
      </c>
      <c r="P392" s="49" t="s">
        <v>222</v>
      </c>
      <c r="Q392" s="49" t="s">
        <v>94</v>
      </c>
      <c r="R392" s="49"/>
      <c r="S392" s="49" t="s">
        <v>723</v>
      </c>
      <c r="T392" s="49" t="s">
        <v>222</v>
      </c>
      <c r="U392" s="49" t="s">
        <v>94</v>
      </c>
      <c r="V392" s="49" t="str">
        <f t="shared" si="151"/>
        <v>Xã Vạn Linh, Huyện Chi Lăng, Tỉnh Lạng Sơn</v>
      </c>
      <c r="W392" s="55" t="s">
        <v>224</v>
      </c>
      <c r="X392" s="41"/>
      <c r="Y392" s="41"/>
      <c r="Z392" s="41"/>
      <c r="AA392" s="68">
        <f>VLOOKUP(A392,'[1]DANH SÁCH'!$B$8:$AD$841,12,0)</f>
        <v>0</v>
      </c>
      <c r="AB392" s="49" t="str">
        <f>VLOOKUP(A392,'[1]DANH SÁCH'!$B$8:$H$841,6,0)</f>
        <v>TĐ011</v>
      </c>
      <c r="AC392" s="69" t="str">
        <f>VLOOKUP(A392,'[1]DANH SÁCH'!$B$8:$J$841,9,0)</f>
        <v>CĐHA</v>
      </c>
      <c r="AD392" s="69" t="str">
        <f>VLOOKUP(A392,'[1]DANH SÁCH'!$B$8:$AC$841,10,0)</f>
        <v>KP034</v>
      </c>
      <c r="AE392" s="69" t="str">
        <f>VLOOKUP(A392,'[1]DANH SÁCH'!$B$8:$AD$841,13,0)</f>
        <v>Viên chức</v>
      </c>
      <c r="AF392" s="41" t="s">
        <v>147</v>
      </c>
      <c r="AG392" s="42" t="str">
        <f>VLOOKUP(A392,'[1]DANH SÁCH'!$B$8:$H$841,7,0)</f>
        <v>Điều dưỡng (hạng III)</v>
      </c>
      <c r="AH392" s="45">
        <v>3.66</v>
      </c>
      <c r="AI392" s="42">
        <v>5</v>
      </c>
      <c r="AJ392" s="70">
        <v>0</v>
      </c>
      <c r="AK392" s="69">
        <v>45383</v>
      </c>
      <c r="AL392" s="71" t="s">
        <v>80</v>
      </c>
      <c r="AM392" s="53" t="str">
        <f>VLOOKUP(A392,'[1]DANH SÁCH'!$B$8:$F$841,5,0)</f>
        <v>Điều dưỡng ĐH</v>
      </c>
      <c r="AN392" s="53"/>
      <c r="AO392" s="53" t="s">
        <v>2857</v>
      </c>
      <c r="AP392" s="53">
        <v>2008</v>
      </c>
      <c r="AQ392" s="72" t="s">
        <v>113</v>
      </c>
      <c r="AR392" s="42">
        <f>VLOOKUP(A392,'[1]Chứng chỉ'!$B$8:$Q$1111,11,0)</f>
        <v>0</v>
      </c>
      <c r="AS392" s="42">
        <f>VLOOKUP(A392,'[1]Chứng chỉ'!$B$8:$Q$1111,12,0)</f>
        <v>0</v>
      </c>
      <c r="AT392" s="47">
        <f>VLOOKUP(A392,'[1]Chứng chỉ'!$B$8:$Q$1111,13,0)</f>
        <v>0</v>
      </c>
      <c r="AU392" s="42" t="str">
        <f>VLOOKUP(A392,'[1]Chứng chỉ'!$B$8:$Q$1111,14,0)</f>
        <v>Anh A2</v>
      </c>
      <c r="AV392" s="42" t="str">
        <f>VLOOKUP(A392,'[1]Chứng chỉ'!$B$8:$Q$1111,15,0)</f>
        <v>Tày</v>
      </c>
      <c r="AW392" s="42" t="str">
        <f>VLOOKUP(A392,'[1]Chứng chỉ'!$B$8:$Q$1111,16,0)</f>
        <v>Cơ bản</v>
      </c>
      <c r="AX392" s="42"/>
      <c r="AY392" s="57" t="s">
        <v>85</v>
      </c>
      <c r="AZ392" s="65"/>
      <c r="BA392" s="74" t="e">
        <f t="shared" si="152"/>
        <v>#REF!</v>
      </c>
      <c r="BB392" s="74" t="e">
        <f t="shared" si="153"/>
        <v>#REF!</v>
      </c>
      <c r="BC392" s="41" t="s">
        <v>1668</v>
      </c>
      <c r="BD392" s="42"/>
    </row>
    <row r="393" spans="1:56" ht="51" x14ac:dyDescent="0.3">
      <c r="A393" s="41" t="s">
        <v>2858</v>
      </c>
      <c r="B393" s="42">
        <f t="shared" si="110"/>
        <v>387</v>
      </c>
      <c r="C393" s="68" t="s">
        <v>2859</v>
      </c>
      <c r="D393" s="41" t="s">
        <v>2858</v>
      </c>
      <c r="E393" s="61">
        <v>2010000188</v>
      </c>
      <c r="F393" s="64"/>
      <c r="G393" s="49" t="s">
        <v>2860</v>
      </c>
      <c r="H393" s="76">
        <v>31677</v>
      </c>
      <c r="I393" s="76"/>
      <c r="J393" s="66">
        <f t="shared" ca="1" si="154"/>
        <v>39</v>
      </c>
      <c r="K393" s="75" t="s">
        <v>2861</v>
      </c>
      <c r="L393" s="41" t="s">
        <v>2862</v>
      </c>
      <c r="M393" s="53" t="s">
        <v>67</v>
      </c>
      <c r="N393" s="66"/>
      <c r="O393" s="53" t="s">
        <v>1725</v>
      </c>
      <c r="P393" s="49" t="s">
        <v>108</v>
      </c>
      <c r="Q393" s="49" t="s">
        <v>94</v>
      </c>
      <c r="R393" s="49"/>
      <c r="S393" s="49" t="s">
        <v>1725</v>
      </c>
      <c r="T393" s="53" t="s">
        <v>108</v>
      </c>
      <c r="U393" s="53" t="s">
        <v>94</v>
      </c>
      <c r="V393" s="49" t="str">
        <f t="shared" si="151"/>
        <v>Xã Thạch Đạn, Huyện Cao Lộc, Tỉnh Lạng Sơn</v>
      </c>
      <c r="W393" s="55" t="s">
        <v>2863</v>
      </c>
      <c r="X393" s="41"/>
      <c r="Y393" s="41"/>
      <c r="Z393" s="41"/>
      <c r="AA393" s="68">
        <f>VLOOKUP(A393,'[1]DANH SÁCH'!$B$8:$AD$841,12,0)</f>
        <v>0</v>
      </c>
      <c r="AB393" s="49" t="str">
        <f>VLOOKUP(A393,'[1]DANH SÁCH'!$B$8:$H$841,6,0)</f>
        <v>TĐ012</v>
      </c>
      <c r="AC393" s="69" t="str">
        <f>VLOOKUP(A393,'[1]DANH SÁCH'!$B$8:$J$841,9,0)</f>
        <v>CĐHA</v>
      </c>
      <c r="AD393" s="69" t="str">
        <f>VLOOKUP(A393,'[1]DANH SÁCH'!$B$8:$AC$841,10,0)</f>
        <v>KP034</v>
      </c>
      <c r="AE393" s="69" t="str">
        <f>VLOOKUP(A393,'[1]DANH SÁCH'!$B$8:$AD$841,13,0)</f>
        <v>Viên chức</v>
      </c>
      <c r="AF393" s="41" t="s">
        <v>157</v>
      </c>
      <c r="AG393" s="42" t="str">
        <f>VLOOKUP(A393,'[1]DANH SÁCH'!$B$8:$H$841,7,0)</f>
        <v>Điều dưỡng (hạng IV)</v>
      </c>
      <c r="AH393" s="45">
        <v>3.34</v>
      </c>
      <c r="AI393" s="42">
        <v>5</v>
      </c>
      <c r="AJ393" s="70">
        <v>0</v>
      </c>
      <c r="AK393" s="69">
        <v>44927</v>
      </c>
      <c r="AL393" s="71" t="s">
        <v>158</v>
      </c>
      <c r="AM393" s="53" t="str">
        <f>VLOOKUP(A393,'[1]DANH SÁCH'!$B$8:$F$841,5,0)</f>
        <v>Điều dưỡng CĐ</v>
      </c>
      <c r="AN393" s="53"/>
      <c r="AO393" s="53" t="s">
        <v>159</v>
      </c>
      <c r="AP393" s="53">
        <v>2007</v>
      </c>
      <c r="AQ393" s="72" t="s">
        <v>113</v>
      </c>
      <c r="AR393" s="42">
        <f>VLOOKUP(A393,'[1]Chứng chỉ'!$B$8:$Q$1111,11,0)</f>
        <v>0</v>
      </c>
      <c r="AS393" s="42">
        <f>VLOOKUP(A393,'[1]Chứng chỉ'!$B$8:$Q$1111,12,0)</f>
        <v>0</v>
      </c>
      <c r="AT393" s="47">
        <f>VLOOKUP(A393,'[1]Chứng chỉ'!$B$8:$Q$1111,13,0)</f>
        <v>0</v>
      </c>
      <c r="AU393" s="42">
        <f>VLOOKUP(A393,'[1]Chứng chỉ'!$B$8:$Q$1111,14,0)</f>
        <v>0</v>
      </c>
      <c r="AV393" s="42">
        <f>VLOOKUP(A393,'[1]Chứng chỉ'!$B$8:$Q$1111,15,0)</f>
        <v>0</v>
      </c>
      <c r="AW393" s="42" t="str">
        <f>VLOOKUP(A393,'[1]Chứng chỉ'!$B$8:$Q$1111,16,0)</f>
        <v>A</v>
      </c>
      <c r="AX393" s="53"/>
      <c r="AY393" s="57" t="s">
        <v>85</v>
      </c>
      <c r="AZ393" s="65"/>
      <c r="BA393" s="74" t="e">
        <f t="shared" si="152"/>
        <v>#REF!</v>
      </c>
      <c r="BB393" s="74" t="e">
        <f t="shared" si="153"/>
        <v>#REF!</v>
      </c>
      <c r="BC393" s="41" t="s">
        <v>128</v>
      </c>
      <c r="BD393" s="42"/>
    </row>
    <row r="394" spans="1:56" ht="30.6" x14ac:dyDescent="0.3">
      <c r="A394" s="102" t="s">
        <v>2864</v>
      </c>
      <c r="B394" s="42">
        <f t="shared" si="110"/>
        <v>388</v>
      </c>
      <c r="C394" s="93" t="s">
        <v>2865</v>
      </c>
      <c r="D394" s="102" t="s">
        <v>2864</v>
      </c>
      <c r="E394" s="61" t="s">
        <v>2866</v>
      </c>
      <c r="F394" s="92"/>
      <c r="G394" s="49" t="s">
        <v>2867</v>
      </c>
      <c r="H394" s="102" t="s">
        <v>2868</v>
      </c>
      <c r="I394" s="102"/>
      <c r="J394" s="66">
        <f t="shared" ca="1" si="154"/>
        <v>40</v>
      </c>
      <c r="K394" s="75" t="s">
        <v>2869</v>
      </c>
      <c r="L394" s="102" t="s">
        <v>2870</v>
      </c>
      <c r="M394" s="53" t="s">
        <v>67</v>
      </c>
      <c r="N394" s="138" t="s">
        <v>2871</v>
      </c>
      <c r="O394" s="113" t="s">
        <v>2872</v>
      </c>
      <c r="P394" s="106" t="s">
        <v>661</v>
      </c>
      <c r="Q394" s="106" t="s">
        <v>71</v>
      </c>
      <c r="R394" s="106" t="s">
        <v>2873</v>
      </c>
      <c r="S394" s="106" t="s">
        <v>2874</v>
      </c>
      <c r="T394" s="113" t="s">
        <v>661</v>
      </c>
      <c r="U394" s="113" t="s">
        <v>71</v>
      </c>
      <c r="V394" s="49" t="str">
        <f t="shared" si="151"/>
        <v>Hợp Thành, Văn Lãng, Lạng Sơn</v>
      </c>
      <c r="W394" s="130" t="s">
        <v>809</v>
      </c>
      <c r="X394" s="102" t="s">
        <v>762</v>
      </c>
      <c r="Y394" s="102" t="s">
        <v>2875</v>
      </c>
      <c r="Z394" s="102" t="s">
        <v>2572</v>
      </c>
      <c r="AA394" s="68">
        <f>VLOOKUP(A394,'[1]DANH SÁCH'!$B$8:$AD$841,12,0)</f>
        <v>0</v>
      </c>
      <c r="AB394" s="49" t="str">
        <f>VLOOKUP(A394,'[1]DANH SÁCH'!$B$8:$H$841,6,0)</f>
        <v>TĐ012</v>
      </c>
      <c r="AC394" s="69" t="str">
        <f>VLOOKUP(A394,'[1]DANH SÁCH'!$B$8:$J$841,9,0)</f>
        <v>CĐHA</v>
      </c>
      <c r="AD394" s="69" t="str">
        <f>VLOOKUP(A394,'[1]DANH SÁCH'!$B$8:$AC$841,10,0)</f>
        <v>KP034</v>
      </c>
      <c r="AE394" s="69" t="str">
        <f>VLOOKUP(A394,'[1]DANH SÁCH'!$B$8:$AD$841,13,0)</f>
        <v>Viên chức</v>
      </c>
      <c r="AF394" s="102" t="s">
        <v>157</v>
      </c>
      <c r="AG394" s="106" t="s">
        <v>430</v>
      </c>
      <c r="AH394" s="45">
        <v>3.65</v>
      </c>
      <c r="AI394" s="42">
        <v>6</v>
      </c>
      <c r="AJ394" s="70">
        <v>0</v>
      </c>
      <c r="AK394" s="69">
        <v>45839</v>
      </c>
      <c r="AL394" s="71" t="s">
        <v>158</v>
      </c>
      <c r="AM394" s="53" t="str">
        <f>VLOOKUP(A394,'[1]DANH SÁCH'!$B$8:$F$841,5,0)</f>
        <v>Điều dưỡng CĐ</v>
      </c>
      <c r="AN394" s="53"/>
      <c r="AO394" s="53" t="s">
        <v>159</v>
      </c>
      <c r="AP394" s="53">
        <v>2007</v>
      </c>
      <c r="AQ394" s="72" t="s">
        <v>113</v>
      </c>
      <c r="AR394" s="42">
        <f>VLOOKUP(A394,'[1]Chứng chỉ'!$B$8:$Q$1111,11,0)</f>
        <v>0</v>
      </c>
      <c r="AS394" s="42">
        <f>VLOOKUP(A394,'[1]Chứng chỉ'!$B$8:$Q$1111,12,0)</f>
        <v>0</v>
      </c>
      <c r="AT394" s="47">
        <f>VLOOKUP(A394,'[1]Chứng chỉ'!$B$8:$Q$1111,13,0)</f>
        <v>0</v>
      </c>
      <c r="AU394" s="42">
        <f>VLOOKUP(A394,'[1]Chứng chỉ'!$B$8:$Q$1111,14,0)</f>
        <v>0</v>
      </c>
      <c r="AV394" s="42">
        <f>VLOOKUP(A394,'[1]Chứng chỉ'!$B$8:$Q$1111,15,0)</f>
        <v>0</v>
      </c>
      <c r="AW394" s="42" t="str">
        <f>VLOOKUP(A394,'[1]Chứng chỉ'!$B$8:$Q$1111,16,0)</f>
        <v>A</v>
      </c>
      <c r="AX394" s="113"/>
      <c r="AY394" s="115" t="s">
        <v>85</v>
      </c>
      <c r="AZ394" s="65"/>
      <c r="BA394" s="74" t="e">
        <f t="shared" si="152"/>
        <v>#REF!</v>
      </c>
      <c r="BB394" s="74" t="e">
        <f t="shared" si="153"/>
        <v>#REF!</v>
      </c>
      <c r="BC394" s="41" t="s">
        <v>128</v>
      </c>
      <c r="BD394" s="42"/>
    </row>
    <row r="395" spans="1:56" ht="51" x14ac:dyDescent="0.3">
      <c r="A395" s="41" t="s">
        <v>2876</v>
      </c>
      <c r="B395" s="42">
        <f t="shared" si="110"/>
        <v>389</v>
      </c>
      <c r="C395" s="68" t="s">
        <v>2877</v>
      </c>
      <c r="D395" s="41" t="s">
        <v>2876</v>
      </c>
      <c r="E395" s="61">
        <v>2009000926</v>
      </c>
      <c r="F395" s="64"/>
      <c r="G395" s="49" t="s">
        <v>2878</v>
      </c>
      <c r="H395" s="76">
        <v>32013</v>
      </c>
      <c r="I395" s="76"/>
      <c r="J395" s="66">
        <f t="shared" ca="1" si="154"/>
        <v>38</v>
      </c>
      <c r="K395" s="75" t="s">
        <v>2879</v>
      </c>
      <c r="L395" s="41" t="s">
        <v>2880</v>
      </c>
      <c r="M395" s="53" t="s">
        <v>67</v>
      </c>
      <c r="N395" s="66"/>
      <c r="O395" s="53"/>
      <c r="P395" s="49" t="s">
        <v>222</v>
      </c>
      <c r="Q395" s="49" t="s">
        <v>94</v>
      </c>
      <c r="R395" s="49"/>
      <c r="S395" s="49" t="s">
        <v>1108</v>
      </c>
      <c r="T395" s="49" t="s">
        <v>222</v>
      </c>
      <c r="U395" s="49" t="s">
        <v>94</v>
      </c>
      <c r="V395" s="49" t="str">
        <f t="shared" si="151"/>
        <v>Xã Quang Lang, Huyện Chi Lăng, Tỉnh Lạng Sơn</v>
      </c>
      <c r="W395" s="55" t="s">
        <v>98</v>
      </c>
      <c r="X395" s="41"/>
      <c r="Y395" s="41"/>
      <c r="Z395" s="41"/>
      <c r="AA395" s="68">
        <f>VLOOKUP(A395,'[1]DANH SÁCH'!$B$8:$AD$841,12,0)</f>
        <v>0</v>
      </c>
      <c r="AB395" s="49" t="str">
        <f>VLOOKUP(A395,'[1]DANH SÁCH'!$B$8:$H$841,6,0)</f>
        <v>TĐ011</v>
      </c>
      <c r="AC395" s="69" t="str">
        <f>VLOOKUP(A395,'[1]DANH SÁCH'!$B$8:$J$841,9,0)</f>
        <v>CĐHA</v>
      </c>
      <c r="AD395" s="69" t="str">
        <f>VLOOKUP(A395,'[1]DANH SÁCH'!$B$8:$AC$841,10,0)</f>
        <v>KP034</v>
      </c>
      <c r="AE395" s="69" t="str">
        <f>VLOOKUP(A395,'[1]DANH SÁCH'!$B$8:$AD$841,13,0)</f>
        <v>Viên chức</v>
      </c>
      <c r="AF395" s="41" t="s">
        <v>147</v>
      </c>
      <c r="AG395" s="42" t="str">
        <f>VLOOKUP(A395,'[1]DANH SÁCH'!$B$8:$H$841,7,0)</f>
        <v>Điều dưỡng (hạng III)</v>
      </c>
      <c r="AH395" s="45">
        <v>3.66</v>
      </c>
      <c r="AI395" s="42">
        <v>5</v>
      </c>
      <c r="AJ395" s="70">
        <v>0</v>
      </c>
      <c r="AK395" s="69">
        <v>45383</v>
      </c>
      <c r="AL395" s="71" t="s">
        <v>80</v>
      </c>
      <c r="AM395" s="53" t="str">
        <f>VLOOKUP(A395,'[1]DANH SÁCH'!$B$8:$F$841,5,0)</f>
        <v>Điều dưỡng ĐH</v>
      </c>
      <c r="AN395" s="53"/>
      <c r="AO395" s="53" t="s">
        <v>2857</v>
      </c>
      <c r="AP395" s="53">
        <v>2007</v>
      </c>
      <c r="AQ395" s="72" t="s">
        <v>113</v>
      </c>
      <c r="AR395" s="42">
        <f>VLOOKUP(A395,'[1]Chứng chỉ'!$B$8:$Q$1111,11,0)</f>
        <v>0</v>
      </c>
      <c r="AS395" s="42">
        <f>VLOOKUP(A395,'[1]Chứng chỉ'!$B$8:$Q$1111,12,0)</f>
        <v>0</v>
      </c>
      <c r="AT395" s="47">
        <f>VLOOKUP(A395,'[1]Chứng chỉ'!$B$8:$Q$1111,13,0)</f>
        <v>0</v>
      </c>
      <c r="AU395" s="42" t="str">
        <f>VLOOKUP(A395,'[1]Chứng chỉ'!$B$8:$Q$1111,14,0)</f>
        <v>Anh A2</v>
      </c>
      <c r="AV395" s="42">
        <f>VLOOKUP(A395,'[1]Chứng chỉ'!$B$8:$Q$1111,15,0)</f>
        <v>0</v>
      </c>
      <c r="AW395" s="42" t="str">
        <f>VLOOKUP(A395,'[1]Chứng chỉ'!$B$8:$Q$1111,16,0)</f>
        <v>Cơ bản</v>
      </c>
      <c r="AX395" s="42"/>
      <c r="AY395" s="57" t="s">
        <v>127</v>
      </c>
      <c r="AZ395" s="65"/>
      <c r="BA395" s="74" t="e">
        <f t="shared" si="152"/>
        <v>#REF!</v>
      </c>
      <c r="BB395" s="74" t="e">
        <f t="shared" si="153"/>
        <v>#REF!</v>
      </c>
      <c r="BC395" s="41" t="s">
        <v>128</v>
      </c>
      <c r="BD395" s="42"/>
    </row>
    <row r="396" spans="1:56" ht="51" x14ac:dyDescent="0.3">
      <c r="A396" s="41" t="s">
        <v>2881</v>
      </c>
      <c r="B396" s="42">
        <f t="shared" si="110"/>
        <v>390</v>
      </c>
      <c r="C396" s="68" t="s">
        <v>2882</v>
      </c>
      <c r="D396" s="41" t="s">
        <v>2881</v>
      </c>
      <c r="E396" s="61">
        <v>2010000171</v>
      </c>
      <c r="F396" s="64"/>
      <c r="G396" s="49" t="s">
        <v>2883</v>
      </c>
      <c r="H396" s="76">
        <v>30697</v>
      </c>
      <c r="I396" s="76"/>
      <c r="J396" s="66">
        <f t="shared" ca="1" si="154"/>
        <v>42</v>
      </c>
      <c r="K396" s="75" t="s">
        <v>2884</v>
      </c>
      <c r="L396" s="41" t="s">
        <v>2885</v>
      </c>
      <c r="M396" s="53" t="s">
        <v>67</v>
      </c>
      <c r="N396" s="66"/>
      <c r="O396" s="53" t="s">
        <v>481</v>
      </c>
      <c r="P396" s="49" t="s">
        <v>195</v>
      </c>
      <c r="Q396" s="49" t="s">
        <v>94</v>
      </c>
      <c r="R396" s="49" t="s">
        <v>2886</v>
      </c>
      <c r="S396" s="49" t="s">
        <v>73</v>
      </c>
      <c r="T396" s="49" t="s">
        <v>97</v>
      </c>
      <c r="U396" s="49" t="s">
        <v>94</v>
      </c>
      <c r="V396" s="49" t="str">
        <f t="shared" si="151"/>
        <v>Phường Vĩnh Trại, Thành phố Lạng Sơn, Tỉnh Lạng Sơn</v>
      </c>
      <c r="W396" s="55" t="s">
        <v>236</v>
      </c>
      <c r="X396" s="41"/>
      <c r="Y396" s="41"/>
      <c r="Z396" s="41"/>
      <c r="AA396" s="68">
        <f>VLOOKUP(A396,'[1]DANH SÁCH'!$B$8:$AD$841,12,0)</f>
        <v>0</v>
      </c>
      <c r="AB396" s="49" t="str">
        <f>VLOOKUP(A396,'[1]DANH SÁCH'!$B$8:$H$841,6,0)</f>
        <v>TĐ011</v>
      </c>
      <c r="AC396" s="69" t="str">
        <f>VLOOKUP(A396,'[1]DANH SÁCH'!$B$8:$J$841,9,0)</f>
        <v>CĐHA</v>
      </c>
      <c r="AD396" s="69" t="str">
        <f>VLOOKUP(A396,'[1]DANH SÁCH'!$B$8:$AC$841,10,0)</f>
        <v>KP034</v>
      </c>
      <c r="AE396" s="69" t="str">
        <f>VLOOKUP(A396,'[1]DANH SÁCH'!$B$8:$AD$841,13,0)</f>
        <v>Viên chức</v>
      </c>
      <c r="AF396" s="41" t="s">
        <v>147</v>
      </c>
      <c r="AG396" s="42" t="str">
        <f>VLOOKUP(A396,'[1]DANH SÁCH'!$B$8:$H$841,7,0)</f>
        <v>Điều dưỡng (hạng III)</v>
      </c>
      <c r="AH396" s="45" t="s">
        <v>1715</v>
      </c>
      <c r="AI396" s="42">
        <v>5</v>
      </c>
      <c r="AJ396" s="70">
        <v>0</v>
      </c>
      <c r="AK396" s="69">
        <v>45383</v>
      </c>
      <c r="AL396" s="71" t="s">
        <v>80</v>
      </c>
      <c r="AM396" s="53" t="str">
        <f>VLOOKUP(A396,'[1]DANH SÁCH'!$B$8:$F$841,5,0)</f>
        <v>Điều dưỡng ĐH</v>
      </c>
      <c r="AN396" s="53"/>
      <c r="AO396" s="53" t="s">
        <v>2857</v>
      </c>
      <c r="AP396" s="53">
        <v>2008</v>
      </c>
      <c r="AQ396" s="72" t="s">
        <v>113</v>
      </c>
      <c r="AR396" s="42">
        <f>VLOOKUP(A396,'[1]Chứng chỉ'!$B$8:$Q$1111,11,0)</f>
        <v>0</v>
      </c>
      <c r="AS396" s="42">
        <f>VLOOKUP(A396,'[1]Chứng chỉ'!$B$8:$Q$1111,12,0)</f>
        <v>0</v>
      </c>
      <c r="AT396" s="47">
        <f>VLOOKUP(A396,'[1]Chứng chỉ'!$B$8:$Q$1111,13,0)</f>
        <v>0</v>
      </c>
      <c r="AU396" s="42" t="str">
        <f>VLOOKUP(A396,'[1]Chứng chỉ'!$B$8:$Q$1111,14,0)</f>
        <v>Anh A2</v>
      </c>
      <c r="AV396" s="42">
        <f>VLOOKUP(A396,'[1]Chứng chỉ'!$B$8:$Q$1111,15,0)</f>
        <v>0</v>
      </c>
      <c r="AW396" s="42" t="str">
        <f>VLOOKUP(A396,'[1]Chứng chỉ'!$B$8:$Q$1111,16,0)</f>
        <v>Cơ bản</v>
      </c>
      <c r="AX396" s="42"/>
      <c r="AY396" s="57" t="s">
        <v>85</v>
      </c>
      <c r="AZ396" s="65">
        <v>43840</v>
      </c>
      <c r="BA396" s="74" t="e">
        <f t="shared" si="152"/>
        <v>#REF!</v>
      </c>
      <c r="BB396" s="74" t="e">
        <f t="shared" si="153"/>
        <v>#REF!</v>
      </c>
      <c r="BC396" s="120"/>
      <c r="BD396" s="115"/>
    </row>
    <row r="397" spans="1:56" ht="61.2" x14ac:dyDescent="0.3">
      <c r="A397" s="41" t="s">
        <v>2887</v>
      </c>
      <c r="B397" s="42">
        <f t="shared" si="110"/>
        <v>391</v>
      </c>
      <c r="C397" s="68" t="s">
        <v>2888</v>
      </c>
      <c r="D397" s="41" t="s">
        <v>2887</v>
      </c>
      <c r="E397" s="61">
        <v>2011000160</v>
      </c>
      <c r="F397" s="64"/>
      <c r="G397" s="49" t="s">
        <v>2889</v>
      </c>
      <c r="H397" s="76">
        <v>32388</v>
      </c>
      <c r="I397" s="76"/>
      <c r="J397" s="66">
        <f t="shared" ca="1" si="154"/>
        <v>37</v>
      </c>
      <c r="K397" s="109" t="s">
        <v>2890</v>
      </c>
      <c r="L397" s="41" t="s">
        <v>2891</v>
      </c>
      <c r="M397" s="53" t="s">
        <v>67</v>
      </c>
      <c r="N397" s="66"/>
      <c r="O397" s="53" t="s">
        <v>342</v>
      </c>
      <c r="P397" s="76" t="s">
        <v>343</v>
      </c>
      <c r="Q397" s="49" t="s">
        <v>94</v>
      </c>
      <c r="R397" s="49" t="s">
        <v>2892</v>
      </c>
      <c r="S397" s="49" t="s">
        <v>166</v>
      </c>
      <c r="T397" s="49" t="s">
        <v>97</v>
      </c>
      <c r="U397" s="49" t="s">
        <v>94</v>
      </c>
      <c r="V397" s="49" t="str">
        <f t="shared" si="151"/>
        <v>Phường Tam Thanh, Thành phố Lạng Sơn, Tỉnh Lạng Sơn</v>
      </c>
      <c r="W397" s="55" t="s">
        <v>461</v>
      </c>
      <c r="X397" s="41"/>
      <c r="Y397" s="41"/>
      <c r="Z397" s="41"/>
      <c r="AA397" s="68">
        <f>VLOOKUP(A397,'[1]DANH SÁCH'!$B$8:$AD$841,12,0)</f>
        <v>0</v>
      </c>
      <c r="AB397" s="49" t="str">
        <f>VLOOKUP(A397,'[1]DANH SÁCH'!$B$8:$H$841,6,0)</f>
        <v>TĐ011</v>
      </c>
      <c r="AC397" s="69" t="str">
        <f>VLOOKUP(A397,'[1]DANH SÁCH'!$B$8:$J$841,9,0)</f>
        <v>CĐHA</v>
      </c>
      <c r="AD397" s="69" t="str">
        <f>VLOOKUP(A397,'[1]DANH SÁCH'!$B$8:$AC$841,10,0)</f>
        <v>KP034</v>
      </c>
      <c r="AE397" s="69" t="str">
        <f>VLOOKUP(A397,'[1]DANH SÁCH'!$B$8:$AD$841,13,0)</f>
        <v>Viên chức</v>
      </c>
      <c r="AF397" s="41" t="s">
        <v>147</v>
      </c>
      <c r="AG397" s="42" t="str">
        <f>VLOOKUP(A397,'[1]DANH SÁCH'!$B$8:$H$841,7,0)</f>
        <v>Điều dưỡng (hạng III)</v>
      </c>
      <c r="AH397" s="45">
        <v>3.66</v>
      </c>
      <c r="AI397" s="42">
        <v>5</v>
      </c>
      <c r="AJ397" s="70">
        <v>0</v>
      </c>
      <c r="AK397" s="69">
        <v>45383</v>
      </c>
      <c r="AL397" s="71" t="s">
        <v>80</v>
      </c>
      <c r="AM397" s="53" t="str">
        <f>VLOOKUP(A397,'[1]DANH SÁCH'!$B$8:$F$841,5,0)</f>
        <v>Điều dưỡng ĐH</v>
      </c>
      <c r="AN397" s="53"/>
      <c r="AO397" s="53" t="s">
        <v>2857</v>
      </c>
      <c r="AP397" s="53">
        <v>2008</v>
      </c>
      <c r="AQ397" s="72" t="s">
        <v>113</v>
      </c>
      <c r="AR397" s="42">
        <f>VLOOKUP(A397,'[1]Chứng chỉ'!$B$8:$Q$1111,11,0)</f>
        <v>0</v>
      </c>
      <c r="AS397" s="42">
        <f>VLOOKUP(A397,'[1]Chứng chỉ'!$B$8:$Q$1111,12,0)</f>
        <v>0</v>
      </c>
      <c r="AT397" s="47">
        <f>VLOOKUP(A397,'[1]Chứng chỉ'!$B$8:$Q$1111,13,0)</f>
        <v>0</v>
      </c>
      <c r="AU397" s="42" t="str">
        <f>VLOOKUP(A397,'[1]Chứng chỉ'!$B$8:$Q$1111,14,0)</f>
        <v>Anh A2</v>
      </c>
      <c r="AV397" s="42">
        <f>VLOOKUP(A397,'[1]Chứng chỉ'!$B$8:$Q$1111,15,0)</f>
        <v>0</v>
      </c>
      <c r="AW397" s="42" t="str">
        <f>VLOOKUP(A397,'[1]Chứng chỉ'!$B$8:$Q$1111,16,0)</f>
        <v>Cơ bản</v>
      </c>
      <c r="AX397" s="42"/>
      <c r="AY397" s="57" t="s">
        <v>127</v>
      </c>
      <c r="AZ397" s="65">
        <v>43517</v>
      </c>
      <c r="BA397" s="74" t="e">
        <f t="shared" si="152"/>
        <v>#REF!</v>
      </c>
      <c r="BB397" s="74" t="e">
        <f t="shared" si="153"/>
        <v>#REF!</v>
      </c>
      <c r="BC397" s="120"/>
      <c r="BD397" s="115"/>
    </row>
    <row r="398" spans="1:56" ht="61.2" x14ac:dyDescent="0.3">
      <c r="A398" s="41" t="s">
        <v>2893</v>
      </c>
      <c r="B398" s="42">
        <f t="shared" si="110"/>
        <v>392</v>
      </c>
      <c r="C398" s="68" t="s">
        <v>2894</v>
      </c>
      <c r="D398" s="41" t="s">
        <v>2893</v>
      </c>
      <c r="E398" s="61">
        <v>1507002600</v>
      </c>
      <c r="F398" s="64"/>
      <c r="G398" s="49" t="s">
        <v>2895</v>
      </c>
      <c r="H398" s="76">
        <v>30918</v>
      </c>
      <c r="I398" s="76"/>
      <c r="J398" s="66">
        <f t="shared" ca="1" si="154"/>
        <v>41</v>
      </c>
      <c r="K398" s="75" t="s">
        <v>2896</v>
      </c>
      <c r="L398" s="41" t="s">
        <v>2897</v>
      </c>
      <c r="M398" s="53" t="s">
        <v>67</v>
      </c>
      <c r="N398" s="66"/>
      <c r="O398" s="53" t="s">
        <v>481</v>
      </c>
      <c r="P398" s="49" t="s">
        <v>195</v>
      </c>
      <c r="Q398" s="49" t="s">
        <v>94</v>
      </c>
      <c r="R398" s="49"/>
      <c r="S398" s="49" t="s">
        <v>124</v>
      </c>
      <c r="T398" s="76" t="s">
        <v>97</v>
      </c>
      <c r="U398" s="49" t="s">
        <v>94</v>
      </c>
      <c r="V398" s="49" t="str">
        <f t="shared" si="151"/>
        <v>Phường Đông Kinh, Thành phố Lạng Sơn, Tỉnh Lạng Sơn</v>
      </c>
      <c r="W398" s="55" t="s">
        <v>98</v>
      </c>
      <c r="X398" s="41"/>
      <c r="Y398" s="41"/>
      <c r="Z398" s="41"/>
      <c r="AA398" s="68">
        <f>VLOOKUP(A398,'[1]DANH SÁCH'!$B$8:$AD$841,12,0)</f>
        <v>0</v>
      </c>
      <c r="AB398" s="49" t="str">
        <f>VLOOKUP(A398,'[1]DANH SÁCH'!$B$8:$H$841,6,0)</f>
        <v>TĐ012</v>
      </c>
      <c r="AC398" s="69" t="str">
        <f>VLOOKUP(A398,'[1]DANH SÁCH'!$B$8:$J$841,9,0)</f>
        <v>CĐHA</v>
      </c>
      <c r="AD398" s="69" t="str">
        <f>VLOOKUP(A398,'[1]DANH SÁCH'!$B$8:$AC$841,10,0)</f>
        <v>KP034</v>
      </c>
      <c r="AE398" s="69" t="str">
        <f>VLOOKUP(A398,'[1]DANH SÁCH'!$B$8:$AD$841,13,0)</f>
        <v>Viên chức</v>
      </c>
      <c r="AF398" s="41" t="s">
        <v>157</v>
      </c>
      <c r="AG398" s="42" t="s">
        <v>2898</v>
      </c>
      <c r="AH398" s="45">
        <v>3.65</v>
      </c>
      <c r="AI398" s="42">
        <v>6</v>
      </c>
      <c r="AJ398" s="70">
        <v>0</v>
      </c>
      <c r="AK398" s="69">
        <v>45992</v>
      </c>
      <c r="AL398" s="71" t="s">
        <v>158</v>
      </c>
      <c r="AM398" s="53" t="str">
        <f>VLOOKUP(A398,'[1]DANH SÁCH'!$B$8:$F$841,5,0)</f>
        <v>Điều dưỡng CĐ</v>
      </c>
      <c r="AN398" s="53"/>
      <c r="AO398" s="53" t="s">
        <v>365</v>
      </c>
      <c r="AP398" s="53">
        <v>2005</v>
      </c>
      <c r="AQ398" s="72" t="s">
        <v>113</v>
      </c>
      <c r="AR398" s="42">
        <f>VLOOKUP(A398,'[1]Chứng chỉ'!$B$8:$Q$1111,11,0)</f>
        <v>0</v>
      </c>
      <c r="AS398" s="42">
        <f>VLOOKUP(A398,'[1]Chứng chỉ'!$B$8:$Q$1111,12,0)</f>
        <v>0</v>
      </c>
      <c r="AT398" s="47">
        <f>VLOOKUP(A398,'[1]Chứng chỉ'!$B$8:$Q$1111,13,0)</f>
        <v>0</v>
      </c>
      <c r="AU398" s="42" t="str">
        <f>VLOOKUP(A398,'[1]Chứng chỉ'!$B$8:$Q$1111,14,0)</f>
        <v>Anh B</v>
      </c>
      <c r="AV398" s="42">
        <f>VLOOKUP(A398,'[1]Chứng chỉ'!$B$8:$Q$1111,15,0)</f>
        <v>0</v>
      </c>
      <c r="AW398" s="42" t="str">
        <f>VLOOKUP(A398,'[1]Chứng chỉ'!$B$8:$Q$1111,16,0)</f>
        <v>A</v>
      </c>
      <c r="AX398" s="42"/>
      <c r="AY398" s="57" t="s">
        <v>85</v>
      </c>
      <c r="AZ398" s="65"/>
      <c r="BA398" s="74" t="e">
        <f t="shared" si="152"/>
        <v>#REF!</v>
      </c>
      <c r="BB398" s="74" t="e">
        <f t="shared" si="153"/>
        <v>#REF!</v>
      </c>
      <c r="BC398" s="41" t="s">
        <v>128</v>
      </c>
      <c r="BD398" s="42"/>
    </row>
    <row r="399" spans="1:56" ht="61.2" x14ac:dyDescent="0.3">
      <c r="A399" s="41" t="s">
        <v>2899</v>
      </c>
      <c r="B399" s="42">
        <f t="shared" si="110"/>
        <v>393</v>
      </c>
      <c r="C399" s="68" t="s">
        <v>2900</v>
      </c>
      <c r="D399" s="41" t="s">
        <v>2899</v>
      </c>
      <c r="E399" s="61">
        <v>1597020274</v>
      </c>
      <c r="F399" s="64"/>
      <c r="G399" s="49" t="s">
        <v>2901</v>
      </c>
      <c r="H399" s="76">
        <v>26972</v>
      </c>
      <c r="I399" s="76"/>
      <c r="J399" s="66">
        <f t="shared" ca="1" si="154"/>
        <v>52</v>
      </c>
      <c r="K399" s="75" t="s">
        <v>2902</v>
      </c>
      <c r="L399" s="41" t="s">
        <v>2903</v>
      </c>
      <c r="M399" s="53" t="s">
        <v>67</v>
      </c>
      <c r="N399" s="66"/>
      <c r="O399" s="53"/>
      <c r="P399" s="49" t="s">
        <v>2904</v>
      </c>
      <c r="Q399" s="49" t="s">
        <v>1551</v>
      </c>
      <c r="R399" s="49"/>
      <c r="S399" s="49" t="s">
        <v>124</v>
      </c>
      <c r="T399" s="49" t="s">
        <v>97</v>
      </c>
      <c r="U399" s="49" t="s">
        <v>94</v>
      </c>
      <c r="V399" s="49" t="str">
        <f t="shared" si="151"/>
        <v>Phường Đông Kinh, Thành phố Lạng Sơn, Tỉnh Lạng Sơn</v>
      </c>
      <c r="W399" s="55" t="s">
        <v>2905</v>
      </c>
      <c r="X399" s="41"/>
      <c r="Y399" s="41"/>
      <c r="Z399" s="41"/>
      <c r="AA399" s="68" t="str">
        <f>VLOOKUP(A399,'[1]DANH SÁCH'!$B$8:$AD$841,12,0)</f>
        <v>Kỹ thuật y trưởng</v>
      </c>
      <c r="AB399" s="49" t="str">
        <f>VLOOKUP(A399,'[1]DANH SÁCH'!$B$8:$H$841,6,0)</f>
        <v>TĐ014</v>
      </c>
      <c r="AC399" s="69" t="str">
        <f>VLOOKUP(A399,'[1]DANH SÁCH'!$B$8:$J$841,9,0)</f>
        <v>CĐHA</v>
      </c>
      <c r="AD399" s="69" t="str">
        <f>VLOOKUP(A399,'[1]DANH SÁCH'!$B$8:$AC$841,10,0)</f>
        <v>KP034</v>
      </c>
      <c r="AE399" s="69" t="str">
        <f>VLOOKUP(A399,'[1]DANH SÁCH'!$B$8:$AD$841,13,0)</f>
        <v>Viên chức</v>
      </c>
      <c r="AF399" s="41" t="s">
        <v>257</v>
      </c>
      <c r="AG399" s="42" t="str">
        <f>VLOOKUP(A399,'[1]DANH SÁCH'!$B$8:$H$841,7,0)</f>
        <v>Kỹ thuật y (hạng III)</v>
      </c>
      <c r="AH399" s="45">
        <v>4.9800000000000004</v>
      </c>
      <c r="AI399" s="42">
        <v>9</v>
      </c>
      <c r="AJ399" s="70">
        <v>0.05</v>
      </c>
      <c r="AK399" s="69">
        <v>45566</v>
      </c>
      <c r="AL399" s="71" t="s">
        <v>80</v>
      </c>
      <c r="AM399" s="53" t="str">
        <f>VLOOKUP(A399,'[1]DANH SÁCH'!$B$8:$F$841,5,0)</f>
        <v>KTY ĐH</v>
      </c>
      <c r="AN399" s="53"/>
      <c r="AO399" s="53" t="s">
        <v>2906</v>
      </c>
      <c r="AP399" s="53">
        <v>2011</v>
      </c>
      <c r="AQ399" s="72" t="s">
        <v>113</v>
      </c>
      <c r="AR399" s="42" t="s">
        <v>82</v>
      </c>
      <c r="AS399" s="42">
        <f>VLOOKUP(A399,'[1]Chứng chỉ'!$B$8:$Q$1111,12,0)</f>
        <v>0</v>
      </c>
      <c r="AT399" s="47" t="str">
        <f>VLOOKUP(A399,'[1]Chứng chỉ'!$B$8:$Q$1111,13,0)</f>
        <v>Sơ cấp</v>
      </c>
      <c r="AU399" s="42" t="str">
        <f>VLOOKUP(A399,'[1]Chứng chỉ'!$B$8:$Q$1111,14,0)</f>
        <v>Anh B</v>
      </c>
      <c r="AV399" s="42">
        <f>VLOOKUP(A399,'[1]Chứng chỉ'!$B$8:$Q$1111,15,0)</f>
        <v>0</v>
      </c>
      <c r="AW399" s="42" t="str">
        <f>VLOOKUP(A399,'[1]Chứng chỉ'!$B$8:$Q$1111,16,0)</f>
        <v>B</v>
      </c>
      <c r="AX399" s="42"/>
      <c r="AY399" s="57" t="s">
        <v>87</v>
      </c>
      <c r="AZ399" s="65">
        <v>40025</v>
      </c>
      <c r="BA399" s="74" t="e">
        <f t="shared" si="152"/>
        <v>#REF!</v>
      </c>
      <c r="BB399" s="74" t="e">
        <f t="shared" si="153"/>
        <v>#REF!</v>
      </c>
      <c r="BC399" s="41" t="s">
        <v>2424</v>
      </c>
      <c r="BD399" s="42"/>
    </row>
    <row r="400" spans="1:56" ht="51" x14ac:dyDescent="0.3">
      <c r="A400" s="41" t="s">
        <v>2907</v>
      </c>
      <c r="B400" s="42">
        <f t="shared" si="110"/>
        <v>394</v>
      </c>
      <c r="C400" s="68" t="s">
        <v>2908</v>
      </c>
      <c r="D400" s="41" t="s">
        <v>2907</v>
      </c>
      <c r="E400" s="61">
        <v>1504000178</v>
      </c>
      <c r="F400" s="64"/>
      <c r="G400" s="49" t="s">
        <v>2909</v>
      </c>
      <c r="H400" s="76">
        <v>26472</v>
      </c>
      <c r="I400" s="76"/>
      <c r="J400" s="66">
        <f t="shared" ca="1" si="154"/>
        <v>54</v>
      </c>
      <c r="K400" s="75" t="s">
        <v>2910</v>
      </c>
      <c r="L400" s="41" t="s">
        <v>2911</v>
      </c>
      <c r="M400" s="53" t="s">
        <v>67</v>
      </c>
      <c r="N400" s="66"/>
      <c r="O400" s="53"/>
      <c r="P400" s="49" t="s">
        <v>108</v>
      </c>
      <c r="Q400" s="49" t="s">
        <v>94</v>
      </c>
      <c r="R400" s="49"/>
      <c r="S400" s="49" t="s">
        <v>619</v>
      </c>
      <c r="T400" s="49" t="s">
        <v>108</v>
      </c>
      <c r="U400" s="49" t="s">
        <v>94</v>
      </c>
      <c r="V400" s="49" t="str">
        <f t="shared" si="151"/>
        <v>Xã Hợp Thành, Huyện Cao Lộc, Tỉnh Lạng Sơn</v>
      </c>
      <c r="W400" s="55" t="s">
        <v>2912</v>
      </c>
      <c r="X400" s="41"/>
      <c r="Y400" s="41"/>
      <c r="Z400" s="41"/>
      <c r="AA400" s="68">
        <f>VLOOKUP(A400,'[1]DANH SÁCH'!$B$8:$AD$841,12,0)</f>
        <v>0</v>
      </c>
      <c r="AB400" s="49" t="str">
        <f>VLOOKUP(A400,'[1]DANH SÁCH'!$B$8:$H$841,6,0)</f>
        <v>TĐ014</v>
      </c>
      <c r="AC400" s="69" t="str">
        <f>VLOOKUP(A400,'[1]DANH SÁCH'!$B$8:$J$841,9,0)</f>
        <v>CĐHA</v>
      </c>
      <c r="AD400" s="69" t="str">
        <f>VLOOKUP(A400,'[1]DANH SÁCH'!$B$8:$AC$841,10,0)</f>
        <v>KP034</v>
      </c>
      <c r="AE400" s="69" t="str">
        <f>VLOOKUP(A400,'[1]DANH SÁCH'!$B$8:$AD$841,13,0)</f>
        <v>Viên chức</v>
      </c>
      <c r="AF400" s="41" t="s">
        <v>2913</v>
      </c>
      <c r="AG400" s="42" t="str">
        <f>VLOOKUP(A400,'[1]DANH SÁCH'!$B$8:$H$841,7,0)</f>
        <v>Kỹ thuật y (hạng III)</v>
      </c>
      <c r="AH400" s="45">
        <v>4.9800000000000004</v>
      </c>
      <c r="AI400" s="42">
        <v>9</v>
      </c>
      <c r="AJ400" s="70">
        <v>0.05</v>
      </c>
      <c r="AK400" s="69">
        <v>45962</v>
      </c>
      <c r="AL400" s="71" t="s">
        <v>80</v>
      </c>
      <c r="AM400" s="53" t="str">
        <f>VLOOKUP(A400,'[1]DANH SÁCH'!$B$8:$F$841,5,0)</f>
        <v>KTY ĐH</v>
      </c>
      <c r="AN400" s="53"/>
      <c r="AO400" s="53" t="s">
        <v>1932</v>
      </c>
      <c r="AP400" s="53">
        <v>2009</v>
      </c>
      <c r="AQ400" s="72" t="s">
        <v>113</v>
      </c>
      <c r="AR400" s="42">
        <f>VLOOKUP(A400,'[1]Chứng chỉ'!$B$8:$Q$1111,11,0)</f>
        <v>0</v>
      </c>
      <c r="AS400" s="42">
        <f>VLOOKUP(A400,'[1]Chứng chỉ'!$B$8:$Q$1111,12,0)</f>
        <v>0</v>
      </c>
      <c r="AT400" s="47">
        <f>VLOOKUP(A400,'[1]Chứng chỉ'!$B$8:$Q$1111,13,0)</f>
        <v>0</v>
      </c>
      <c r="AU400" s="42">
        <f>VLOOKUP(A400,'[1]Chứng chỉ'!$B$8:$Q$1111,14,0)</f>
        <v>0</v>
      </c>
      <c r="AV400" s="42" t="str">
        <f>VLOOKUP(A400,'[1]Chứng chỉ'!$B$8:$Q$1111,15,0)</f>
        <v>X</v>
      </c>
      <c r="AW400" s="42" t="str">
        <f>VLOOKUP(A400,'[1]Chứng chỉ'!$B$8:$Q$1111,16,0)</f>
        <v>A</v>
      </c>
      <c r="AX400" s="42"/>
      <c r="AY400" s="57" t="s">
        <v>85</v>
      </c>
      <c r="AZ400" s="65">
        <v>35070</v>
      </c>
      <c r="BA400" s="74" t="e">
        <f t="shared" si="152"/>
        <v>#REF!</v>
      </c>
      <c r="BB400" s="74" t="e">
        <f t="shared" si="153"/>
        <v>#REF!</v>
      </c>
      <c r="BC400" s="41" t="s">
        <v>128</v>
      </c>
      <c r="BD400" s="42"/>
    </row>
    <row r="401" spans="1:56" ht="61.2" x14ac:dyDescent="0.3">
      <c r="A401" s="41" t="s">
        <v>2914</v>
      </c>
      <c r="B401" s="42">
        <f t="shared" si="110"/>
        <v>395</v>
      </c>
      <c r="C401" s="68" t="s">
        <v>2915</v>
      </c>
      <c r="D401" s="41" t="s">
        <v>2914</v>
      </c>
      <c r="E401" s="61">
        <v>1507000514</v>
      </c>
      <c r="F401" s="64"/>
      <c r="G401" s="49" t="s">
        <v>2916</v>
      </c>
      <c r="H401" s="76">
        <v>30132</v>
      </c>
      <c r="I401" s="76"/>
      <c r="J401" s="66">
        <f t="shared" ca="1" si="154"/>
        <v>44</v>
      </c>
      <c r="K401" s="75" t="s">
        <v>2917</v>
      </c>
      <c r="L401" s="41" t="s">
        <v>1854</v>
      </c>
      <c r="M401" s="53" t="s">
        <v>67</v>
      </c>
      <c r="N401" s="66"/>
      <c r="O401" s="53"/>
      <c r="P401" s="49"/>
      <c r="Q401" s="49" t="s">
        <v>94</v>
      </c>
      <c r="R401" s="49"/>
      <c r="S401" s="49" t="s">
        <v>166</v>
      </c>
      <c r="T401" s="49" t="s">
        <v>97</v>
      </c>
      <c r="U401" s="49" t="s">
        <v>94</v>
      </c>
      <c r="V401" s="49" t="str">
        <f t="shared" si="151"/>
        <v>Phường Tam Thanh, Thành phố Lạng Sơn, Tỉnh Lạng Sơn</v>
      </c>
      <c r="W401" s="55" t="s">
        <v>236</v>
      </c>
      <c r="X401" s="41"/>
      <c r="Y401" s="41"/>
      <c r="Z401" s="41"/>
      <c r="AA401" s="68">
        <f>VLOOKUP(A401,'[1]DANH SÁCH'!$B$8:$AD$841,12,0)</f>
        <v>0</v>
      </c>
      <c r="AB401" s="49" t="str">
        <f>VLOOKUP(A401,'[1]DANH SÁCH'!$B$8:$H$841,6,0)</f>
        <v>TĐ014</v>
      </c>
      <c r="AC401" s="69" t="str">
        <f>VLOOKUP(A401,'[1]DANH SÁCH'!$B$8:$J$841,9,0)</f>
        <v>CĐHA</v>
      </c>
      <c r="AD401" s="69" t="str">
        <f>VLOOKUP(A401,'[1]DANH SÁCH'!$B$8:$AC$841,10,0)</f>
        <v>KP034</v>
      </c>
      <c r="AE401" s="69" t="str">
        <f>VLOOKUP(A401,'[1]DANH SÁCH'!$B$8:$AD$841,13,0)</f>
        <v>Viên chức</v>
      </c>
      <c r="AF401" s="41" t="s">
        <v>257</v>
      </c>
      <c r="AG401" s="42" t="str">
        <f>VLOOKUP(A401,'[1]DANH SÁCH'!$B$8:$H$841,7,0)</f>
        <v>Kỹ thuật y (hạng III)</v>
      </c>
      <c r="AH401" s="45">
        <v>3.66</v>
      </c>
      <c r="AI401" s="42">
        <v>5</v>
      </c>
      <c r="AJ401" s="70">
        <v>0</v>
      </c>
      <c r="AK401" s="69">
        <v>45672</v>
      </c>
      <c r="AL401" s="71" t="s">
        <v>80</v>
      </c>
      <c r="AM401" s="53" t="str">
        <f>VLOOKUP(A401,'[1]DANH SÁCH'!$B$8:$F$841,5,0)</f>
        <v>KTY ĐH</v>
      </c>
      <c r="AN401" s="53"/>
      <c r="AO401" s="53" t="s">
        <v>2918</v>
      </c>
      <c r="AP401" s="53">
        <v>2009</v>
      </c>
      <c r="AQ401" s="72" t="s">
        <v>113</v>
      </c>
      <c r="AR401" s="42">
        <f>VLOOKUP(A401,'[1]Chứng chỉ'!$B$8:$Q$1111,11,0)</f>
        <v>0</v>
      </c>
      <c r="AS401" s="42">
        <f>VLOOKUP(A401,'[1]Chứng chỉ'!$B$8:$Q$1111,12,0)</f>
        <v>0</v>
      </c>
      <c r="AT401" s="47">
        <f>VLOOKUP(A401,'[1]Chứng chỉ'!$B$8:$Q$1111,13,0)</f>
        <v>0</v>
      </c>
      <c r="AU401" s="42">
        <f>VLOOKUP(A401,'[1]Chứng chỉ'!$B$8:$Q$1111,14,0)</f>
        <v>0</v>
      </c>
      <c r="AV401" s="42" t="str">
        <f>VLOOKUP(A401,'[1]Chứng chỉ'!$B$8:$Q$1111,15,0)</f>
        <v>X</v>
      </c>
      <c r="AW401" s="42" t="str">
        <f>VLOOKUP(A401,'[1]Chứng chỉ'!$B$8:$Q$1111,16,0)</f>
        <v>B</v>
      </c>
      <c r="AX401" s="42"/>
      <c r="AY401" s="57" t="s">
        <v>85</v>
      </c>
      <c r="AZ401" s="65"/>
      <c r="BA401" s="74" t="e">
        <f t="shared" si="152"/>
        <v>#REF!</v>
      </c>
      <c r="BB401" s="74" t="e">
        <f t="shared" si="153"/>
        <v>#REF!</v>
      </c>
      <c r="BC401" s="41" t="s">
        <v>128</v>
      </c>
      <c r="BD401" s="42"/>
    </row>
    <row r="402" spans="1:56" ht="30.6" x14ac:dyDescent="0.3">
      <c r="A402" s="47" t="s">
        <v>2919</v>
      </c>
      <c r="B402" s="42">
        <f t="shared" si="110"/>
        <v>396</v>
      </c>
      <c r="C402" s="116" t="s">
        <v>2920</v>
      </c>
      <c r="D402" s="47" t="s">
        <v>2919</v>
      </c>
      <c r="E402" s="61" t="s">
        <v>2921</v>
      </c>
      <c r="F402" s="42" t="s">
        <v>2922</v>
      </c>
      <c r="G402" s="49" t="s">
        <v>2923</v>
      </c>
      <c r="H402" s="65">
        <v>33634</v>
      </c>
      <c r="I402" s="47"/>
      <c r="J402" s="66">
        <f t="shared" ca="1" si="154"/>
        <v>34</v>
      </c>
      <c r="K402" s="46" t="s">
        <v>2924</v>
      </c>
      <c r="L402" s="65">
        <v>41697</v>
      </c>
      <c r="M402" s="56"/>
      <c r="N402" s="52"/>
      <c r="O402" s="56"/>
      <c r="P402" s="47"/>
      <c r="Q402" s="47"/>
      <c r="R402" s="47"/>
      <c r="S402" s="47"/>
      <c r="T402" s="47"/>
      <c r="U402" s="47"/>
      <c r="V402" s="56" t="s">
        <v>1087</v>
      </c>
      <c r="W402" s="67" t="s">
        <v>2925</v>
      </c>
      <c r="X402" s="46"/>
      <c r="Y402" s="46"/>
      <c r="Z402" s="46"/>
      <c r="AA402" s="68">
        <f>VLOOKUP(A402,'[1]DANH SÁCH'!$B$8:$AD$841,12,0)</f>
        <v>0</v>
      </c>
      <c r="AB402" s="49" t="str">
        <f>VLOOKUP(A402,'[1]DANH SÁCH'!$B$8:$H$841,6,0)</f>
        <v>TĐ014</v>
      </c>
      <c r="AC402" s="69" t="str">
        <f>VLOOKUP(A402,'[1]DANH SÁCH'!$B$8:$J$841,9,0)</f>
        <v>CĐHA</v>
      </c>
      <c r="AD402" s="69" t="str">
        <f>VLOOKUP(A402,'[1]DANH SÁCH'!$B$8:$AC$841,10,0)</f>
        <v>KP034</v>
      </c>
      <c r="AE402" s="69" t="str">
        <f>VLOOKUP(A402,'[1]DANH SÁCH'!$B$8:$AD$841,13,0)</f>
        <v>Viên chức</v>
      </c>
      <c r="AF402" s="46" t="s">
        <v>2913</v>
      </c>
      <c r="AG402" s="47" t="s">
        <v>2926</v>
      </c>
      <c r="AH402" s="45">
        <v>3.33</v>
      </c>
      <c r="AI402" s="42">
        <v>4</v>
      </c>
      <c r="AJ402" s="70">
        <v>0</v>
      </c>
      <c r="AK402" s="69">
        <v>45849</v>
      </c>
      <c r="AL402" s="71" t="s">
        <v>80</v>
      </c>
      <c r="AM402" s="53" t="str">
        <f>VLOOKUP(A402,'[1]DANH SÁCH'!$B$8:$F$841,5,0)</f>
        <v>KTY ĐH</v>
      </c>
      <c r="AN402" s="47" t="s">
        <v>2927</v>
      </c>
      <c r="AO402" s="47" t="s">
        <v>2099</v>
      </c>
      <c r="AP402" s="47">
        <v>2014</v>
      </c>
      <c r="AQ402" s="47"/>
      <c r="AR402" s="42">
        <f>VLOOKUP(A402,'[1]Chứng chỉ'!$B$8:$Q$1111,11,0)</f>
        <v>0</v>
      </c>
      <c r="AS402" s="42">
        <f>VLOOKUP(A402,'[1]Chứng chỉ'!$B$8:$Q$1111,12,0)</f>
        <v>0</v>
      </c>
      <c r="AT402" s="47">
        <f>VLOOKUP(A402,'[1]Chứng chỉ'!$B$8:$Q$1111,13,0)</f>
        <v>0</v>
      </c>
      <c r="AU402" s="42" t="str">
        <f>VLOOKUP(A402,'[1]Chứng chỉ'!$B$8:$Q$1111,14,0)</f>
        <v>Anh B</v>
      </c>
      <c r="AV402" s="42">
        <f>VLOOKUP(A402,'[1]Chứng chỉ'!$B$8:$Q$1111,15,0)</f>
        <v>0</v>
      </c>
      <c r="AW402" s="42" t="str">
        <f>VLOOKUP(A402,'[1]Chứng chỉ'!$B$8:$Q$1111,16,0)</f>
        <v>B</v>
      </c>
      <c r="AX402" s="47"/>
      <c r="AY402" s="47" t="s">
        <v>87</v>
      </c>
      <c r="AZ402" s="65"/>
      <c r="BA402" s="47"/>
      <c r="BB402" s="47"/>
      <c r="BC402" s="41" t="s">
        <v>128</v>
      </c>
      <c r="BD402" s="42"/>
    </row>
    <row r="403" spans="1:56" ht="51" x14ac:dyDescent="0.3">
      <c r="A403" s="41" t="s">
        <v>2928</v>
      </c>
      <c r="B403" s="42">
        <f t="shared" si="110"/>
        <v>397</v>
      </c>
      <c r="C403" s="68" t="s">
        <v>2929</v>
      </c>
      <c r="D403" s="41" t="s">
        <v>2928</v>
      </c>
      <c r="E403" s="61">
        <v>1597024467</v>
      </c>
      <c r="F403" s="64"/>
      <c r="G403" s="49" t="s">
        <v>2930</v>
      </c>
      <c r="H403" s="76">
        <v>26764</v>
      </c>
      <c r="I403" s="76"/>
      <c r="J403" s="66">
        <f t="shared" ca="1" si="154"/>
        <v>53</v>
      </c>
      <c r="K403" s="75" t="s">
        <v>2931</v>
      </c>
      <c r="L403" s="41" t="s">
        <v>2932</v>
      </c>
      <c r="M403" s="53" t="s">
        <v>67</v>
      </c>
      <c r="N403" s="66"/>
      <c r="O403" s="53" t="s">
        <v>1648</v>
      </c>
      <c r="P403" s="49" t="s">
        <v>182</v>
      </c>
      <c r="Q403" s="49" t="s">
        <v>94</v>
      </c>
      <c r="R403" s="49"/>
      <c r="S403" s="49" t="s">
        <v>184</v>
      </c>
      <c r="T403" s="49" t="s">
        <v>182</v>
      </c>
      <c r="U403" s="49" t="s">
        <v>94</v>
      </c>
      <c r="V403" s="49" t="str">
        <f t="shared" ref="V403:V435" si="155">S403&amp;", "&amp;T403&amp;", "&amp;U403</f>
        <v>Thị trấn Lộc Bình, Huyện Lộc Bình, Tỉnh Lạng Sơn</v>
      </c>
      <c r="W403" s="55" t="s">
        <v>2933</v>
      </c>
      <c r="X403" s="41"/>
      <c r="Y403" s="41"/>
      <c r="Z403" s="41"/>
      <c r="AA403" s="68">
        <f>VLOOKUP(A403,'[1]DANH SÁCH'!$B$8:$AD$841,12,0)</f>
        <v>0</v>
      </c>
      <c r="AB403" s="49" t="str">
        <f>VLOOKUP(A403,'[1]DANH SÁCH'!$B$8:$H$841,6,0)</f>
        <v>TĐ015</v>
      </c>
      <c r="AC403" s="69" t="str">
        <f>VLOOKUP(A403,'[1]DANH SÁCH'!$B$8:$J$841,9,0)</f>
        <v>CĐHA</v>
      </c>
      <c r="AD403" s="69" t="str">
        <f>VLOOKUP(A403,'[1]DANH SÁCH'!$B$8:$AC$841,10,0)</f>
        <v>KP034</v>
      </c>
      <c r="AE403" s="69" t="str">
        <f>VLOOKUP(A403,'[1]DANH SÁCH'!$B$8:$AD$841,13,0)</f>
        <v>Viên chức</v>
      </c>
      <c r="AF403" s="41" t="s">
        <v>257</v>
      </c>
      <c r="AG403" s="42" t="str">
        <f>VLOOKUP(A403,'[1]DANH SÁCH'!$B$8:$H$841,7,0)</f>
        <v>Kỹ thuật y (hạng IV)</v>
      </c>
      <c r="AH403" s="45">
        <v>4.8899999999999997</v>
      </c>
      <c r="AI403" s="42">
        <v>10</v>
      </c>
      <c r="AJ403" s="70">
        <v>0</v>
      </c>
      <c r="AK403" s="69">
        <v>45839</v>
      </c>
      <c r="AL403" s="71" t="s">
        <v>158</v>
      </c>
      <c r="AM403" s="53" t="str">
        <f>VLOOKUP(A403,'[1]DANH SÁCH'!$B$8:$F$841,5,0)</f>
        <v>KTY CĐ</v>
      </c>
      <c r="AN403" s="53"/>
      <c r="AO403" s="53" t="s">
        <v>2934</v>
      </c>
      <c r="AP403" s="53">
        <v>2007</v>
      </c>
      <c r="AQ403" s="72" t="s">
        <v>113</v>
      </c>
      <c r="AR403" s="42">
        <f>VLOOKUP(A403,'[1]Chứng chỉ'!$B$8:$Q$1111,11,0)</f>
        <v>0</v>
      </c>
      <c r="AS403" s="42">
        <f>VLOOKUP(A403,'[1]Chứng chỉ'!$B$8:$Q$1111,12,0)</f>
        <v>0</v>
      </c>
      <c r="AT403" s="47">
        <f>VLOOKUP(A403,'[1]Chứng chỉ'!$B$8:$Q$1111,13,0)</f>
        <v>0</v>
      </c>
      <c r="AU403" s="42" t="str">
        <f>VLOOKUP(A403,'[1]Chứng chỉ'!$B$8:$Q$1111,14,0)</f>
        <v>Anh B</v>
      </c>
      <c r="AV403" s="42">
        <f>VLOOKUP(A403,'[1]Chứng chỉ'!$B$8:$Q$1111,15,0)</f>
        <v>0</v>
      </c>
      <c r="AW403" s="42" t="str">
        <f>VLOOKUP(A403,'[1]Chứng chỉ'!$B$8:$Q$1111,16,0)</f>
        <v>B</v>
      </c>
      <c r="AX403" s="42"/>
      <c r="AY403" s="57" t="s">
        <v>85</v>
      </c>
      <c r="AZ403" s="65">
        <v>37588</v>
      </c>
      <c r="BA403" s="74" t="e">
        <f t="shared" ref="BA403:BA416" si="156">VLOOKUP(A403,#REF!,4,0)</f>
        <v>#REF!</v>
      </c>
      <c r="BB403" s="74" t="e">
        <f t="shared" ref="BB403:BB416" si="157">VLOOKUP(A403,#REF!,5,0)</f>
        <v>#REF!</v>
      </c>
      <c r="BC403" s="41" t="s">
        <v>128</v>
      </c>
      <c r="BD403" s="42"/>
    </row>
    <row r="404" spans="1:56" ht="61.2" x14ac:dyDescent="0.3">
      <c r="A404" s="41" t="s">
        <v>2935</v>
      </c>
      <c r="B404" s="42">
        <f t="shared" si="110"/>
        <v>398</v>
      </c>
      <c r="C404" s="68" t="s">
        <v>2936</v>
      </c>
      <c r="D404" s="41" t="s">
        <v>2935</v>
      </c>
      <c r="E404" s="61">
        <v>2009000891</v>
      </c>
      <c r="F404" s="64"/>
      <c r="G404" s="49" t="s">
        <v>2937</v>
      </c>
      <c r="H404" s="76">
        <v>31106</v>
      </c>
      <c r="I404" s="76"/>
      <c r="J404" s="66">
        <f t="shared" ca="1" si="154"/>
        <v>41</v>
      </c>
      <c r="K404" s="75" t="s">
        <v>2938</v>
      </c>
      <c r="L404" s="41" t="s">
        <v>2939</v>
      </c>
      <c r="M404" s="53" t="s">
        <v>67</v>
      </c>
      <c r="N404" s="66"/>
      <c r="O404" s="85"/>
      <c r="P404" s="49" t="s">
        <v>93</v>
      </c>
      <c r="Q404" s="76" t="s">
        <v>94</v>
      </c>
      <c r="R404" s="49"/>
      <c r="S404" s="76" t="s">
        <v>96</v>
      </c>
      <c r="T404" s="76" t="s">
        <v>97</v>
      </c>
      <c r="U404" s="76" t="s">
        <v>94</v>
      </c>
      <c r="V404" s="49" t="str">
        <f t="shared" si="155"/>
        <v>Phường Hoàng Văn Thụ, Thành phố Lạng Sơn, Tỉnh Lạng Sơn</v>
      </c>
      <c r="W404" s="55" t="s">
        <v>98</v>
      </c>
      <c r="X404" s="41"/>
      <c r="Y404" s="41"/>
      <c r="Z404" s="41"/>
      <c r="AA404" s="68">
        <f>VLOOKUP(A404,'[1]DANH SÁCH'!$B$8:$AD$841,12,0)</f>
        <v>0</v>
      </c>
      <c r="AB404" s="49" t="str">
        <f>VLOOKUP(A404,'[1]DANH SÁCH'!$B$8:$H$841,6,0)</f>
        <v>TĐ015</v>
      </c>
      <c r="AC404" s="69" t="str">
        <f>VLOOKUP(A404,'[1]DANH SÁCH'!$B$8:$J$841,9,0)</f>
        <v>CĐHA</v>
      </c>
      <c r="AD404" s="69" t="str">
        <f>VLOOKUP(A404,'[1]DANH SÁCH'!$B$8:$AC$841,10,0)</f>
        <v>KP034</v>
      </c>
      <c r="AE404" s="69" t="str">
        <f>VLOOKUP(A404,'[1]DANH SÁCH'!$B$8:$AD$841,13,0)</f>
        <v>Viên chức</v>
      </c>
      <c r="AF404" s="41" t="s">
        <v>257</v>
      </c>
      <c r="AG404" s="42" t="str">
        <f>VLOOKUP(A404,'[1]DANH SÁCH'!$B$8:$H$841,7,0)</f>
        <v>Kỹ thuật y (hạng IV)</v>
      </c>
      <c r="AH404" s="45">
        <v>3.65</v>
      </c>
      <c r="AI404" s="42">
        <v>6</v>
      </c>
      <c r="AJ404" s="70">
        <v>0</v>
      </c>
      <c r="AK404" s="69">
        <v>45992</v>
      </c>
      <c r="AL404" s="71" t="s">
        <v>158</v>
      </c>
      <c r="AM404" s="53" t="str">
        <f>VLOOKUP(A404,'[1]DANH SÁCH'!$B$8:$F$841,5,0)</f>
        <v>KTY CĐ</v>
      </c>
      <c r="AN404" s="53"/>
      <c r="AO404" s="53" t="s">
        <v>1932</v>
      </c>
      <c r="AP404" s="53">
        <v>2007</v>
      </c>
      <c r="AQ404" s="72" t="s">
        <v>113</v>
      </c>
      <c r="AR404" s="42">
        <f>VLOOKUP(A404,'[1]Chứng chỉ'!$B$8:$Q$1111,11,0)</f>
        <v>0</v>
      </c>
      <c r="AS404" s="42">
        <f>VLOOKUP(A404,'[1]Chứng chỉ'!$B$8:$Q$1111,12,0)</f>
        <v>0</v>
      </c>
      <c r="AT404" s="47">
        <f>VLOOKUP(A404,'[1]Chứng chỉ'!$B$8:$Q$1111,13,0)</f>
        <v>0</v>
      </c>
      <c r="AU404" s="42">
        <f>VLOOKUP(A404,'[1]Chứng chỉ'!$B$8:$Q$1111,14,0)</f>
        <v>0</v>
      </c>
      <c r="AV404" s="42">
        <f>VLOOKUP(A404,'[1]Chứng chỉ'!$B$8:$Q$1111,15,0)</f>
        <v>0</v>
      </c>
      <c r="AW404" s="42" t="str">
        <f>VLOOKUP(A404,'[1]Chứng chỉ'!$B$8:$Q$1111,16,0)</f>
        <v>B</v>
      </c>
      <c r="AX404" s="42"/>
      <c r="AY404" s="57" t="s">
        <v>85</v>
      </c>
      <c r="AZ404" s="65"/>
      <c r="BA404" s="74" t="e">
        <f t="shared" si="156"/>
        <v>#REF!</v>
      </c>
      <c r="BB404" s="74" t="e">
        <f t="shared" si="157"/>
        <v>#REF!</v>
      </c>
      <c r="BC404" s="41" t="s">
        <v>128</v>
      </c>
      <c r="BD404" s="42"/>
    </row>
    <row r="405" spans="1:56" ht="51" x14ac:dyDescent="0.3">
      <c r="A405" s="41" t="s">
        <v>2940</v>
      </c>
      <c r="B405" s="42">
        <f t="shared" si="110"/>
        <v>399</v>
      </c>
      <c r="C405" s="68" t="s">
        <v>2941</v>
      </c>
      <c r="D405" s="41" t="s">
        <v>2940</v>
      </c>
      <c r="E405" s="61">
        <v>1504002805</v>
      </c>
      <c r="F405" s="64"/>
      <c r="G405" s="49" t="s">
        <v>2942</v>
      </c>
      <c r="H405" s="76">
        <v>27518</v>
      </c>
      <c r="I405" s="76"/>
      <c r="J405" s="66">
        <f t="shared" ca="1" si="154"/>
        <v>51</v>
      </c>
      <c r="K405" s="75" t="s">
        <v>2943</v>
      </c>
      <c r="L405" s="41" t="s">
        <v>2944</v>
      </c>
      <c r="M405" s="53" t="s">
        <v>67</v>
      </c>
      <c r="N405" s="66"/>
      <c r="O405" s="53"/>
      <c r="P405" s="49" t="s">
        <v>155</v>
      </c>
      <c r="Q405" s="49" t="s">
        <v>94</v>
      </c>
      <c r="R405" s="49"/>
      <c r="S405" s="49" t="s">
        <v>214</v>
      </c>
      <c r="T405" s="49" t="s">
        <v>97</v>
      </c>
      <c r="U405" s="49" t="s">
        <v>94</v>
      </c>
      <c r="V405" s="49" t="str">
        <f t="shared" si="155"/>
        <v>Xã Hoàng Đồng, Thành phố Lạng Sơn, Tỉnh Lạng Sơn</v>
      </c>
      <c r="W405" s="55" t="s">
        <v>2522</v>
      </c>
      <c r="X405" s="41"/>
      <c r="Y405" s="41"/>
      <c r="Z405" s="41"/>
      <c r="AA405" s="68">
        <f>VLOOKUP(A405,'[1]DANH SÁCH'!$B$8:$AD$841,12,0)</f>
        <v>0</v>
      </c>
      <c r="AB405" s="49" t="str">
        <f>VLOOKUP(A405,'[1]DANH SÁCH'!$B$8:$H$841,6,0)</f>
        <v>TĐ015</v>
      </c>
      <c r="AC405" s="69" t="str">
        <f>VLOOKUP(A405,'[1]DANH SÁCH'!$B$8:$J$841,9,0)</f>
        <v>CĐHA</v>
      </c>
      <c r="AD405" s="69" t="str">
        <f>VLOOKUP(A405,'[1]DANH SÁCH'!$B$8:$AC$841,10,0)</f>
        <v>KP034</v>
      </c>
      <c r="AE405" s="69" t="str">
        <f>VLOOKUP(A405,'[1]DANH SÁCH'!$B$8:$AD$841,13,0)</f>
        <v>Viên chức</v>
      </c>
      <c r="AF405" s="41" t="s">
        <v>257</v>
      </c>
      <c r="AG405" s="42" t="str">
        <f>VLOOKUP(A405,'[1]DANH SÁCH'!$B$8:$H$841,7,0)</f>
        <v>Kỹ thuật y (hạng IV)</v>
      </c>
      <c r="AH405" s="45">
        <v>3.96</v>
      </c>
      <c r="AI405" s="42">
        <v>7</v>
      </c>
      <c r="AJ405" s="70">
        <v>0</v>
      </c>
      <c r="AK405" s="69">
        <v>45352</v>
      </c>
      <c r="AL405" s="71" t="s">
        <v>158</v>
      </c>
      <c r="AM405" s="53" t="str">
        <f>VLOOKUP(A405,'[1]DANH SÁCH'!$B$8:$F$841,5,0)</f>
        <v>KTY CĐ</v>
      </c>
      <c r="AN405" s="53"/>
      <c r="AO405" s="53" t="s">
        <v>2945</v>
      </c>
      <c r="AP405" s="53">
        <v>1998</v>
      </c>
      <c r="AQ405" s="72" t="s">
        <v>113</v>
      </c>
      <c r="AR405" s="42">
        <f>VLOOKUP(A405,'[1]Chứng chỉ'!$B$8:$Q$1111,11,0)</f>
        <v>0</v>
      </c>
      <c r="AS405" s="42">
        <f>VLOOKUP(A405,'[1]Chứng chỉ'!$B$8:$Q$1111,12,0)</f>
        <v>0</v>
      </c>
      <c r="AT405" s="47">
        <f>VLOOKUP(A405,'[1]Chứng chỉ'!$B$8:$Q$1111,13,0)</f>
        <v>0</v>
      </c>
      <c r="AU405" s="42">
        <f>VLOOKUP(A405,'[1]Chứng chỉ'!$B$8:$Q$1111,14,0)</f>
        <v>0</v>
      </c>
      <c r="AV405" s="42">
        <f>VLOOKUP(A405,'[1]Chứng chỉ'!$B$8:$Q$1111,15,0)</f>
        <v>0</v>
      </c>
      <c r="AW405" s="42" t="str">
        <f>VLOOKUP(A405,'[1]Chứng chỉ'!$B$8:$Q$1111,16,0)</f>
        <v>A</v>
      </c>
      <c r="AX405" s="42"/>
      <c r="AY405" s="57" t="s">
        <v>85</v>
      </c>
      <c r="AZ405" s="65"/>
      <c r="BA405" s="74" t="e">
        <f t="shared" si="156"/>
        <v>#REF!</v>
      </c>
      <c r="BB405" s="74" t="e">
        <f t="shared" si="157"/>
        <v>#REF!</v>
      </c>
      <c r="BC405" s="41" t="s">
        <v>128</v>
      </c>
      <c r="BD405" s="42"/>
    </row>
    <row r="406" spans="1:56" ht="61.2" x14ac:dyDescent="0.3">
      <c r="A406" s="41" t="s">
        <v>2946</v>
      </c>
      <c r="B406" s="42">
        <f t="shared" si="110"/>
        <v>400</v>
      </c>
      <c r="C406" s="68" t="s">
        <v>2947</v>
      </c>
      <c r="D406" s="41" t="s">
        <v>2946</v>
      </c>
      <c r="E406" s="61">
        <v>1505002495</v>
      </c>
      <c r="F406" s="64"/>
      <c r="G406" s="49" t="s">
        <v>2948</v>
      </c>
      <c r="H406" s="76">
        <v>30198</v>
      </c>
      <c r="I406" s="76"/>
      <c r="J406" s="66">
        <f t="shared" ca="1" si="154"/>
        <v>43</v>
      </c>
      <c r="K406" s="75" t="s">
        <v>2949</v>
      </c>
      <c r="L406" s="41" t="s">
        <v>91</v>
      </c>
      <c r="M406" s="53" t="s">
        <v>67</v>
      </c>
      <c r="N406" s="66"/>
      <c r="O406" s="53"/>
      <c r="P406" s="49" t="s">
        <v>93</v>
      </c>
      <c r="Q406" s="49" t="s">
        <v>94</v>
      </c>
      <c r="R406" s="49"/>
      <c r="S406" s="49" t="s">
        <v>166</v>
      </c>
      <c r="T406" s="49" t="s">
        <v>97</v>
      </c>
      <c r="U406" s="49" t="s">
        <v>94</v>
      </c>
      <c r="V406" s="49" t="str">
        <f t="shared" si="155"/>
        <v>Phường Tam Thanh, Thành phố Lạng Sơn, Tỉnh Lạng Sơn</v>
      </c>
      <c r="W406" s="55" t="s">
        <v>724</v>
      </c>
      <c r="X406" s="41"/>
      <c r="Y406" s="41"/>
      <c r="Z406" s="41"/>
      <c r="AA406" s="68">
        <f>VLOOKUP(A406,'[1]DANH SÁCH'!$B$8:$AD$841,12,0)</f>
        <v>0</v>
      </c>
      <c r="AB406" s="49" t="str">
        <f>VLOOKUP(A406,'[1]DANH SÁCH'!$B$8:$H$841,6,0)</f>
        <v>TĐ014</v>
      </c>
      <c r="AC406" s="69" t="str">
        <f>VLOOKUP(A406,'[1]DANH SÁCH'!$B$8:$J$841,9,0)</f>
        <v>CĐHA</v>
      </c>
      <c r="AD406" s="69" t="str">
        <f>VLOOKUP(A406,'[1]DANH SÁCH'!$B$8:$AC$841,10,0)</f>
        <v>KP034</v>
      </c>
      <c r="AE406" s="69" t="str">
        <f>VLOOKUP(A406,'[1]DANH SÁCH'!$B$8:$AD$841,13,0)</f>
        <v>Viên chức</v>
      </c>
      <c r="AF406" s="41" t="s">
        <v>257</v>
      </c>
      <c r="AG406" s="42" t="str">
        <f>VLOOKUP(A406,'[1]DANH SÁCH'!$B$8:$H$841,7,0)</f>
        <v>Kỹ thuật y (hạng III)</v>
      </c>
      <c r="AH406" s="45">
        <v>4.32</v>
      </c>
      <c r="AI406" s="42">
        <v>7</v>
      </c>
      <c r="AJ406" s="70">
        <v>0</v>
      </c>
      <c r="AK406" s="69">
        <v>45839</v>
      </c>
      <c r="AL406" s="71" t="s">
        <v>158</v>
      </c>
      <c r="AM406" s="53" t="str">
        <f>VLOOKUP(A406,'[1]DANH SÁCH'!$B$8:$F$841,5,0)</f>
        <v>KTY ĐH</v>
      </c>
      <c r="AN406" s="53"/>
      <c r="AO406" s="53" t="s">
        <v>2950</v>
      </c>
      <c r="AP406" s="53">
        <v>2004</v>
      </c>
      <c r="AQ406" s="72" t="s">
        <v>113</v>
      </c>
      <c r="AR406" s="42">
        <f>VLOOKUP(A406,'[1]Chứng chỉ'!$B$8:$Q$1111,11,0)</f>
        <v>0</v>
      </c>
      <c r="AS406" s="42">
        <f>VLOOKUP(A406,'[1]Chứng chỉ'!$B$8:$Q$1111,12,0)</f>
        <v>0</v>
      </c>
      <c r="AT406" s="47">
        <f>VLOOKUP(A406,'[1]Chứng chỉ'!$B$8:$Q$1111,13,0)</f>
        <v>0</v>
      </c>
      <c r="AU406" s="42">
        <f>VLOOKUP(A406,'[1]Chứng chỉ'!$B$8:$Q$1111,14,0)</f>
        <v>0</v>
      </c>
      <c r="AV406" s="42">
        <f>VLOOKUP(A406,'[1]Chứng chỉ'!$B$8:$Q$1111,15,0)</f>
        <v>0</v>
      </c>
      <c r="AW406" s="42" t="str">
        <f>VLOOKUP(A406,'[1]Chứng chỉ'!$B$8:$Q$1111,16,0)</f>
        <v>A</v>
      </c>
      <c r="AX406" s="42"/>
      <c r="AY406" s="57" t="s">
        <v>87</v>
      </c>
      <c r="AZ406" s="65">
        <v>40877</v>
      </c>
      <c r="BA406" s="74" t="e">
        <f t="shared" si="156"/>
        <v>#REF!</v>
      </c>
      <c r="BB406" s="74" t="e">
        <f t="shared" si="157"/>
        <v>#REF!</v>
      </c>
      <c r="BC406" s="41" t="s">
        <v>128</v>
      </c>
      <c r="BD406" s="42"/>
    </row>
    <row r="407" spans="1:56" ht="51" x14ac:dyDescent="0.3">
      <c r="A407" s="41" t="s">
        <v>2951</v>
      </c>
      <c r="B407" s="42">
        <f t="shared" si="110"/>
        <v>401</v>
      </c>
      <c r="C407" s="68" t="s">
        <v>2952</v>
      </c>
      <c r="D407" s="41" t="s">
        <v>2951</v>
      </c>
      <c r="E407" s="61">
        <v>1506002927</v>
      </c>
      <c r="F407" s="64"/>
      <c r="G407" s="49" t="s">
        <v>2953</v>
      </c>
      <c r="H407" s="76">
        <v>30612</v>
      </c>
      <c r="I407" s="76"/>
      <c r="J407" s="66">
        <f t="shared" ca="1" si="154"/>
        <v>42</v>
      </c>
      <c r="K407" s="75" t="s">
        <v>2954</v>
      </c>
      <c r="L407" s="41" t="s">
        <v>2211</v>
      </c>
      <c r="M407" s="53" t="s">
        <v>67</v>
      </c>
      <c r="N407" s="66"/>
      <c r="O407" s="53"/>
      <c r="P407" s="49" t="s">
        <v>108</v>
      </c>
      <c r="Q407" s="49" t="s">
        <v>94</v>
      </c>
      <c r="R407" s="49"/>
      <c r="S407" s="49" t="s">
        <v>619</v>
      </c>
      <c r="T407" s="49" t="s">
        <v>108</v>
      </c>
      <c r="U407" s="49" t="s">
        <v>94</v>
      </c>
      <c r="V407" s="49" t="str">
        <f t="shared" si="155"/>
        <v>Xã Hợp Thành, Huyện Cao Lộc, Tỉnh Lạng Sơn</v>
      </c>
      <c r="W407" s="55" t="s">
        <v>1682</v>
      </c>
      <c r="X407" s="41"/>
      <c r="Y407" s="41"/>
      <c r="Z407" s="41"/>
      <c r="AA407" s="68">
        <f>VLOOKUP(A407,'[1]DANH SÁCH'!$B$8:$AD$841,12,0)</f>
        <v>0</v>
      </c>
      <c r="AB407" s="49" t="str">
        <f>VLOOKUP(A407,'[1]DANH SÁCH'!$B$8:$H$841,6,0)</f>
        <v>TĐ015</v>
      </c>
      <c r="AC407" s="69" t="str">
        <f>VLOOKUP(A407,'[1]DANH SÁCH'!$B$8:$J$841,9,0)</f>
        <v>CĐHA</v>
      </c>
      <c r="AD407" s="69" t="str">
        <f>VLOOKUP(A407,'[1]DANH SÁCH'!$B$8:$AC$841,10,0)</f>
        <v>KP034</v>
      </c>
      <c r="AE407" s="69" t="str">
        <f>VLOOKUP(A407,'[1]DANH SÁCH'!$B$8:$AD$841,13,0)</f>
        <v>Viên chức</v>
      </c>
      <c r="AF407" s="41" t="s">
        <v>257</v>
      </c>
      <c r="AG407" s="42" t="str">
        <f>VLOOKUP(A407,'[1]DANH SÁCH'!$B$8:$H$841,7,0)</f>
        <v>Kỹ thuật y (hạng IV)</v>
      </c>
      <c r="AH407" s="45">
        <v>3.96</v>
      </c>
      <c r="AI407" s="42">
        <v>7</v>
      </c>
      <c r="AJ407" s="70">
        <v>0</v>
      </c>
      <c r="AK407" s="69">
        <v>45962</v>
      </c>
      <c r="AL407" s="71" t="s">
        <v>158</v>
      </c>
      <c r="AM407" s="53" t="str">
        <f>VLOOKUP(A407,'[1]DANH SÁCH'!$B$8:$F$841,5,0)</f>
        <v>KTY CĐ</v>
      </c>
      <c r="AN407" s="53"/>
      <c r="AO407" s="53" t="s">
        <v>2950</v>
      </c>
      <c r="AP407" s="53">
        <v>2005</v>
      </c>
      <c r="AQ407" s="72" t="s">
        <v>113</v>
      </c>
      <c r="AR407" s="42">
        <f>VLOOKUP(A407,'[1]Chứng chỉ'!$B$8:$Q$1111,11,0)</f>
        <v>0</v>
      </c>
      <c r="AS407" s="42">
        <f>VLOOKUP(A407,'[1]Chứng chỉ'!$B$8:$Q$1111,12,0)</f>
        <v>0</v>
      </c>
      <c r="AT407" s="47">
        <f>VLOOKUP(A407,'[1]Chứng chỉ'!$B$8:$Q$1111,13,0)</f>
        <v>0</v>
      </c>
      <c r="AU407" s="42">
        <f>VLOOKUP(A407,'[1]Chứng chỉ'!$B$8:$Q$1111,14,0)</f>
        <v>0</v>
      </c>
      <c r="AV407" s="42">
        <f>VLOOKUP(A407,'[1]Chứng chỉ'!$B$8:$Q$1111,15,0)</f>
        <v>0</v>
      </c>
      <c r="AW407" s="42">
        <f>VLOOKUP(A407,'[1]Chứng chỉ'!$B$8:$Q$1111,16,0)</f>
        <v>0</v>
      </c>
      <c r="AX407" s="42"/>
      <c r="AY407" s="57" t="s">
        <v>85</v>
      </c>
      <c r="AZ407" s="65">
        <v>42494</v>
      </c>
      <c r="BA407" s="74" t="e">
        <f t="shared" si="156"/>
        <v>#REF!</v>
      </c>
      <c r="BB407" s="74" t="e">
        <f t="shared" si="157"/>
        <v>#REF!</v>
      </c>
      <c r="BC407" s="41"/>
      <c r="BD407" s="42"/>
    </row>
    <row r="408" spans="1:56" ht="51" x14ac:dyDescent="0.3">
      <c r="A408" s="41" t="s">
        <v>2955</v>
      </c>
      <c r="B408" s="42">
        <f t="shared" si="110"/>
        <v>402</v>
      </c>
      <c r="C408" s="68" t="s">
        <v>2956</v>
      </c>
      <c r="D408" s="41" t="s">
        <v>2955</v>
      </c>
      <c r="E408" s="61">
        <v>1505002488</v>
      </c>
      <c r="F408" s="64"/>
      <c r="G408" s="49" t="s">
        <v>2957</v>
      </c>
      <c r="H408" s="76"/>
      <c r="I408" s="76">
        <v>30553</v>
      </c>
      <c r="J408" s="66">
        <f ca="1">INT(DATEDIF(I408,$J$2,"d")/365)</f>
        <v>42</v>
      </c>
      <c r="K408" s="75" t="s">
        <v>2958</v>
      </c>
      <c r="L408" s="41" t="s">
        <v>2959</v>
      </c>
      <c r="M408" s="53" t="s">
        <v>67</v>
      </c>
      <c r="N408" s="66"/>
      <c r="O408" s="53" t="s">
        <v>73</v>
      </c>
      <c r="P408" s="49" t="s">
        <v>97</v>
      </c>
      <c r="Q408" s="49" t="s">
        <v>94</v>
      </c>
      <c r="R408" s="76"/>
      <c r="S408" s="49" t="s">
        <v>73</v>
      </c>
      <c r="T408" s="49" t="s">
        <v>97</v>
      </c>
      <c r="U408" s="49" t="s">
        <v>94</v>
      </c>
      <c r="V408" s="49" t="str">
        <f t="shared" si="155"/>
        <v>Phường Vĩnh Trại, Thành phố Lạng Sơn, Tỉnh Lạng Sơn</v>
      </c>
      <c r="W408" s="55" t="s">
        <v>236</v>
      </c>
      <c r="X408" s="41"/>
      <c r="Y408" s="41"/>
      <c r="Z408" s="41"/>
      <c r="AA408" s="68">
        <f>VLOOKUP(A408,'[1]DANH SÁCH'!$B$8:$AD$841,12,0)</f>
        <v>0</v>
      </c>
      <c r="AB408" s="49" t="str">
        <f>VLOOKUP(A408,'[1]DANH SÁCH'!$B$8:$H$841,6,0)</f>
        <v>TĐ018</v>
      </c>
      <c r="AC408" s="69" t="str">
        <f>VLOOKUP(A408,'[1]DANH SÁCH'!$B$8:$J$841,9,0)</f>
        <v>CĐHA</v>
      </c>
      <c r="AD408" s="69" t="str">
        <f>VLOOKUP(A408,'[1]DANH SÁCH'!$B$8:$AC$841,10,0)</f>
        <v>KP034</v>
      </c>
      <c r="AE408" s="69" t="str">
        <f>VLOOKUP(A408,'[1]DANH SÁCH'!$B$8:$AD$841,13,0)</f>
        <v>Viên chức</v>
      </c>
      <c r="AF408" s="41" t="s">
        <v>527</v>
      </c>
      <c r="AG408" s="42" t="str">
        <f>VLOOKUP(A408,'[1]DANH SÁCH'!$B$8:$H$841,7,0)</f>
        <v>Hộ sinh (hạng IV)</v>
      </c>
      <c r="AH408" s="45">
        <v>3.65</v>
      </c>
      <c r="AI408" s="42">
        <v>6</v>
      </c>
      <c r="AJ408" s="70">
        <v>0</v>
      </c>
      <c r="AK408" s="69">
        <v>45672</v>
      </c>
      <c r="AL408" s="71" t="s">
        <v>158</v>
      </c>
      <c r="AM408" s="53" t="str">
        <f>VLOOKUP(A408,'[1]DANH SÁCH'!$B$8:$F$841,5,0)</f>
        <v>Hộ sinh CĐ</v>
      </c>
      <c r="AN408" s="53"/>
      <c r="AO408" s="53"/>
      <c r="AP408" s="53"/>
      <c r="AQ408" s="53"/>
      <c r="AR408" s="42">
        <f>VLOOKUP(A408,'[1]Chứng chỉ'!$B$8:$Q$1111,11,0)</f>
        <v>0</v>
      </c>
      <c r="AS408" s="42">
        <f>VLOOKUP(A408,'[1]Chứng chỉ'!$B$8:$Q$1111,12,0)</f>
        <v>0</v>
      </c>
      <c r="AT408" s="47">
        <f>VLOOKUP(A408,'[1]Chứng chỉ'!$B$8:$Q$1111,13,0)</f>
        <v>0</v>
      </c>
      <c r="AU408" s="42" t="str">
        <f>VLOOKUP(A408,'[1]Chứng chỉ'!$B$8:$Q$1111,14,0)</f>
        <v>Anh B</v>
      </c>
      <c r="AV408" s="42">
        <f>VLOOKUP(A408,'[1]Chứng chỉ'!$B$8:$Q$1111,15,0)</f>
        <v>0</v>
      </c>
      <c r="AW408" s="42" t="str">
        <f>VLOOKUP(A408,'[1]Chứng chỉ'!$B$8:$Q$1111,16,0)</f>
        <v>A</v>
      </c>
      <c r="AX408" s="42"/>
      <c r="AY408" s="57" t="s">
        <v>87</v>
      </c>
      <c r="AZ408" s="65"/>
      <c r="BA408" s="74" t="e">
        <f t="shared" si="156"/>
        <v>#REF!</v>
      </c>
      <c r="BB408" s="74" t="e">
        <f t="shared" si="157"/>
        <v>#REF!</v>
      </c>
      <c r="BC408" s="41"/>
      <c r="BD408" s="115"/>
    </row>
    <row r="409" spans="1:56" ht="61.2" x14ac:dyDescent="0.3">
      <c r="A409" s="41" t="s">
        <v>2960</v>
      </c>
      <c r="B409" s="42">
        <f t="shared" si="110"/>
        <v>403</v>
      </c>
      <c r="C409" s="68" t="s">
        <v>2961</v>
      </c>
      <c r="D409" s="41" t="s">
        <v>2960</v>
      </c>
      <c r="E409" s="61">
        <v>1596004107</v>
      </c>
      <c r="F409" s="64"/>
      <c r="G409" s="49" t="s">
        <v>2962</v>
      </c>
      <c r="H409" s="76">
        <v>25121</v>
      </c>
      <c r="I409" s="76"/>
      <c r="J409" s="66">
        <f ca="1">INT(DATEDIF(H409,$J$2,"d")/365)</f>
        <v>57</v>
      </c>
      <c r="K409" s="75" t="s">
        <v>2963</v>
      </c>
      <c r="L409" s="41" t="s">
        <v>2964</v>
      </c>
      <c r="M409" s="53" t="s">
        <v>67</v>
      </c>
      <c r="N409" s="66"/>
      <c r="O409" s="53"/>
      <c r="P409" s="49" t="s">
        <v>195</v>
      </c>
      <c r="Q409" s="49" t="s">
        <v>94</v>
      </c>
      <c r="R409" s="49"/>
      <c r="S409" s="49" t="s">
        <v>166</v>
      </c>
      <c r="T409" s="49" t="s">
        <v>97</v>
      </c>
      <c r="U409" s="49" t="s">
        <v>94</v>
      </c>
      <c r="V409" s="49" t="str">
        <f t="shared" si="155"/>
        <v>Phường Tam Thanh, Thành phố Lạng Sơn, Tỉnh Lạng Sơn</v>
      </c>
      <c r="W409" s="55" t="s">
        <v>2965</v>
      </c>
      <c r="X409" s="41"/>
      <c r="Y409" s="41"/>
      <c r="Z409" s="41"/>
      <c r="AA409" s="68" t="str">
        <f>VLOOKUP(A409,'[1]DANH SÁCH'!$B$8:$AD$841,12,0)</f>
        <v>Trưởng khoa</v>
      </c>
      <c r="AB409" s="49" t="str">
        <f>VLOOKUP(A409,'[1]DANH SÁCH'!$B$8:$H$841,6,0)</f>
        <v>TĐ003</v>
      </c>
      <c r="AC409" s="69" t="str">
        <f>VLOOKUP(A409,'[1]DANH SÁCH'!$B$8:$J$841,9,0)</f>
        <v>GPB</v>
      </c>
      <c r="AD409" s="69" t="str">
        <f>VLOOKUP(A409,'[1]DANH SÁCH'!$B$8:$AC$841,10,0)</f>
        <v>KP035</v>
      </c>
      <c r="AE409" s="69" t="str">
        <f>VLOOKUP(A409,'[1]DANH SÁCH'!$B$8:$AD$841,13,0)</f>
        <v>Viên chức</v>
      </c>
      <c r="AF409" s="41" t="s">
        <v>79</v>
      </c>
      <c r="AG409" s="42" t="str">
        <f>VLOOKUP(A409,'[1]DANH SÁCH'!$B$8:$H$841,7,0)</f>
        <v>Bác sĩ chính (hạng II)</v>
      </c>
      <c r="AH409" s="45">
        <v>5.76</v>
      </c>
      <c r="AI409" s="42">
        <v>5</v>
      </c>
      <c r="AJ409" s="70">
        <v>0</v>
      </c>
      <c r="AK409" s="69">
        <v>46023</v>
      </c>
      <c r="AL409" s="71" t="s">
        <v>80</v>
      </c>
      <c r="AM409" s="53" t="str">
        <f>VLOOKUP(A409,'[1]DANH SÁCH'!$B$8:$F$841,5,0)</f>
        <v>BSCKI</v>
      </c>
      <c r="AN409" s="53" t="s">
        <v>2966</v>
      </c>
      <c r="AO409" s="53"/>
      <c r="AP409" s="53"/>
      <c r="AQ409" s="53"/>
      <c r="AR409" s="42" t="s">
        <v>82</v>
      </c>
      <c r="AS409" s="42" t="s">
        <v>100</v>
      </c>
      <c r="AT409" s="47" t="s">
        <v>101</v>
      </c>
      <c r="AU409" s="42" t="str">
        <f>VLOOKUP(A409,'[1]Chứng chỉ'!$B$8:$Q$1111,14,0)</f>
        <v>Anh C</v>
      </c>
      <c r="AV409" s="42" t="str">
        <f>VLOOKUP(A409,'[1]Chứng chỉ'!$B$8:$Q$1111,15,0)</f>
        <v>Tày</v>
      </c>
      <c r="AW409" s="42" t="str">
        <f>VLOOKUP(A409,'[1]Chứng chỉ'!$B$8:$Q$1111,16,0)</f>
        <v>Cơ bản</v>
      </c>
      <c r="AX409" s="42"/>
      <c r="AY409" s="57" t="s">
        <v>85</v>
      </c>
      <c r="AZ409" s="65">
        <v>38211</v>
      </c>
      <c r="BA409" s="74" t="e">
        <f t="shared" si="156"/>
        <v>#REF!</v>
      </c>
      <c r="BB409" s="74" t="e">
        <f t="shared" si="157"/>
        <v>#REF!</v>
      </c>
      <c r="BC409" s="41"/>
      <c r="BD409" s="64"/>
    </row>
    <row r="410" spans="1:56" ht="61.2" x14ac:dyDescent="0.3">
      <c r="A410" s="41" t="s">
        <v>2967</v>
      </c>
      <c r="B410" s="42">
        <f t="shared" si="110"/>
        <v>404</v>
      </c>
      <c r="C410" s="68" t="s">
        <v>2968</v>
      </c>
      <c r="D410" s="41" t="s">
        <v>2967</v>
      </c>
      <c r="E410" s="61">
        <v>1506001848</v>
      </c>
      <c r="F410" s="64"/>
      <c r="G410" s="49" t="s">
        <v>2969</v>
      </c>
      <c r="H410" s="76"/>
      <c r="I410" s="76">
        <v>31105</v>
      </c>
      <c r="J410" s="66">
        <f t="shared" ref="J410:J412" ca="1" si="158">INT(DATEDIF(I410,$J$2,"d")/365)</f>
        <v>41</v>
      </c>
      <c r="K410" s="75" t="s">
        <v>2970</v>
      </c>
      <c r="L410" s="41" t="s">
        <v>2971</v>
      </c>
      <c r="M410" s="53" t="s">
        <v>67</v>
      </c>
      <c r="N410" s="66"/>
      <c r="O410" s="53"/>
      <c r="P410" s="49" t="s">
        <v>2972</v>
      </c>
      <c r="Q410" s="49" t="s">
        <v>1991</v>
      </c>
      <c r="R410" s="49"/>
      <c r="S410" s="49" t="s">
        <v>124</v>
      </c>
      <c r="T410" s="53" t="s">
        <v>97</v>
      </c>
      <c r="U410" s="53" t="s">
        <v>94</v>
      </c>
      <c r="V410" s="49" t="str">
        <f t="shared" si="155"/>
        <v>Phường Đông Kinh, Thành phố Lạng Sơn, Tỉnh Lạng Sơn</v>
      </c>
      <c r="W410" s="55" t="s">
        <v>98</v>
      </c>
      <c r="X410" s="41"/>
      <c r="Y410" s="41"/>
      <c r="Z410" s="41"/>
      <c r="AA410" s="68">
        <f>VLOOKUP(A410,'[1]DANH SÁCH'!$B$8:$AD$841,12,0)</f>
        <v>0</v>
      </c>
      <c r="AB410" s="49" t="str">
        <f>VLOOKUP(A410,'[1]DANH SÁCH'!$B$8:$H$841,6,0)</f>
        <v>TĐ003</v>
      </c>
      <c r="AC410" s="69" t="str">
        <f>VLOOKUP(A410,'[1]DANH SÁCH'!$B$8:$J$841,9,0)</f>
        <v>UB-YHHN</v>
      </c>
      <c r="AD410" s="69" t="str">
        <f>VLOOKUP(A410,'[1]DANH SÁCH'!$B$8:$AC$841,10,0)</f>
        <v>KP011</v>
      </c>
      <c r="AE410" s="69" t="str">
        <f>VLOOKUP(A410,'[1]DANH SÁCH'!$B$8:$AD$841,13,0)</f>
        <v>Viên chức</v>
      </c>
      <c r="AF410" s="41" t="s">
        <v>1796</v>
      </c>
      <c r="AG410" s="42" t="str">
        <f>VLOOKUP(A410,'[1]DANH SÁCH'!$B$8:$H$841,7,0)</f>
        <v>Bác sĩ (hạng III)</v>
      </c>
      <c r="AH410" s="45">
        <v>3.66</v>
      </c>
      <c r="AI410" s="42">
        <v>5</v>
      </c>
      <c r="AJ410" s="70">
        <v>0</v>
      </c>
      <c r="AK410" s="69">
        <v>45627</v>
      </c>
      <c r="AL410" s="71" t="s">
        <v>80</v>
      </c>
      <c r="AM410" s="53" t="str">
        <f>VLOOKUP(A410,'[1]DANH SÁCH'!$B$8:$F$841,5,0)</f>
        <v>BSCKI</v>
      </c>
      <c r="AN410" s="53" t="s">
        <v>372</v>
      </c>
      <c r="AO410" s="53"/>
      <c r="AP410" s="53"/>
      <c r="AQ410" s="72"/>
      <c r="AR410" s="42">
        <f>VLOOKUP(A410,'[1]Chứng chỉ'!$B$8:$Q$1111,11,0)</f>
        <v>0</v>
      </c>
      <c r="AS410" s="42">
        <f>VLOOKUP(A410,'[1]Chứng chỉ'!$B$8:$Q$1111,12,0)</f>
        <v>0</v>
      </c>
      <c r="AT410" s="47" t="str">
        <f>VLOOKUP(A410,'[1]Chứng chỉ'!$B$8:$Q$1111,13,0)</f>
        <v>Sơ cấp</v>
      </c>
      <c r="AU410" s="42" t="str">
        <f>VLOOKUP(A410,'[1]Chứng chỉ'!$B$8:$Q$1111,14,0)</f>
        <v>Anh B</v>
      </c>
      <c r="AV410" s="42" t="str">
        <f>VLOOKUP(A410,'[1]Chứng chỉ'!$B$8:$Q$1111,15,0)</f>
        <v>Tày</v>
      </c>
      <c r="AW410" s="42" t="str">
        <f>VLOOKUP(A410,'[1]Chứng chỉ'!$B$8:$Q$1111,16,0)</f>
        <v>Cơ bản</v>
      </c>
      <c r="AX410" s="53"/>
      <c r="AY410" s="57" t="s">
        <v>85</v>
      </c>
      <c r="AZ410" s="65"/>
      <c r="BA410" s="74" t="e">
        <f t="shared" si="156"/>
        <v>#REF!</v>
      </c>
      <c r="BB410" s="74" t="e">
        <f t="shared" si="157"/>
        <v>#REF!</v>
      </c>
      <c r="BC410" s="61" t="s">
        <v>128</v>
      </c>
      <c r="BD410" s="62"/>
    </row>
    <row r="411" spans="1:56" ht="40.799999999999997" x14ac:dyDescent="0.3">
      <c r="A411" s="41" t="s">
        <v>2973</v>
      </c>
      <c r="B411" s="42">
        <f t="shared" si="110"/>
        <v>405</v>
      </c>
      <c r="C411" s="63" t="s">
        <v>2974</v>
      </c>
      <c r="D411" s="41" t="s">
        <v>2973</v>
      </c>
      <c r="E411" s="61" t="s">
        <v>2975</v>
      </c>
      <c r="F411" s="64"/>
      <c r="G411" s="49" t="s">
        <v>2976</v>
      </c>
      <c r="H411" s="76"/>
      <c r="I411" s="118" t="s">
        <v>2977</v>
      </c>
      <c r="J411" s="66">
        <f t="shared" ca="1" si="158"/>
        <v>40</v>
      </c>
      <c r="K411" s="75" t="s">
        <v>2978</v>
      </c>
      <c r="L411" s="83" t="s">
        <v>2979</v>
      </c>
      <c r="M411" s="53" t="s">
        <v>67</v>
      </c>
      <c r="N411" s="66"/>
      <c r="O411" s="53" t="s">
        <v>2980</v>
      </c>
      <c r="P411" s="49" t="s">
        <v>605</v>
      </c>
      <c r="Q411" s="49" t="s">
        <v>94</v>
      </c>
      <c r="R411" s="49" t="s">
        <v>2981</v>
      </c>
      <c r="S411" s="49" t="s">
        <v>2982</v>
      </c>
      <c r="T411" s="49" t="s">
        <v>282</v>
      </c>
      <c r="U411" s="49" t="s">
        <v>94</v>
      </c>
      <c r="V411" s="49" t="str">
        <f t="shared" si="155"/>
        <v>Vân Nham, Huyện Hữu Lũng, Tỉnh Lạng Sơn</v>
      </c>
      <c r="W411" s="86" t="s">
        <v>156</v>
      </c>
      <c r="X411" s="41"/>
      <c r="Y411" s="41"/>
      <c r="Z411" s="41"/>
      <c r="AA411" s="68" t="str">
        <f>VLOOKUP(A411,'[1]DANH SÁCH'!$B$8:$AD$841,12,0)</f>
        <v>Phó trưởng khoa</v>
      </c>
      <c r="AB411" s="49" t="str">
        <f>VLOOKUP(A411,'[1]DANH SÁCH'!$B$8:$H$841,6,0)</f>
        <v>TĐ003</v>
      </c>
      <c r="AC411" s="69" t="str">
        <f>VLOOKUP(A411,'[1]DANH SÁCH'!$B$8:$J$841,9,0)</f>
        <v>GPB</v>
      </c>
      <c r="AD411" s="69" t="str">
        <f>VLOOKUP(A411,'[1]DANH SÁCH'!$B$8:$AC$841,10,0)</f>
        <v>KP035</v>
      </c>
      <c r="AE411" s="69" t="str">
        <f>VLOOKUP(A411,'[1]DANH SÁCH'!$B$8:$AD$841,13,0)</f>
        <v>Viên chức</v>
      </c>
      <c r="AF411" s="41" t="s">
        <v>274</v>
      </c>
      <c r="AG411" s="42" t="str">
        <f>VLOOKUP(A411,'[1]DANH SÁCH'!$B$8:$H$841,7,0)</f>
        <v>Bác sĩ (hạng III)</v>
      </c>
      <c r="AH411" s="45">
        <v>3.66</v>
      </c>
      <c r="AI411" s="42">
        <v>5</v>
      </c>
      <c r="AJ411" s="70">
        <v>0</v>
      </c>
      <c r="AK411" s="69">
        <v>45910</v>
      </c>
      <c r="AL411" s="71" t="s">
        <v>80</v>
      </c>
      <c r="AM411" s="53" t="str">
        <f>VLOOKUP(A411,'[1]DANH SÁCH'!$B$8:$F$841,5,0)</f>
        <v>BSCKI</v>
      </c>
      <c r="AN411" s="53" t="s">
        <v>2966</v>
      </c>
      <c r="AO411" s="53"/>
      <c r="AP411" s="53"/>
      <c r="AQ411" s="53"/>
      <c r="AR411" s="42" t="s">
        <v>82</v>
      </c>
      <c r="AS411" s="42">
        <f>VLOOKUP(A411,'[1]Chứng chỉ'!$B$8:$Q$1111,12,0)</f>
        <v>0</v>
      </c>
      <c r="AT411" s="47" t="str">
        <f>VLOOKUP(A411,'[1]Chứng chỉ'!$B$8:$Q$1111,13,0)</f>
        <v>Sơ cấp</v>
      </c>
      <c r="AU411" s="42" t="str">
        <f>VLOOKUP(A411,'[1]Chứng chỉ'!$B$8:$Q$1111,14,0)</f>
        <v>Anh B</v>
      </c>
      <c r="AV411" s="42">
        <f>VLOOKUP(A411,'[1]Chứng chỉ'!$B$8:$Q$1111,15,0)</f>
        <v>0</v>
      </c>
      <c r="AW411" s="42" t="str">
        <f>VLOOKUP(A411,'[1]Chứng chỉ'!$B$8:$Q$1111,16,0)</f>
        <v>B</v>
      </c>
      <c r="AX411" s="42"/>
      <c r="AY411" s="57" t="s">
        <v>87</v>
      </c>
      <c r="AZ411" s="65">
        <v>40606</v>
      </c>
      <c r="BA411" s="74" t="e">
        <f t="shared" si="156"/>
        <v>#REF!</v>
      </c>
      <c r="BB411" s="74" t="e">
        <f t="shared" si="157"/>
        <v>#REF!</v>
      </c>
      <c r="BC411" s="61" t="s">
        <v>128</v>
      </c>
      <c r="BD411" s="62"/>
    </row>
    <row r="412" spans="1:56" ht="61.2" x14ac:dyDescent="0.3">
      <c r="A412" s="41" t="s">
        <v>2983</v>
      </c>
      <c r="B412" s="42">
        <f t="shared" si="110"/>
        <v>406</v>
      </c>
      <c r="C412" s="68" t="s">
        <v>2984</v>
      </c>
      <c r="D412" s="41" t="s">
        <v>2983</v>
      </c>
      <c r="E412" s="61">
        <v>1504001631</v>
      </c>
      <c r="F412" s="64"/>
      <c r="G412" s="49" t="s">
        <v>2985</v>
      </c>
      <c r="H412" s="76"/>
      <c r="I412" s="76">
        <v>28899</v>
      </c>
      <c r="J412" s="66">
        <f t="shared" ca="1" si="158"/>
        <v>47</v>
      </c>
      <c r="K412" s="75" t="s">
        <v>2986</v>
      </c>
      <c r="L412" s="41" t="s">
        <v>2987</v>
      </c>
      <c r="M412" s="53" t="s">
        <v>67</v>
      </c>
      <c r="N412" s="66"/>
      <c r="O412" s="53"/>
      <c r="P412" s="76" t="s">
        <v>282</v>
      </c>
      <c r="Q412" s="76" t="s">
        <v>94</v>
      </c>
      <c r="R412" s="49"/>
      <c r="S412" s="49" t="s">
        <v>124</v>
      </c>
      <c r="T412" s="76" t="s">
        <v>97</v>
      </c>
      <c r="U412" s="76" t="s">
        <v>94</v>
      </c>
      <c r="V412" s="49" t="str">
        <f t="shared" si="155"/>
        <v>Phường Đông Kinh, Thành phố Lạng Sơn, Tỉnh Lạng Sơn</v>
      </c>
      <c r="W412" s="55" t="s">
        <v>724</v>
      </c>
      <c r="X412" s="41"/>
      <c r="Y412" s="41"/>
      <c r="Z412" s="41"/>
      <c r="AA412" s="68">
        <f>VLOOKUP(A412,'[1]DANH SÁCH'!$B$8:$AD$841,12,0)</f>
        <v>0</v>
      </c>
      <c r="AB412" s="49" t="str">
        <f>VLOOKUP(A412,'[1]DANH SÁCH'!$B$8:$H$841,6,0)</f>
        <v>TĐ012</v>
      </c>
      <c r="AC412" s="69" t="str">
        <f>VLOOKUP(A412,'[1]DANH SÁCH'!$B$8:$J$841,9,0)</f>
        <v>GPB</v>
      </c>
      <c r="AD412" s="69" t="str">
        <f>VLOOKUP(A412,'[1]DANH SÁCH'!$B$8:$AC$841,10,0)</f>
        <v>KP035</v>
      </c>
      <c r="AE412" s="69" t="str">
        <f>VLOOKUP(A412,'[1]DANH SÁCH'!$B$8:$AD$841,13,0)</f>
        <v>Viên chức</v>
      </c>
      <c r="AF412" s="41" t="s">
        <v>157</v>
      </c>
      <c r="AG412" s="42" t="str">
        <f>VLOOKUP(A412,'[1]DANH SÁCH'!$B$8:$H$841,7,0)</f>
        <v>Điều dưỡng (hạng IV)</v>
      </c>
      <c r="AH412" s="45">
        <v>3.96</v>
      </c>
      <c r="AI412" s="42">
        <v>7</v>
      </c>
      <c r="AJ412" s="70">
        <v>0</v>
      </c>
      <c r="AK412" s="69">
        <v>44927</v>
      </c>
      <c r="AL412" s="71" t="s">
        <v>158</v>
      </c>
      <c r="AM412" s="53" t="str">
        <f>VLOOKUP(A412,'[1]DANH SÁCH'!$B$8:$F$841,5,0)</f>
        <v>Điều dưỡng CĐ</v>
      </c>
      <c r="AN412" s="53"/>
      <c r="AO412" s="53" t="s">
        <v>1938</v>
      </c>
      <c r="AP412" s="53">
        <v>2015</v>
      </c>
      <c r="AQ412" s="72" t="s">
        <v>113</v>
      </c>
      <c r="AR412" s="42">
        <f>VLOOKUP(A412,'[1]Chứng chỉ'!$B$8:$Q$1111,11,0)</f>
        <v>0</v>
      </c>
      <c r="AS412" s="42">
        <f>VLOOKUP(A412,'[1]Chứng chỉ'!$B$8:$Q$1111,12,0)</f>
        <v>0</v>
      </c>
      <c r="AT412" s="47">
        <f>VLOOKUP(A412,'[1]Chứng chỉ'!$B$8:$Q$1111,13,0)</f>
        <v>0</v>
      </c>
      <c r="AU412" s="42">
        <f>VLOOKUP(A412,'[1]Chứng chỉ'!$B$8:$Q$1111,14,0)</f>
        <v>0</v>
      </c>
      <c r="AV412" s="42" t="str">
        <f>VLOOKUP(A412,'[1]Chứng chỉ'!$B$8:$Q$1111,15,0)</f>
        <v>Tày</v>
      </c>
      <c r="AW412" s="42" t="str">
        <f>VLOOKUP(A412,'[1]Chứng chỉ'!$B$8:$Q$1111,16,0)</f>
        <v>A</v>
      </c>
      <c r="AX412" s="42"/>
      <c r="AY412" s="57" t="s">
        <v>85</v>
      </c>
      <c r="AZ412" s="65"/>
      <c r="BA412" s="74" t="e">
        <f t="shared" si="156"/>
        <v>#REF!</v>
      </c>
      <c r="BB412" s="74" t="e">
        <f t="shared" si="157"/>
        <v>#REF!</v>
      </c>
      <c r="BC412" s="61" t="s">
        <v>128</v>
      </c>
      <c r="BD412" s="62"/>
    </row>
    <row r="413" spans="1:56" ht="40.799999999999997" x14ac:dyDescent="0.3">
      <c r="A413" s="102" t="s">
        <v>2988</v>
      </c>
      <c r="B413" s="42">
        <f t="shared" si="110"/>
        <v>407</v>
      </c>
      <c r="C413" s="63" t="s">
        <v>2989</v>
      </c>
      <c r="D413" s="102" t="s">
        <v>2988</v>
      </c>
      <c r="E413" s="61" t="s">
        <v>2990</v>
      </c>
      <c r="F413" s="122"/>
      <c r="G413" s="49" t="s">
        <v>2991</v>
      </c>
      <c r="H413" s="102" t="s">
        <v>2992</v>
      </c>
      <c r="I413" s="102"/>
      <c r="J413" s="66">
        <f ca="1">INT(DATEDIF(H413,$J$2,"d")/365)</f>
        <v>40</v>
      </c>
      <c r="K413" s="75" t="s">
        <v>2993</v>
      </c>
      <c r="L413" s="102" t="s">
        <v>2994</v>
      </c>
      <c r="M413" s="53" t="s">
        <v>67</v>
      </c>
      <c r="N413" s="131" t="s">
        <v>2995</v>
      </c>
      <c r="O413" s="132" t="s">
        <v>2996</v>
      </c>
      <c r="P413" s="115" t="s">
        <v>221</v>
      </c>
      <c r="Q413" s="115" t="s">
        <v>71</v>
      </c>
      <c r="R413" s="115" t="s">
        <v>2997</v>
      </c>
      <c r="S413" s="115" t="s">
        <v>2998</v>
      </c>
      <c r="T413" s="115" t="s">
        <v>2999</v>
      </c>
      <c r="U413" s="115" t="s">
        <v>71</v>
      </c>
      <c r="V413" s="49" t="str">
        <f t="shared" si="155"/>
        <v>TT Đồng Mỏ, huyện Chi Lăng, Lạng Sơn</v>
      </c>
      <c r="W413" s="114" t="s">
        <v>156</v>
      </c>
      <c r="X413" s="120" t="s">
        <v>762</v>
      </c>
      <c r="Y413" s="120" t="s">
        <v>3000</v>
      </c>
      <c r="Z413" s="120" t="s">
        <v>156</v>
      </c>
      <c r="AA413" s="68">
        <f>VLOOKUP(A413,'[1]DANH SÁCH'!$B$8:$AD$841,12,0)</f>
        <v>0</v>
      </c>
      <c r="AB413" s="49" t="str">
        <f>VLOOKUP(A413,'[1]DANH SÁCH'!$B$8:$H$841,6,0)</f>
        <v>TĐ012</v>
      </c>
      <c r="AC413" s="69" t="str">
        <f>VLOOKUP(A413,'[1]DANH SÁCH'!$B$8:$J$841,9,0)</f>
        <v>GPB</v>
      </c>
      <c r="AD413" s="69" t="str">
        <f>VLOOKUP(A413,'[1]DANH SÁCH'!$B$8:$AC$841,10,0)</f>
        <v>KP035</v>
      </c>
      <c r="AE413" s="69" t="str">
        <f>VLOOKUP(A413,'[1]DANH SÁCH'!$B$8:$AD$841,13,0)</f>
        <v>Viên chức</v>
      </c>
      <c r="AF413" s="115" t="s">
        <v>274</v>
      </c>
      <c r="AG413" s="115" t="s">
        <v>430</v>
      </c>
      <c r="AH413" s="45">
        <v>3.03</v>
      </c>
      <c r="AI413" s="42">
        <v>4</v>
      </c>
      <c r="AJ413" s="70">
        <v>0</v>
      </c>
      <c r="AK413" s="69">
        <v>45636</v>
      </c>
      <c r="AL413" s="71" t="s">
        <v>158</v>
      </c>
      <c r="AM413" s="53" t="str">
        <f>VLOOKUP(A413,'[1]DANH SÁCH'!$B$8:$F$841,5,0)</f>
        <v>Điều dưỡng CĐ</v>
      </c>
      <c r="AN413" s="53"/>
      <c r="AO413" s="53"/>
      <c r="AP413" s="53"/>
      <c r="AQ413" s="53"/>
      <c r="AR413" s="42">
        <f>VLOOKUP(A413,'[1]Chứng chỉ'!$B$8:$Q$1111,11,0)</f>
        <v>0</v>
      </c>
      <c r="AS413" s="42">
        <f>VLOOKUP(A413,'[1]Chứng chỉ'!$B$8:$Q$1111,12,0)</f>
        <v>0</v>
      </c>
      <c r="AT413" s="47">
        <f>VLOOKUP(A413,'[1]Chứng chỉ'!$B$8:$Q$1111,13,0)</f>
        <v>0</v>
      </c>
      <c r="AU413" s="42" t="str">
        <f>VLOOKUP(A413,'[1]Chứng chỉ'!$B$8:$Q$1111,14,0)</f>
        <v>Anh</v>
      </c>
      <c r="AV413" s="42" t="str">
        <f>VLOOKUP(A413,'[1]Chứng chỉ'!$B$8:$Q$1111,15,0)</f>
        <v>Tày</v>
      </c>
      <c r="AW413" s="42" t="str">
        <f>VLOOKUP(A413,'[1]Chứng chỉ'!$B$8:$Q$1111,16,0)</f>
        <v>Cơ bản</v>
      </c>
      <c r="AX413" s="115"/>
      <c r="AY413" s="115" t="s">
        <v>85</v>
      </c>
      <c r="AZ413" s="65"/>
      <c r="BA413" s="74" t="e">
        <f t="shared" si="156"/>
        <v>#REF!</v>
      </c>
      <c r="BB413" s="74" t="e">
        <f t="shared" si="157"/>
        <v>#REF!</v>
      </c>
      <c r="BC413" s="61" t="s">
        <v>128</v>
      </c>
      <c r="BD413" s="62"/>
    </row>
    <row r="414" spans="1:56" ht="61.2" x14ac:dyDescent="0.3">
      <c r="A414" s="41" t="s">
        <v>3001</v>
      </c>
      <c r="B414" s="42">
        <f t="shared" si="110"/>
        <v>408</v>
      </c>
      <c r="C414" s="68" t="s">
        <v>3002</v>
      </c>
      <c r="D414" s="41" t="s">
        <v>3001</v>
      </c>
      <c r="E414" s="61">
        <v>1504002803</v>
      </c>
      <c r="F414" s="64"/>
      <c r="G414" s="49" t="s">
        <v>3003</v>
      </c>
      <c r="H414" s="76"/>
      <c r="I414" s="76">
        <v>29955</v>
      </c>
      <c r="J414" s="66">
        <f t="shared" ref="J414:J415" ca="1" si="159">INT(DATEDIF(I414,$J$2,"d")/365)</f>
        <v>44</v>
      </c>
      <c r="K414" s="75" t="s">
        <v>3004</v>
      </c>
      <c r="L414" s="41" t="s">
        <v>3005</v>
      </c>
      <c r="M414" s="53" t="s">
        <v>67</v>
      </c>
      <c r="N414" s="66"/>
      <c r="O414" s="85" t="s">
        <v>3006</v>
      </c>
      <c r="P414" s="76" t="s">
        <v>3007</v>
      </c>
      <c r="Q414" s="76" t="s">
        <v>733</v>
      </c>
      <c r="R414" s="49"/>
      <c r="S414" s="76" t="s">
        <v>96</v>
      </c>
      <c r="T414" s="76" t="s">
        <v>97</v>
      </c>
      <c r="U414" s="76" t="s">
        <v>94</v>
      </c>
      <c r="V414" s="49" t="str">
        <f t="shared" si="155"/>
        <v>Phường Hoàng Văn Thụ, Thành phố Lạng Sơn, Tỉnh Lạng Sơn</v>
      </c>
      <c r="W414" s="55" t="s">
        <v>2522</v>
      </c>
      <c r="X414" s="41"/>
      <c r="Y414" s="41"/>
      <c r="Z414" s="41"/>
      <c r="AA414" s="68" t="str">
        <f>VLOOKUP(A414,'[1]DANH SÁCH'!$B$8:$AD$841,12,0)</f>
        <v>Điều dưỡng trưởng</v>
      </c>
      <c r="AB414" s="49" t="str">
        <f>VLOOKUP(A414,'[1]DANH SÁCH'!$B$8:$H$841,6,0)</f>
        <v>TĐ011</v>
      </c>
      <c r="AC414" s="69" t="str">
        <f>VLOOKUP(A414,'[1]DANH SÁCH'!$B$8:$J$841,9,0)</f>
        <v>GPB</v>
      </c>
      <c r="AD414" s="69" t="str">
        <f>VLOOKUP(A414,'[1]DANH SÁCH'!$B$8:$AC$841,10,0)</f>
        <v>KP035</v>
      </c>
      <c r="AE414" s="69" t="str">
        <f>VLOOKUP(A414,'[1]DANH SÁCH'!$B$8:$AD$841,13,0)</f>
        <v>Viên chức</v>
      </c>
      <c r="AF414" s="41" t="s">
        <v>147</v>
      </c>
      <c r="AG414" s="42" t="str">
        <f>VLOOKUP(A414,'[1]DANH SÁCH'!$B$8:$H$841,7,0)</f>
        <v>Điều dưỡng (hạng III)</v>
      </c>
      <c r="AH414" s="45">
        <v>3.99</v>
      </c>
      <c r="AI414" s="42">
        <v>6</v>
      </c>
      <c r="AJ414" s="70">
        <v>0</v>
      </c>
      <c r="AK414" s="69">
        <v>45170</v>
      </c>
      <c r="AL414" s="71" t="s">
        <v>80</v>
      </c>
      <c r="AM414" s="53" t="str">
        <f>VLOOKUP(A414,'[1]DANH SÁCH'!$B$8:$F$841,5,0)</f>
        <v>Điều dưỡng ĐH</v>
      </c>
      <c r="AN414" s="53"/>
      <c r="AO414" s="53"/>
      <c r="AP414" s="53"/>
      <c r="AQ414" s="53"/>
      <c r="AR414" s="42">
        <f>VLOOKUP(A414,'[1]Chứng chỉ'!$B$8:$Q$1111,11,0)</f>
        <v>0</v>
      </c>
      <c r="AS414" s="42" t="str">
        <f>VLOOKUP(A414,'[1]Chứng chỉ'!$B$8:$Q$1111,12,0)</f>
        <v>X</v>
      </c>
      <c r="AT414" s="47">
        <f>VLOOKUP(A414,'[1]Chứng chỉ'!$B$8:$Q$1111,13,0)</f>
        <v>0</v>
      </c>
      <c r="AU414" s="42" t="str">
        <f>VLOOKUP(A414,'[1]Chứng chỉ'!$B$8:$Q$1111,14,0)</f>
        <v>Anh B</v>
      </c>
      <c r="AV414" s="42" t="str">
        <f>VLOOKUP(A414,'[1]Chứng chỉ'!$B$8:$Q$1111,15,0)</f>
        <v>Tày</v>
      </c>
      <c r="AW414" s="42" t="str">
        <f>VLOOKUP(A414,'[1]Chứng chỉ'!$B$8:$Q$1111,16,0)</f>
        <v>Cơ bản</v>
      </c>
      <c r="AX414" s="42"/>
      <c r="AY414" s="57" t="s">
        <v>87</v>
      </c>
      <c r="AZ414" s="65">
        <v>44754</v>
      </c>
      <c r="BA414" s="74" t="e">
        <f t="shared" si="156"/>
        <v>#REF!</v>
      </c>
      <c r="BB414" s="74" t="e">
        <f t="shared" si="157"/>
        <v>#REF!</v>
      </c>
      <c r="BC414" s="61" t="s">
        <v>351</v>
      </c>
      <c r="BD414" s="62"/>
    </row>
    <row r="415" spans="1:56" ht="61.2" x14ac:dyDescent="0.3">
      <c r="A415" s="41" t="s">
        <v>3008</v>
      </c>
      <c r="B415" s="42">
        <f t="shared" si="110"/>
        <v>409</v>
      </c>
      <c r="C415" s="68" t="s">
        <v>3009</v>
      </c>
      <c r="D415" s="41" t="s">
        <v>3008</v>
      </c>
      <c r="E415" s="61">
        <v>1504003179</v>
      </c>
      <c r="F415" s="64"/>
      <c r="G415" s="49" t="s">
        <v>3010</v>
      </c>
      <c r="H415" s="76"/>
      <c r="I415" s="76">
        <v>28226</v>
      </c>
      <c r="J415" s="66">
        <f t="shared" ca="1" si="159"/>
        <v>49</v>
      </c>
      <c r="K415" s="75" t="s">
        <v>3011</v>
      </c>
      <c r="L415" s="41" t="s">
        <v>2662</v>
      </c>
      <c r="M415" s="53" t="s">
        <v>67</v>
      </c>
      <c r="N415" s="66"/>
      <c r="O415" s="53"/>
      <c r="P415" s="76" t="s">
        <v>222</v>
      </c>
      <c r="Q415" s="49" t="s">
        <v>94</v>
      </c>
      <c r="R415" s="49"/>
      <c r="S415" s="49" t="s">
        <v>124</v>
      </c>
      <c r="T415" s="49" t="s">
        <v>97</v>
      </c>
      <c r="U415" s="49" t="s">
        <v>94</v>
      </c>
      <c r="V415" s="49" t="str">
        <f t="shared" si="155"/>
        <v>Phường Đông Kinh, Thành phố Lạng Sơn, Tỉnh Lạng Sơn</v>
      </c>
      <c r="W415" s="55" t="s">
        <v>125</v>
      </c>
      <c r="X415" s="41"/>
      <c r="Y415" s="41"/>
      <c r="Z415" s="41"/>
      <c r="AA415" s="68">
        <f>VLOOKUP(A415,'[1]DANH SÁCH'!$B$8:$AD$841,12,0)</f>
        <v>0</v>
      </c>
      <c r="AB415" s="49" t="str">
        <f>VLOOKUP(A415,'[1]DANH SÁCH'!$B$8:$H$841,6,0)</f>
        <v>TĐ012</v>
      </c>
      <c r="AC415" s="69" t="str">
        <f>VLOOKUP(A415,'[1]DANH SÁCH'!$B$8:$J$841,9,0)</f>
        <v>GPB</v>
      </c>
      <c r="AD415" s="69" t="str">
        <f>VLOOKUP(A415,'[1]DANH SÁCH'!$B$8:$AC$841,10,0)</f>
        <v>KP035</v>
      </c>
      <c r="AE415" s="69" t="str">
        <f>VLOOKUP(A415,'[1]DANH SÁCH'!$B$8:$AD$841,13,0)</f>
        <v>Viên chức</v>
      </c>
      <c r="AF415" s="41" t="s">
        <v>157</v>
      </c>
      <c r="AG415" s="42" t="str">
        <f>VLOOKUP(A415,'[1]DANH SÁCH'!$B$8:$H$841,7,0)</f>
        <v>Điều dưỡng (hạng IV)</v>
      </c>
      <c r="AH415" s="45">
        <v>3.65</v>
      </c>
      <c r="AI415" s="42">
        <v>6</v>
      </c>
      <c r="AJ415" s="70">
        <v>0</v>
      </c>
      <c r="AK415" s="69">
        <v>45992</v>
      </c>
      <c r="AL415" s="71" t="s">
        <v>158</v>
      </c>
      <c r="AM415" s="53" t="str">
        <f>VLOOKUP(A415,'[1]DANH SÁCH'!$B$8:$F$841,5,0)</f>
        <v>Điều dưỡng CĐ</v>
      </c>
      <c r="AN415" s="53"/>
      <c r="AO415" s="53"/>
      <c r="AP415" s="53"/>
      <c r="AQ415" s="53"/>
      <c r="AR415" s="42">
        <f>VLOOKUP(A415,'[1]Chứng chỉ'!$B$8:$Q$1111,11,0)</f>
        <v>0</v>
      </c>
      <c r="AS415" s="42">
        <f>VLOOKUP(A415,'[1]Chứng chỉ'!$B$8:$Q$1111,12,0)</f>
        <v>0</v>
      </c>
      <c r="AT415" s="47">
        <f>VLOOKUP(A415,'[1]Chứng chỉ'!$B$8:$Q$1111,13,0)</f>
        <v>0</v>
      </c>
      <c r="AU415" s="42" t="str">
        <f>VLOOKUP(A415,'[1]Chứng chỉ'!$B$8:$Q$1111,14,0)</f>
        <v>Toefl</v>
      </c>
      <c r="AV415" s="42">
        <f>VLOOKUP(A415,'[1]Chứng chỉ'!$B$8:$Q$1111,15,0)</f>
        <v>0</v>
      </c>
      <c r="AW415" s="42" t="str">
        <f>VLOOKUP(A415,'[1]Chứng chỉ'!$B$8:$Q$1111,16,0)</f>
        <v>Cơ bản</v>
      </c>
      <c r="AX415" s="42"/>
      <c r="AY415" s="57" t="s">
        <v>87</v>
      </c>
      <c r="AZ415" s="65">
        <v>42158</v>
      </c>
      <c r="BA415" s="74" t="e">
        <f t="shared" si="156"/>
        <v>#REF!</v>
      </c>
      <c r="BB415" s="74" t="e">
        <f t="shared" si="157"/>
        <v>#REF!</v>
      </c>
      <c r="BC415" s="61" t="s">
        <v>3012</v>
      </c>
      <c r="BD415" s="62"/>
    </row>
    <row r="416" spans="1:56" ht="40.799999999999997" x14ac:dyDescent="0.3">
      <c r="A416" s="41" t="s">
        <v>3013</v>
      </c>
      <c r="B416" s="42">
        <f t="shared" si="110"/>
        <v>410</v>
      </c>
      <c r="C416" s="68" t="s">
        <v>3014</v>
      </c>
      <c r="D416" s="41" t="s">
        <v>3013</v>
      </c>
      <c r="E416" s="61">
        <v>2009000921</v>
      </c>
      <c r="F416" s="64"/>
      <c r="G416" s="49" t="s">
        <v>3015</v>
      </c>
      <c r="H416" s="76">
        <v>31486</v>
      </c>
      <c r="I416" s="76"/>
      <c r="J416" s="66">
        <f ca="1">INT(DATEDIF(H416,$J$2,"d")/365)</f>
        <v>40</v>
      </c>
      <c r="K416" s="75" t="s">
        <v>3016</v>
      </c>
      <c r="L416" s="41" t="s">
        <v>3017</v>
      </c>
      <c r="M416" s="53" t="s">
        <v>67</v>
      </c>
      <c r="N416" s="66"/>
      <c r="O416" s="85"/>
      <c r="P416" s="49" t="s">
        <v>195</v>
      </c>
      <c r="Q416" s="49" t="s">
        <v>94</v>
      </c>
      <c r="R416" s="49"/>
      <c r="S416" s="76" t="s">
        <v>821</v>
      </c>
      <c r="T416" s="49" t="s">
        <v>195</v>
      </c>
      <c r="U416" s="49" t="s">
        <v>94</v>
      </c>
      <c r="V416" s="49" t="str">
        <f t="shared" si="155"/>
        <v>Xã Đại Đồng, Huyện Tràng Định, Tỉnh Lạng Sơn</v>
      </c>
      <c r="W416" s="55" t="s">
        <v>98</v>
      </c>
      <c r="X416" s="41"/>
      <c r="Y416" s="41"/>
      <c r="Z416" s="41"/>
      <c r="AA416" s="68">
        <f>VLOOKUP(A416,'[1]DANH SÁCH'!$B$8:$AD$841,12,0)</f>
        <v>0</v>
      </c>
      <c r="AB416" s="49" t="str">
        <f>VLOOKUP(A416,'[1]DANH SÁCH'!$B$8:$H$841,6,0)</f>
        <v>TĐ014</v>
      </c>
      <c r="AC416" s="69" t="str">
        <f>VLOOKUP(A416,'[1]DANH SÁCH'!$B$8:$J$841,9,0)</f>
        <v>GPB</v>
      </c>
      <c r="AD416" s="69" t="str">
        <f>VLOOKUP(A416,'[1]DANH SÁCH'!$B$8:$AC$841,10,0)</f>
        <v>KP035</v>
      </c>
      <c r="AE416" s="69" t="str">
        <f>VLOOKUP(A416,'[1]DANH SÁCH'!$B$8:$AD$841,13,0)</f>
        <v>Viên chức</v>
      </c>
      <c r="AF416" s="41" t="s">
        <v>257</v>
      </c>
      <c r="AG416" s="42" t="str">
        <f>VLOOKUP(A416,'[1]DANH SÁCH'!$B$8:$H$841,7,0)</f>
        <v>Kỹ thuật y (hạng III)</v>
      </c>
      <c r="AH416" s="45" t="s">
        <v>1715</v>
      </c>
      <c r="AI416" s="42">
        <v>5</v>
      </c>
      <c r="AJ416" s="70">
        <v>0</v>
      </c>
      <c r="AK416" s="69">
        <v>45383</v>
      </c>
      <c r="AL416" s="71" t="s">
        <v>80</v>
      </c>
      <c r="AM416" s="53" t="str">
        <f>VLOOKUP(A416,'[1]DANH SÁCH'!$B$8:$F$841,5,0)</f>
        <v>KTY ĐH</v>
      </c>
      <c r="AN416" s="53"/>
      <c r="AO416" s="53"/>
      <c r="AP416" s="53"/>
      <c r="AQ416" s="53"/>
      <c r="AR416" s="42">
        <f>VLOOKUP(A416,'[1]Chứng chỉ'!$B$8:$Q$1111,11,0)</f>
        <v>0</v>
      </c>
      <c r="AS416" s="42">
        <f>VLOOKUP(A416,'[1]Chứng chỉ'!$B$8:$Q$1111,12,0)</f>
        <v>0</v>
      </c>
      <c r="AT416" s="47">
        <f>VLOOKUP(A416,'[1]Chứng chỉ'!$B$8:$Q$1111,13,0)</f>
        <v>0</v>
      </c>
      <c r="AU416" s="42" t="str">
        <f>VLOOKUP(A416,'[1]Chứng chỉ'!$B$8:$Q$1111,14,0)</f>
        <v>Toefl</v>
      </c>
      <c r="AV416" s="42">
        <f>VLOOKUP(A416,'[1]Chứng chỉ'!$B$8:$Q$1111,15,0)</f>
        <v>0</v>
      </c>
      <c r="AW416" s="42" t="str">
        <f>VLOOKUP(A416,'[1]Chứng chỉ'!$B$8:$Q$1111,16,0)</f>
        <v>Cơ bản</v>
      </c>
      <c r="AX416" s="42"/>
      <c r="AY416" s="57" t="s">
        <v>85</v>
      </c>
      <c r="AZ416" s="65">
        <v>42127</v>
      </c>
      <c r="BA416" s="74" t="e">
        <f t="shared" si="156"/>
        <v>#REF!</v>
      </c>
      <c r="BB416" s="74" t="e">
        <f t="shared" si="157"/>
        <v>#REF!</v>
      </c>
      <c r="BC416" s="41" t="s">
        <v>1435</v>
      </c>
      <c r="BD416" s="64"/>
    </row>
    <row r="417" spans="1:56" ht="61.2" x14ac:dyDescent="0.3">
      <c r="A417" s="41" t="s">
        <v>3018</v>
      </c>
      <c r="B417" s="42">
        <f t="shared" si="110"/>
        <v>411</v>
      </c>
      <c r="C417" s="68" t="s">
        <v>3019</v>
      </c>
      <c r="D417" s="41" t="s">
        <v>3018</v>
      </c>
      <c r="E417" s="61">
        <v>2010000122</v>
      </c>
      <c r="F417" s="64"/>
      <c r="G417" s="49" t="s">
        <v>3020</v>
      </c>
      <c r="H417" s="76"/>
      <c r="I417" s="76">
        <v>30854</v>
      </c>
      <c r="J417" s="66">
        <f t="shared" ref="J417:J427" ca="1" si="160">INT(DATEDIF(I417,$J$2,"d")/365)</f>
        <v>42</v>
      </c>
      <c r="K417" s="75" t="s">
        <v>3021</v>
      </c>
      <c r="L417" s="41" t="s">
        <v>555</v>
      </c>
      <c r="M417" s="53" t="s">
        <v>67</v>
      </c>
      <c r="N417" s="66"/>
      <c r="O417" s="85"/>
      <c r="P417" s="49" t="s">
        <v>182</v>
      </c>
      <c r="Q417" s="76" t="s">
        <v>94</v>
      </c>
      <c r="R417" s="49" t="s">
        <v>3022</v>
      </c>
      <c r="S417" s="76" t="s">
        <v>96</v>
      </c>
      <c r="T417" s="76" t="s">
        <v>97</v>
      </c>
      <c r="U417" s="76" t="s">
        <v>94</v>
      </c>
      <c r="V417" s="49" t="str">
        <f t="shared" si="155"/>
        <v>Phường Hoàng Văn Thụ, Thành phố Lạng Sơn, Tỉnh Lạng Sơn</v>
      </c>
      <c r="W417" s="55" t="s">
        <v>236</v>
      </c>
      <c r="X417" s="41"/>
      <c r="Y417" s="41"/>
      <c r="Z417" s="41"/>
      <c r="AA417" s="68">
        <f>VLOOKUP(A417,'[1]DANH SÁCH'!$B$8:$AD$841,12,0)</f>
        <v>0</v>
      </c>
      <c r="AB417" s="49" t="str">
        <f>VLOOKUP(A417,'[1]DANH SÁCH'!$B$8:$H$841,6,0)</f>
        <v>TĐ009</v>
      </c>
      <c r="AC417" s="69" t="str">
        <f>VLOOKUP(A417,'[1]DANH SÁCH'!$B$8:$J$841,9,0)</f>
        <v>KSNK</v>
      </c>
      <c r="AD417" s="69" t="str">
        <f>VLOOKUP(A417,'[1]DANH SÁCH'!$B$8:$AC$841,10,0)</f>
        <v>KP036</v>
      </c>
      <c r="AE417" s="69" t="str">
        <f>VLOOKUP(A417,'[1]DANH SÁCH'!$B$8:$AD$841,13,0)</f>
        <v>Viên chức</v>
      </c>
      <c r="AF417" s="41" t="s">
        <v>2512</v>
      </c>
      <c r="AG417" s="42" t="str">
        <f>VLOOKUP(A417,'[1]DANH SÁCH'!$B$8:$H$841,7,0)</f>
        <v>Dược (hạng IV)</v>
      </c>
      <c r="AH417" s="45">
        <v>3.34</v>
      </c>
      <c r="AI417" s="42">
        <v>5</v>
      </c>
      <c r="AJ417" s="70">
        <v>0</v>
      </c>
      <c r="AK417" s="69">
        <v>44927</v>
      </c>
      <c r="AL417" s="71" t="s">
        <v>158</v>
      </c>
      <c r="AM417" s="53" t="str">
        <f>VLOOKUP(A417,'[1]DANH SÁCH'!$B$8:$F$841,5,0)</f>
        <v>Dược sỹ CĐ</v>
      </c>
      <c r="AN417" s="53"/>
      <c r="AO417" s="53"/>
      <c r="AP417" s="53"/>
      <c r="AQ417" s="72"/>
      <c r="AR417" s="42">
        <f>VLOOKUP(A417,'[1]Chứng chỉ'!$B$8:$Q$1111,11,0)</f>
        <v>0</v>
      </c>
      <c r="AS417" s="42">
        <f>VLOOKUP(A417,'[1]Chứng chỉ'!$B$8:$Q$1111,12,0)</f>
        <v>0</v>
      </c>
      <c r="AT417" s="47">
        <f>VLOOKUP(A417,'[1]Chứng chỉ'!$B$8:$Q$1111,13,0)</f>
        <v>0</v>
      </c>
      <c r="AU417" s="42">
        <f>VLOOKUP(A417,'[1]Chứng chỉ'!$B$8:$Q$1111,14,0)</f>
        <v>0</v>
      </c>
      <c r="AV417" s="42">
        <f>VLOOKUP(A417,'[1]Chứng chỉ'!$B$8:$Q$1111,15,0)</f>
        <v>0</v>
      </c>
      <c r="AW417" s="42">
        <f>VLOOKUP(A417,'[1]Chứng chỉ'!$B$8:$Q$1111,16,0)</f>
        <v>0</v>
      </c>
      <c r="AX417" s="42"/>
      <c r="AY417" s="57" t="s">
        <v>85</v>
      </c>
      <c r="AZ417" s="65"/>
      <c r="BA417" s="74"/>
      <c r="BB417" s="74"/>
      <c r="BC417" s="61" t="s">
        <v>128</v>
      </c>
      <c r="BD417" s="62"/>
    </row>
    <row r="418" spans="1:56" ht="51" x14ac:dyDescent="0.3">
      <c r="A418" s="41" t="s">
        <v>3023</v>
      </c>
      <c r="B418" s="42">
        <f t="shared" si="110"/>
        <v>412</v>
      </c>
      <c r="C418" s="68" t="s">
        <v>1002</v>
      </c>
      <c r="D418" s="41" t="s">
        <v>3023</v>
      </c>
      <c r="E418" s="61">
        <v>1504000549</v>
      </c>
      <c r="F418" s="64"/>
      <c r="G418" s="49" t="s">
        <v>3024</v>
      </c>
      <c r="H418" s="76"/>
      <c r="I418" s="76">
        <v>29647</v>
      </c>
      <c r="J418" s="66">
        <f t="shared" ca="1" si="160"/>
        <v>45</v>
      </c>
      <c r="K418" s="75" t="s">
        <v>3025</v>
      </c>
      <c r="L418" s="41" t="s">
        <v>3026</v>
      </c>
      <c r="M418" s="53" t="s">
        <v>67</v>
      </c>
      <c r="N418" s="66"/>
      <c r="O418" s="53" t="s">
        <v>3027</v>
      </c>
      <c r="P418" s="49" t="s">
        <v>3028</v>
      </c>
      <c r="Q418" s="49" t="s">
        <v>1551</v>
      </c>
      <c r="R418" s="49"/>
      <c r="S418" s="49" t="s">
        <v>136</v>
      </c>
      <c r="T418" s="49" t="s">
        <v>97</v>
      </c>
      <c r="U418" s="49" t="s">
        <v>94</v>
      </c>
      <c r="V418" s="49" t="str">
        <f t="shared" si="155"/>
        <v>Phường Chi Lăng, Thành phố Lạng Sơn, Tỉnh Lạng Sơn</v>
      </c>
      <c r="W418" s="55" t="s">
        <v>724</v>
      </c>
      <c r="X418" s="41"/>
      <c r="Y418" s="41"/>
      <c r="Z418" s="41"/>
      <c r="AA418" s="68" t="str">
        <f>VLOOKUP(A418,'[1]DANH SÁCH'!$B$8:$AD$841,12,0)</f>
        <v>Trưởng khoa</v>
      </c>
      <c r="AB418" s="49" t="e">
        <f>VLOOKUP(A418,'[1]DANH SÁCH'!$B$8:$H$841,6,0)</f>
        <v>#N/A</v>
      </c>
      <c r="AC418" s="69" t="str">
        <f>VLOOKUP(A418,'[1]DANH SÁCH'!$B$8:$J$841,9,0)</f>
        <v>KSNK</v>
      </c>
      <c r="AD418" s="69" t="str">
        <f>VLOOKUP(A418,'[1]DANH SÁCH'!$B$8:$AC$841,10,0)</f>
        <v>KP036</v>
      </c>
      <c r="AE418" s="69" t="str">
        <f>VLOOKUP(A418,'[1]DANH SÁCH'!$B$8:$AD$841,13,0)</f>
        <v>Viên chức</v>
      </c>
      <c r="AF418" s="41" t="s">
        <v>147</v>
      </c>
      <c r="AG418" s="42" t="str">
        <f>VLOOKUP(A418,'[1]DANH SÁCH'!$B$8:$H$841,7,0)</f>
        <v>Điều dưỡng (hạng II)</v>
      </c>
      <c r="AH418" s="45">
        <v>4.4000000000000004</v>
      </c>
      <c r="AI418" s="42">
        <v>1</v>
      </c>
      <c r="AJ418" s="70">
        <v>0</v>
      </c>
      <c r="AK418" s="69">
        <v>45809</v>
      </c>
      <c r="AL418" s="71" t="s">
        <v>80</v>
      </c>
      <c r="AM418" s="53" t="str">
        <f>VLOOKUP(A418,'[1]DANH SÁCH'!$B$8:$F$841,5,0)</f>
        <v>ĐDCKI</v>
      </c>
      <c r="AN418" s="53" t="s">
        <v>1147</v>
      </c>
      <c r="AO418" s="53" t="s">
        <v>3029</v>
      </c>
      <c r="AP418" s="53">
        <v>2019</v>
      </c>
      <c r="AQ418" s="72" t="s">
        <v>113</v>
      </c>
      <c r="AR418" s="42" t="s">
        <v>82</v>
      </c>
      <c r="AS418" s="42">
        <f>VLOOKUP(A418,'[1]Chứng chỉ'!$B$8:$Q$1111,12,0)</f>
        <v>0</v>
      </c>
      <c r="AT418" s="47" t="s">
        <v>101</v>
      </c>
      <c r="AU418" s="42" t="str">
        <f>VLOOKUP(A418,'[1]Chứng chỉ'!$B$8:$Q$1111,14,0)</f>
        <v>Anh B</v>
      </c>
      <c r="AV418" s="42">
        <f>VLOOKUP(A418,'[1]Chứng chỉ'!$B$8:$Q$1111,15,0)</f>
        <v>0</v>
      </c>
      <c r="AW418" s="42" t="str">
        <f>VLOOKUP(A418,'[1]Chứng chỉ'!$B$8:$Q$1111,16,0)</f>
        <v>Văn phòng -B</v>
      </c>
      <c r="AX418" s="42"/>
      <c r="AY418" s="57" t="s">
        <v>87</v>
      </c>
      <c r="AZ418" s="65">
        <v>41823</v>
      </c>
      <c r="BA418" s="74" t="e">
        <f t="shared" ref="BA418:BA423" si="161">VLOOKUP(A418,#REF!,4,0)</f>
        <v>#REF!</v>
      </c>
      <c r="BB418" s="74" t="e">
        <f t="shared" ref="BB418:BB423" si="162">VLOOKUP(A418,#REF!,5,0)</f>
        <v>#REF!</v>
      </c>
      <c r="BC418" s="41" t="s">
        <v>128</v>
      </c>
      <c r="BD418" s="64"/>
    </row>
    <row r="419" spans="1:56" ht="51" x14ac:dyDescent="0.3">
      <c r="A419" s="41" t="s">
        <v>3030</v>
      </c>
      <c r="B419" s="42">
        <f t="shared" si="110"/>
        <v>413</v>
      </c>
      <c r="C419" s="68" t="s">
        <v>3031</v>
      </c>
      <c r="D419" s="41" t="s">
        <v>3030</v>
      </c>
      <c r="E419" s="61">
        <v>1505002511</v>
      </c>
      <c r="F419" s="64"/>
      <c r="G419" s="49" t="s">
        <v>3032</v>
      </c>
      <c r="H419" s="76"/>
      <c r="I419" s="76">
        <v>27765</v>
      </c>
      <c r="J419" s="66">
        <f t="shared" ca="1" si="160"/>
        <v>50</v>
      </c>
      <c r="K419" s="75" t="s">
        <v>3033</v>
      </c>
      <c r="L419" s="41" t="s">
        <v>3034</v>
      </c>
      <c r="M419" s="53" t="s">
        <v>67</v>
      </c>
      <c r="N419" s="66"/>
      <c r="O419" s="53"/>
      <c r="P419" s="49" t="s">
        <v>108</v>
      </c>
      <c r="Q419" s="49" t="s">
        <v>94</v>
      </c>
      <c r="R419" s="49"/>
      <c r="S419" s="49" t="s">
        <v>1324</v>
      </c>
      <c r="T419" s="49" t="s">
        <v>108</v>
      </c>
      <c r="U419" s="49" t="s">
        <v>94</v>
      </c>
      <c r="V419" s="49" t="str">
        <f t="shared" si="155"/>
        <v>Thị trấn Đồng Đăng, Huyện Cao Lộc, Tỉnh Lạng Sơn</v>
      </c>
      <c r="W419" s="55" t="s">
        <v>724</v>
      </c>
      <c r="X419" s="41"/>
      <c r="Y419" s="41"/>
      <c r="Z419" s="41"/>
      <c r="AA419" s="68" t="str">
        <f>VLOOKUP(A419,'[1]DANH SÁCH'!$B$8:$AD$841,12,0)</f>
        <v>Phó trưởng khoa</v>
      </c>
      <c r="AB419" s="49" t="e">
        <f>VLOOKUP(A419,'[1]DANH SÁCH'!$B$8:$H$841,6,0)</f>
        <v>#N/A</v>
      </c>
      <c r="AC419" s="69" t="str">
        <f>VLOOKUP(A419,'[1]DANH SÁCH'!$B$8:$J$841,9,0)</f>
        <v>KSNK</v>
      </c>
      <c r="AD419" s="69" t="str">
        <f>VLOOKUP(A419,'[1]DANH SÁCH'!$B$8:$AC$841,10,0)</f>
        <v>KP036</v>
      </c>
      <c r="AE419" s="69" t="str">
        <f>VLOOKUP(A419,'[1]DANH SÁCH'!$B$8:$AD$841,13,0)</f>
        <v>Viên chức</v>
      </c>
      <c r="AF419" s="41" t="s">
        <v>147</v>
      </c>
      <c r="AG419" s="42" t="str">
        <f>VLOOKUP(A419,'[1]DANH SÁCH'!$B$8:$H$841,7,0)</f>
        <v>Điều dưỡng (hạng III)</v>
      </c>
      <c r="AH419" s="45">
        <v>4.32</v>
      </c>
      <c r="AI419" s="42">
        <v>7</v>
      </c>
      <c r="AJ419" s="70">
        <v>0</v>
      </c>
      <c r="AK419" s="69">
        <v>45839</v>
      </c>
      <c r="AL419" s="71" t="s">
        <v>80</v>
      </c>
      <c r="AM419" s="53" t="str">
        <f>VLOOKUP(A419,'[1]DANH SÁCH'!$B$8:$F$841,5,0)</f>
        <v>ĐDCKI</v>
      </c>
      <c r="AN419" s="53" t="s">
        <v>1147</v>
      </c>
      <c r="AO419" s="53" t="s">
        <v>3035</v>
      </c>
      <c r="AP419" s="53">
        <v>2012</v>
      </c>
      <c r="AQ419" s="72" t="s">
        <v>113</v>
      </c>
      <c r="AR419" s="42">
        <f>VLOOKUP(A419,'[1]Chứng chỉ'!$B$8:$Q$1111,11,0)</f>
        <v>0</v>
      </c>
      <c r="AS419" s="42" t="s">
        <v>100</v>
      </c>
      <c r="AT419" s="47" t="s">
        <v>139</v>
      </c>
      <c r="AU419" s="42" t="str">
        <f>VLOOKUP(A419,'[1]Chứng chỉ'!$B$8:$Q$1111,14,0)</f>
        <v>Anh</v>
      </c>
      <c r="AV419" s="42" t="str">
        <f>VLOOKUP(A419,'[1]Chứng chỉ'!$B$8:$Q$1111,15,0)</f>
        <v>Tày</v>
      </c>
      <c r="AW419" s="42" t="str">
        <f>VLOOKUP(A419,'[1]Chứng chỉ'!$B$8:$Q$1111,16,0)</f>
        <v>Văn phòng -B</v>
      </c>
      <c r="AX419" s="42"/>
      <c r="AY419" s="57" t="s">
        <v>127</v>
      </c>
      <c r="AZ419" s="65">
        <v>35528</v>
      </c>
      <c r="BA419" s="74" t="e">
        <f t="shared" si="161"/>
        <v>#REF!</v>
      </c>
      <c r="BB419" s="74" t="e">
        <f t="shared" si="162"/>
        <v>#REF!</v>
      </c>
      <c r="BC419" s="41" t="s">
        <v>128</v>
      </c>
      <c r="BD419" s="64"/>
    </row>
    <row r="420" spans="1:56" ht="61.2" x14ac:dyDescent="0.3">
      <c r="A420" s="41" t="s">
        <v>3036</v>
      </c>
      <c r="B420" s="42">
        <f t="shared" si="110"/>
        <v>414</v>
      </c>
      <c r="C420" s="68" t="s">
        <v>3037</v>
      </c>
      <c r="D420" s="41" t="s">
        <v>3036</v>
      </c>
      <c r="E420" s="61">
        <v>1504000566</v>
      </c>
      <c r="F420" s="64"/>
      <c r="G420" s="49" t="s">
        <v>3038</v>
      </c>
      <c r="H420" s="76"/>
      <c r="I420" s="76">
        <v>27125</v>
      </c>
      <c r="J420" s="66">
        <f t="shared" ca="1" si="160"/>
        <v>52</v>
      </c>
      <c r="K420" s="75" t="s">
        <v>3039</v>
      </c>
      <c r="L420" s="41" t="s">
        <v>3040</v>
      </c>
      <c r="M420" s="53" t="s">
        <v>67</v>
      </c>
      <c r="N420" s="66"/>
      <c r="O420" s="53"/>
      <c r="P420" s="49" t="s">
        <v>195</v>
      </c>
      <c r="Q420" s="49" t="s">
        <v>94</v>
      </c>
      <c r="R420" s="49"/>
      <c r="S420" s="49" t="s">
        <v>124</v>
      </c>
      <c r="T420" s="49" t="s">
        <v>97</v>
      </c>
      <c r="U420" s="49" t="s">
        <v>94</v>
      </c>
      <c r="V420" s="49" t="str">
        <f t="shared" si="155"/>
        <v>Phường Đông Kinh, Thành phố Lạng Sơn, Tỉnh Lạng Sơn</v>
      </c>
      <c r="W420" s="55" t="s">
        <v>2664</v>
      </c>
      <c r="X420" s="41"/>
      <c r="Y420" s="41"/>
      <c r="Z420" s="41"/>
      <c r="AA420" s="68">
        <f>VLOOKUP(A420,'[1]DANH SÁCH'!$B$8:$AD$841,12,0)</f>
        <v>0</v>
      </c>
      <c r="AB420" s="49" t="str">
        <f>VLOOKUP(A420,'[1]DANH SÁCH'!$B$8:$H$841,6,0)</f>
        <v>TĐ012</v>
      </c>
      <c r="AC420" s="69" t="str">
        <f>VLOOKUP(A420,'[1]DANH SÁCH'!$B$8:$J$841,9,0)</f>
        <v>KSNK</v>
      </c>
      <c r="AD420" s="69" t="str">
        <f>VLOOKUP(A420,'[1]DANH SÁCH'!$B$8:$AC$841,10,0)</f>
        <v>KP036</v>
      </c>
      <c r="AE420" s="69" t="str">
        <f>VLOOKUP(A420,'[1]DANH SÁCH'!$B$8:$AD$841,13,0)</f>
        <v>Viên chức</v>
      </c>
      <c r="AF420" s="41" t="s">
        <v>157</v>
      </c>
      <c r="AG420" s="42" t="str">
        <f>VLOOKUP(A420,'[1]DANH SÁCH'!$B$8:$H$841,7,0)</f>
        <v>Điều dưỡng (hạng IV)</v>
      </c>
      <c r="AH420" s="45">
        <v>3.96</v>
      </c>
      <c r="AI420" s="42">
        <v>7</v>
      </c>
      <c r="AJ420" s="70">
        <v>0</v>
      </c>
      <c r="AK420" s="69">
        <v>45536</v>
      </c>
      <c r="AL420" s="71" t="s">
        <v>101</v>
      </c>
      <c r="AM420" s="53" t="str">
        <f>VLOOKUP(A420,'[1]DANH SÁCH'!$B$8:$F$841,5,0)</f>
        <v>Điều dưỡng CĐ</v>
      </c>
      <c r="AN420" s="53"/>
      <c r="AO420" s="53"/>
      <c r="AP420" s="53"/>
      <c r="AQ420" s="53"/>
      <c r="AR420" s="42">
        <f>VLOOKUP(A420,'[1]Chứng chỉ'!$B$8:$Q$1111,11,0)</f>
        <v>0</v>
      </c>
      <c r="AS420" s="42">
        <f>VLOOKUP(A420,'[1]Chứng chỉ'!$B$8:$Q$1111,12,0)</f>
        <v>0</v>
      </c>
      <c r="AT420" s="47" t="s">
        <v>139</v>
      </c>
      <c r="AU420" s="42">
        <f>VLOOKUP(A420,'[1]Chứng chỉ'!$B$8:$Q$1111,14,0)</f>
        <v>0</v>
      </c>
      <c r="AV420" s="42">
        <f>VLOOKUP(A420,'[1]Chứng chỉ'!$B$8:$Q$1111,15,0)</f>
        <v>0</v>
      </c>
      <c r="AW420" s="42" t="str">
        <f>VLOOKUP(A420,'[1]Chứng chỉ'!$B$8:$Q$1111,16,0)</f>
        <v>A</v>
      </c>
      <c r="AX420" s="42"/>
      <c r="AY420" s="57" t="s">
        <v>85</v>
      </c>
      <c r="AZ420" s="65"/>
      <c r="BA420" s="74" t="e">
        <f t="shared" si="161"/>
        <v>#REF!</v>
      </c>
      <c r="BB420" s="74" t="e">
        <f t="shared" si="162"/>
        <v>#REF!</v>
      </c>
      <c r="BC420" s="61" t="s">
        <v>1668</v>
      </c>
      <c r="BD420" s="62"/>
    </row>
    <row r="421" spans="1:56" ht="40.799999999999997" x14ac:dyDescent="0.3">
      <c r="A421" s="41" t="s">
        <v>3041</v>
      </c>
      <c r="B421" s="42">
        <f t="shared" si="110"/>
        <v>415</v>
      </c>
      <c r="C421" s="68" t="s">
        <v>3042</v>
      </c>
      <c r="D421" s="41" t="s">
        <v>3041</v>
      </c>
      <c r="E421" s="61">
        <v>2010000175</v>
      </c>
      <c r="F421" s="64"/>
      <c r="G421" s="49" t="s">
        <v>3043</v>
      </c>
      <c r="H421" s="76"/>
      <c r="I421" s="76">
        <v>32383</v>
      </c>
      <c r="J421" s="66">
        <f t="shared" ca="1" si="160"/>
        <v>37</v>
      </c>
      <c r="K421" s="75" t="s">
        <v>3044</v>
      </c>
      <c r="L421" s="41" t="s">
        <v>3045</v>
      </c>
      <c r="M421" s="53" t="s">
        <v>67</v>
      </c>
      <c r="N421" s="66"/>
      <c r="O421" s="85" t="s">
        <v>821</v>
      </c>
      <c r="P421" s="49" t="s">
        <v>195</v>
      </c>
      <c r="Q421" s="49" t="s">
        <v>94</v>
      </c>
      <c r="R421" s="49"/>
      <c r="S421" s="76" t="s">
        <v>821</v>
      </c>
      <c r="T421" s="49" t="s">
        <v>195</v>
      </c>
      <c r="U421" s="49" t="s">
        <v>94</v>
      </c>
      <c r="V421" s="49" t="str">
        <f t="shared" si="155"/>
        <v>Xã Đại Đồng, Huyện Tràng Định, Tỉnh Lạng Sơn</v>
      </c>
      <c r="W421" s="55" t="s">
        <v>236</v>
      </c>
      <c r="X421" s="41"/>
      <c r="Y421" s="41"/>
      <c r="Z421" s="41"/>
      <c r="AA421" s="68">
        <f>VLOOKUP(A421,'[1]DANH SÁCH'!$B$8:$AD$841,12,0)</f>
        <v>0</v>
      </c>
      <c r="AB421" s="49" t="str">
        <f>VLOOKUP(A421,'[1]DANH SÁCH'!$B$8:$H$841,6,0)</f>
        <v>TĐ012</v>
      </c>
      <c r="AC421" s="69" t="str">
        <f>VLOOKUP(A421,'[1]DANH SÁCH'!$B$8:$J$841,9,0)</f>
        <v>KSNK</v>
      </c>
      <c r="AD421" s="69" t="str">
        <f>VLOOKUP(A421,'[1]DANH SÁCH'!$B$8:$AC$841,10,0)</f>
        <v>KP036</v>
      </c>
      <c r="AE421" s="69" t="str">
        <f>VLOOKUP(A421,'[1]DANH SÁCH'!$B$8:$AD$841,13,0)</f>
        <v>Viên chức</v>
      </c>
      <c r="AF421" s="41" t="s">
        <v>157</v>
      </c>
      <c r="AG421" s="42" t="str">
        <f>VLOOKUP(A421,'[1]DANH SÁCH'!$B$8:$H$841,7,0)</f>
        <v>Điều dưỡng (hạng IV)</v>
      </c>
      <c r="AH421" s="45">
        <v>3.34</v>
      </c>
      <c r="AI421" s="42">
        <v>5</v>
      </c>
      <c r="AJ421" s="70">
        <v>0</v>
      </c>
      <c r="AK421" s="69">
        <v>45488</v>
      </c>
      <c r="AL421" s="71" t="s">
        <v>101</v>
      </c>
      <c r="AM421" s="53" t="str">
        <f>VLOOKUP(A421,'[1]DANH SÁCH'!$B$8:$F$841,5,0)</f>
        <v>Điều dưỡng CĐ</v>
      </c>
      <c r="AN421" s="53"/>
      <c r="AO421" s="53"/>
      <c r="AP421" s="53"/>
      <c r="AQ421" s="53"/>
      <c r="AR421" s="42">
        <f>VLOOKUP(A421,'[1]Chứng chỉ'!$B$8:$Q$1111,11,0)</f>
        <v>0</v>
      </c>
      <c r="AS421" s="42">
        <f>VLOOKUP(A421,'[1]Chứng chỉ'!$B$8:$Q$1111,12,0)</f>
        <v>0</v>
      </c>
      <c r="AT421" s="47">
        <f>VLOOKUP(A421,'[1]Chứng chỉ'!$B$8:$Q$1111,13,0)</f>
        <v>0</v>
      </c>
      <c r="AU421" s="42" t="str">
        <f>VLOOKUP(A421,'[1]Chứng chỉ'!$B$8:$Q$1111,14,0)</f>
        <v>Anh B</v>
      </c>
      <c r="AV421" s="42">
        <f>VLOOKUP(A421,'[1]Chứng chỉ'!$B$8:$Q$1111,15,0)</f>
        <v>0</v>
      </c>
      <c r="AW421" s="42" t="str">
        <f>VLOOKUP(A421,'[1]Chứng chỉ'!$B$8:$Q$1111,16,0)</f>
        <v>Cơ bản</v>
      </c>
      <c r="AX421" s="42"/>
      <c r="AY421" s="57" t="s">
        <v>85</v>
      </c>
      <c r="AZ421" s="65"/>
      <c r="BA421" s="74" t="e">
        <f t="shared" si="161"/>
        <v>#REF!</v>
      </c>
      <c r="BB421" s="74" t="e">
        <f t="shared" si="162"/>
        <v>#REF!</v>
      </c>
      <c r="BC421" s="61" t="s">
        <v>128</v>
      </c>
      <c r="BD421" s="62"/>
    </row>
    <row r="422" spans="1:56" ht="61.2" x14ac:dyDescent="0.3">
      <c r="A422" s="41" t="s">
        <v>3046</v>
      </c>
      <c r="B422" s="42">
        <f t="shared" si="110"/>
        <v>416</v>
      </c>
      <c r="C422" s="68" t="s">
        <v>3047</v>
      </c>
      <c r="D422" s="41" t="s">
        <v>3046</v>
      </c>
      <c r="E422" s="61">
        <v>2010000126</v>
      </c>
      <c r="F422" s="64"/>
      <c r="G422" s="49" t="s">
        <v>3048</v>
      </c>
      <c r="H422" s="76"/>
      <c r="I422" s="76">
        <v>31959</v>
      </c>
      <c r="J422" s="66">
        <f t="shared" ca="1" si="160"/>
        <v>39</v>
      </c>
      <c r="K422" s="109" t="s">
        <v>3049</v>
      </c>
      <c r="L422" s="41" t="s">
        <v>3050</v>
      </c>
      <c r="M422" s="53" t="s">
        <v>67</v>
      </c>
      <c r="N422" s="66"/>
      <c r="O422" s="85" t="s">
        <v>3051</v>
      </c>
      <c r="P422" s="76" t="s">
        <v>3052</v>
      </c>
      <c r="Q422" s="76" t="s">
        <v>3053</v>
      </c>
      <c r="R422" s="49" t="s">
        <v>3054</v>
      </c>
      <c r="S422" s="76" t="s">
        <v>96</v>
      </c>
      <c r="T422" s="76" t="s">
        <v>97</v>
      </c>
      <c r="U422" s="76" t="s">
        <v>94</v>
      </c>
      <c r="V422" s="49" t="str">
        <f t="shared" si="155"/>
        <v>Phường Hoàng Văn Thụ, Thành phố Lạng Sơn, Tỉnh Lạng Sơn</v>
      </c>
      <c r="W422" s="55" t="s">
        <v>236</v>
      </c>
      <c r="X422" s="41"/>
      <c r="Y422" s="41"/>
      <c r="Z422" s="41"/>
      <c r="AA422" s="68" t="str">
        <f>VLOOKUP(A422,'[1]DANH SÁCH'!$B$8:$AD$841,12,0)</f>
        <v>Phó trưởng phòng/ Điều dưỡng trưởng</v>
      </c>
      <c r="AB422" s="49" t="e">
        <f>VLOOKUP(A422,'[1]DANH SÁCH'!$B$8:$H$841,6,0)</f>
        <v>#N/A</v>
      </c>
      <c r="AC422" s="69" t="str">
        <f>VLOOKUP(A422,'[1]DANH SÁCH'!$B$8:$J$841,9,0)</f>
        <v>Điều dưỡng</v>
      </c>
      <c r="AD422" s="69" t="str">
        <f>VLOOKUP(A422,'[1]DANH SÁCH'!$B$8:$AC$841,10,0)</f>
        <v>KP037</v>
      </c>
      <c r="AE422" s="69" t="str">
        <f>VLOOKUP(A422,'[1]DANH SÁCH'!$B$8:$AD$841,13,0)</f>
        <v>Viên chức</v>
      </c>
      <c r="AF422" s="41" t="s">
        <v>147</v>
      </c>
      <c r="AG422" s="42" t="str">
        <f>VLOOKUP(A422,'[1]DANH SÁCH'!$B$8:$H$841,7,0)</f>
        <v>Điều dưỡng (hạng III)</v>
      </c>
      <c r="AH422" s="45">
        <v>3.66</v>
      </c>
      <c r="AI422" s="42">
        <v>5</v>
      </c>
      <c r="AJ422" s="70">
        <v>0</v>
      </c>
      <c r="AK422" s="69">
        <v>45488</v>
      </c>
      <c r="AL422" s="71" t="s">
        <v>80</v>
      </c>
      <c r="AM422" s="53" t="str">
        <f>VLOOKUP(A422,'[1]DANH SÁCH'!$B$8:$F$841,5,0)</f>
        <v>ThS Điều dưỡng</v>
      </c>
      <c r="AN422" s="53" t="s">
        <v>1147</v>
      </c>
      <c r="AO422" s="53"/>
      <c r="AP422" s="53"/>
      <c r="AQ422" s="53"/>
      <c r="AR422" s="42" t="s">
        <v>82</v>
      </c>
      <c r="AS422" s="42">
        <f>VLOOKUP(A422,'[1]Chứng chỉ'!$B$8:$Q$1111,12,0)</f>
        <v>0</v>
      </c>
      <c r="AT422" s="47" t="s">
        <v>139</v>
      </c>
      <c r="AU422" s="42" t="str">
        <f>VLOOKUP(A422,'[1]Chứng chỉ'!$B$8:$Q$1111,14,0)</f>
        <v>Anh B</v>
      </c>
      <c r="AV422" s="42">
        <f>VLOOKUP(A422,'[1]Chứng chỉ'!$B$8:$Q$1111,15,0)</f>
        <v>0</v>
      </c>
      <c r="AW422" s="42" t="str">
        <f>VLOOKUP(A422,'[1]Chứng chỉ'!$B$8:$Q$1111,16,0)</f>
        <v>Tin B</v>
      </c>
      <c r="AX422" s="42"/>
      <c r="AY422" s="57" t="s">
        <v>87</v>
      </c>
      <c r="AZ422" s="65">
        <v>41525</v>
      </c>
      <c r="BA422" s="74" t="e">
        <f t="shared" si="161"/>
        <v>#REF!</v>
      </c>
      <c r="BB422" s="74" t="e">
        <f t="shared" si="162"/>
        <v>#REF!</v>
      </c>
      <c r="BC422" s="41"/>
      <c r="BD422" s="42"/>
    </row>
    <row r="423" spans="1:56" ht="51" x14ac:dyDescent="0.3">
      <c r="A423" s="41" t="s">
        <v>3055</v>
      </c>
      <c r="B423" s="42">
        <f t="shared" si="110"/>
        <v>417</v>
      </c>
      <c r="C423" s="68" t="s">
        <v>3056</v>
      </c>
      <c r="D423" s="41" t="s">
        <v>3055</v>
      </c>
      <c r="E423" s="61">
        <v>2013002134</v>
      </c>
      <c r="F423" s="64"/>
      <c r="G423" s="49" t="s">
        <v>3057</v>
      </c>
      <c r="H423" s="76"/>
      <c r="I423" s="76">
        <v>32868</v>
      </c>
      <c r="J423" s="66">
        <f t="shared" ca="1" si="160"/>
        <v>36</v>
      </c>
      <c r="K423" s="75" t="s">
        <v>3058</v>
      </c>
      <c r="L423" s="41" t="s">
        <v>3059</v>
      </c>
      <c r="M423" s="53" t="s">
        <v>67</v>
      </c>
      <c r="N423" s="66" t="s">
        <v>3060</v>
      </c>
      <c r="O423" s="53" t="s">
        <v>1081</v>
      </c>
      <c r="P423" s="49" t="s">
        <v>222</v>
      </c>
      <c r="Q423" s="49" t="s">
        <v>94</v>
      </c>
      <c r="R423" s="76"/>
      <c r="S423" s="49" t="s">
        <v>136</v>
      </c>
      <c r="T423" s="53" t="s">
        <v>97</v>
      </c>
      <c r="U423" s="53" t="s">
        <v>94</v>
      </c>
      <c r="V423" s="49" t="str">
        <f t="shared" si="155"/>
        <v>Phường Chi Lăng, Thành phố Lạng Sơn, Tỉnh Lạng Sơn</v>
      </c>
      <c r="W423" s="55" t="s">
        <v>156</v>
      </c>
      <c r="X423" s="41"/>
      <c r="Y423" s="41"/>
      <c r="Z423" s="41"/>
      <c r="AA423" s="68" t="str">
        <f>VLOOKUP(A423,'[1]DANH SÁCH'!$B$8:$AD$841,12,0)</f>
        <v>Điều dưỡng trưởng</v>
      </c>
      <c r="AB423" s="49" t="str">
        <f>VLOOKUP(A423,'[1]DANH SÁCH'!$B$8:$H$841,6,0)</f>
        <v>TĐ011</v>
      </c>
      <c r="AC423" s="69" t="str">
        <f>VLOOKUP(A423,'[1]DANH SÁCH'!$B$8:$J$841,9,0)</f>
        <v>Tâm thần - Thần kinh</v>
      </c>
      <c r="AD423" s="69" t="str">
        <f>VLOOKUP(A423,'[1]DANH SÁCH'!$B$8:$AC$841,10,0)</f>
        <v>KP006</v>
      </c>
      <c r="AE423" s="69" t="str">
        <f>VLOOKUP(A423,'[1]DANH SÁCH'!$B$8:$AD$841,13,0)</f>
        <v>Viên chức</v>
      </c>
      <c r="AF423" s="41" t="s">
        <v>147</v>
      </c>
      <c r="AG423" s="42" t="str">
        <f>VLOOKUP(A423,'[1]DANH SÁCH'!$B$8:$H$841,7,0)</f>
        <v>Điều dưỡng (hạng III)</v>
      </c>
      <c r="AH423" s="45">
        <v>3.66</v>
      </c>
      <c r="AI423" s="42">
        <v>5</v>
      </c>
      <c r="AJ423" s="70">
        <v>0</v>
      </c>
      <c r="AK423" s="69">
        <v>45383</v>
      </c>
      <c r="AL423" s="71" t="s">
        <v>158</v>
      </c>
      <c r="AM423" s="53" t="str">
        <f>VLOOKUP(A423,'[1]DANH SÁCH'!$B$8:$F$841,5,0)</f>
        <v>Điều dưỡng ĐH</v>
      </c>
      <c r="AN423" s="53"/>
      <c r="AO423" s="53" t="s">
        <v>316</v>
      </c>
      <c r="AP423" s="53">
        <v>2011</v>
      </c>
      <c r="AQ423" s="72" t="s">
        <v>113</v>
      </c>
      <c r="AR423" s="42">
        <f>VLOOKUP(A423,'[1]Chứng chỉ'!$B$8:$Q$1111,11,0)</f>
        <v>0</v>
      </c>
      <c r="AS423" s="42">
        <f>VLOOKUP(A423,'[1]Chứng chỉ'!$B$8:$Q$1111,12,0)</f>
        <v>0</v>
      </c>
      <c r="AT423" s="47" t="s">
        <v>139</v>
      </c>
      <c r="AU423" s="42" t="str">
        <f>VLOOKUP(A423,'[1]Chứng chỉ'!$B$8:$Q$1111,14,0)</f>
        <v>Tiếng anh B</v>
      </c>
      <c r="AV423" s="42">
        <f>VLOOKUP(A423,'[1]Chứng chỉ'!$B$8:$Q$1111,15,0)</f>
        <v>0</v>
      </c>
      <c r="AW423" s="42" t="str">
        <f>VLOOKUP(A423,'[1]Chứng chỉ'!$B$8:$Q$1111,16,0)</f>
        <v>Cơ bản</v>
      </c>
      <c r="AX423" s="53" t="s">
        <v>2371</v>
      </c>
      <c r="AY423" s="57" t="s">
        <v>85</v>
      </c>
      <c r="AZ423" s="65"/>
      <c r="BA423" s="74" t="e">
        <f t="shared" si="161"/>
        <v>#REF!</v>
      </c>
      <c r="BB423" s="74" t="e">
        <f t="shared" si="162"/>
        <v>#REF!</v>
      </c>
      <c r="BC423" s="61" t="s">
        <v>128</v>
      </c>
      <c r="BD423" s="62"/>
    </row>
    <row r="424" spans="1:56" ht="51" x14ac:dyDescent="0.3">
      <c r="A424" s="41" t="s">
        <v>3061</v>
      </c>
      <c r="B424" s="42">
        <f t="shared" si="110"/>
        <v>418</v>
      </c>
      <c r="C424" s="68" t="s">
        <v>3062</v>
      </c>
      <c r="D424" s="41" t="s">
        <v>3061</v>
      </c>
      <c r="E424" s="61">
        <v>1506002349</v>
      </c>
      <c r="F424" s="64"/>
      <c r="G424" s="49" t="s">
        <v>3063</v>
      </c>
      <c r="H424" s="76"/>
      <c r="I424" s="76">
        <v>30322</v>
      </c>
      <c r="J424" s="66">
        <f t="shared" ca="1" si="160"/>
        <v>43</v>
      </c>
      <c r="K424" s="75" t="s">
        <v>3064</v>
      </c>
      <c r="L424" s="41" t="s">
        <v>3065</v>
      </c>
      <c r="M424" s="53" t="s">
        <v>67</v>
      </c>
      <c r="N424" s="66"/>
      <c r="O424" s="53" t="s">
        <v>184</v>
      </c>
      <c r="P424" s="49" t="s">
        <v>182</v>
      </c>
      <c r="Q424" s="49" t="s">
        <v>94</v>
      </c>
      <c r="R424" s="49"/>
      <c r="S424" s="49" t="s">
        <v>184</v>
      </c>
      <c r="T424" s="49" t="s">
        <v>182</v>
      </c>
      <c r="U424" s="49" t="s">
        <v>94</v>
      </c>
      <c r="V424" s="49" t="str">
        <f t="shared" si="155"/>
        <v>Thị trấn Lộc Bình, Huyện Lộc Bình, Tỉnh Lạng Sơn</v>
      </c>
      <c r="W424" s="55" t="s">
        <v>3066</v>
      </c>
      <c r="X424" s="41"/>
      <c r="Y424" s="41"/>
      <c r="Z424" s="41"/>
      <c r="AA424" s="68">
        <f>VLOOKUP(A424,'[1]DANH SÁCH'!$B$8:$AD$841,12,0)</f>
        <v>0</v>
      </c>
      <c r="AB424" s="49" t="str">
        <f>VLOOKUP(A424,'[1]DANH SÁCH'!$B$8:$H$841,6,0)</f>
        <v>TĐ007</v>
      </c>
      <c r="AC424" s="69" t="str">
        <f>VLOOKUP(A424,'[1]DANH SÁCH'!$B$8:$J$841,9,0)</f>
        <v>VT-TTBYT</v>
      </c>
      <c r="AD424" s="69" t="str">
        <f>VLOOKUP(A424,'[1]DANH SÁCH'!$B$8:$AC$841,10,0)</f>
        <v>KP038</v>
      </c>
      <c r="AE424" s="69" t="str">
        <f>VLOOKUP(A424,'[1]DANH SÁCH'!$B$8:$AD$841,13,0)</f>
        <v>Viên chức</v>
      </c>
      <c r="AF424" s="115" t="s">
        <v>2487</v>
      </c>
      <c r="AG424" s="42" t="str">
        <f>VLOOKUP(A424,'[1]DANH SÁCH'!$B$8:$H$841,7,0)</f>
        <v>Dược sĩ (hạng III)</v>
      </c>
      <c r="AH424" s="45">
        <v>3.66</v>
      </c>
      <c r="AI424" s="42">
        <v>5</v>
      </c>
      <c r="AJ424" s="70">
        <v>0</v>
      </c>
      <c r="AK424" s="69">
        <v>45809</v>
      </c>
      <c r="AL424" s="71" t="s">
        <v>80</v>
      </c>
      <c r="AM424" s="53" t="str">
        <f>VLOOKUP(A424,'[1]DANH SÁCH'!$B$8:$F$841,5,0)</f>
        <v>DSCKI</v>
      </c>
      <c r="AN424" s="53"/>
      <c r="AO424" s="53"/>
      <c r="AP424" s="53"/>
      <c r="AQ424" s="53"/>
      <c r="AR424" s="42">
        <f>VLOOKUP(A424,'[1]Chứng chỉ'!$B$8:$Q$1111,11,0)</f>
        <v>0</v>
      </c>
      <c r="AS424" s="42">
        <f>VLOOKUP(A424,'[1]Chứng chỉ'!$B$8:$Q$1111,12,0)</f>
        <v>0</v>
      </c>
      <c r="AT424" s="47" t="s">
        <v>139</v>
      </c>
      <c r="AU424" s="42">
        <f>VLOOKUP(A424,'[1]Chứng chỉ'!$B$8:$Q$1111,14,0)</f>
        <v>0</v>
      </c>
      <c r="AV424" s="42">
        <f>VLOOKUP(A424,'[1]Chứng chỉ'!$B$8:$Q$1111,15,0)</f>
        <v>0</v>
      </c>
      <c r="AW424" s="42">
        <f>VLOOKUP(A424,'[1]Chứng chỉ'!$B$8:$Q$1111,16,0)</f>
        <v>0</v>
      </c>
      <c r="AX424" s="42"/>
      <c r="AY424" s="57" t="s">
        <v>85</v>
      </c>
      <c r="AZ424" s="65">
        <v>41837</v>
      </c>
      <c r="BA424" s="74"/>
      <c r="BB424" s="74"/>
      <c r="BC424" s="61" t="s">
        <v>128</v>
      </c>
      <c r="BD424" s="62"/>
    </row>
    <row r="425" spans="1:56" ht="61.2" x14ac:dyDescent="0.3">
      <c r="A425" s="41" t="s">
        <v>3067</v>
      </c>
      <c r="B425" s="42">
        <f t="shared" si="110"/>
        <v>419</v>
      </c>
      <c r="C425" s="68" t="s">
        <v>3068</v>
      </c>
      <c r="D425" s="41" t="s">
        <v>3067</v>
      </c>
      <c r="E425" s="61">
        <v>1505002507</v>
      </c>
      <c r="F425" s="64"/>
      <c r="G425" s="49" t="s">
        <v>3069</v>
      </c>
      <c r="H425" s="76"/>
      <c r="I425" s="76">
        <v>30632</v>
      </c>
      <c r="J425" s="66">
        <f t="shared" ca="1" si="160"/>
        <v>42</v>
      </c>
      <c r="K425" s="75" t="s">
        <v>3070</v>
      </c>
      <c r="L425" s="41" t="s">
        <v>992</v>
      </c>
      <c r="M425" s="53" t="s">
        <v>67</v>
      </c>
      <c r="N425" s="66"/>
      <c r="O425" s="53"/>
      <c r="P425" s="76" t="s">
        <v>343</v>
      </c>
      <c r="Q425" s="49" t="s">
        <v>94</v>
      </c>
      <c r="R425" s="49"/>
      <c r="S425" s="49" t="s">
        <v>166</v>
      </c>
      <c r="T425" s="49" t="s">
        <v>97</v>
      </c>
      <c r="U425" s="49" t="s">
        <v>94</v>
      </c>
      <c r="V425" s="49" t="str">
        <f t="shared" si="155"/>
        <v>Phường Tam Thanh, Thành phố Lạng Sơn, Tỉnh Lạng Sơn</v>
      </c>
      <c r="W425" s="55" t="s">
        <v>724</v>
      </c>
      <c r="X425" s="41"/>
      <c r="Y425" s="41"/>
      <c r="Z425" s="41"/>
      <c r="AA425" s="68" t="str">
        <f>VLOOKUP(A425,'[1]DANH SÁCH'!$B$8:$AD$841,12,0)</f>
        <v>Phó trưởng phòng</v>
      </c>
      <c r="AB425" s="49" t="str">
        <f>VLOOKUP(A425,'[1]DANH SÁCH'!$B$8:$H$841,6,0)</f>
        <v>TĐ008</v>
      </c>
      <c r="AC425" s="69" t="str">
        <f>VLOOKUP(A425,'[1]DANH SÁCH'!$B$8:$J$841,9,0)</f>
        <v>VT-TTBYT</v>
      </c>
      <c r="AD425" s="69" t="str">
        <f>VLOOKUP(A425,'[1]DANH SÁCH'!$B$8:$AC$841,10,0)</f>
        <v>KP038</v>
      </c>
      <c r="AE425" s="69" t="str">
        <f>VLOOKUP(A425,'[1]DANH SÁCH'!$B$8:$AD$841,13,0)</f>
        <v>Viên chức</v>
      </c>
      <c r="AF425" s="115" t="s">
        <v>2487</v>
      </c>
      <c r="AG425" s="42" t="str">
        <f>VLOOKUP(A425,'[1]DANH SÁCH'!$B$8:$H$841,7,0)</f>
        <v>Dược sĩ (hạng III)</v>
      </c>
      <c r="AH425" s="45">
        <v>3.99</v>
      </c>
      <c r="AI425" s="42">
        <v>6</v>
      </c>
      <c r="AJ425" s="70">
        <v>0</v>
      </c>
      <c r="AK425" s="69">
        <v>45292</v>
      </c>
      <c r="AL425" s="71" t="s">
        <v>80</v>
      </c>
      <c r="AM425" s="53" t="str">
        <f>VLOOKUP(A425,'[1]DANH SÁCH'!$B$8:$F$841,5,0)</f>
        <v>Dược sỹ ĐH</v>
      </c>
      <c r="AN425" s="53"/>
      <c r="AO425" s="53"/>
      <c r="AP425" s="53"/>
      <c r="AQ425" s="53"/>
      <c r="AR425" s="42" t="s">
        <v>82</v>
      </c>
      <c r="AS425" s="42">
        <f>VLOOKUP(A425,'[1]Chứng chỉ'!$B$8:$Q$1111,12,0)</f>
        <v>0</v>
      </c>
      <c r="AT425" s="47" t="s">
        <v>139</v>
      </c>
      <c r="AU425" s="42" t="str">
        <f>VLOOKUP(A425,'[1]Chứng chỉ'!$B$8:$Q$1111,14,0)</f>
        <v>Anh B</v>
      </c>
      <c r="AV425" s="42" t="str">
        <f>VLOOKUP(A425,'[1]Chứng chỉ'!$B$8:$Q$1111,15,0)</f>
        <v>Tày</v>
      </c>
      <c r="AW425" s="42" t="str">
        <f>VLOOKUP(A425,'[1]Chứng chỉ'!$B$8:$Q$1111,16,0)</f>
        <v>B</v>
      </c>
      <c r="AX425" s="42"/>
      <c r="AY425" s="57" t="s">
        <v>85</v>
      </c>
      <c r="AZ425" s="65">
        <v>41298</v>
      </c>
      <c r="BA425" s="74"/>
      <c r="BB425" s="74"/>
      <c r="BC425" s="41" t="s">
        <v>1668</v>
      </c>
      <c r="BD425" s="64"/>
    </row>
    <row r="426" spans="1:56" ht="61.2" x14ac:dyDescent="0.3">
      <c r="A426" s="41" t="s">
        <v>3071</v>
      </c>
      <c r="B426" s="42">
        <f t="shared" si="110"/>
        <v>420</v>
      </c>
      <c r="C426" s="68" t="s">
        <v>3072</v>
      </c>
      <c r="D426" s="41" t="s">
        <v>3071</v>
      </c>
      <c r="E426" s="61">
        <v>2011000011</v>
      </c>
      <c r="F426" s="64"/>
      <c r="G426" s="49"/>
      <c r="H426" s="76"/>
      <c r="I426" s="76">
        <v>31669</v>
      </c>
      <c r="J426" s="66">
        <f t="shared" ca="1" si="160"/>
        <v>39</v>
      </c>
      <c r="K426" s="75" t="s">
        <v>3073</v>
      </c>
      <c r="L426" s="41" t="s">
        <v>1836</v>
      </c>
      <c r="M426" s="53" t="s">
        <v>67</v>
      </c>
      <c r="N426" s="64"/>
      <c r="O426" s="139" t="s">
        <v>3074</v>
      </c>
      <c r="P426" s="49" t="s">
        <v>3075</v>
      </c>
      <c r="Q426" s="49" t="s">
        <v>3076</v>
      </c>
      <c r="R426" s="49" t="s">
        <v>3077</v>
      </c>
      <c r="S426" s="49" t="s">
        <v>124</v>
      </c>
      <c r="T426" s="49" t="s">
        <v>97</v>
      </c>
      <c r="U426" s="49" t="s">
        <v>94</v>
      </c>
      <c r="V426" s="49" t="str">
        <f t="shared" si="155"/>
        <v>Phường Đông Kinh, Thành phố Lạng Sơn, Tỉnh Lạng Sơn</v>
      </c>
      <c r="W426" s="55" t="s">
        <v>224</v>
      </c>
      <c r="X426" s="41"/>
      <c r="Y426" s="41"/>
      <c r="Z426" s="41"/>
      <c r="AA426" s="68">
        <f>VLOOKUP(A426,'[1]DANH SÁCH'!$B$8:$AD$841,12,0)</f>
        <v>0</v>
      </c>
      <c r="AB426" s="49" t="str">
        <f>VLOOKUP(A426,'[1]DANH SÁCH'!$B$8:$H$841,6,0)</f>
        <v>TĐ009</v>
      </c>
      <c r="AC426" s="69" t="str">
        <f>VLOOKUP(A426,'[1]DANH SÁCH'!$B$8:$J$841,9,0)</f>
        <v>VT-TTBYT</v>
      </c>
      <c r="AD426" s="69" t="str">
        <f>VLOOKUP(A426,'[1]DANH SÁCH'!$B$8:$AC$841,10,0)</f>
        <v>KP038</v>
      </c>
      <c r="AE426" s="69" t="str">
        <f>VLOOKUP(A426,'[1]DANH SÁCH'!$B$8:$AD$841,13,0)</f>
        <v>Viên chức</v>
      </c>
      <c r="AF426" s="41" t="s">
        <v>2512</v>
      </c>
      <c r="AG426" s="42" t="str">
        <f>VLOOKUP(A426,'[1]DANH SÁCH'!$B$8:$H$841,7,0)</f>
        <v>Dược (hạng IV)</v>
      </c>
      <c r="AH426" s="45">
        <v>3.34</v>
      </c>
      <c r="AI426" s="42">
        <v>5</v>
      </c>
      <c r="AJ426" s="70">
        <v>0</v>
      </c>
      <c r="AK426" s="69">
        <v>45444</v>
      </c>
      <c r="AL426" s="71" t="s">
        <v>158</v>
      </c>
      <c r="AM426" s="53" t="str">
        <f>VLOOKUP(A426,'[1]DANH SÁCH'!$B$8:$F$841,5,0)</f>
        <v>Dược sỹ CĐ</v>
      </c>
      <c r="AN426" s="53"/>
      <c r="AO426" s="53" t="s">
        <v>1093</v>
      </c>
      <c r="AP426" s="53">
        <v>2008</v>
      </c>
      <c r="AQ426" s="72" t="s">
        <v>113</v>
      </c>
      <c r="AR426" s="42">
        <f>VLOOKUP(A426,'[1]Chứng chỉ'!$B$8:$Q$1111,11,0)</f>
        <v>0</v>
      </c>
      <c r="AS426" s="42">
        <f>VLOOKUP(A426,'[1]Chứng chỉ'!$B$8:$Q$1111,12,0)</f>
        <v>0</v>
      </c>
      <c r="AT426" s="47">
        <f>VLOOKUP(A426,'[1]Chứng chỉ'!$B$8:$Q$1111,13,0)</f>
        <v>0</v>
      </c>
      <c r="AU426" s="42" t="str">
        <f>VLOOKUP(A426,'[1]Chứng chỉ'!$B$8:$Q$1111,14,0)</f>
        <v>Anh B</v>
      </c>
      <c r="AV426" s="42" t="str">
        <f>VLOOKUP(A426,'[1]Chứng chỉ'!$B$8:$Q$1111,15,0)</f>
        <v>Tày</v>
      </c>
      <c r="AW426" s="42" t="str">
        <f>VLOOKUP(A426,'[1]Chứng chỉ'!$B$8:$Q$1111,16,0)</f>
        <v>B</v>
      </c>
      <c r="AX426" s="42"/>
      <c r="AY426" s="57" t="s">
        <v>127</v>
      </c>
      <c r="AZ426" s="65"/>
      <c r="BA426" s="74"/>
      <c r="BB426" s="74"/>
      <c r="BC426" s="41" t="s">
        <v>128</v>
      </c>
      <c r="BD426" s="42"/>
    </row>
    <row r="427" spans="1:56" ht="51" x14ac:dyDescent="0.3">
      <c r="A427" s="41" t="s">
        <v>3078</v>
      </c>
      <c r="B427" s="42">
        <f t="shared" si="110"/>
        <v>421</v>
      </c>
      <c r="C427" s="68" t="s">
        <v>3079</v>
      </c>
      <c r="D427" s="41" t="s">
        <v>3078</v>
      </c>
      <c r="E427" s="61">
        <v>2010000972</v>
      </c>
      <c r="F427" s="64"/>
      <c r="G427" s="49" t="s">
        <v>3080</v>
      </c>
      <c r="H427" s="76"/>
      <c r="I427" s="76">
        <v>32197</v>
      </c>
      <c r="J427" s="66">
        <f t="shared" ca="1" si="160"/>
        <v>38</v>
      </c>
      <c r="K427" s="75" t="s">
        <v>3081</v>
      </c>
      <c r="L427" s="41" t="s">
        <v>3082</v>
      </c>
      <c r="M427" s="53" t="s">
        <v>67</v>
      </c>
      <c r="N427" s="66"/>
      <c r="O427" s="53" t="s">
        <v>174</v>
      </c>
      <c r="P427" s="49" t="s">
        <v>97</v>
      </c>
      <c r="Q427" s="49" t="s">
        <v>94</v>
      </c>
      <c r="R427" s="76"/>
      <c r="S427" s="49" t="s">
        <v>174</v>
      </c>
      <c r="T427" s="49" t="s">
        <v>97</v>
      </c>
      <c r="U427" s="49" t="s">
        <v>94</v>
      </c>
      <c r="V427" s="49" t="str">
        <f t="shared" si="155"/>
        <v>Xã Mai Pha, Thành phố Lạng Sơn, Tỉnh Lạng Sơn</v>
      </c>
      <c r="W427" s="55" t="s">
        <v>315</v>
      </c>
      <c r="X427" s="41"/>
      <c r="Y427" s="41"/>
      <c r="Z427" s="41"/>
      <c r="AA427" s="68">
        <f>VLOOKUP(A427,'[1]DANH SÁCH'!$B$8:$AD$841,12,0)</f>
        <v>0</v>
      </c>
      <c r="AB427" s="49" t="str">
        <f>VLOOKUP(A427,'[1]DANH SÁCH'!$B$8:$H$841,6,0)</f>
        <v>TĐ009</v>
      </c>
      <c r="AC427" s="69" t="str">
        <f>VLOOKUP(A427,'[1]DANH SÁCH'!$B$8:$J$841,9,0)</f>
        <v>VT-TTBYT</v>
      </c>
      <c r="AD427" s="69" t="str">
        <f>VLOOKUP(A427,'[1]DANH SÁCH'!$B$8:$AC$841,10,0)</f>
        <v>KP038</v>
      </c>
      <c r="AE427" s="69" t="str">
        <f>VLOOKUP(A427,'[1]DANH SÁCH'!$B$8:$AD$841,13,0)</f>
        <v>Viên chức</v>
      </c>
      <c r="AF427" s="41" t="s">
        <v>2512</v>
      </c>
      <c r="AG427" s="42" t="str">
        <f>VLOOKUP(A427,'[1]DANH SÁCH'!$B$8:$H$841,7,0)</f>
        <v>Dược (hạng IV)</v>
      </c>
      <c r="AH427" s="45">
        <v>3.03</v>
      </c>
      <c r="AI427" s="42">
        <v>4</v>
      </c>
      <c r="AJ427" s="70">
        <v>0</v>
      </c>
      <c r="AK427" s="69">
        <v>45483</v>
      </c>
      <c r="AL427" s="71" t="s">
        <v>158</v>
      </c>
      <c r="AM427" s="53" t="str">
        <f>VLOOKUP(A427,'[1]DANH SÁCH'!$B$8:$F$841,5,0)</f>
        <v>Dược sỹ CĐ</v>
      </c>
      <c r="AN427" s="53"/>
      <c r="AO427" s="53"/>
      <c r="AP427" s="53"/>
      <c r="AQ427" s="53"/>
      <c r="AR427" s="42">
        <f>VLOOKUP(A427,'[1]Chứng chỉ'!$B$8:$Q$1111,11,0)</f>
        <v>0</v>
      </c>
      <c r="AS427" s="42">
        <f>VLOOKUP(A427,'[1]Chứng chỉ'!$B$8:$Q$1111,12,0)</f>
        <v>0</v>
      </c>
      <c r="AT427" s="47">
        <f>VLOOKUP(A427,'[1]Chứng chỉ'!$B$8:$Q$1111,13,0)</f>
        <v>0</v>
      </c>
      <c r="AU427" s="42" t="str">
        <f>VLOOKUP(A427,'[1]Chứng chỉ'!$B$8:$Q$1111,14,0)</f>
        <v>Anh B</v>
      </c>
      <c r="AV427" s="42">
        <f>VLOOKUP(A427,'[1]Chứng chỉ'!$B$8:$Q$1111,15,0)</f>
        <v>0</v>
      </c>
      <c r="AW427" s="42" t="str">
        <f>VLOOKUP(A427,'[1]Chứng chỉ'!$B$8:$Q$1111,16,0)</f>
        <v>B</v>
      </c>
      <c r="AX427" s="42"/>
      <c r="AY427" s="57" t="s">
        <v>85</v>
      </c>
      <c r="AZ427" s="65"/>
      <c r="BA427" s="74"/>
      <c r="BB427" s="74"/>
      <c r="BC427" s="41" t="s">
        <v>128</v>
      </c>
      <c r="BD427" s="42"/>
    </row>
    <row r="428" spans="1:56" ht="51" x14ac:dyDescent="0.3">
      <c r="A428" s="41" t="s">
        <v>3083</v>
      </c>
      <c r="B428" s="42">
        <f t="shared" si="110"/>
        <v>422</v>
      </c>
      <c r="C428" s="68" t="s">
        <v>3084</v>
      </c>
      <c r="D428" s="41" t="s">
        <v>3083</v>
      </c>
      <c r="E428" s="61">
        <v>1596013403</v>
      </c>
      <c r="F428" s="64"/>
      <c r="G428" s="49"/>
      <c r="H428" s="76">
        <v>25162</v>
      </c>
      <c r="I428" s="76"/>
      <c r="J428" s="66">
        <f t="shared" ref="J428:J434" ca="1" si="163">INT(DATEDIF(H428,$J$2,"d")/365)</f>
        <v>57</v>
      </c>
      <c r="K428" s="75" t="s">
        <v>3085</v>
      </c>
      <c r="L428" s="41" t="s">
        <v>1836</v>
      </c>
      <c r="M428" s="53" t="s">
        <v>67</v>
      </c>
      <c r="N428" s="66"/>
      <c r="O428" s="53" t="s">
        <v>3086</v>
      </c>
      <c r="P428" s="49" t="s">
        <v>195</v>
      </c>
      <c r="Q428" s="49" t="s">
        <v>94</v>
      </c>
      <c r="R428" s="49" t="s">
        <v>3087</v>
      </c>
      <c r="S428" s="49" t="s">
        <v>136</v>
      </c>
      <c r="T428" s="49" t="s">
        <v>97</v>
      </c>
      <c r="U428" s="49" t="s">
        <v>94</v>
      </c>
      <c r="V428" s="49" t="str">
        <f t="shared" si="155"/>
        <v>Phường Chi Lăng, Thành phố Lạng Sơn, Tỉnh Lạng Sơn</v>
      </c>
      <c r="W428" s="55" t="s">
        <v>3088</v>
      </c>
      <c r="X428" s="41"/>
      <c r="Y428" s="41"/>
      <c r="Z428" s="41"/>
      <c r="AA428" s="68">
        <f>VLOOKUP(A428,'[1]DANH SÁCH'!$B$8:$AD$841,12,0)</f>
        <v>0</v>
      </c>
      <c r="AB428" s="49" t="str">
        <f>VLOOKUP(A428,'[1]DANH SÁCH'!$B$8:$H$841,6,0)</f>
        <v>TĐ029</v>
      </c>
      <c r="AC428" s="69" t="str">
        <f>VLOOKUP(A428,'[1]DANH SÁCH'!$B$8:$J$841,9,0)</f>
        <v>VT-TTBYT</v>
      </c>
      <c r="AD428" s="69" t="str">
        <f>VLOOKUP(A428,'[1]DANH SÁCH'!$B$8:$AC$841,10,0)</f>
        <v>KP038</v>
      </c>
      <c r="AE428" s="69" t="str">
        <f>VLOOKUP(A428,'[1]DANH SÁCH'!$B$8:$AD$841,13,0)</f>
        <v>Viên chức</v>
      </c>
      <c r="AF428" s="140" t="s">
        <v>3089</v>
      </c>
      <c r="AG428" s="42" t="str">
        <f>VLOOKUP(A428,'[1]DANH SÁCH'!$B$8:$H$841,7,0)</f>
        <v>Cán sự</v>
      </c>
      <c r="AH428" s="45">
        <v>4.58</v>
      </c>
      <c r="AI428" s="42">
        <v>9</v>
      </c>
      <c r="AJ428" s="70">
        <v>0</v>
      </c>
      <c r="AK428" s="69">
        <v>45778</v>
      </c>
      <c r="AL428" s="71" t="s">
        <v>80</v>
      </c>
      <c r="AM428" s="53" t="str">
        <f>VLOOKUP(A428,'[1]DANH SÁCH'!$B$8:$F$841,5,0)</f>
        <v>Kỹ sư</v>
      </c>
      <c r="AN428" s="53"/>
      <c r="AO428" s="53" t="s">
        <v>3090</v>
      </c>
      <c r="AP428" s="53">
        <v>2011</v>
      </c>
      <c r="AQ428" s="72" t="s">
        <v>113</v>
      </c>
      <c r="AR428" s="42" t="s">
        <v>82</v>
      </c>
      <c r="AS428" s="42" t="s">
        <v>100</v>
      </c>
      <c r="AT428" s="47" t="s">
        <v>101</v>
      </c>
      <c r="AU428" s="42" t="str">
        <f>VLOOKUP(A428,'[1]Chứng chỉ'!$B$8:$Q$1111,14,0)</f>
        <v>Anh B</v>
      </c>
      <c r="AV428" s="42" t="str">
        <f>VLOOKUP(A428,'[1]Chứng chỉ'!$B$8:$Q$1111,15,0)</f>
        <v>Tày</v>
      </c>
      <c r="AW428" s="42" t="str">
        <f>VLOOKUP(A428,'[1]Chứng chỉ'!$B$8:$Q$1111,16,0)</f>
        <v>B</v>
      </c>
      <c r="AX428" s="42"/>
      <c r="AY428" s="57" t="s">
        <v>85</v>
      </c>
      <c r="AZ428" s="65">
        <v>38623</v>
      </c>
      <c r="BA428" s="74"/>
      <c r="BB428" s="74"/>
      <c r="BC428" s="41" t="s">
        <v>128</v>
      </c>
      <c r="BD428" s="42"/>
    </row>
    <row r="429" spans="1:56" ht="61.2" x14ac:dyDescent="0.3">
      <c r="A429" s="41" t="s">
        <v>3091</v>
      </c>
      <c r="B429" s="42">
        <f t="shared" si="110"/>
        <v>423</v>
      </c>
      <c r="C429" s="68" t="s">
        <v>3092</v>
      </c>
      <c r="D429" s="41" t="s">
        <v>3091</v>
      </c>
      <c r="E429" s="61">
        <v>1506001854</v>
      </c>
      <c r="F429" s="64"/>
      <c r="G429" s="49" t="s">
        <v>3093</v>
      </c>
      <c r="H429" s="76">
        <v>30505</v>
      </c>
      <c r="I429" s="76"/>
      <c r="J429" s="66">
        <f t="shared" ca="1" si="163"/>
        <v>43</v>
      </c>
      <c r="K429" s="75" t="s">
        <v>3094</v>
      </c>
      <c r="L429" s="41" t="s">
        <v>3095</v>
      </c>
      <c r="M429" s="53" t="s">
        <v>3096</v>
      </c>
      <c r="N429" s="66" t="s">
        <v>3097</v>
      </c>
      <c r="O429" s="53" t="s">
        <v>3098</v>
      </c>
      <c r="P429" s="49" t="s">
        <v>872</v>
      </c>
      <c r="Q429" s="49" t="s">
        <v>873</v>
      </c>
      <c r="R429" s="49" t="s">
        <v>3099</v>
      </c>
      <c r="S429" s="49" t="s">
        <v>96</v>
      </c>
      <c r="T429" s="49" t="s">
        <v>97</v>
      </c>
      <c r="U429" s="49" t="s">
        <v>94</v>
      </c>
      <c r="V429" s="49" t="str">
        <f t="shared" si="155"/>
        <v>Phường Hoàng Văn Thụ, Thành phố Lạng Sơn, Tỉnh Lạng Sơn</v>
      </c>
      <c r="W429" s="55" t="s">
        <v>315</v>
      </c>
      <c r="X429" s="41"/>
      <c r="Y429" s="41"/>
      <c r="Z429" s="41"/>
      <c r="AA429" s="68" t="str">
        <f>VLOOKUP(A429,'[1]DANH SÁCH'!$B$8:$AD$841,12,0)</f>
        <v>Trưởng phòng</v>
      </c>
      <c r="AB429" s="49" t="str">
        <f>VLOOKUP(A429,'[1]DANH SÁCH'!$B$8:$H$841,6,0)</f>
        <v>TĐ029</v>
      </c>
      <c r="AC429" s="69" t="str">
        <f>VLOOKUP(A429,'[1]DANH SÁCH'!$B$8:$J$841,9,0)</f>
        <v>VT-TTBYT</v>
      </c>
      <c r="AD429" s="69" t="str">
        <f>VLOOKUP(A429,'[1]DANH SÁCH'!$B$8:$AC$841,10,0)</f>
        <v>KP038</v>
      </c>
      <c r="AE429" s="69" t="str">
        <f>VLOOKUP(A429,'[1]DANH SÁCH'!$B$8:$AD$841,13,0)</f>
        <v>Viên chức</v>
      </c>
      <c r="AF429" s="83" t="s">
        <v>3100</v>
      </c>
      <c r="AG429" s="42" t="str">
        <f>VLOOKUP(A429,'[1]DANH SÁCH'!$B$8:$H$841,7,0)</f>
        <v>Kỹ sư (hạng III)</v>
      </c>
      <c r="AH429" s="45">
        <v>3.33</v>
      </c>
      <c r="AI429" s="42">
        <v>4</v>
      </c>
      <c r="AJ429" s="70">
        <v>0</v>
      </c>
      <c r="AK429" s="69">
        <v>45636</v>
      </c>
      <c r="AL429" s="71" t="s">
        <v>80</v>
      </c>
      <c r="AM429" s="53" t="str">
        <f>VLOOKUP(A429,'[1]DANH SÁCH'!$B$8:$F$841,5,0)</f>
        <v>Kỹ sư</v>
      </c>
      <c r="AN429" s="53"/>
      <c r="AO429" s="53" t="s">
        <v>3090</v>
      </c>
      <c r="AP429" s="53">
        <v>2018</v>
      </c>
      <c r="AQ429" s="72" t="s">
        <v>113</v>
      </c>
      <c r="AR429" s="42" t="s">
        <v>82</v>
      </c>
      <c r="AS429" s="42">
        <f>VLOOKUP(A429,'[1]Chứng chỉ'!$B$8:$Q$1111,12,0)</f>
        <v>0</v>
      </c>
      <c r="AT429" s="47" t="s">
        <v>101</v>
      </c>
      <c r="AU429" s="42" t="str">
        <f>VLOOKUP(A429,'[1]Chứng chỉ'!$B$8:$Q$1111,14,0)</f>
        <v>Anh B</v>
      </c>
      <c r="AV429" s="42" t="str">
        <f>VLOOKUP(A429,'[1]Chứng chỉ'!$B$8:$Q$1111,15,0)</f>
        <v>Tày</v>
      </c>
      <c r="AW429" s="42" t="str">
        <f>VLOOKUP(A429,'[1]Chứng chỉ'!$B$8:$Q$1111,16,0)</f>
        <v>A</v>
      </c>
      <c r="AX429" s="42"/>
      <c r="AY429" s="57" t="s">
        <v>87</v>
      </c>
      <c r="AZ429" s="65">
        <v>41067</v>
      </c>
      <c r="BA429" s="74"/>
      <c r="BB429" s="74"/>
      <c r="BC429" s="41"/>
      <c r="BD429" s="42"/>
    </row>
    <row r="430" spans="1:56" ht="51" x14ac:dyDescent="0.3">
      <c r="A430" s="41" t="s">
        <v>3101</v>
      </c>
      <c r="B430" s="42">
        <f t="shared" si="110"/>
        <v>424</v>
      </c>
      <c r="C430" s="68" t="s">
        <v>3102</v>
      </c>
      <c r="D430" s="41" t="s">
        <v>3101</v>
      </c>
      <c r="E430" s="61">
        <v>1596007624</v>
      </c>
      <c r="F430" s="64"/>
      <c r="G430" s="49"/>
      <c r="H430" s="76">
        <v>25676</v>
      </c>
      <c r="I430" s="76"/>
      <c r="J430" s="66">
        <f t="shared" ca="1" si="163"/>
        <v>56</v>
      </c>
      <c r="K430" s="75" t="s">
        <v>3103</v>
      </c>
      <c r="L430" s="41" t="s">
        <v>3104</v>
      </c>
      <c r="M430" s="53" t="s">
        <v>67</v>
      </c>
      <c r="N430" s="66" t="s">
        <v>3105</v>
      </c>
      <c r="O430" s="53" t="s">
        <v>3106</v>
      </c>
      <c r="P430" s="49" t="s">
        <v>155</v>
      </c>
      <c r="Q430" s="49" t="s">
        <v>94</v>
      </c>
      <c r="R430" s="49" t="s">
        <v>3107</v>
      </c>
      <c r="S430" s="49" t="s">
        <v>136</v>
      </c>
      <c r="T430" s="49" t="s">
        <v>97</v>
      </c>
      <c r="U430" s="49" t="s">
        <v>94</v>
      </c>
      <c r="V430" s="49" t="str">
        <f t="shared" si="155"/>
        <v>Phường Chi Lăng, Thành phố Lạng Sơn, Tỉnh Lạng Sơn</v>
      </c>
      <c r="W430" s="55" t="s">
        <v>3108</v>
      </c>
      <c r="X430" s="41"/>
      <c r="Y430" s="41"/>
      <c r="Z430" s="41"/>
      <c r="AA430" s="68">
        <f>VLOOKUP(A430,'[1]DANH SÁCH'!$B$8:$AD$841,12,0)</f>
        <v>0</v>
      </c>
      <c r="AB430" s="49" t="str">
        <f>VLOOKUP(A430,'[1]DANH SÁCH'!$B$8:$H$841,6,0)</f>
        <v>TĐ040</v>
      </c>
      <c r="AC430" s="69" t="str">
        <f>VLOOKUP(A430,'[1]DANH SÁCH'!$B$8:$J$841,9,0)</f>
        <v>VT-TTBYT</v>
      </c>
      <c r="AD430" s="69" t="str">
        <f>VLOOKUP(A430,'[1]DANH SÁCH'!$B$8:$AC$841,10,0)</f>
        <v>KP038</v>
      </c>
      <c r="AE430" s="69" t="str">
        <f>VLOOKUP(A430,'[1]DANH SÁCH'!$B$8:$AD$841,13,0)</f>
        <v>Viên chức</v>
      </c>
      <c r="AF430" s="41" t="s">
        <v>257</v>
      </c>
      <c r="AG430" s="42" t="str">
        <f>VLOOKUP(A430,'[1]DANH SÁCH'!$B$8:$H$841,7,0)</f>
        <v>Kỹ thuật viên (hạng IV)</v>
      </c>
      <c r="AH430" s="45">
        <v>3.46</v>
      </c>
      <c r="AI430" s="42">
        <v>9</v>
      </c>
      <c r="AJ430" s="70">
        <v>0</v>
      </c>
      <c r="AK430" s="69">
        <v>45488</v>
      </c>
      <c r="AL430" s="71" t="s">
        <v>158</v>
      </c>
      <c r="AM430" s="53" t="str">
        <f>VLOOKUP(A430,'[1]DANH SÁCH'!$B$8:$F$841,5,0)</f>
        <v>CĐ y sinh</v>
      </c>
      <c r="AN430" s="53"/>
      <c r="AO430" s="53" t="s">
        <v>3090</v>
      </c>
      <c r="AP430" s="53">
        <v>2008</v>
      </c>
      <c r="AQ430" s="72" t="s">
        <v>113</v>
      </c>
      <c r="AR430" s="42">
        <f>VLOOKUP(A430,'[1]Chứng chỉ'!$B$8:$Q$1111,11,0)</f>
        <v>0</v>
      </c>
      <c r="AS430" s="42">
        <f>VLOOKUP(A430,'[1]Chứng chỉ'!$B$8:$Q$1111,12,0)</f>
        <v>0</v>
      </c>
      <c r="AT430" s="47">
        <f>VLOOKUP(A430,'[1]Chứng chỉ'!$B$8:$Q$1111,13,0)</f>
        <v>0</v>
      </c>
      <c r="AU430" s="42">
        <f>VLOOKUP(A430,'[1]Chứng chỉ'!$B$8:$Q$1111,14,0)</f>
        <v>0</v>
      </c>
      <c r="AV430" s="42">
        <f>VLOOKUP(A430,'[1]Chứng chỉ'!$B$8:$Q$1111,15,0)</f>
        <v>0</v>
      </c>
      <c r="AW430" s="42">
        <f>VLOOKUP(A430,'[1]Chứng chỉ'!$B$8:$Q$1111,16,0)</f>
        <v>0</v>
      </c>
      <c r="AX430" s="42"/>
      <c r="AY430" s="57" t="s">
        <v>127</v>
      </c>
      <c r="AZ430" s="65">
        <v>40490</v>
      </c>
      <c r="BA430" s="74"/>
      <c r="BB430" s="74"/>
      <c r="BC430" s="41" t="s">
        <v>128</v>
      </c>
      <c r="BD430" s="42"/>
    </row>
    <row r="431" spans="1:56" ht="61.2" x14ac:dyDescent="0.3">
      <c r="A431" s="41" t="s">
        <v>3109</v>
      </c>
      <c r="B431" s="42">
        <f t="shared" si="110"/>
        <v>425</v>
      </c>
      <c r="C431" s="68" t="s">
        <v>3110</v>
      </c>
      <c r="D431" s="41" t="s">
        <v>3109</v>
      </c>
      <c r="E431" s="61">
        <v>2013002140</v>
      </c>
      <c r="F431" s="64"/>
      <c r="G431" s="49"/>
      <c r="H431" s="76">
        <v>33004</v>
      </c>
      <c r="I431" s="76"/>
      <c r="J431" s="66">
        <f t="shared" ca="1" si="163"/>
        <v>36</v>
      </c>
      <c r="K431" s="75" t="s">
        <v>3111</v>
      </c>
      <c r="L431" s="41" t="s">
        <v>3112</v>
      </c>
      <c r="M431" s="53" t="s">
        <v>67</v>
      </c>
      <c r="N431" s="66" t="s">
        <v>428</v>
      </c>
      <c r="O431" s="85" t="s">
        <v>821</v>
      </c>
      <c r="P431" s="49" t="s">
        <v>195</v>
      </c>
      <c r="Q431" s="49" t="s">
        <v>94</v>
      </c>
      <c r="R431" s="76" t="s">
        <v>3113</v>
      </c>
      <c r="S431" s="49" t="s">
        <v>166</v>
      </c>
      <c r="T431" s="49" t="s">
        <v>97</v>
      </c>
      <c r="U431" s="49" t="s">
        <v>94</v>
      </c>
      <c r="V431" s="49" t="str">
        <f t="shared" si="155"/>
        <v>Phường Tam Thanh, Thành phố Lạng Sơn, Tỉnh Lạng Sơn</v>
      </c>
      <c r="W431" s="55" t="s">
        <v>315</v>
      </c>
      <c r="X431" s="41"/>
      <c r="Y431" s="41"/>
      <c r="Z431" s="41"/>
      <c r="AA431" s="68">
        <f>VLOOKUP(A431,'[1]DANH SÁCH'!$B$8:$AD$841,12,0)</f>
        <v>0</v>
      </c>
      <c r="AB431" s="49" t="str">
        <f>VLOOKUP(A431,'[1]DANH SÁCH'!$B$8:$H$841,6,0)</f>
        <v>TĐ041</v>
      </c>
      <c r="AC431" s="69" t="str">
        <f>VLOOKUP(A431,'[1]DANH SÁCH'!$B$8:$J$841,9,0)</f>
        <v>VT-TTBYT</v>
      </c>
      <c r="AD431" s="69" t="str">
        <f>VLOOKUP(A431,'[1]DANH SÁCH'!$B$8:$AC$841,10,0)</f>
        <v>KP038</v>
      </c>
      <c r="AE431" s="69" t="str">
        <f>VLOOKUP(A431,'[1]DANH SÁCH'!$B$8:$AD$841,13,0)</f>
        <v>Viên chức</v>
      </c>
      <c r="AF431" s="83" t="s">
        <v>3100</v>
      </c>
      <c r="AG431" s="42" t="str">
        <f>VLOOKUP(A431,'[1]DANH SÁCH'!$B$8:$H$841,7,0)</f>
        <v>Kỹ thuật viên (hạng IV)</v>
      </c>
      <c r="AH431" s="45">
        <v>3.26</v>
      </c>
      <c r="AI431" s="42">
        <v>8</v>
      </c>
      <c r="AJ431" s="70">
        <v>0</v>
      </c>
      <c r="AK431" s="69">
        <v>46001</v>
      </c>
      <c r="AL431" s="71" t="s">
        <v>158</v>
      </c>
      <c r="AM431" s="53" t="str">
        <f>VLOOKUP(A431,'[1]DANH SÁCH'!$B$8:$F$841,5,0)</f>
        <v>CV cao đẳng</v>
      </c>
      <c r="AN431" s="53"/>
      <c r="AO431" s="53" t="s">
        <v>3114</v>
      </c>
      <c r="AP431" s="53">
        <v>2011</v>
      </c>
      <c r="AQ431" s="72" t="s">
        <v>113</v>
      </c>
      <c r="AR431" s="42">
        <f>VLOOKUP(A431,'[1]Chứng chỉ'!$B$8:$Q$1111,11,0)</f>
        <v>0</v>
      </c>
      <c r="AS431" s="42">
        <f>VLOOKUP(A431,'[1]Chứng chỉ'!$B$8:$Q$1111,12,0)</f>
        <v>0</v>
      </c>
      <c r="AT431" s="47">
        <f>VLOOKUP(A431,'[1]Chứng chỉ'!$B$8:$Q$1111,13,0)</f>
        <v>0</v>
      </c>
      <c r="AU431" s="42" t="str">
        <f>VLOOKUP(A431,'[1]Chứng chỉ'!$B$8:$Q$1111,14,0)</f>
        <v>Anh C</v>
      </c>
      <c r="AV431" s="42">
        <f>VLOOKUP(A431,'[1]Chứng chỉ'!$B$8:$Q$1111,15,0)</f>
        <v>0</v>
      </c>
      <c r="AW431" s="42" t="str">
        <f>VLOOKUP(A431,'[1]Chứng chỉ'!$B$8:$Q$1111,16,0)</f>
        <v>Tin B</v>
      </c>
      <c r="AX431" s="42"/>
      <c r="AY431" s="57" t="s">
        <v>85</v>
      </c>
      <c r="AZ431" s="65"/>
      <c r="BA431" s="74"/>
      <c r="BB431" s="74"/>
      <c r="BC431" s="61" t="s">
        <v>128</v>
      </c>
      <c r="BD431" s="62"/>
    </row>
    <row r="432" spans="1:56" ht="51" x14ac:dyDescent="0.3">
      <c r="A432" s="102" t="s">
        <v>3115</v>
      </c>
      <c r="B432" s="42">
        <f t="shared" si="110"/>
        <v>426</v>
      </c>
      <c r="C432" s="93" t="s">
        <v>3116</v>
      </c>
      <c r="D432" s="102" t="s">
        <v>3115</v>
      </c>
      <c r="E432" s="61" t="s">
        <v>3117</v>
      </c>
      <c r="F432" s="122"/>
      <c r="G432" s="49" t="s">
        <v>3118</v>
      </c>
      <c r="H432" s="111" t="s">
        <v>3119</v>
      </c>
      <c r="I432" s="102"/>
      <c r="J432" s="66">
        <f t="shared" ca="1" si="163"/>
        <v>54</v>
      </c>
      <c r="K432" s="75" t="s">
        <v>3120</v>
      </c>
      <c r="L432" s="120" t="s">
        <v>3121</v>
      </c>
      <c r="M432" s="53" t="s">
        <v>67</v>
      </c>
      <c r="N432" s="131" t="s">
        <v>3122</v>
      </c>
      <c r="O432" s="132" t="s">
        <v>3123</v>
      </c>
      <c r="P432" s="115" t="s">
        <v>605</v>
      </c>
      <c r="Q432" s="115" t="s">
        <v>71</v>
      </c>
      <c r="R432" s="115" t="s">
        <v>3124</v>
      </c>
      <c r="S432" s="115" t="s">
        <v>96</v>
      </c>
      <c r="T432" s="115" t="s">
        <v>379</v>
      </c>
      <c r="U432" s="115" t="s">
        <v>71</v>
      </c>
      <c r="V432" s="49" t="str">
        <f t="shared" si="155"/>
        <v>Phường Hoàng Văn Thụ, TP. Lạng Sơn, Lạng Sơn</v>
      </c>
      <c r="W432" s="130" t="s">
        <v>3125</v>
      </c>
      <c r="X432" s="120" t="s">
        <v>3126</v>
      </c>
      <c r="Y432" s="120" t="s">
        <v>3127</v>
      </c>
      <c r="Z432" s="120" t="s">
        <v>3125</v>
      </c>
      <c r="AA432" s="68" t="str">
        <f>VLOOKUP(A432,'[1]DANH SÁCH'!$B$8:$AD$841,12,0)</f>
        <v>Trưởng phòng</v>
      </c>
      <c r="AB432" s="49" t="str">
        <f>VLOOKUP(A432,'[1]DANH SÁCH'!$B$8:$H$841,6,0)</f>
        <v>TĐ003</v>
      </c>
      <c r="AC432" s="69" t="str">
        <f>VLOOKUP(A432,'[1]DANH SÁCH'!$B$8:$J$841,9,0)</f>
        <v>TCCB</v>
      </c>
      <c r="AD432" s="69" t="str">
        <f>VLOOKUP(A432,'[1]DANH SÁCH'!$B$8:$AC$841,10,0)</f>
        <v>KP039</v>
      </c>
      <c r="AE432" s="69" t="str">
        <f>VLOOKUP(A432,'[1]DANH SÁCH'!$B$8:$AD$841,13,0)</f>
        <v>Viên chức</v>
      </c>
      <c r="AF432" s="41" t="s">
        <v>274</v>
      </c>
      <c r="AG432" s="92" t="s">
        <v>296</v>
      </c>
      <c r="AH432" s="45">
        <v>5.08</v>
      </c>
      <c r="AI432" s="42">
        <v>3</v>
      </c>
      <c r="AJ432" s="70">
        <v>0</v>
      </c>
      <c r="AK432" s="69">
        <v>45597</v>
      </c>
      <c r="AL432" s="71" t="s">
        <v>80</v>
      </c>
      <c r="AM432" s="53" t="str">
        <f>VLOOKUP(A432,'[1]DANH SÁCH'!$B$8:$F$841,5,0)</f>
        <v>BSCKI</v>
      </c>
      <c r="AN432" s="53" t="s">
        <v>2177</v>
      </c>
      <c r="AO432" s="53" t="s">
        <v>880</v>
      </c>
      <c r="AP432" s="53">
        <v>2013</v>
      </c>
      <c r="AQ432" s="72" t="s">
        <v>113</v>
      </c>
      <c r="AR432" s="42" t="s">
        <v>82</v>
      </c>
      <c r="AS432" s="42" t="str">
        <f>VLOOKUP(A432,'[1]Chứng chỉ'!$B$8:$Q$1111,12,0)</f>
        <v>x</v>
      </c>
      <c r="AT432" s="47" t="s">
        <v>101</v>
      </c>
      <c r="AU432" s="42" t="str">
        <f>VLOOKUP(A432,'[1]Chứng chỉ'!$B$8:$Q$1111,14,0)</f>
        <v>Anh C</v>
      </c>
      <c r="AV432" s="42">
        <f>VLOOKUP(A432,'[1]Chứng chỉ'!$B$8:$Q$1111,15,0)</f>
        <v>0</v>
      </c>
      <c r="AW432" s="42" t="str">
        <f>VLOOKUP(A432,'[1]Chứng chỉ'!$B$8:$Q$1111,16,0)</f>
        <v>Tin B</v>
      </c>
      <c r="AX432" s="115"/>
      <c r="AY432" s="115" t="s">
        <v>87</v>
      </c>
      <c r="AZ432" s="65">
        <v>36308</v>
      </c>
      <c r="BA432" s="74" t="e">
        <f>VLOOKUP(A432,#REF!,4,0)</f>
        <v>#REF!</v>
      </c>
      <c r="BB432" s="74" t="e">
        <f>VLOOKUP(A432,#REF!,5,0)</f>
        <v>#REF!</v>
      </c>
      <c r="BC432" s="61" t="s">
        <v>128</v>
      </c>
      <c r="BD432" s="62"/>
    </row>
    <row r="433" spans="1:56" ht="61.2" x14ac:dyDescent="0.3">
      <c r="A433" s="41" t="s">
        <v>3128</v>
      </c>
      <c r="B433" s="42">
        <f t="shared" si="110"/>
        <v>427</v>
      </c>
      <c r="C433" s="68" t="s">
        <v>3129</v>
      </c>
      <c r="D433" s="41" t="s">
        <v>3128</v>
      </c>
      <c r="E433" s="61">
        <v>1597020320</v>
      </c>
      <c r="F433" s="64"/>
      <c r="G433" s="49" t="s">
        <v>3130</v>
      </c>
      <c r="H433" s="76">
        <v>27080</v>
      </c>
      <c r="I433" s="76"/>
      <c r="J433" s="66">
        <f t="shared" ca="1" si="163"/>
        <v>52</v>
      </c>
      <c r="K433" s="75" t="s">
        <v>3131</v>
      </c>
      <c r="L433" s="41" t="s">
        <v>3132</v>
      </c>
      <c r="M433" s="53" t="s">
        <v>67</v>
      </c>
      <c r="N433" s="66" t="s">
        <v>3133</v>
      </c>
      <c r="O433" s="53" t="s">
        <v>3134</v>
      </c>
      <c r="P433" s="49" t="s">
        <v>155</v>
      </c>
      <c r="Q433" s="49" t="s">
        <v>94</v>
      </c>
      <c r="R433" s="49" t="s">
        <v>3135</v>
      </c>
      <c r="S433" s="49" t="s">
        <v>124</v>
      </c>
      <c r="T433" s="49" t="s">
        <v>97</v>
      </c>
      <c r="U433" s="49" t="s">
        <v>94</v>
      </c>
      <c r="V433" s="49" t="str">
        <f t="shared" si="155"/>
        <v>Phường Đông Kinh, Thành phố Lạng Sơn, Tỉnh Lạng Sơn</v>
      </c>
      <c r="W433" s="55" t="s">
        <v>3136</v>
      </c>
      <c r="X433" s="41"/>
      <c r="Y433" s="41"/>
      <c r="Z433" s="41"/>
      <c r="AA433" s="68">
        <f>VLOOKUP(A433,'[1]DANH SÁCH'!$B$8:$AD$841,12,0)</f>
        <v>0</v>
      </c>
      <c r="AB433" s="49" t="str">
        <f>VLOOKUP(A433,'[1]DANH SÁCH'!$B$8:$H$841,6,0)</f>
        <v>TĐ028</v>
      </c>
      <c r="AC433" s="69" t="str">
        <f>VLOOKUP(A433,'[1]DANH SÁCH'!$B$8:$J$841,9,0)</f>
        <v>TCCB</v>
      </c>
      <c r="AD433" s="69" t="str">
        <f>VLOOKUP(A433,'[1]DANH SÁCH'!$B$8:$AC$841,10,0)</f>
        <v>KP039</v>
      </c>
      <c r="AE433" s="69" t="str">
        <f>VLOOKUP(A433,'[1]DANH SÁCH'!$B$8:$AD$841,13,0)</f>
        <v>Viên chức</v>
      </c>
      <c r="AF433" s="141" t="s">
        <v>3137</v>
      </c>
      <c r="AG433" s="42" t="str">
        <f>VLOOKUP(A433,'[1]DANH SÁCH'!$B$8:$H$841,7,0)</f>
        <v>Công nghệ thông tin (hạng IV)</v>
      </c>
      <c r="AH433" s="45">
        <v>4.0599999999999996</v>
      </c>
      <c r="AI433" s="42">
        <v>12</v>
      </c>
      <c r="AJ433" s="70">
        <v>0.12</v>
      </c>
      <c r="AK433" s="69">
        <v>45901</v>
      </c>
      <c r="AL433" s="71" t="s">
        <v>101</v>
      </c>
      <c r="AM433" s="53" t="str">
        <f>VLOOKUP(A433,'[1]DANH SÁCH'!$B$8:$F$841,5,0)</f>
        <v>TC CNTT</v>
      </c>
      <c r="AN433" s="53"/>
      <c r="AO433" s="53" t="s">
        <v>3138</v>
      </c>
      <c r="AP433" s="53">
        <v>2002</v>
      </c>
      <c r="AQ433" s="72" t="s">
        <v>113</v>
      </c>
      <c r="AR433" s="42">
        <f>VLOOKUP(A433,'[1]Chứng chỉ'!$B$8:$Q$1111,11,0)</f>
        <v>0</v>
      </c>
      <c r="AS433" s="42">
        <f>VLOOKUP(A433,'[1]Chứng chỉ'!$B$8:$Q$1111,12,0)</f>
        <v>0</v>
      </c>
      <c r="AT433" s="47">
        <f>VLOOKUP(A433,'[1]Chứng chỉ'!$B$8:$Q$1111,13,0)</f>
        <v>0</v>
      </c>
      <c r="AU433" s="42" t="str">
        <f>VLOOKUP(A433,'[1]Chứng chỉ'!$B$8:$Q$1111,14,0)</f>
        <v>Anh B</v>
      </c>
      <c r="AV433" s="42">
        <f>VLOOKUP(A433,'[1]Chứng chỉ'!$B$8:$Q$1111,15,0)</f>
        <v>0</v>
      </c>
      <c r="AW433" s="42" t="str">
        <f>VLOOKUP(A433,'[1]Chứng chỉ'!$B$8:$Q$1111,16,0)</f>
        <v>TC</v>
      </c>
      <c r="AX433" s="42"/>
      <c r="AY433" s="57" t="s">
        <v>85</v>
      </c>
      <c r="AZ433" s="65">
        <v>37435</v>
      </c>
      <c r="BA433" s="74"/>
      <c r="BB433" s="74"/>
      <c r="BC433" s="41" t="s">
        <v>128</v>
      </c>
      <c r="BD433" s="42"/>
    </row>
    <row r="434" spans="1:56" ht="51" x14ac:dyDescent="0.3">
      <c r="A434" s="41" t="s">
        <v>3139</v>
      </c>
      <c r="B434" s="42">
        <f t="shared" si="110"/>
        <v>428</v>
      </c>
      <c r="C434" s="68" t="s">
        <v>3140</v>
      </c>
      <c r="D434" s="41" t="s">
        <v>3139</v>
      </c>
      <c r="E434" s="61" t="s">
        <v>3141</v>
      </c>
      <c r="F434" s="64"/>
      <c r="G434" s="49" t="s">
        <v>3142</v>
      </c>
      <c r="H434" s="76">
        <v>32840</v>
      </c>
      <c r="I434" s="76"/>
      <c r="J434" s="66">
        <f t="shared" ca="1" si="163"/>
        <v>36</v>
      </c>
      <c r="K434" s="75" t="s">
        <v>3143</v>
      </c>
      <c r="L434" s="41" t="s">
        <v>3144</v>
      </c>
      <c r="M434" s="53" t="s">
        <v>67</v>
      </c>
      <c r="N434" s="66"/>
      <c r="O434" s="53" t="s">
        <v>3145</v>
      </c>
      <c r="P434" s="49" t="s">
        <v>182</v>
      </c>
      <c r="Q434" s="49" t="s">
        <v>94</v>
      </c>
      <c r="R434" s="49"/>
      <c r="S434" s="49" t="s">
        <v>184</v>
      </c>
      <c r="T434" s="49" t="s">
        <v>182</v>
      </c>
      <c r="U434" s="49" t="s">
        <v>94</v>
      </c>
      <c r="V434" s="49" t="str">
        <f t="shared" si="155"/>
        <v>Thị trấn Lộc Bình, Huyện Lộc Bình, Tỉnh Lạng Sơn</v>
      </c>
      <c r="W434" s="86" t="s">
        <v>249</v>
      </c>
      <c r="X434" s="41"/>
      <c r="Y434" s="41"/>
      <c r="Z434" s="41"/>
      <c r="AA434" s="68">
        <f>VLOOKUP(A434,'[1]DANH SÁCH'!$B$8:$AD$841,12,0)</f>
        <v>0</v>
      </c>
      <c r="AB434" s="49" t="str">
        <f>VLOOKUP(A434,'[1]DANH SÁCH'!$B$8:$H$841,6,0)</f>
        <v>TĐ031</v>
      </c>
      <c r="AC434" s="69" t="str">
        <f>VLOOKUP(A434,'[1]DANH SÁCH'!$B$8:$J$841,9,0)</f>
        <v>TCCB</v>
      </c>
      <c r="AD434" s="69" t="str">
        <f>VLOOKUP(A434,'[1]DANH SÁCH'!$B$8:$AC$841,10,0)</f>
        <v>KP039</v>
      </c>
      <c r="AE434" s="69" t="str">
        <f>VLOOKUP(A434,'[1]DANH SÁCH'!$B$8:$AD$841,13,0)</f>
        <v>Viên chức</v>
      </c>
      <c r="AF434" s="83" t="s">
        <v>3100</v>
      </c>
      <c r="AG434" s="42" t="str">
        <f>VLOOKUP(A434,'[1]DANH SÁCH'!$B$8:$H$841,7,0)</f>
        <v>Chuyên viên</v>
      </c>
      <c r="AH434" s="45">
        <v>3.33</v>
      </c>
      <c r="AI434" s="42">
        <v>4</v>
      </c>
      <c r="AJ434" s="70">
        <v>0</v>
      </c>
      <c r="AK434" s="69">
        <v>45413</v>
      </c>
      <c r="AL434" s="71" t="s">
        <v>80</v>
      </c>
      <c r="AM434" s="53" t="str">
        <f>VLOOKUP(A434,'[1]DANH SÁCH'!$B$8:$F$841,5,0)</f>
        <v>ĐH QTNL</v>
      </c>
      <c r="AN434" s="53"/>
      <c r="AO434" s="53" t="s">
        <v>3146</v>
      </c>
      <c r="AP434" s="53">
        <v>2012</v>
      </c>
      <c r="AQ434" s="72" t="s">
        <v>113</v>
      </c>
      <c r="AR434" s="42" t="s">
        <v>82</v>
      </c>
      <c r="AS434" s="42">
        <f>VLOOKUP(A434,'[1]Chứng chỉ'!$B$8:$Q$1111,12,0)</f>
        <v>0</v>
      </c>
      <c r="AT434" s="47" t="s">
        <v>139</v>
      </c>
      <c r="AU434" s="42" t="str">
        <f>VLOOKUP(A434,'[1]Chứng chỉ'!$B$8:$Q$1111,14,0)</f>
        <v>Anh B</v>
      </c>
      <c r="AV434" s="42">
        <f>VLOOKUP(A434,'[1]Chứng chỉ'!$B$8:$Q$1111,15,0)</f>
        <v>0</v>
      </c>
      <c r="AW434" s="42" t="str">
        <f>VLOOKUP(A434,'[1]Chứng chỉ'!$B$8:$Q$1111,16,0)</f>
        <v>B</v>
      </c>
      <c r="AX434" s="42"/>
      <c r="AY434" s="57" t="s">
        <v>85</v>
      </c>
      <c r="AZ434" s="65"/>
      <c r="BA434" s="74"/>
      <c r="BB434" s="74"/>
      <c r="BC434" s="41" t="s">
        <v>128</v>
      </c>
      <c r="BD434" s="42"/>
    </row>
    <row r="435" spans="1:56" ht="51" x14ac:dyDescent="0.3">
      <c r="A435" s="41" t="s">
        <v>3147</v>
      </c>
      <c r="B435" s="42">
        <f t="shared" si="110"/>
        <v>429</v>
      </c>
      <c r="C435" s="68" t="s">
        <v>3148</v>
      </c>
      <c r="D435" s="41" t="s">
        <v>3147</v>
      </c>
      <c r="E435" s="61">
        <v>2016000985</v>
      </c>
      <c r="F435" s="64"/>
      <c r="G435" s="49" t="s">
        <v>3149</v>
      </c>
      <c r="H435" s="76"/>
      <c r="I435" s="41" t="s">
        <v>3150</v>
      </c>
      <c r="J435" s="66">
        <f t="shared" ref="J435:J436" ca="1" si="164">INT(DATEDIF(I435,$J$2,"d")/365)</f>
        <v>34</v>
      </c>
      <c r="K435" s="75" t="s">
        <v>3151</v>
      </c>
      <c r="L435" s="41" t="s">
        <v>3152</v>
      </c>
      <c r="M435" s="53" t="s">
        <v>67</v>
      </c>
      <c r="N435" s="66"/>
      <c r="O435" s="53" t="s">
        <v>2996</v>
      </c>
      <c r="P435" s="49" t="s">
        <v>222</v>
      </c>
      <c r="Q435" s="49" t="s">
        <v>94</v>
      </c>
      <c r="R435" s="49" t="s">
        <v>3153</v>
      </c>
      <c r="S435" s="49" t="s">
        <v>166</v>
      </c>
      <c r="T435" s="49" t="s">
        <v>97</v>
      </c>
      <c r="U435" s="47" t="s">
        <v>71</v>
      </c>
      <c r="V435" s="49" t="str">
        <f t="shared" si="155"/>
        <v>Phường Tam Thanh, Thành phố Lạng Sơn, Lạng Sơn</v>
      </c>
      <c r="W435" s="55" t="s">
        <v>2626</v>
      </c>
      <c r="X435" s="41"/>
      <c r="Y435" s="41"/>
      <c r="Z435" s="41"/>
      <c r="AA435" s="68" t="str">
        <f>VLOOKUP(A435,'[1]DANH SÁCH'!$B$8:$AD$841,12,0)</f>
        <v>Phó trưởng phòng</v>
      </c>
      <c r="AB435" s="49" t="e">
        <f>VLOOKUP(A435,'[1]DANH SÁCH'!$B$8:$H$841,6,0)</f>
        <v>#N/A</v>
      </c>
      <c r="AC435" s="69" t="str">
        <f>VLOOKUP(A435,'[1]DANH SÁCH'!$B$8:$J$841,9,0)</f>
        <v>TCCB</v>
      </c>
      <c r="AD435" s="69" t="str">
        <f>VLOOKUP(A435,'[1]DANH SÁCH'!$B$8:$AC$841,10,0)</f>
        <v>KP039</v>
      </c>
      <c r="AE435" s="69" t="str">
        <f>VLOOKUP(A435,'[1]DANH SÁCH'!$B$8:$AD$841,13,0)</f>
        <v>Viên chức</v>
      </c>
      <c r="AF435" s="83" t="s">
        <v>3100</v>
      </c>
      <c r="AG435" s="42" t="str">
        <f>VLOOKUP(A435,'[1]DANH SÁCH'!$B$8:$H$841,7,0)</f>
        <v>Chuyên viên</v>
      </c>
      <c r="AH435" s="45">
        <v>3.33</v>
      </c>
      <c r="AI435" s="42">
        <v>4</v>
      </c>
      <c r="AJ435" s="70">
        <v>0</v>
      </c>
      <c r="AK435" s="69">
        <v>45858</v>
      </c>
      <c r="AL435" s="71" t="s">
        <v>80</v>
      </c>
      <c r="AM435" s="53" t="str">
        <f>VLOOKUP(A435,'[1]DANH SÁCH'!$B$8:$F$841,5,0)</f>
        <v>ThS QTNL</v>
      </c>
      <c r="AN435" s="53" t="s">
        <v>3154</v>
      </c>
      <c r="AO435" s="53" t="s">
        <v>3155</v>
      </c>
      <c r="AP435" s="53">
        <v>2013</v>
      </c>
      <c r="AQ435" s="72" t="s">
        <v>113</v>
      </c>
      <c r="AR435" s="42" t="s">
        <v>82</v>
      </c>
      <c r="AS435" s="42">
        <f>VLOOKUP(A435,'[1]Chứng chỉ'!$B$8:$Q$1111,12,0)</f>
        <v>0</v>
      </c>
      <c r="AT435" s="47" t="s">
        <v>139</v>
      </c>
      <c r="AU435" s="42" t="str">
        <f>VLOOKUP(A435,'[1]Chứng chỉ'!$B$8:$Q$1111,14,0)</f>
        <v>Anh B</v>
      </c>
      <c r="AV435" s="42" t="str">
        <f>VLOOKUP(A435,'[1]Chứng chỉ'!$B$8:$Q$1111,15,0)</f>
        <v>Tày</v>
      </c>
      <c r="AW435" s="42" t="str">
        <f>VLOOKUP(A435,'[1]Chứng chỉ'!$B$8:$Q$1111,16,0)</f>
        <v>B</v>
      </c>
      <c r="AX435" s="42"/>
      <c r="AY435" s="57" t="s">
        <v>127</v>
      </c>
      <c r="AZ435" s="65">
        <v>44476</v>
      </c>
      <c r="BA435" s="74"/>
      <c r="BB435" s="74"/>
      <c r="BC435" s="41" t="s">
        <v>128</v>
      </c>
      <c r="BD435" s="42"/>
    </row>
    <row r="436" spans="1:56" ht="20.399999999999999" x14ac:dyDescent="0.3">
      <c r="A436" s="47" t="s">
        <v>3156</v>
      </c>
      <c r="B436" s="42">
        <f t="shared" si="110"/>
        <v>430</v>
      </c>
      <c r="C436" s="110" t="s">
        <v>2702</v>
      </c>
      <c r="D436" s="47" t="s">
        <v>3156</v>
      </c>
      <c r="E436" s="61" t="s">
        <v>3157</v>
      </c>
      <c r="F436" s="64"/>
      <c r="G436" s="142" t="s">
        <v>3158</v>
      </c>
      <c r="H436" s="65"/>
      <c r="I436" s="65">
        <v>31025</v>
      </c>
      <c r="J436" s="66">
        <f t="shared" ca="1" si="164"/>
        <v>41</v>
      </c>
      <c r="K436" s="46" t="s">
        <v>3159</v>
      </c>
      <c r="L436" s="46" t="s">
        <v>3160</v>
      </c>
      <c r="M436" s="53" t="s">
        <v>67</v>
      </c>
      <c r="N436" s="52" t="s">
        <v>3161</v>
      </c>
      <c r="O436" s="56" t="s">
        <v>3162</v>
      </c>
      <c r="P436" s="47" t="s">
        <v>2015</v>
      </c>
      <c r="Q436" s="47" t="s">
        <v>71</v>
      </c>
      <c r="R436" s="64"/>
      <c r="S436" s="47" t="s">
        <v>3162</v>
      </c>
      <c r="T436" s="47" t="s">
        <v>2015</v>
      </c>
      <c r="U436" s="47" t="s">
        <v>71</v>
      </c>
      <c r="V436" s="47" t="s">
        <v>756</v>
      </c>
      <c r="W436" s="67" t="s">
        <v>3163</v>
      </c>
      <c r="X436" s="67" t="s">
        <v>3163</v>
      </c>
      <c r="Y436" s="46"/>
      <c r="Z436" s="46"/>
      <c r="AA436" s="68">
        <f>VLOOKUP(A436,'[1]DANH SÁCH'!$B$8:$AD$841,12,0)</f>
        <v>0</v>
      </c>
      <c r="AB436" s="49" t="str">
        <f>VLOOKUP(A436,'[1]DANH SÁCH'!$B$8:$H$841,6,0)</f>
        <v>TĐ033</v>
      </c>
      <c r="AC436" s="69" t="str">
        <f>VLOOKUP(A436,'[1]DANH SÁCH'!$B$8:$J$841,9,0)</f>
        <v>TCCB</v>
      </c>
      <c r="AD436" s="69" t="str">
        <f>VLOOKUP(A436,'[1]DANH SÁCH'!$B$8:$AC$841,10,0)</f>
        <v>KP039</v>
      </c>
      <c r="AE436" s="69" t="str">
        <f>VLOOKUP(A436,'[1]DANH SÁCH'!$B$8:$AD$841,13,0)</f>
        <v>Viên chức</v>
      </c>
      <c r="AF436" s="46" t="s">
        <v>3164</v>
      </c>
      <c r="AG436" s="47" t="s">
        <v>82</v>
      </c>
      <c r="AH436" s="45">
        <v>3</v>
      </c>
      <c r="AI436" s="42">
        <v>3</v>
      </c>
      <c r="AJ436" s="70">
        <v>0</v>
      </c>
      <c r="AK436" s="69">
        <v>45962</v>
      </c>
      <c r="AL436" s="71" t="s">
        <v>80</v>
      </c>
      <c r="AM436" s="53" t="str">
        <f>VLOOKUP(A436,'[1]DANH SÁCH'!$B$8:$F$841,5,0)</f>
        <v>Cử nhân Luật</v>
      </c>
      <c r="AN436" s="53"/>
      <c r="AO436" s="53" t="s">
        <v>1172</v>
      </c>
      <c r="AP436" s="53">
        <v>2018</v>
      </c>
      <c r="AQ436" s="72" t="s">
        <v>113</v>
      </c>
      <c r="AR436" s="42">
        <f>VLOOKUP(A436,'[1]Chứng chỉ'!$B$8:$Q$1111,11,0)</f>
        <v>0</v>
      </c>
      <c r="AS436" s="42">
        <f>VLOOKUP(A436,'[1]Chứng chỉ'!$B$8:$Q$1111,12,0)</f>
        <v>0</v>
      </c>
      <c r="AT436" s="47" t="s">
        <v>139</v>
      </c>
      <c r="AU436" s="42">
        <f>VLOOKUP(A436,'[1]Chứng chỉ'!$B$8:$Q$1111,14,0)</f>
        <v>0</v>
      </c>
      <c r="AV436" s="42">
        <f>VLOOKUP(A436,'[1]Chứng chỉ'!$B$8:$Q$1111,15,0)</f>
        <v>0</v>
      </c>
      <c r="AW436" s="42">
        <f>VLOOKUP(A436,'[1]Chứng chỉ'!$B$8:$Q$1111,16,0)</f>
        <v>0</v>
      </c>
      <c r="AX436" s="47"/>
      <c r="AY436" s="57" t="s">
        <v>85</v>
      </c>
      <c r="AZ436" s="65">
        <v>41555</v>
      </c>
      <c r="BA436" s="74"/>
      <c r="BB436" s="74"/>
      <c r="BC436" s="81"/>
      <c r="BD436" s="47"/>
    </row>
    <row r="437" spans="1:56" ht="61.2" x14ac:dyDescent="0.3">
      <c r="A437" s="41" t="s">
        <v>3165</v>
      </c>
      <c r="B437" s="42">
        <f t="shared" si="110"/>
        <v>431</v>
      </c>
      <c r="C437" s="68" t="s">
        <v>3166</v>
      </c>
      <c r="D437" s="41" t="s">
        <v>3165</v>
      </c>
      <c r="E437" s="61">
        <v>1596007587</v>
      </c>
      <c r="F437" s="64"/>
      <c r="G437" s="49" t="s">
        <v>3167</v>
      </c>
      <c r="H437" s="76">
        <v>26197</v>
      </c>
      <c r="I437" s="76"/>
      <c r="J437" s="66">
        <f t="shared" ref="J437:J438" ca="1" si="165">INT(DATEDIF(H437,$J$2,"d")/365)</f>
        <v>54</v>
      </c>
      <c r="K437" s="75" t="s">
        <v>3168</v>
      </c>
      <c r="L437" s="41" t="s">
        <v>3169</v>
      </c>
      <c r="M437" s="53" t="s">
        <v>67</v>
      </c>
      <c r="N437" s="66" t="s">
        <v>3170</v>
      </c>
      <c r="O437" s="85"/>
      <c r="P437" s="76" t="s">
        <v>2542</v>
      </c>
      <c r="Q437" s="76" t="s">
        <v>873</v>
      </c>
      <c r="R437" s="49"/>
      <c r="S437" s="76" t="s">
        <v>96</v>
      </c>
      <c r="T437" s="76" t="s">
        <v>97</v>
      </c>
      <c r="U437" s="76" t="s">
        <v>94</v>
      </c>
      <c r="V437" s="49" t="str">
        <f t="shared" ref="V437:V440" si="166">S437&amp;", "&amp;T437&amp;", "&amp;U437</f>
        <v>Phường Hoàng Văn Thụ, Thành phố Lạng Sơn, Tỉnh Lạng Sơn</v>
      </c>
      <c r="W437" s="55" t="s">
        <v>482</v>
      </c>
      <c r="X437" s="41"/>
      <c r="Y437" s="41"/>
      <c r="Z437" s="41"/>
      <c r="AA437" s="68" t="str">
        <f>VLOOKUP(A437,'[1]DANH SÁCH'!$B$8:$AD$841,12,0)</f>
        <v>Phó trưởng phòng</v>
      </c>
      <c r="AB437" s="49" t="str">
        <f>VLOOKUP(A437,'[1]DANH SÁCH'!$B$8:$H$841,6,0)</f>
        <v>TĐ011</v>
      </c>
      <c r="AC437" s="69" t="str">
        <f>VLOOKUP(A437,'[1]DANH SÁCH'!$B$8:$J$841,9,0)</f>
        <v>HCQT</v>
      </c>
      <c r="AD437" s="69" t="str">
        <f>VLOOKUP(A437,'[1]DANH SÁCH'!$B$8:$AC$841,10,0)</f>
        <v>KP040</v>
      </c>
      <c r="AE437" s="69" t="str">
        <f>VLOOKUP(A437,'[1]DANH SÁCH'!$B$8:$AD$841,13,0)</f>
        <v>Viên chức</v>
      </c>
      <c r="AF437" s="41" t="s">
        <v>147</v>
      </c>
      <c r="AG437" s="42" t="str">
        <f>VLOOKUP(A437,'[1]DANH SÁCH'!$B$8:$H$841,7,0)</f>
        <v>Điều dưỡng (hạng III)</v>
      </c>
      <c r="AH437" s="45">
        <v>4.9800000000000004</v>
      </c>
      <c r="AI437" s="42">
        <v>9</v>
      </c>
      <c r="AJ437" s="70">
        <v>0</v>
      </c>
      <c r="AK437" s="69">
        <v>44958</v>
      </c>
      <c r="AL437" s="71" t="s">
        <v>80</v>
      </c>
      <c r="AM437" s="53" t="str">
        <f>VLOOKUP(A437,'[1]DANH SÁCH'!$B$8:$F$841,5,0)</f>
        <v>Điều dưỡng ĐH</v>
      </c>
      <c r="AN437" s="53"/>
      <c r="AO437" s="53" t="s">
        <v>1130</v>
      </c>
      <c r="AP437" s="53">
        <v>2009</v>
      </c>
      <c r="AQ437" s="72" t="s">
        <v>113</v>
      </c>
      <c r="AR437" s="42" t="s">
        <v>82</v>
      </c>
      <c r="AS437" s="42" t="s">
        <v>100</v>
      </c>
      <c r="AT437" s="47" t="s">
        <v>101</v>
      </c>
      <c r="AU437" s="42" t="str">
        <f>VLOOKUP(A437,'[1]Chứng chỉ'!$B$8:$Q$1111,14,0)</f>
        <v>Anh A</v>
      </c>
      <c r="AV437" s="42" t="str">
        <f>VLOOKUP(A437,'[1]Chứng chỉ'!$B$8:$Q$1111,15,0)</f>
        <v>Tày</v>
      </c>
      <c r="AW437" s="42" t="str">
        <f>VLOOKUP(A437,'[1]Chứng chỉ'!$B$8:$Q$1111,16,0)</f>
        <v>Cơ bản</v>
      </c>
      <c r="AX437" s="42"/>
      <c r="AY437" s="57" t="s">
        <v>87</v>
      </c>
      <c r="AZ437" s="65">
        <v>39983</v>
      </c>
      <c r="BA437" s="74" t="e">
        <f>VLOOKUP(A437,#REF!,4,0)</f>
        <v>#REF!</v>
      </c>
      <c r="BB437" s="74" t="e">
        <f>VLOOKUP(A437,#REF!,5,0)</f>
        <v>#REF!</v>
      </c>
      <c r="BC437" s="41" t="s">
        <v>128</v>
      </c>
      <c r="BD437" s="42"/>
    </row>
    <row r="438" spans="1:56" ht="51" x14ac:dyDescent="0.3">
      <c r="A438" s="41" t="s">
        <v>3171</v>
      </c>
      <c r="B438" s="42">
        <f t="shared" si="110"/>
        <v>432</v>
      </c>
      <c r="C438" s="68" t="s">
        <v>3172</v>
      </c>
      <c r="D438" s="41" t="s">
        <v>3171</v>
      </c>
      <c r="E438" s="61">
        <v>1507002007</v>
      </c>
      <c r="F438" s="64"/>
      <c r="G438" s="49" t="s">
        <v>3173</v>
      </c>
      <c r="H438" s="76">
        <v>28735</v>
      </c>
      <c r="I438" s="76"/>
      <c r="J438" s="66">
        <f t="shared" ca="1" si="165"/>
        <v>47</v>
      </c>
      <c r="K438" s="75" t="s">
        <v>3174</v>
      </c>
      <c r="L438" s="41" t="s">
        <v>348</v>
      </c>
      <c r="M438" s="53" t="s">
        <v>67</v>
      </c>
      <c r="N438" s="66"/>
      <c r="O438" s="53" t="s">
        <v>214</v>
      </c>
      <c r="P438" s="49" t="s">
        <v>97</v>
      </c>
      <c r="Q438" s="49" t="s">
        <v>94</v>
      </c>
      <c r="R438" s="49"/>
      <c r="S438" s="49" t="s">
        <v>214</v>
      </c>
      <c r="T438" s="49" t="s">
        <v>97</v>
      </c>
      <c r="U438" s="49" t="s">
        <v>94</v>
      </c>
      <c r="V438" s="49" t="str">
        <f t="shared" si="166"/>
        <v>Xã Hoàng Đồng, Thành phố Lạng Sơn, Tỉnh Lạng Sơn</v>
      </c>
      <c r="W438" s="55" t="s">
        <v>98</v>
      </c>
      <c r="X438" s="41"/>
      <c r="Y438" s="41"/>
      <c r="Z438" s="41"/>
      <c r="AA438" s="68">
        <f>VLOOKUP(A438,'[1]DANH SÁCH'!$B$8:$AD$841,12,0)</f>
        <v>0</v>
      </c>
      <c r="AB438" s="49" t="str">
        <f>VLOOKUP(A438,'[1]DANH SÁCH'!$B$8:$H$841,6,0)</f>
        <v>TĐ029</v>
      </c>
      <c r="AC438" s="69" t="str">
        <f>VLOOKUP(A438,'[1]DANH SÁCH'!$B$8:$J$841,9,0)</f>
        <v>HCQT</v>
      </c>
      <c r="AD438" s="69" t="str">
        <f>VLOOKUP(A438,'[1]DANH SÁCH'!$B$8:$AC$841,10,0)</f>
        <v>KP040</v>
      </c>
      <c r="AE438" s="69" t="str">
        <f>VLOOKUP(A438,'[1]DANH SÁCH'!$B$8:$AD$841,13,0)</f>
        <v>Viên chức</v>
      </c>
      <c r="AF438" s="41" t="s">
        <v>3175</v>
      </c>
      <c r="AG438" s="42" t="str">
        <f>VLOOKUP(A438,'[1]DANH SÁCH'!$B$8:$H$841,7,0)</f>
        <v>Kỹ sư (hạng III)</v>
      </c>
      <c r="AH438" s="45">
        <v>3.99</v>
      </c>
      <c r="AI438" s="42">
        <v>6</v>
      </c>
      <c r="AJ438" s="70">
        <v>0</v>
      </c>
      <c r="AK438" s="69">
        <v>45444</v>
      </c>
      <c r="AL438" s="71" t="s">
        <v>80</v>
      </c>
      <c r="AM438" s="53" t="str">
        <f>VLOOKUP(A438,'[1]DANH SÁCH'!$B$8:$F$841,5,0)</f>
        <v>Kỹ sư</v>
      </c>
      <c r="AN438" s="53"/>
      <c r="AO438" s="53" t="s">
        <v>3176</v>
      </c>
      <c r="AP438" s="53">
        <v>2007</v>
      </c>
      <c r="AQ438" s="72" t="s">
        <v>113</v>
      </c>
      <c r="AR438" s="42">
        <f>VLOOKUP(A438,'[1]Chứng chỉ'!$B$8:$Q$1111,11,0)</f>
        <v>0</v>
      </c>
      <c r="AS438" s="42" t="s">
        <v>100</v>
      </c>
      <c r="AT438" s="47" t="s">
        <v>101</v>
      </c>
      <c r="AU438" s="42">
        <f>VLOOKUP(A438,'[1]Chứng chỉ'!$B$8:$Q$1111,14,0)</f>
        <v>0</v>
      </c>
      <c r="AV438" s="42">
        <f>VLOOKUP(A438,'[1]Chứng chỉ'!$B$8:$Q$1111,15,0)</f>
        <v>0</v>
      </c>
      <c r="AW438" s="42">
        <f>VLOOKUP(A438,'[1]Chứng chỉ'!$B$8:$Q$1111,16,0)</f>
        <v>0</v>
      </c>
      <c r="AX438" s="42"/>
      <c r="AY438" s="57" t="s">
        <v>85</v>
      </c>
      <c r="AZ438" s="65">
        <v>41592</v>
      </c>
      <c r="BA438" s="74"/>
      <c r="BB438" s="74"/>
      <c r="BC438" s="41" t="s">
        <v>128</v>
      </c>
      <c r="BD438" s="42"/>
    </row>
    <row r="439" spans="1:56" ht="40.799999999999997" x14ac:dyDescent="0.3">
      <c r="A439" s="41" t="s">
        <v>3177</v>
      </c>
      <c r="B439" s="42">
        <f t="shared" si="110"/>
        <v>433</v>
      </c>
      <c r="C439" s="68" t="s">
        <v>3178</v>
      </c>
      <c r="D439" s="41" t="s">
        <v>3177</v>
      </c>
      <c r="E439" s="61">
        <v>2013002120</v>
      </c>
      <c r="F439" s="64"/>
      <c r="G439" s="49" t="s">
        <v>3179</v>
      </c>
      <c r="H439" s="76"/>
      <c r="I439" s="76">
        <v>32433</v>
      </c>
      <c r="J439" s="66">
        <f t="shared" ref="J439:J442" ca="1" si="167">INT(DATEDIF(I439,$J$2,"d")/365)</f>
        <v>37</v>
      </c>
      <c r="K439" s="75" t="s">
        <v>3180</v>
      </c>
      <c r="L439" s="41" t="s">
        <v>3181</v>
      </c>
      <c r="M439" s="53" t="s">
        <v>67</v>
      </c>
      <c r="N439" s="66"/>
      <c r="O439" s="53" t="s">
        <v>3182</v>
      </c>
      <c r="P439" s="76" t="s">
        <v>343</v>
      </c>
      <c r="Q439" s="49" t="s">
        <v>94</v>
      </c>
      <c r="R439" s="49"/>
      <c r="S439" s="49" t="s">
        <v>3182</v>
      </c>
      <c r="T439" s="76" t="s">
        <v>343</v>
      </c>
      <c r="U439" s="49" t="s">
        <v>94</v>
      </c>
      <c r="V439" s="49" t="str">
        <f t="shared" si="166"/>
        <v>Xã Vĩnh Yên, Huyện Bình Gia, Tỉnh Lạng Sơn</v>
      </c>
      <c r="W439" s="55" t="s">
        <v>315</v>
      </c>
      <c r="X439" s="41"/>
      <c r="Y439" s="41"/>
      <c r="Z439" s="41"/>
      <c r="AA439" s="68" t="str">
        <f>VLOOKUP(A439,'[1]DANH SÁCH'!$B$8:$AD$841,12,0)</f>
        <v>Phó trưởng phòng</v>
      </c>
      <c r="AB439" s="49" t="e">
        <f>VLOOKUP(A439,'[1]DANH SÁCH'!$B$8:$H$841,6,0)</f>
        <v>#N/A</v>
      </c>
      <c r="AC439" s="69" t="str">
        <f>VLOOKUP(A439,'[1]DANH SÁCH'!$B$8:$J$841,9,0)</f>
        <v>HCQT</v>
      </c>
      <c r="AD439" s="69" t="str">
        <f>VLOOKUP(A439,'[1]DANH SÁCH'!$B$8:$AC$841,10,0)</f>
        <v>KP040</v>
      </c>
      <c r="AE439" s="69" t="str">
        <f>VLOOKUP(A439,'[1]DANH SÁCH'!$B$8:$AD$841,13,0)</f>
        <v>Viên chức</v>
      </c>
      <c r="AF439" s="143" t="s">
        <v>3164</v>
      </c>
      <c r="AG439" s="42" t="str">
        <f>VLOOKUP(A439,'[1]DANH SÁCH'!$B$8:$H$841,7,0)</f>
        <v>Chuyên viên</v>
      </c>
      <c r="AH439" s="45">
        <v>3.66</v>
      </c>
      <c r="AI439" s="42">
        <v>5</v>
      </c>
      <c r="AJ439" s="70">
        <v>0</v>
      </c>
      <c r="AK439" s="69">
        <v>45818</v>
      </c>
      <c r="AL439" s="71" t="s">
        <v>80</v>
      </c>
      <c r="AM439" s="53" t="str">
        <f>VLOOKUP(A439,'[1]DANH SÁCH'!$B$8:$F$841,5,0)</f>
        <v>ThS Quản lý công</v>
      </c>
      <c r="AN439" s="53"/>
      <c r="AO439" s="53" t="s">
        <v>3183</v>
      </c>
      <c r="AP439" s="53">
        <v>2012</v>
      </c>
      <c r="AQ439" s="72" t="s">
        <v>113</v>
      </c>
      <c r="AR439" s="42" t="s">
        <v>82</v>
      </c>
      <c r="AS439" s="42" t="s">
        <v>100</v>
      </c>
      <c r="AT439" s="47" t="s">
        <v>139</v>
      </c>
      <c r="AU439" s="42" t="str">
        <f>VLOOKUP(A439,'[1]Chứng chỉ'!$B$8:$Q$1111,14,0)</f>
        <v>Anh B</v>
      </c>
      <c r="AV439" s="42">
        <f>VLOOKUP(A439,'[1]Chứng chỉ'!$B$8:$Q$1111,15,0)</f>
        <v>0</v>
      </c>
      <c r="AW439" s="42" t="str">
        <f>VLOOKUP(A439,'[1]Chứng chỉ'!$B$8:$Q$1111,16,0)</f>
        <v>Tin B</v>
      </c>
      <c r="AX439" s="42"/>
      <c r="AY439" s="57" t="s">
        <v>942</v>
      </c>
      <c r="AZ439" s="65">
        <v>42796</v>
      </c>
      <c r="BA439" s="74"/>
      <c r="BB439" s="74"/>
      <c r="BC439" s="41"/>
      <c r="BD439" s="42"/>
    </row>
    <row r="440" spans="1:56" ht="61.2" x14ac:dyDescent="0.3">
      <c r="A440" s="41" t="s">
        <v>3184</v>
      </c>
      <c r="B440" s="42">
        <f t="shared" si="110"/>
        <v>434</v>
      </c>
      <c r="C440" s="68" t="s">
        <v>3185</v>
      </c>
      <c r="D440" s="41" t="s">
        <v>3184</v>
      </c>
      <c r="E440" s="61">
        <v>2008000994</v>
      </c>
      <c r="F440" s="64"/>
      <c r="G440" s="49" t="s">
        <v>3186</v>
      </c>
      <c r="H440" s="76"/>
      <c r="I440" s="76">
        <v>29614</v>
      </c>
      <c r="J440" s="66">
        <f t="shared" ca="1" si="167"/>
        <v>45</v>
      </c>
      <c r="K440" s="75" t="s">
        <v>3187</v>
      </c>
      <c r="L440" s="41" t="s">
        <v>3188</v>
      </c>
      <c r="M440" s="53" t="s">
        <v>67</v>
      </c>
      <c r="N440" s="66"/>
      <c r="O440" s="53"/>
      <c r="P440" s="49" t="s">
        <v>3189</v>
      </c>
      <c r="Q440" s="49" t="s">
        <v>544</v>
      </c>
      <c r="R440" s="49"/>
      <c r="S440" s="49" t="s">
        <v>124</v>
      </c>
      <c r="T440" s="49" t="s">
        <v>97</v>
      </c>
      <c r="U440" s="49" t="s">
        <v>94</v>
      </c>
      <c r="V440" s="49" t="str">
        <f t="shared" si="166"/>
        <v>Phường Đông Kinh, Thành phố Lạng Sơn, Tỉnh Lạng Sơn</v>
      </c>
      <c r="W440" s="55" t="s">
        <v>3190</v>
      </c>
      <c r="X440" s="41"/>
      <c r="Y440" s="41"/>
      <c r="Z440" s="41"/>
      <c r="AA440" s="68">
        <f>VLOOKUP(A440,'[1]DANH SÁCH'!$B$8:$AD$841,12,0)</f>
        <v>0</v>
      </c>
      <c r="AB440" s="49" t="str">
        <f>VLOOKUP(A440,'[1]DANH SÁCH'!$B$8:$H$841,6,0)</f>
        <v>TĐ035</v>
      </c>
      <c r="AC440" s="69" t="str">
        <f>VLOOKUP(A440,'[1]DANH SÁCH'!$B$8:$J$841,9,0)</f>
        <v>HCQT</v>
      </c>
      <c r="AD440" s="69" t="str">
        <f>VLOOKUP(A440,'[1]DANH SÁCH'!$B$8:$AC$841,10,0)</f>
        <v>KP040</v>
      </c>
      <c r="AE440" s="69" t="str">
        <f>VLOOKUP(A440,'[1]DANH SÁCH'!$B$8:$AD$841,13,0)</f>
        <v>Viên chức</v>
      </c>
      <c r="AF440" s="143" t="s">
        <v>3164</v>
      </c>
      <c r="AG440" s="42" t="str">
        <f>VLOOKUP(A440,'[1]DANH SÁCH'!$B$8:$H$841,7,0)</f>
        <v>Chuyên viên</v>
      </c>
      <c r="AH440" s="45">
        <v>3.33</v>
      </c>
      <c r="AI440" s="42">
        <v>4</v>
      </c>
      <c r="AJ440" s="70">
        <v>0</v>
      </c>
      <c r="AK440" s="69">
        <v>45889</v>
      </c>
      <c r="AL440" s="71" t="s">
        <v>80</v>
      </c>
      <c r="AM440" s="53" t="str">
        <f>VLOOKUP(A440,'[1]DANH SÁCH'!$B$8:$F$841,5,0)</f>
        <v>Cử nhân HC</v>
      </c>
      <c r="AN440" s="53"/>
      <c r="AO440" s="53" t="s">
        <v>3183</v>
      </c>
      <c r="AP440" s="53">
        <v>2014</v>
      </c>
      <c r="AQ440" s="72" t="s">
        <v>113</v>
      </c>
      <c r="AR440" s="42">
        <f>VLOOKUP(A440,'[1]Chứng chỉ'!$B$8:$Q$1111,11,0)</f>
        <v>0</v>
      </c>
      <c r="AS440" s="42">
        <f>VLOOKUP(A440,'[1]Chứng chỉ'!$B$8:$Q$1111,12,0)</f>
        <v>0</v>
      </c>
      <c r="AT440" s="47" t="s">
        <v>139</v>
      </c>
      <c r="AU440" s="42">
        <f>VLOOKUP(A440,'[1]Chứng chỉ'!$B$8:$Q$1111,14,0)</f>
        <v>0</v>
      </c>
      <c r="AV440" s="42">
        <f>VLOOKUP(A440,'[1]Chứng chỉ'!$B$8:$Q$1111,15,0)</f>
        <v>0</v>
      </c>
      <c r="AW440" s="42">
        <f>VLOOKUP(A440,'[1]Chứng chỉ'!$B$8:$Q$1111,16,0)</f>
        <v>0</v>
      </c>
      <c r="AX440" s="42"/>
      <c r="AY440" s="57" t="s">
        <v>87</v>
      </c>
      <c r="AZ440" s="65">
        <v>43343</v>
      </c>
      <c r="BA440" s="74"/>
      <c r="BB440" s="74"/>
      <c r="BC440" s="41"/>
      <c r="BD440" s="42"/>
    </row>
    <row r="441" spans="1:56" ht="40.799999999999997" x14ac:dyDescent="0.3">
      <c r="A441" s="46" t="s">
        <v>3191</v>
      </c>
      <c r="B441" s="42">
        <f t="shared" si="110"/>
        <v>435</v>
      </c>
      <c r="C441" s="63" t="s">
        <v>3192</v>
      </c>
      <c r="D441" s="46" t="s">
        <v>3191</v>
      </c>
      <c r="E441" s="67">
        <v>2020773930</v>
      </c>
      <c r="F441" s="64"/>
      <c r="G441" s="49" t="s">
        <v>3193</v>
      </c>
      <c r="H441" s="42"/>
      <c r="I441" s="62">
        <v>35045</v>
      </c>
      <c r="J441" s="66">
        <f t="shared" ca="1" si="167"/>
        <v>30</v>
      </c>
      <c r="K441" s="109" t="s">
        <v>3194</v>
      </c>
      <c r="L441" s="41" t="s">
        <v>3195</v>
      </c>
      <c r="M441" s="53" t="s">
        <v>67</v>
      </c>
      <c r="N441" s="144"/>
      <c r="O441" s="145" t="s">
        <v>3196</v>
      </c>
      <c r="P441" s="47" t="s">
        <v>3197</v>
      </c>
      <c r="Q441" s="47" t="s">
        <v>3198</v>
      </c>
      <c r="R441" s="47"/>
      <c r="S441" s="47" t="s">
        <v>3199</v>
      </c>
      <c r="T441" s="76" t="s">
        <v>97</v>
      </c>
      <c r="U441" s="47" t="s">
        <v>71</v>
      </c>
      <c r="V441" s="47"/>
      <c r="W441" s="67" t="s">
        <v>3200</v>
      </c>
      <c r="X441" s="46" t="s">
        <v>3200</v>
      </c>
      <c r="Y441" s="46"/>
      <c r="Z441" s="46"/>
      <c r="AA441" s="68">
        <f>VLOOKUP(A441,'[1]DANH SÁCH'!$B$8:$AD$841,12,0)</f>
        <v>0</v>
      </c>
      <c r="AB441" s="49" t="str">
        <f>VLOOKUP(A441,'[1]DANH SÁCH'!$B$8:$H$841,6,0)</f>
        <v>TĐ035</v>
      </c>
      <c r="AC441" s="69" t="str">
        <f>VLOOKUP(A441,'[1]DANH SÁCH'!$B$8:$J$841,9,0)</f>
        <v>HCQT</v>
      </c>
      <c r="AD441" s="69" t="str">
        <f>VLOOKUP(A441,'[1]DANH SÁCH'!$B$8:$AC$841,10,0)</f>
        <v>KP040</v>
      </c>
      <c r="AE441" s="69" t="str">
        <f>VLOOKUP(A441,'[1]DANH SÁCH'!$B$8:$AD$841,13,0)</f>
        <v>Viên chức</v>
      </c>
      <c r="AF441" s="143" t="s">
        <v>3164</v>
      </c>
      <c r="AG441" s="42" t="str">
        <f>VLOOKUP(A441,'[1]DANH SÁCH'!$B$8:$H$841,7,0)</f>
        <v>Chuyên viên</v>
      </c>
      <c r="AH441" s="45">
        <v>3</v>
      </c>
      <c r="AI441" s="42">
        <v>3</v>
      </c>
      <c r="AJ441" s="70">
        <v>0</v>
      </c>
      <c r="AK441" s="69">
        <v>45662</v>
      </c>
      <c r="AL441" s="71" t="s">
        <v>80</v>
      </c>
      <c r="AM441" s="53" t="str">
        <f>VLOOKUP(A441,'[1]DANH SÁCH'!$B$8:$F$841,5,0)</f>
        <v>Cử nhân HC</v>
      </c>
      <c r="AN441" s="53" t="s">
        <v>3201</v>
      </c>
      <c r="AO441" s="53" t="s">
        <v>3155</v>
      </c>
      <c r="AP441" s="53">
        <v>2017</v>
      </c>
      <c r="AQ441" s="72" t="s">
        <v>113</v>
      </c>
      <c r="AR441" s="42">
        <f>VLOOKUP(A441,'[1]Chứng chỉ'!$B$8:$Q$1111,11,0)</f>
        <v>0</v>
      </c>
      <c r="AS441" s="42">
        <f>VLOOKUP(A441,'[1]Chứng chỉ'!$B$8:$Q$1111,12,0)</f>
        <v>0</v>
      </c>
      <c r="AT441" s="47" t="s">
        <v>139</v>
      </c>
      <c r="AU441" s="42">
        <f>VLOOKUP(A441,'[1]Chứng chỉ'!$B$8:$Q$1111,14,0)</f>
        <v>0</v>
      </c>
      <c r="AV441" s="42">
        <f>VLOOKUP(A441,'[1]Chứng chỉ'!$B$8:$Q$1111,15,0)</f>
        <v>0</v>
      </c>
      <c r="AW441" s="42">
        <f>VLOOKUP(A441,'[1]Chứng chỉ'!$B$8:$Q$1111,16,0)</f>
        <v>0</v>
      </c>
      <c r="AX441" s="47"/>
      <c r="AY441" s="73" t="s">
        <v>87</v>
      </c>
      <c r="AZ441" s="65"/>
      <c r="BA441" s="74"/>
      <c r="BB441" s="74"/>
      <c r="BC441" s="41" t="s">
        <v>128</v>
      </c>
      <c r="BD441" s="42"/>
    </row>
    <row r="442" spans="1:56" ht="61.2" x14ac:dyDescent="0.3">
      <c r="A442" s="41" t="s">
        <v>3202</v>
      </c>
      <c r="B442" s="42">
        <f t="shared" si="110"/>
        <v>436</v>
      </c>
      <c r="C442" s="68" t="s">
        <v>2084</v>
      </c>
      <c r="D442" s="41" t="s">
        <v>3202</v>
      </c>
      <c r="E442" s="61">
        <v>1505002933</v>
      </c>
      <c r="F442" s="64"/>
      <c r="G442" s="49" t="s">
        <v>3203</v>
      </c>
      <c r="H442" s="76"/>
      <c r="I442" s="76">
        <v>26566</v>
      </c>
      <c r="J442" s="66">
        <f t="shared" ca="1" si="167"/>
        <v>53</v>
      </c>
      <c r="K442" s="75" t="s">
        <v>3204</v>
      </c>
      <c r="L442" s="41" t="s">
        <v>3205</v>
      </c>
      <c r="M442" s="53" t="s">
        <v>67</v>
      </c>
      <c r="N442" s="66"/>
      <c r="O442" s="53"/>
      <c r="P442" s="49" t="s">
        <v>1244</v>
      </c>
      <c r="Q442" s="49" t="s">
        <v>235</v>
      </c>
      <c r="R442" s="49"/>
      <c r="S442" s="49" t="s">
        <v>166</v>
      </c>
      <c r="T442" s="49" t="s">
        <v>97</v>
      </c>
      <c r="U442" s="49" t="s">
        <v>94</v>
      </c>
      <c r="V442" s="49" t="str">
        <f t="shared" ref="V442:V450" si="168">S442&amp;", "&amp;T442&amp;", "&amp;U442</f>
        <v>Phường Tam Thanh, Thành phố Lạng Sơn, Tỉnh Lạng Sơn</v>
      </c>
      <c r="W442" s="55" t="s">
        <v>315</v>
      </c>
      <c r="X442" s="41"/>
      <c r="Y442" s="41"/>
      <c r="Z442" s="41"/>
      <c r="AA442" s="68">
        <f>VLOOKUP(A442,'[1]DANH SÁCH'!$B$8:$AD$841,12,0)</f>
        <v>0</v>
      </c>
      <c r="AB442" s="49" t="str">
        <f>VLOOKUP(A442,'[1]DANH SÁCH'!$B$8:$H$841,6,0)</f>
        <v>TĐ042</v>
      </c>
      <c r="AC442" s="69" t="str">
        <f>VLOOKUP(A442,'[1]DANH SÁCH'!$B$8:$J$841,9,0)</f>
        <v>HCQT</v>
      </c>
      <c r="AD442" s="69" t="str">
        <f>VLOOKUP(A442,'[1]DANH SÁCH'!$B$8:$AC$841,10,0)</f>
        <v>KP040</v>
      </c>
      <c r="AE442" s="69" t="str">
        <f>VLOOKUP(A442,'[1]DANH SÁCH'!$B$8:$AD$841,13,0)</f>
        <v>Viên chức</v>
      </c>
      <c r="AF442" s="140" t="s">
        <v>3206</v>
      </c>
      <c r="AG442" s="42" t="str">
        <f>VLOOKUP(A442,'[1]DANH SÁCH'!$B$8:$H$841,7,0)</f>
        <v>Văn thư viên trung cấp</v>
      </c>
      <c r="AH442" s="45">
        <v>3.26</v>
      </c>
      <c r="AI442" s="42">
        <v>8</v>
      </c>
      <c r="AJ442" s="70">
        <v>0</v>
      </c>
      <c r="AK442" s="69">
        <v>46183</v>
      </c>
      <c r="AL442" s="71" t="s">
        <v>101</v>
      </c>
      <c r="AM442" s="53" t="str">
        <f>VLOOKUP(A442,'[1]DANH SÁCH'!$B$8:$F$841,5,0)</f>
        <v>Văn thư</v>
      </c>
      <c r="AN442" s="53"/>
      <c r="AO442" s="53" t="s">
        <v>3207</v>
      </c>
      <c r="AP442" s="53">
        <v>2011</v>
      </c>
      <c r="AQ442" s="72" t="s">
        <v>113</v>
      </c>
      <c r="AR442" s="42">
        <f>VLOOKUP(A442,'[1]Chứng chỉ'!$B$8:$Q$1111,11,0)</f>
        <v>0</v>
      </c>
      <c r="AS442" s="42">
        <f>VLOOKUP(A442,'[1]Chứng chỉ'!$B$8:$Q$1111,12,0)</f>
        <v>0</v>
      </c>
      <c r="AT442" s="47" t="s">
        <v>139</v>
      </c>
      <c r="AU442" s="42">
        <f>VLOOKUP(A442,'[1]Chứng chỉ'!$B$8:$Q$1111,14,0)</f>
        <v>0</v>
      </c>
      <c r="AV442" s="42">
        <f>VLOOKUP(A442,'[1]Chứng chỉ'!$B$8:$Q$1111,15,0)</f>
        <v>0</v>
      </c>
      <c r="AW442" s="42" t="str">
        <f>VLOOKUP(A442,'[1]Chứng chỉ'!$B$8:$Q$1111,16,0)</f>
        <v>Tin A</v>
      </c>
      <c r="AX442" s="42"/>
      <c r="AY442" s="57" t="s">
        <v>87</v>
      </c>
      <c r="AZ442" s="65"/>
      <c r="BA442" s="74"/>
      <c r="BB442" s="74"/>
      <c r="BC442" s="41" t="s">
        <v>128</v>
      </c>
      <c r="BD442" s="42"/>
    </row>
    <row r="443" spans="1:56" ht="61.2" x14ac:dyDescent="0.3">
      <c r="A443" s="41" t="s">
        <v>3208</v>
      </c>
      <c r="B443" s="42">
        <f t="shared" si="110"/>
        <v>437</v>
      </c>
      <c r="C443" s="68" t="s">
        <v>3209</v>
      </c>
      <c r="D443" s="41" t="s">
        <v>3208</v>
      </c>
      <c r="E443" s="61">
        <v>1597020323</v>
      </c>
      <c r="F443" s="64"/>
      <c r="G443" s="49"/>
      <c r="H443" s="76">
        <v>23847</v>
      </c>
      <c r="I443" s="76"/>
      <c r="J443" s="66">
        <f ca="1">INT(DATEDIF(H443,$J$2,"d")/365)</f>
        <v>61</v>
      </c>
      <c r="K443" s="75" t="s">
        <v>3210</v>
      </c>
      <c r="L443" s="41" t="s">
        <v>3211</v>
      </c>
      <c r="M443" s="53" t="s">
        <v>67</v>
      </c>
      <c r="N443" s="66"/>
      <c r="O443" s="85"/>
      <c r="P443" s="49" t="s">
        <v>155</v>
      </c>
      <c r="Q443" s="76" t="s">
        <v>94</v>
      </c>
      <c r="R443" s="49"/>
      <c r="S443" s="76" t="s">
        <v>96</v>
      </c>
      <c r="T443" s="76" t="s">
        <v>97</v>
      </c>
      <c r="U443" s="76" t="s">
        <v>94</v>
      </c>
      <c r="V443" s="49" t="str">
        <f t="shared" si="168"/>
        <v>Phường Hoàng Văn Thụ, Thành phố Lạng Sơn, Tỉnh Lạng Sơn</v>
      </c>
      <c r="W443" s="55" t="s">
        <v>3212</v>
      </c>
      <c r="X443" s="41"/>
      <c r="Y443" s="41"/>
      <c r="Z443" s="41"/>
      <c r="AA443" s="68">
        <f>VLOOKUP(A443,'[1]DANH SÁCH'!$B$8:$AD$841,12,0)</f>
        <v>0</v>
      </c>
      <c r="AB443" s="49" t="str">
        <f>VLOOKUP(A443,'[1]DANH SÁCH'!$B$8:$H$841,6,0)</f>
        <v>TĐ043</v>
      </c>
      <c r="AC443" s="69" t="str">
        <f>VLOOKUP(A443,'[1]DANH SÁCH'!$B$8:$J$841,9,0)</f>
        <v>HCQT</v>
      </c>
      <c r="AD443" s="69" t="str">
        <f>VLOOKUP(A443,'[1]DANH SÁCH'!$B$8:$AC$841,10,0)</f>
        <v>KP040</v>
      </c>
      <c r="AE443" s="69" t="str">
        <f>VLOOKUP(A443,'[1]DANH SÁCH'!$B$8:$AD$841,13,0)</f>
        <v>Viên chức</v>
      </c>
      <c r="AF443" s="83" t="s">
        <v>3089</v>
      </c>
      <c r="AG443" s="42" t="str">
        <f>VLOOKUP(A443,'[1]DANH SÁCH'!$B$8:$H$841,7,0)</f>
        <v>Nhân viên</v>
      </c>
      <c r="AH443" s="45">
        <v>4.03</v>
      </c>
      <c r="AI443" s="42">
        <v>12</v>
      </c>
      <c r="AJ443" s="70">
        <v>0.14000000000000001</v>
      </c>
      <c r="AK443" s="69">
        <v>45658</v>
      </c>
      <c r="AL443" s="42"/>
      <c r="AM443" s="53" t="str">
        <f>VLOOKUP(A443,'[1]DANH SÁCH'!$B$8:$F$841,5,0)</f>
        <v>Lái xe</v>
      </c>
      <c r="AN443" s="53"/>
      <c r="AO443" s="53"/>
      <c r="AP443" s="53"/>
      <c r="AQ443" s="72" t="s">
        <v>113</v>
      </c>
      <c r="AR443" s="42">
        <f>VLOOKUP(A443,'[1]Chứng chỉ'!$B$8:$Q$1111,11,0)</f>
        <v>0</v>
      </c>
      <c r="AS443" s="42">
        <f>VLOOKUP(A443,'[1]Chứng chỉ'!$B$8:$Q$1111,12,0)</f>
        <v>0</v>
      </c>
      <c r="AT443" s="47">
        <f>VLOOKUP(A443,'[1]Chứng chỉ'!$B$8:$Q$1111,13,0)</f>
        <v>0</v>
      </c>
      <c r="AU443" s="42">
        <f>VLOOKUP(A443,'[1]Chứng chỉ'!$B$8:$Q$1111,14,0)</f>
        <v>0</v>
      </c>
      <c r="AV443" s="42">
        <f>VLOOKUP(A443,'[1]Chứng chỉ'!$B$8:$Q$1111,15,0)</f>
        <v>0</v>
      </c>
      <c r="AW443" s="42">
        <f>VLOOKUP(A443,'[1]Chứng chỉ'!$B$8:$Q$1111,16,0)</f>
        <v>0</v>
      </c>
      <c r="AX443" s="42"/>
      <c r="AY443" s="57" t="s">
        <v>85</v>
      </c>
      <c r="AZ443" s="65">
        <v>38202</v>
      </c>
      <c r="BA443" s="74"/>
      <c r="BB443" s="74"/>
      <c r="BC443" s="41" t="s">
        <v>128</v>
      </c>
      <c r="BD443" s="42"/>
    </row>
    <row r="444" spans="1:56" ht="51" x14ac:dyDescent="0.3">
      <c r="A444" s="41" t="s">
        <v>3213</v>
      </c>
      <c r="B444" s="42">
        <f t="shared" si="110"/>
        <v>438</v>
      </c>
      <c r="C444" s="68" t="s">
        <v>3214</v>
      </c>
      <c r="D444" s="41" t="s">
        <v>3213</v>
      </c>
      <c r="E444" s="61">
        <v>1505002940</v>
      </c>
      <c r="F444" s="64"/>
      <c r="G444" s="49"/>
      <c r="H444" s="76"/>
      <c r="I444" s="76">
        <v>28956</v>
      </c>
      <c r="J444" s="66">
        <f t="shared" ref="J444:J453" ca="1" si="169">INT(DATEDIF(I444,$J$2,"d")/365)</f>
        <v>47</v>
      </c>
      <c r="K444" s="75" t="s">
        <v>3215</v>
      </c>
      <c r="L444" s="41" t="s">
        <v>3216</v>
      </c>
      <c r="M444" s="53" t="s">
        <v>67</v>
      </c>
      <c r="N444" s="66"/>
      <c r="O444" s="53"/>
      <c r="P444" s="49" t="s">
        <v>195</v>
      </c>
      <c r="Q444" s="49" t="s">
        <v>94</v>
      </c>
      <c r="R444" s="49"/>
      <c r="S444" s="49" t="s">
        <v>136</v>
      </c>
      <c r="T444" s="49" t="s">
        <v>97</v>
      </c>
      <c r="U444" s="49" t="s">
        <v>94</v>
      </c>
      <c r="V444" s="49" t="str">
        <f t="shared" si="168"/>
        <v>Phường Chi Lăng, Thành phố Lạng Sơn, Tỉnh Lạng Sơn</v>
      </c>
      <c r="W444" s="55" t="s">
        <v>3217</v>
      </c>
      <c r="X444" s="41"/>
      <c r="Y444" s="41"/>
      <c r="Z444" s="41"/>
      <c r="AA444" s="68" t="str">
        <f>VLOOKUP(A444,'[1]DANH SÁCH'!$B$8:$AD$841,12,0)</f>
        <v>Trưởng phòng</v>
      </c>
      <c r="AB444" s="49" t="e">
        <f>VLOOKUP(A444,'[1]DANH SÁCH'!$B$8:$H$841,6,0)</f>
        <v>#N/A</v>
      </c>
      <c r="AC444" s="69" t="str">
        <f>VLOOKUP(A444,'[1]DANH SÁCH'!$B$8:$J$841,9,0)</f>
        <v>TCKT</v>
      </c>
      <c r="AD444" s="69" t="str">
        <f>VLOOKUP(A444,'[1]DANH SÁCH'!$B$8:$AC$841,10,0)</f>
        <v>KP041</v>
      </c>
      <c r="AE444" s="69" t="str">
        <f>VLOOKUP(A444,'[1]DANH SÁCH'!$B$8:$AD$841,13,0)</f>
        <v>Viên chức</v>
      </c>
      <c r="AF444" s="140" t="s">
        <v>3218</v>
      </c>
      <c r="AG444" s="42" t="str">
        <f>VLOOKUP(A444,'[1]DANH SÁCH'!$B$8:$H$841,7,0)</f>
        <v>Kế toán viên</v>
      </c>
      <c r="AH444" s="45">
        <v>4.32</v>
      </c>
      <c r="AI444" s="42">
        <v>7</v>
      </c>
      <c r="AJ444" s="70">
        <v>0</v>
      </c>
      <c r="AK444" s="127" t="s">
        <v>3219</v>
      </c>
      <c r="AL444" s="71" t="s">
        <v>80</v>
      </c>
      <c r="AM444" s="53" t="str">
        <f>VLOOKUP(A444,'[1]DANH SÁCH'!$B$8:$F$841,5,0)</f>
        <v>ThS KT</v>
      </c>
      <c r="AN444" s="53" t="s">
        <v>3220</v>
      </c>
      <c r="AO444" s="53" t="s">
        <v>3221</v>
      </c>
      <c r="AP444" s="53">
        <v>2018</v>
      </c>
      <c r="AQ444" s="72" t="s">
        <v>113</v>
      </c>
      <c r="AR444" s="42" t="s">
        <v>82</v>
      </c>
      <c r="AS444" s="42" t="s">
        <v>100</v>
      </c>
      <c r="AT444" s="47" t="s">
        <v>101</v>
      </c>
      <c r="AU444" s="42" t="str">
        <f>VLOOKUP(A444,'[1]Chứng chỉ'!$B$8:$Q$1111,14,0)</f>
        <v>Trung C</v>
      </c>
      <c r="AV444" s="42">
        <f>VLOOKUP(A444,'[1]Chứng chỉ'!$B$8:$Q$1111,15,0)</f>
        <v>0</v>
      </c>
      <c r="AW444" s="42" t="str">
        <f>VLOOKUP(A444,'[1]Chứng chỉ'!$B$8:$Q$1111,16,0)</f>
        <v>B</v>
      </c>
      <c r="AX444" s="42"/>
      <c r="AY444" s="57" t="s">
        <v>85</v>
      </c>
      <c r="AZ444" s="65">
        <v>40190</v>
      </c>
      <c r="BA444" s="74"/>
      <c r="BB444" s="74"/>
      <c r="BC444" s="41"/>
      <c r="BD444" s="42"/>
    </row>
    <row r="445" spans="1:56" ht="51" x14ac:dyDescent="0.3">
      <c r="A445" s="41" t="s">
        <v>3222</v>
      </c>
      <c r="B445" s="42">
        <f t="shared" si="110"/>
        <v>439</v>
      </c>
      <c r="C445" s="68" t="s">
        <v>1692</v>
      </c>
      <c r="D445" s="41" t="s">
        <v>3222</v>
      </c>
      <c r="E445" s="61">
        <v>2009000923</v>
      </c>
      <c r="F445" s="64"/>
      <c r="G445" s="49" t="s">
        <v>3223</v>
      </c>
      <c r="H445" s="76"/>
      <c r="I445" s="76">
        <v>28464</v>
      </c>
      <c r="J445" s="66">
        <f t="shared" ca="1" si="169"/>
        <v>48</v>
      </c>
      <c r="K445" s="75" t="s">
        <v>3224</v>
      </c>
      <c r="L445" s="41" t="s">
        <v>3225</v>
      </c>
      <c r="M445" s="53" t="s">
        <v>67</v>
      </c>
      <c r="N445" s="66"/>
      <c r="O445" s="53" t="s">
        <v>3226</v>
      </c>
      <c r="P445" s="49" t="s">
        <v>3227</v>
      </c>
      <c r="Q445" s="49" t="s">
        <v>1991</v>
      </c>
      <c r="R445" s="49" t="s">
        <v>3228</v>
      </c>
      <c r="S445" s="49" t="s">
        <v>73</v>
      </c>
      <c r="T445" s="49" t="s">
        <v>97</v>
      </c>
      <c r="U445" s="49" t="s">
        <v>94</v>
      </c>
      <c r="V445" s="49" t="str">
        <f t="shared" si="168"/>
        <v>Phường Vĩnh Trại, Thành phố Lạng Sơn, Tỉnh Lạng Sơn</v>
      </c>
      <c r="W445" s="55" t="s">
        <v>98</v>
      </c>
      <c r="X445" s="41"/>
      <c r="Y445" s="41"/>
      <c r="Z445" s="41"/>
      <c r="AA445" s="68" t="str">
        <f>VLOOKUP(A445,'[1]DANH SÁCH'!$B$8:$AD$841,12,0)</f>
        <v>Phó trưởng phòng</v>
      </c>
      <c r="AB445" s="49" t="str">
        <f>VLOOKUP(A445,'[1]DANH SÁCH'!$B$8:$H$841,6,0)</f>
        <v>TĐ021</v>
      </c>
      <c r="AC445" s="69" t="str">
        <f>VLOOKUP(A445,'[1]DANH SÁCH'!$B$8:$J$841,9,0)</f>
        <v>TCKT</v>
      </c>
      <c r="AD445" s="69" t="str">
        <f>VLOOKUP(A445,'[1]DANH SÁCH'!$B$8:$AC$841,10,0)</f>
        <v>KP041</v>
      </c>
      <c r="AE445" s="69" t="str">
        <f>VLOOKUP(A445,'[1]DANH SÁCH'!$B$8:$AD$841,13,0)</f>
        <v>Viên chức</v>
      </c>
      <c r="AF445" s="143" t="s">
        <v>3218</v>
      </c>
      <c r="AG445" s="42" t="str">
        <f>VLOOKUP(A445,'[1]DANH SÁCH'!$B$8:$H$841,7,0)</f>
        <v>Kế toán viên</v>
      </c>
      <c r="AH445" s="45">
        <v>3.99</v>
      </c>
      <c r="AI445" s="42">
        <v>6</v>
      </c>
      <c r="AJ445" s="70">
        <v>0</v>
      </c>
      <c r="AK445" s="127" t="s">
        <v>3229</v>
      </c>
      <c r="AL445" s="71" t="s">
        <v>80</v>
      </c>
      <c r="AM445" s="53" t="str">
        <f>VLOOKUP(A445,'[1]DANH SÁCH'!$B$8:$F$841,5,0)</f>
        <v>KTĐH</v>
      </c>
      <c r="AN445" s="53"/>
      <c r="AO445" s="53" t="s">
        <v>3230</v>
      </c>
      <c r="AP445" s="53">
        <v>2008</v>
      </c>
      <c r="AQ445" s="72" t="s">
        <v>113</v>
      </c>
      <c r="AR445" s="42">
        <f>VLOOKUP(A445,'[1]Chứng chỉ'!$B$8:$Q$1111,11,0)</f>
        <v>0</v>
      </c>
      <c r="AS445" s="42">
        <f>VLOOKUP(A445,'[1]Chứng chỉ'!$B$8:$Q$1111,12,0)</f>
        <v>0</v>
      </c>
      <c r="AT445" s="47" t="str">
        <f>VLOOKUP(A445,'[1]Chứng chỉ'!$B$8:$Q$1111,13,0)</f>
        <v>Sơ cấp</v>
      </c>
      <c r="AU445" s="42" t="str">
        <f>VLOOKUP(A445,'[1]Chứng chỉ'!$B$8:$Q$1111,14,0)</f>
        <v>Trung C</v>
      </c>
      <c r="AV445" s="42">
        <f>VLOOKUP(A445,'[1]Chứng chỉ'!$B$8:$Q$1111,15,0)</f>
        <v>0</v>
      </c>
      <c r="AW445" s="42" t="str">
        <f>VLOOKUP(A445,'[1]Chứng chỉ'!$B$8:$Q$1111,16,0)</f>
        <v>B</v>
      </c>
      <c r="AX445" s="42"/>
      <c r="AY445" s="57" t="s">
        <v>87</v>
      </c>
      <c r="AZ445" s="65">
        <v>41611</v>
      </c>
      <c r="BA445" s="74"/>
      <c r="BB445" s="74"/>
      <c r="BC445" s="41"/>
      <c r="BD445" s="64"/>
    </row>
    <row r="446" spans="1:56" ht="51" x14ac:dyDescent="0.3">
      <c r="A446" s="41" t="s">
        <v>3231</v>
      </c>
      <c r="B446" s="42">
        <f t="shared" si="110"/>
        <v>440</v>
      </c>
      <c r="C446" s="68" t="s">
        <v>3232</v>
      </c>
      <c r="D446" s="41" t="s">
        <v>3231</v>
      </c>
      <c r="E446" s="61">
        <v>1506003243</v>
      </c>
      <c r="F446" s="64"/>
      <c r="G446" s="49" t="s">
        <v>3233</v>
      </c>
      <c r="H446" s="76"/>
      <c r="I446" s="76">
        <v>30251</v>
      </c>
      <c r="J446" s="66">
        <f t="shared" ca="1" si="169"/>
        <v>43</v>
      </c>
      <c r="K446" s="75" t="s">
        <v>3234</v>
      </c>
      <c r="L446" s="41" t="s">
        <v>3235</v>
      </c>
      <c r="M446" s="53" t="s">
        <v>67</v>
      </c>
      <c r="N446" s="66" t="s">
        <v>3236</v>
      </c>
      <c r="O446" s="85" t="s">
        <v>3237</v>
      </c>
      <c r="P446" s="76" t="s">
        <v>145</v>
      </c>
      <c r="Q446" s="49" t="s">
        <v>94</v>
      </c>
      <c r="R446" s="76"/>
      <c r="S446" s="76" t="s">
        <v>1789</v>
      </c>
      <c r="T446" s="76" t="s">
        <v>145</v>
      </c>
      <c r="U446" s="49" t="s">
        <v>94</v>
      </c>
      <c r="V446" s="49" t="str">
        <f t="shared" si="168"/>
        <v>Thị trấn Na Sầm, Huyện Văn Lãng, Tỉnh Lạng Sơn</v>
      </c>
      <c r="W446" s="55" t="s">
        <v>236</v>
      </c>
      <c r="X446" s="41"/>
      <c r="Y446" s="41"/>
      <c r="Z446" s="41"/>
      <c r="AA446" s="68">
        <f>VLOOKUP(A446,'[1]DANH SÁCH'!$B$8:$AD$841,12,0)</f>
        <v>0</v>
      </c>
      <c r="AB446" s="49" t="str">
        <f>VLOOKUP(A446,'[1]DANH SÁCH'!$B$8:$H$841,6,0)</f>
        <v>TĐ021</v>
      </c>
      <c r="AC446" s="69" t="str">
        <f>VLOOKUP(A446,'[1]DANH SÁCH'!$B$8:$J$841,9,0)</f>
        <v>TCKT</v>
      </c>
      <c r="AD446" s="69" t="str">
        <f>VLOOKUP(A446,'[1]DANH SÁCH'!$B$8:$AC$841,10,0)</f>
        <v>KP041</v>
      </c>
      <c r="AE446" s="69" t="str">
        <f>VLOOKUP(A446,'[1]DANH SÁCH'!$B$8:$AD$841,13,0)</f>
        <v>Viên chức</v>
      </c>
      <c r="AF446" s="83" t="s">
        <v>3218</v>
      </c>
      <c r="AG446" s="42" t="str">
        <f>VLOOKUP(A446,'[1]DANH SÁCH'!$B$8:$H$841,7,0)</f>
        <v>Kế toán viên</v>
      </c>
      <c r="AH446" s="45">
        <v>3.99</v>
      </c>
      <c r="AI446" s="42">
        <v>6</v>
      </c>
      <c r="AJ446" s="70">
        <v>0</v>
      </c>
      <c r="AK446" s="69">
        <v>45717</v>
      </c>
      <c r="AL446" s="71" t="s">
        <v>80</v>
      </c>
      <c r="AM446" s="53" t="str">
        <f>VLOOKUP(A446,'[1]DANH SÁCH'!$B$8:$F$841,5,0)</f>
        <v>KTĐH</v>
      </c>
      <c r="AN446" s="53"/>
      <c r="AO446" s="53" t="s">
        <v>3238</v>
      </c>
      <c r="AP446" s="53">
        <v>2008</v>
      </c>
      <c r="AQ446" s="72" t="s">
        <v>113</v>
      </c>
      <c r="AR446" s="42">
        <f>VLOOKUP(A446,'[1]Chứng chỉ'!$B$8:$Q$1111,11,0)</f>
        <v>0</v>
      </c>
      <c r="AS446" s="42">
        <f>VLOOKUP(A446,'[1]Chứng chỉ'!$B$8:$Q$1111,12,0)</f>
        <v>0</v>
      </c>
      <c r="AT446" s="47">
        <f>VLOOKUP(A446,'[1]Chứng chỉ'!$B$8:$Q$1111,13,0)</f>
        <v>0</v>
      </c>
      <c r="AU446" s="42" t="str">
        <f>VLOOKUP(A446,'[1]Chứng chỉ'!$B$8:$Q$1111,14,0)</f>
        <v>Anh B</v>
      </c>
      <c r="AV446" s="42">
        <f>VLOOKUP(A446,'[1]Chứng chỉ'!$B$8:$Q$1111,15,0)</f>
        <v>0</v>
      </c>
      <c r="AW446" s="42" t="str">
        <f>VLOOKUP(A446,'[1]Chứng chỉ'!$B$8:$Q$1111,16,0)</f>
        <v>B</v>
      </c>
      <c r="AX446" s="42"/>
      <c r="AY446" s="57" t="s">
        <v>127</v>
      </c>
      <c r="AZ446" s="65">
        <v>44211</v>
      </c>
      <c r="BA446" s="74"/>
      <c r="BB446" s="74"/>
      <c r="BC446" s="41"/>
      <c r="BD446" s="64"/>
    </row>
    <row r="447" spans="1:56" ht="61.2" x14ac:dyDescent="0.3">
      <c r="A447" s="41" t="s">
        <v>3239</v>
      </c>
      <c r="B447" s="42">
        <f t="shared" si="110"/>
        <v>441</v>
      </c>
      <c r="C447" s="68" t="s">
        <v>3240</v>
      </c>
      <c r="D447" s="41" t="s">
        <v>3239</v>
      </c>
      <c r="E447" s="61">
        <v>2014002745</v>
      </c>
      <c r="F447" s="64"/>
      <c r="G447" s="49" t="s">
        <v>3241</v>
      </c>
      <c r="H447" s="76"/>
      <c r="I447" s="76">
        <v>32094</v>
      </c>
      <c r="J447" s="66">
        <f t="shared" ca="1" si="169"/>
        <v>38</v>
      </c>
      <c r="K447" s="75" t="s">
        <v>3242</v>
      </c>
      <c r="L447" s="41" t="s">
        <v>3243</v>
      </c>
      <c r="M447" s="53" t="s">
        <v>67</v>
      </c>
      <c r="N447" s="66" t="s">
        <v>3244</v>
      </c>
      <c r="O447" s="85" t="s">
        <v>3245</v>
      </c>
      <c r="P447" s="76" t="s">
        <v>3246</v>
      </c>
      <c r="Q447" s="49" t="s">
        <v>94</v>
      </c>
      <c r="R447" s="76" t="s">
        <v>3247</v>
      </c>
      <c r="S447" s="49" t="s">
        <v>124</v>
      </c>
      <c r="T447" s="49" t="s">
        <v>97</v>
      </c>
      <c r="U447" s="49" t="s">
        <v>94</v>
      </c>
      <c r="V447" s="49" t="str">
        <f t="shared" si="168"/>
        <v>Phường Đông Kinh, Thành phố Lạng Sơn, Tỉnh Lạng Sơn</v>
      </c>
      <c r="W447" s="86" t="s">
        <v>3248</v>
      </c>
      <c r="X447" s="78"/>
      <c r="Y447" s="78"/>
      <c r="Z447" s="78"/>
      <c r="AA447" s="68">
        <f>VLOOKUP(A447,'[1]DANH SÁCH'!$B$8:$AD$841,12,0)</f>
        <v>0</v>
      </c>
      <c r="AB447" s="49" t="str">
        <f>VLOOKUP(A447,'[1]DANH SÁCH'!$B$8:$H$841,6,0)</f>
        <v>TĐ021</v>
      </c>
      <c r="AC447" s="69" t="str">
        <f>VLOOKUP(A447,'[1]DANH SÁCH'!$B$8:$J$841,9,0)</f>
        <v>TCKT</v>
      </c>
      <c r="AD447" s="69" t="str">
        <f>VLOOKUP(A447,'[1]DANH SÁCH'!$B$8:$AC$841,10,0)</f>
        <v>KP041</v>
      </c>
      <c r="AE447" s="69" t="str">
        <f>VLOOKUP(A447,'[1]DANH SÁCH'!$B$8:$AD$841,13,0)</f>
        <v>Viên chức</v>
      </c>
      <c r="AF447" s="83" t="s">
        <v>3218</v>
      </c>
      <c r="AG447" s="42" t="str">
        <f>VLOOKUP(A447,'[1]DANH SÁCH'!$B$8:$H$841,7,0)</f>
        <v>Kế toán viên</v>
      </c>
      <c r="AH447" s="45">
        <v>3.33</v>
      </c>
      <c r="AI447" s="42">
        <v>4</v>
      </c>
      <c r="AJ447" s="70">
        <v>0</v>
      </c>
      <c r="AK447" s="69">
        <v>45413</v>
      </c>
      <c r="AL447" s="71" t="s">
        <v>80</v>
      </c>
      <c r="AM447" s="53" t="str">
        <f>VLOOKUP(A447,'[1]DANH SÁCH'!$B$8:$F$841,5,0)</f>
        <v>KTĐH</v>
      </c>
      <c r="AN447" s="53"/>
      <c r="AO447" s="53" t="s">
        <v>3230</v>
      </c>
      <c r="AP447" s="53">
        <v>2012</v>
      </c>
      <c r="AQ447" s="72" t="s">
        <v>113</v>
      </c>
      <c r="AR447" s="42">
        <f>VLOOKUP(A447,'[1]Chứng chỉ'!$B$8:$Q$1111,11,0)</f>
        <v>0</v>
      </c>
      <c r="AS447" s="42">
        <f>VLOOKUP(A447,'[1]Chứng chỉ'!$B$8:$Q$1111,12,0)</f>
        <v>0</v>
      </c>
      <c r="AT447" s="47">
        <f>VLOOKUP(A447,'[1]Chứng chỉ'!$B$8:$Q$1111,13,0)</f>
        <v>0</v>
      </c>
      <c r="AU447" s="42" t="str">
        <f>VLOOKUP(A447,'[1]Chứng chỉ'!$B$8:$Q$1111,14,0)</f>
        <v>Anh B</v>
      </c>
      <c r="AV447" s="42">
        <f>VLOOKUP(A447,'[1]Chứng chỉ'!$B$8:$Q$1111,15,0)</f>
        <v>0</v>
      </c>
      <c r="AW447" s="42" t="str">
        <f>VLOOKUP(A447,'[1]Chứng chỉ'!$B$8:$Q$1111,16,0)</f>
        <v>B</v>
      </c>
      <c r="AX447" s="42"/>
      <c r="AY447" s="57" t="s">
        <v>85</v>
      </c>
      <c r="AZ447" s="65"/>
      <c r="BA447" s="74"/>
      <c r="BB447" s="74"/>
      <c r="BC447" s="41"/>
      <c r="BD447" s="64"/>
    </row>
    <row r="448" spans="1:56" ht="61.2" x14ac:dyDescent="0.3">
      <c r="A448" s="41" t="s">
        <v>3249</v>
      </c>
      <c r="B448" s="42">
        <f t="shared" si="110"/>
        <v>442</v>
      </c>
      <c r="C448" s="68" t="s">
        <v>3250</v>
      </c>
      <c r="D448" s="41" t="s">
        <v>3249</v>
      </c>
      <c r="E448" s="61">
        <v>2014002759</v>
      </c>
      <c r="F448" s="64"/>
      <c r="G448" s="49" t="s">
        <v>3251</v>
      </c>
      <c r="H448" s="87"/>
      <c r="I448" s="87">
        <v>32528</v>
      </c>
      <c r="J448" s="66">
        <f t="shared" ca="1" si="169"/>
        <v>37</v>
      </c>
      <c r="K448" s="75" t="s">
        <v>3252</v>
      </c>
      <c r="L448" s="41" t="s">
        <v>3253</v>
      </c>
      <c r="M448" s="53" t="s">
        <v>67</v>
      </c>
      <c r="N448" s="66"/>
      <c r="O448" s="53"/>
      <c r="P448" s="49" t="s">
        <v>3254</v>
      </c>
      <c r="Q448" s="49" t="s">
        <v>873</v>
      </c>
      <c r="R448" s="49"/>
      <c r="S448" s="49" t="s">
        <v>166</v>
      </c>
      <c r="T448" s="49" t="s">
        <v>97</v>
      </c>
      <c r="U448" s="49" t="s">
        <v>94</v>
      </c>
      <c r="V448" s="49" t="str">
        <f t="shared" si="168"/>
        <v>Phường Tam Thanh, Thành phố Lạng Sơn, Tỉnh Lạng Sơn</v>
      </c>
      <c r="W448" s="86" t="s">
        <v>3255</v>
      </c>
      <c r="X448" s="41"/>
      <c r="Y448" s="41"/>
      <c r="Z448" s="41"/>
      <c r="AA448" s="68">
        <f>VLOOKUP(A448,'[1]DANH SÁCH'!$B$8:$AD$841,12,0)</f>
        <v>0</v>
      </c>
      <c r="AB448" s="49" t="str">
        <f>VLOOKUP(A448,'[1]DANH SÁCH'!$B$8:$H$841,6,0)</f>
        <v>TĐ021</v>
      </c>
      <c r="AC448" s="69" t="str">
        <f>VLOOKUP(A448,'[1]DANH SÁCH'!$B$8:$J$841,9,0)</f>
        <v>TCKT</v>
      </c>
      <c r="AD448" s="69" t="str">
        <f>VLOOKUP(A448,'[1]DANH SÁCH'!$B$8:$AC$841,10,0)</f>
        <v>KP041</v>
      </c>
      <c r="AE448" s="69" t="str">
        <f>VLOOKUP(A448,'[1]DANH SÁCH'!$B$8:$AD$841,13,0)</f>
        <v>Viên chức</v>
      </c>
      <c r="AF448" s="83" t="s">
        <v>3218</v>
      </c>
      <c r="AG448" s="42" t="str">
        <f>VLOOKUP(A448,'[1]DANH SÁCH'!$B$8:$H$841,7,0)</f>
        <v>Kế toán viên</v>
      </c>
      <c r="AH448" s="45">
        <v>3.33</v>
      </c>
      <c r="AI448" s="42">
        <v>4</v>
      </c>
      <c r="AJ448" s="70">
        <v>0</v>
      </c>
      <c r="AK448" s="69">
        <v>45453</v>
      </c>
      <c r="AL448" s="71" t="s">
        <v>80</v>
      </c>
      <c r="AM448" s="53" t="str">
        <f>VLOOKUP(A448,'[1]DANH SÁCH'!$B$8:$F$841,5,0)</f>
        <v>KTĐH</v>
      </c>
      <c r="AN448" s="53"/>
      <c r="AO448" s="53" t="s">
        <v>3256</v>
      </c>
      <c r="AP448" s="53">
        <v>2014</v>
      </c>
      <c r="AQ448" s="72" t="s">
        <v>113</v>
      </c>
      <c r="AR448" s="42">
        <f>VLOOKUP(A448,'[1]Chứng chỉ'!$B$8:$Q$1111,11,0)</f>
        <v>0</v>
      </c>
      <c r="AS448" s="42">
        <f>VLOOKUP(A448,'[1]Chứng chỉ'!$B$8:$Q$1111,12,0)</f>
        <v>0</v>
      </c>
      <c r="AT448" s="47" t="str">
        <f>VLOOKUP(A448,'[1]Chứng chỉ'!$B$8:$Q$1111,13,0)</f>
        <v>Sơ cấp</v>
      </c>
      <c r="AU448" s="42" t="str">
        <f>VLOOKUP(A448,'[1]Chứng chỉ'!$B$8:$Q$1111,14,0)</f>
        <v>Anh B</v>
      </c>
      <c r="AV448" s="42">
        <f>VLOOKUP(A448,'[1]Chứng chỉ'!$B$8:$Q$1111,15,0)</f>
        <v>0</v>
      </c>
      <c r="AW448" s="42" t="str">
        <f>VLOOKUP(A448,'[1]Chứng chỉ'!$B$8:$Q$1111,16,0)</f>
        <v>ĐH</v>
      </c>
      <c r="AX448" s="42"/>
      <c r="AY448" s="57" t="s">
        <v>87</v>
      </c>
      <c r="AZ448" s="65"/>
      <c r="BA448" s="74"/>
      <c r="BB448" s="74"/>
      <c r="BC448" s="41"/>
      <c r="BD448" s="64"/>
    </row>
    <row r="449" spans="1:56" ht="61.2" x14ac:dyDescent="0.3">
      <c r="A449" s="41" t="s">
        <v>3257</v>
      </c>
      <c r="B449" s="42">
        <f t="shared" si="110"/>
        <v>443</v>
      </c>
      <c r="C449" s="68" t="s">
        <v>3258</v>
      </c>
      <c r="D449" s="41" t="s">
        <v>3257</v>
      </c>
      <c r="E449" s="61">
        <v>2012000303</v>
      </c>
      <c r="F449" s="64"/>
      <c r="G449" s="49" t="s">
        <v>3259</v>
      </c>
      <c r="H449" s="76"/>
      <c r="I449" s="76">
        <v>31541</v>
      </c>
      <c r="J449" s="66">
        <f t="shared" ca="1" si="169"/>
        <v>40</v>
      </c>
      <c r="K449" s="75" t="s">
        <v>3260</v>
      </c>
      <c r="L449" s="41" t="s">
        <v>1771</v>
      </c>
      <c r="M449" s="53" t="s">
        <v>67</v>
      </c>
      <c r="N449" s="66"/>
      <c r="O449" s="85" t="s">
        <v>1743</v>
      </c>
      <c r="P449" s="49" t="s">
        <v>195</v>
      </c>
      <c r="Q449" s="76" t="s">
        <v>94</v>
      </c>
      <c r="R449" s="49"/>
      <c r="S449" s="76" t="s">
        <v>96</v>
      </c>
      <c r="T449" s="76" t="s">
        <v>97</v>
      </c>
      <c r="U449" s="76" t="s">
        <v>94</v>
      </c>
      <c r="V449" s="49" t="str">
        <f t="shared" si="168"/>
        <v>Phường Hoàng Văn Thụ, Thành phố Lạng Sơn, Tỉnh Lạng Sơn</v>
      </c>
      <c r="W449" s="55" t="s">
        <v>3261</v>
      </c>
      <c r="X449" s="41"/>
      <c r="Y449" s="41"/>
      <c r="Z449" s="41"/>
      <c r="AA449" s="68">
        <f>VLOOKUP(A449,'[1]DANH SÁCH'!$B$8:$AD$841,12,0)</f>
        <v>0</v>
      </c>
      <c r="AB449" s="49" t="str">
        <f>VLOOKUP(A449,'[1]DANH SÁCH'!$B$8:$H$841,6,0)</f>
        <v>TĐ021</v>
      </c>
      <c r="AC449" s="69" t="str">
        <f>VLOOKUP(A449,'[1]DANH SÁCH'!$B$8:$J$841,9,0)</f>
        <v>TCKT</v>
      </c>
      <c r="AD449" s="69" t="str">
        <f>VLOOKUP(A449,'[1]DANH SÁCH'!$B$8:$AC$841,10,0)</f>
        <v>KP041</v>
      </c>
      <c r="AE449" s="69" t="str">
        <f>VLOOKUP(A449,'[1]DANH SÁCH'!$B$8:$AD$841,13,0)</f>
        <v>Viên chức</v>
      </c>
      <c r="AF449" s="143" t="s">
        <v>3218</v>
      </c>
      <c r="AG449" s="42" t="str">
        <f>VLOOKUP(A449,'[1]DANH SÁCH'!$B$8:$H$841,7,0)</f>
        <v>Kế toán viên</v>
      </c>
      <c r="AH449" s="45">
        <v>3.66</v>
      </c>
      <c r="AI449" s="42">
        <v>5</v>
      </c>
      <c r="AJ449" s="70">
        <v>0</v>
      </c>
      <c r="AK449" s="69">
        <v>45931</v>
      </c>
      <c r="AL449" s="71" t="s">
        <v>80</v>
      </c>
      <c r="AM449" s="53" t="str">
        <f>VLOOKUP(A449,'[1]DANH SÁCH'!$B$8:$F$841,5,0)</f>
        <v>KTĐH</v>
      </c>
      <c r="AN449" s="53"/>
      <c r="AO449" s="53" t="s">
        <v>3230</v>
      </c>
      <c r="AP449" s="53">
        <v>2013</v>
      </c>
      <c r="AQ449" s="72" t="s">
        <v>113</v>
      </c>
      <c r="AR449" s="42">
        <f>VLOOKUP(A449,'[1]Chứng chỉ'!$B$8:$Q$1111,11,0)</f>
        <v>0</v>
      </c>
      <c r="AS449" s="42">
        <f>VLOOKUP(A449,'[1]Chứng chỉ'!$B$8:$Q$1111,12,0)</f>
        <v>0</v>
      </c>
      <c r="AT449" s="47">
        <f>VLOOKUP(A449,'[1]Chứng chỉ'!$B$8:$Q$1111,13,0)</f>
        <v>0</v>
      </c>
      <c r="AU449" s="42" t="str">
        <f>VLOOKUP(A449,'[1]Chứng chỉ'!$B$8:$Q$1111,14,0)</f>
        <v>Anh B</v>
      </c>
      <c r="AV449" s="42">
        <f>VLOOKUP(A449,'[1]Chứng chỉ'!$B$8:$Q$1111,15,0)</f>
        <v>0</v>
      </c>
      <c r="AW449" s="42" t="str">
        <f>VLOOKUP(A449,'[1]Chứng chỉ'!$B$8:$Q$1111,16,0)</f>
        <v>B</v>
      </c>
      <c r="AX449" s="42"/>
      <c r="AY449" s="57" t="s">
        <v>85</v>
      </c>
      <c r="AZ449" s="65"/>
      <c r="BA449" s="74"/>
      <c r="BB449" s="74"/>
      <c r="BC449" s="41"/>
      <c r="BD449" s="64"/>
    </row>
    <row r="450" spans="1:56" ht="61.2" x14ac:dyDescent="0.3">
      <c r="A450" s="41" t="s">
        <v>3262</v>
      </c>
      <c r="B450" s="42">
        <f t="shared" si="110"/>
        <v>444</v>
      </c>
      <c r="C450" s="68" t="s">
        <v>3263</v>
      </c>
      <c r="D450" s="41" t="s">
        <v>3262</v>
      </c>
      <c r="E450" s="61">
        <v>2207000894</v>
      </c>
      <c r="F450" s="64"/>
      <c r="G450" s="49" t="s">
        <v>3264</v>
      </c>
      <c r="H450" s="76"/>
      <c r="I450" s="76">
        <v>29161</v>
      </c>
      <c r="J450" s="66">
        <f t="shared" ca="1" si="169"/>
        <v>46</v>
      </c>
      <c r="K450" s="75" t="s">
        <v>3265</v>
      </c>
      <c r="L450" s="41" t="s">
        <v>3266</v>
      </c>
      <c r="M450" s="53" t="s">
        <v>67</v>
      </c>
      <c r="N450" s="66"/>
      <c r="O450" s="53" t="s">
        <v>573</v>
      </c>
      <c r="P450" s="49" t="s">
        <v>155</v>
      </c>
      <c r="Q450" s="49" t="s">
        <v>94</v>
      </c>
      <c r="R450" s="49" t="s">
        <v>3267</v>
      </c>
      <c r="S450" s="49" t="s">
        <v>166</v>
      </c>
      <c r="T450" s="49" t="s">
        <v>97</v>
      </c>
      <c r="U450" s="49" t="s">
        <v>94</v>
      </c>
      <c r="V450" s="49" t="str">
        <f t="shared" si="168"/>
        <v>Phường Tam Thanh, Thành phố Lạng Sơn, Tỉnh Lạng Sơn</v>
      </c>
      <c r="W450" s="55" t="s">
        <v>236</v>
      </c>
      <c r="X450" s="41"/>
      <c r="Y450" s="41"/>
      <c r="Z450" s="41"/>
      <c r="AA450" s="68">
        <f>VLOOKUP(A450,'[1]DANH SÁCH'!$B$8:$AD$841,12,0)</f>
        <v>0</v>
      </c>
      <c r="AB450" s="49" t="str">
        <f>VLOOKUP(A450,'[1]DANH SÁCH'!$B$8:$H$841,6,0)</f>
        <v>TĐ021</v>
      </c>
      <c r="AC450" s="69" t="str">
        <f>VLOOKUP(A450,'[1]DANH SÁCH'!$B$8:$J$841,9,0)</f>
        <v>TCKT</v>
      </c>
      <c r="AD450" s="69" t="str">
        <f>VLOOKUP(A450,'[1]DANH SÁCH'!$B$8:$AC$841,10,0)</f>
        <v>KP041</v>
      </c>
      <c r="AE450" s="69" t="str">
        <f>VLOOKUP(A450,'[1]DANH SÁCH'!$B$8:$AD$841,13,0)</f>
        <v>Viên chức</v>
      </c>
      <c r="AF450" s="143" t="s">
        <v>3268</v>
      </c>
      <c r="AG450" s="42" t="str">
        <f>VLOOKUP(A450,'[1]DANH SÁCH'!$B$8:$H$841,7,0)</f>
        <v>Kế toán viên</v>
      </c>
      <c r="AH450" s="45">
        <v>3.66</v>
      </c>
      <c r="AI450" s="42">
        <v>5</v>
      </c>
      <c r="AJ450" s="70">
        <v>0</v>
      </c>
      <c r="AK450" s="69">
        <v>45778</v>
      </c>
      <c r="AL450" s="71" t="s">
        <v>80</v>
      </c>
      <c r="AM450" s="53" t="str">
        <f>VLOOKUP(A450,'[1]DANH SÁCH'!$B$8:$F$841,5,0)</f>
        <v>KTĐH</v>
      </c>
      <c r="AN450" s="53"/>
      <c r="AO450" s="53" t="s">
        <v>3238</v>
      </c>
      <c r="AP450" s="53">
        <v>2011</v>
      </c>
      <c r="AQ450" s="72" t="s">
        <v>113</v>
      </c>
      <c r="AR450" s="42">
        <f>VLOOKUP(A450,'[1]Chứng chỉ'!$B$8:$Q$1111,11,0)</f>
        <v>0</v>
      </c>
      <c r="AS450" s="42">
        <f>VLOOKUP(A450,'[1]Chứng chỉ'!$B$8:$Q$1111,12,0)</f>
        <v>0</v>
      </c>
      <c r="AT450" s="47">
        <f>VLOOKUP(A450,'[1]Chứng chỉ'!$B$8:$Q$1111,13,0)</f>
        <v>0</v>
      </c>
      <c r="AU450" s="42" t="str">
        <f>VLOOKUP(A450,'[1]Chứng chỉ'!$B$8:$Q$1111,14,0)</f>
        <v>Anh B</v>
      </c>
      <c r="AV450" s="42" t="str">
        <f>VLOOKUP(A450,'[1]Chứng chỉ'!$B$8:$Q$1111,15,0)</f>
        <v>Tày</v>
      </c>
      <c r="AW450" s="42" t="str">
        <f>VLOOKUP(A450,'[1]Chứng chỉ'!$B$8:$Q$1111,16,0)</f>
        <v>B</v>
      </c>
      <c r="AX450" s="42"/>
      <c r="AY450" s="57" t="s">
        <v>127</v>
      </c>
      <c r="AZ450" s="65">
        <v>42311</v>
      </c>
      <c r="BA450" s="74"/>
      <c r="BB450" s="74"/>
      <c r="BC450" s="41"/>
      <c r="BD450" s="64"/>
    </row>
    <row r="451" spans="1:56" ht="40.799999999999997" x14ac:dyDescent="0.3">
      <c r="A451" s="46" t="s">
        <v>3269</v>
      </c>
      <c r="B451" s="42">
        <f t="shared" si="110"/>
        <v>445</v>
      </c>
      <c r="C451" s="63" t="s">
        <v>3270</v>
      </c>
      <c r="D451" s="46" t="s">
        <v>3269</v>
      </c>
      <c r="E451" s="61" t="s">
        <v>3271</v>
      </c>
      <c r="F451" s="42"/>
      <c r="G451" s="49" t="s">
        <v>3272</v>
      </c>
      <c r="H451" s="47"/>
      <c r="I451" s="65">
        <v>32482</v>
      </c>
      <c r="J451" s="66">
        <f t="shared" ca="1" si="169"/>
        <v>37</v>
      </c>
      <c r="K451" s="46" t="s">
        <v>3273</v>
      </c>
      <c r="L451" s="65">
        <v>40835</v>
      </c>
      <c r="M451" s="56"/>
      <c r="N451" s="52"/>
      <c r="O451" s="56"/>
      <c r="P451" s="47"/>
      <c r="Q451" s="47"/>
      <c r="R451" s="47" t="s">
        <v>3274</v>
      </c>
      <c r="S451" s="47" t="s">
        <v>3275</v>
      </c>
      <c r="T451" s="47" t="s">
        <v>74</v>
      </c>
      <c r="U451" s="47" t="s">
        <v>71</v>
      </c>
      <c r="V451" s="56"/>
      <c r="W451" s="67" t="s">
        <v>384</v>
      </c>
      <c r="X451" s="46" t="s">
        <v>3276</v>
      </c>
      <c r="Y451" s="46"/>
      <c r="Z451" s="46"/>
      <c r="AA451" s="68">
        <f>VLOOKUP(A451,'[1]DANH SÁCH'!$B$8:$AD$841,12,0)</f>
        <v>0</v>
      </c>
      <c r="AB451" s="49" t="str">
        <f>VLOOKUP(A451,'[1]DANH SÁCH'!$B$8:$H$841,6,0)</f>
        <v>TĐ021</v>
      </c>
      <c r="AC451" s="69" t="str">
        <f>VLOOKUP(A451,'[1]DANH SÁCH'!$B$8:$J$841,9,0)</f>
        <v>TCKT</v>
      </c>
      <c r="AD451" s="69" t="str">
        <f>VLOOKUP(A451,'[1]DANH SÁCH'!$B$8:$AC$841,10,0)</f>
        <v>KP041</v>
      </c>
      <c r="AE451" s="69" t="str">
        <f>VLOOKUP(A451,'[1]DANH SÁCH'!$B$8:$AD$841,13,0)</f>
        <v>Viên chức</v>
      </c>
      <c r="AF451" s="143" t="s">
        <v>3218</v>
      </c>
      <c r="AG451" s="42" t="str">
        <f>VLOOKUP(A451,'[1]DANH SÁCH'!$B$8:$H$841,7,0)</f>
        <v>Kế toán viên</v>
      </c>
      <c r="AH451" s="45">
        <v>3</v>
      </c>
      <c r="AI451" s="42">
        <v>3</v>
      </c>
      <c r="AJ451" s="70">
        <v>0</v>
      </c>
      <c r="AK451" s="69">
        <v>45809</v>
      </c>
      <c r="AL451" s="71" t="s">
        <v>80</v>
      </c>
      <c r="AM451" s="53" t="str">
        <f>VLOOKUP(A451,'[1]DANH SÁCH'!$B$8:$F$841,5,0)</f>
        <v>KTĐH</v>
      </c>
      <c r="AN451" s="47"/>
      <c r="AO451" s="47"/>
      <c r="AP451" s="47"/>
      <c r="AQ451" s="47"/>
      <c r="AR451" s="42">
        <f>VLOOKUP(A451,'[1]Chứng chỉ'!$B$8:$Q$1111,11,0)</f>
        <v>0</v>
      </c>
      <c r="AS451" s="42">
        <f>VLOOKUP(A451,'[1]Chứng chỉ'!$B$8:$Q$1111,12,0)</f>
        <v>0</v>
      </c>
      <c r="AT451" s="47">
        <f>VLOOKUP(A451,'[1]Chứng chỉ'!$B$8:$Q$1111,13,0)</f>
        <v>0</v>
      </c>
      <c r="AU451" s="42" t="str">
        <f>VLOOKUP(A451,'[1]Chứng chỉ'!$B$8:$Q$1111,14,0)</f>
        <v>Anh B</v>
      </c>
      <c r="AV451" s="42">
        <f>VLOOKUP(A451,'[1]Chứng chỉ'!$B$8:$Q$1111,15,0)</f>
        <v>0</v>
      </c>
      <c r="AW451" s="42" t="str">
        <f>VLOOKUP(A451,'[1]Chứng chỉ'!$B$8:$Q$1111,16,0)</f>
        <v>B</v>
      </c>
      <c r="AX451" s="47"/>
      <c r="AY451" s="47" t="s">
        <v>85</v>
      </c>
      <c r="AZ451" s="65"/>
      <c r="BA451" s="47"/>
      <c r="BB451" s="47"/>
      <c r="BC451" s="61"/>
      <c r="BD451" s="64"/>
    </row>
    <row r="452" spans="1:56" ht="61.2" x14ac:dyDescent="0.3">
      <c r="A452" s="41" t="s">
        <v>3277</v>
      </c>
      <c r="B452" s="42">
        <f t="shared" si="110"/>
        <v>446</v>
      </c>
      <c r="C452" s="68" t="s">
        <v>3278</v>
      </c>
      <c r="D452" s="41" t="s">
        <v>3277</v>
      </c>
      <c r="E452" s="61">
        <v>1507000020</v>
      </c>
      <c r="F452" s="64"/>
      <c r="G452" s="49" t="s">
        <v>3279</v>
      </c>
      <c r="H452" s="76"/>
      <c r="I452" s="76">
        <v>31392</v>
      </c>
      <c r="J452" s="66">
        <f t="shared" ca="1" si="169"/>
        <v>40</v>
      </c>
      <c r="K452" s="75" t="s">
        <v>3280</v>
      </c>
      <c r="L452" s="41" t="s">
        <v>3281</v>
      </c>
      <c r="M452" s="53" t="s">
        <v>67</v>
      </c>
      <c r="N452" s="66" t="s">
        <v>506</v>
      </c>
      <c r="O452" s="53"/>
      <c r="P452" s="49" t="s">
        <v>195</v>
      </c>
      <c r="Q452" s="49" t="s">
        <v>94</v>
      </c>
      <c r="R452" s="49" t="s">
        <v>3282</v>
      </c>
      <c r="S452" s="49" t="s">
        <v>166</v>
      </c>
      <c r="T452" s="49" t="s">
        <v>97</v>
      </c>
      <c r="U452" s="49" t="s">
        <v>94</v>
      </c>
      <c r="V452" s="49" t="str">
        <f t="shared" ref="V452:V455" si="170">S452&amp;", "&amp;T452&amp;", "&amp;U452</f>
        <v>Phường Tam Thanh, Thành phố Lạng Sơn, Tỉnh Lạng Sơn</v>
      </c>
      <c r="W452" s="55" t="s">
        <v>2081</v>
      </c>
      <c r="X452" s="41"/>
      <c r="Y452" s="41"/>
      <c r="Z452" s="41"/>
      <c r="AA452" s="68">
        <f>VLOOKUP(A452,'[1]DANH SÁCH'!$B$8:$AD$841,12,0)</f>
        <v>0</v>
      </c>
      <c r="AB452" s="49" t="str">
        <f>VLOOKUP(A452,'[1]DANH SÁCH'!$B$8:$H$841,6,0)</f>
        <v>TĐ021</v>
      </c>
      <c r="AC452" s="69" t="str">
        <f>VLOOKUP(A452,'[1]DANH SÁCH'!$B$8:$J$841,9,0)</f>
        <v>TCKT</v>
      </c>
      <c r="AD452" s="69" t="str">
        <f>VLOOKUP(A452,'[1]DANH SÁCH'!$B$8:$AC$841,10,0)</f>
        <v>KP041</v>
      </c>
      <c r="AE452" s="69" t="str">
        <f>VLOOKUP(A452,'[1]DANH SÁCH'!$B$8:$AD$841,13,0)</f>
        <v>Viên chức</v>
      </c>
      <c r="AF452" s="143" t="s">
        <v>3268</v>
      </c>
      <c r="AG452" s="42" t="str">
        <f>VLOOKUP(A452,'[1]DANH SÁCH'!$B$8:$H$841,7,0)</f>
        <v>Kế toán viên</v>
      </c>
      <c r="AH452" s="45">
        <v>3.66</v>
      </c>
      <c r="AI452" s="42">
        <v>5</v>
      </c>
      <c r="AJ452" s="70">
        <v>0</v>
      </c>
      <c r="AK452" s="69">
        <v>45778</v>
      </c>
      <c r="AL452" s="71" t="s">
        <v>158</v>
      </c>
      <c r="AM452" s="53" t="str">
        <f>VLOOKUP(A452,'[1]DANH SÁCH'!$B$8:$F$841,5,0)</f>
        <v>KTĐH</v>
      </c>
      <c r="AN452" s="53"/>
      <c r="AO452" s="53" t="s">
        <v>3283</v>
      </c>
      <c r="AP452" s="53">
        <v>2010</v>
      </c>
      <c r="AQ452" s="72" t="s">
        <v>113</v>
      </c>
      <c r="AR452" s="42">
        <f>VLOOKUP(A452,'[1]Chứng chỉ'!$B$8:$Q$1111,11,0)</f>
        <v>0</v>
      </c>
      <c r="AS452" s="42">
        <f>VLOOKUP(A452,'[1]Chứng chỉ'!$B$8:$Q$1111,12,0)</f>
        <v>0</v>
      </c>
      <c r="AT452" s="47">
        <f>VLOOKUP(A452,'[1]Chứng chỉ'!$B$8:$Q$1111,13,0)</f>
        <v>0</v>
      </c>
      <c r="AU452" s="42" t="str">
        <f>VLOOKUP(A452,'[1]Chứng chỉ'!$B$8:$Q$1111,14,0)</f>
        <v>Anh B</v>
      </c>
      <c r="AV452" s="42">
        <f>VLOOKUP(A452,'[1]Chứng chỉ'!$B$8:$Q$1111,15,0)</f>
        <v>0</v>
      </c>
      <c r="AW452" s="42" t="str">
        <f>VLOOKUP(A452,'[1]Chứng chỉ'!$B$8:$Q$1111,16,0)</f>
        <v>B</v>
      </c>
      <c r="AX452" s="42"/>
      <c r="AY452" s="57" t="s">
        <v>85</v>
      </c>
      <c r="AZ452" s="65"/>
      <c r="BA452" s="74"/>
      <c r="BB452" s="74"/>
      <c r="BC452" s="61" t="s">
        <v>128</v>
      </c>
      <c r="BD452" s="62"/>
    </row>
    <row r="453" spans="1:56" ht="61.2" x14ac:dyDescent="0.3">
      <c r="A453" s="41" t="s">
        <v>3284</v>
      </c>
      <c r="B453" s="42">
        <f t="shared" si="110"/>
        <v>447</v>
      </c>
      <c r="C453" s="68" t="s">
        <v>3285</v>
      </c>
      <c r="D453" s="41" t="s">
        <v>3284</v>
      </c>
      <c r="E453" s="61">
        <v>1500002076</v>
      </c>
      <c r="F453" s="64"/>
      <c r="G453" s="49" t="s">
        <v>3286</v>
      </c>
      <c r="H453" s="76"/>
      <c r="I453" s="76">
        <v>28051</v>
      </c>
      <c r="J453" s="66">
        <f t="shared" ca="1" si="169"/>
        <v>49</v>
      </c>
      <c r="K453" s="75" t="s">
        <v>3287</v>
      </c>
      <c r="L453" s="41" t="s">
        <v>291</v>
      </c>
      <c r="M453" s="53" t="s">
        <v>67</v>
      </c>
      <c r="N453" s="66" t="s">
        <v>71</v>
      </c>
      <c r="O453" s="53" t="s">
        <v>3288</v>
      </c>
      <c r="P453" s="49" t="s">
        <v>145</v>
      </c>
      <c r="Q453" s="49" t="s">
        <v>94</v>
      </c>
      <c r="R453" s="49" t="s">
        <v>3289</v>
      </c>
      <c r="S453" s="49" t="s">
        <v>166</v>
      </c>
      <c r="T453" s="49" t="s">
        <v>97</v>
      </c>
      <c r="U453" s="49" t="s">
        <v>94</v>
      </c>
      <c r="V453" s="49" t="str">
        <f t="shared" si="170"/>
        <v>Phường Tam Thanh, Thành phố Lạng Sơn, Tỉnh Lạng Sơn</v>
      </c>
      <c r="W453" s="55" t="s">
        <v>3290</v>
      </c>
      <c r="X453" s="41"/>
      <c r="Y453" s="41"/>
      <c r="Z453" s="41"/>
      <c r="AA453" s="68">
        <f>VLOOKUP(A453,'[1]DANH SÁCH'!$B$8:$AD$841,12,0)</f>
        <v>0</v>
      </c>
      <c r="AB453" s="49" t="str">
        <f>VLOOKUP(A453,'[1]DANH SÁCH'!$B$8:$H$841,6,0)</f>
        <v>TĐ021</v>
      </c>
      <c r="AC453" s="69" t="str">
        <f>VLOOKUP(A453,'[1]DANH SÁCH'!$B$8:$J$841,9,0)</f>
        <v>TCKT</v>
      </c>
      <c r="AD453" s="69" t="str">
        <f>VLOOKUP(A453,'[1]DANH SÁCH'!$B$8:$AC$841,10,0)</f>
        <v>KP041</v>
      </c>
      <c r="AE453" s="69" t="str">
        <f>VLOOKUP(A453,'[1]DANH SÁCH'!$B$8:$AD$841,13,0)</f>
        <v>Viên chức</v>
      </c>
      <c r="AF453" s="143" t="s">
        <v>3268</v>
      </c>
      <c r="AG453" s="42" t="str">
        <f>VLOOKUP(A453,'[1]DANH SÁCH'!$B$8:$H$841,7,0)</f>
        <v>Kế toán viên</v>
      </c>
      <c r="AH453" s="45">
        <v>3.99</v>
      </c>
      <c r="AI453" s="42">
        <v>6</v>
      </c>
      <c r="AJ453" s="70">
        <v>0</v>
      </c>
      <c r="AK453" s="69">
        <v>45474</v>
      </c>
      <c r="AL453" s="71" t="s">
        <v>158</v>
      </c>
      <c r="AM453" s="53" t="str">
        <f>VLOOKUP(A453,'[1]DANH SÁCH'!$B$8:$F$841,5,0)</f>
        <v>KTĐH</v>
      </c>
      <c r="AN453" s="53"/>
      <c r="AO453" s="53"/>
      <c r="AP453" s="53"/>
      <c r="AQ453" s="72" t="s">
        <v>113</v>
      </c>
      <c r="AR453" s="42">
        <f>VLOOKUP(A453,'[1]Chứng chỉ'!$B$8:$Q$1111,11,0)</f>
        <v>0</v>
      </c>
      <c r="AS453" s="42">
        <f>VLOOKUP(A453,'[1]Chứng chỉ'!$B$8:$Q$1111,12,0)</f>
        <v>0</v>
      </c>
      <c r="AT453" s="47">
        <f>VLOOKUP(A453,'[1]Chứng chỉ'!$B$8:$Q$1111,13,0)</f>
        <v>0</v>
      </c>
      <c r="AU453" s="42" t="str">
        <f>VLOOKUP(A453,'[1]Chứng chỉ'!$B$8:$Q$1111,14,0)</f>
        <v>Anh B</v>
      </c>
      <c r="AV453" s="42" t="str">
        <f>VLOOKUP(A453,'[1]Chứng chỉ'!$B$8:$Q$1111,15,0)</f>
        <v>Tày</v>
      </c>
      <c r="AW453" s="42" t="str">
        <f>VLOOKUP(A453,'[1]Chứng chỉ'!$B$8:$Q$1111,16,0)</f>
        <v>Cơ bản</v>
      </c>
      <c r="AX453" s="42"/>
      <c r="AY453" s="57" t="s">
        <v>127</v>
      </c>
      <c r="AZ453" s="65">
        <v>39903</v>
      </c>
      <c r="BA453" s="74"/>
      <c r="BB453" s="74"/>
      <c r="BC453" s="61"/>
      <c r="BD453" s="64"/>
    </row>
    <row r="454" spans="1:56" ht="51" x14ac:dyDescent="0.3">
      <c r="A454" s="41" t="s">
        <v>3291</v>
      </c>
      <c r="B454" s="42">
        <f t="shared" si="110"/>
        <v>448</v>
      </c>
      <c r="C454" s="68" t="s">
        <v>3292</v>
      </c>
      <c r="D454" s="41" t="s">
        <v>3291</v>
      </c>
      <c r="E454" s="61">
        <v>1502000170</v>
      </c>
      <c r="F454" s="64"/>
      <c r="G454" s="49" t="s">
        <v>3293</v>
      </c>
      <c r="H454" s="76">
        <v>26872</v>
      </c>
      <c r="I454" s="76"/>
      <c r="J454" s="66">
        <f ca="1">INT(DATEDIF(H454,$J$2,"d")/365)</f>
        <v>53</v>
      </c>
      <c r="K454" s="75" t="s">
        <v>3294</v>
      </c>
      <c r="L454" s="41" t="s">
        <v>3295</v>
      </c>
      <c r="M454" s="53" t="s">
        <v>67</v>
      </c>
      <c r="N454" s="66"/>
      <c r="O454" s="53" t="s">
        <v>73</v>
      </c>
      <c r="P454" s="49" t="s">
        <v>97</v>
      </c>
      <c r="Q454" s="49" t="s">
        <v>94</v>
      </c>
      <c r="R454" s="49" t="s">
        <v>3296</v>
      </c>
      <c r="S454" s="49" t="s">
        <v>73</v>
      </c>
      <c r="T454" s="49" t="s">
        <v>97</v>
      </c>
      <c r="U454" s="49" t="s">
        <v>94</v>
      </c>
      <c r="V454" s="49" t="str">
        <f t="shared" si="170"/>
        <v>Phường Vĩnh Trại, Thành phố Lạng Sơn, Tỉnh Lạng Sơn</v>
      </c>
      <c r="W454" s="55" t="s">
        <v>3297</v>
      </c>
      <c r="X454" s="41" t="s">
        <v>3297</v>
      </c>
      <c r="Y454" s="41"/>
      <c r="Z454" s="41"/>
      <c r="AA454" s="68">
        <f>VLOOKUP(A454,'[1]DANH SÁCH'!$B$8:$AD$841,12,0)</f>
        <v>0</v>
      </c>
      <c r="AB454" s="49" t="str">
        <f>VLOOKUP(A454,'[1]DANH SÁCH'!$B$8:$H$841,6,0)</f>
        <v>TĐ021</v>
      </c>
      <c r="AC454" s="69" t="str">
        <f>VLOOKUP(A454,'[1]DANH SÁCH'!$B$8:$J$841,9,0)</f>
        <v>TCKT</v>
      </c>
      <c r="AD454" s="69" t="str">
        <f>VLOOKUP(A454,'[1]DANH SÁCH'!$B$8:$AC$841,10,0)</f>
        <v>KP041</v>
      </c>
      <c r="AE454" s="69" t="str">
        <f>VLOOKUP(A454,'[1]DANH SÁCH'!$B$8:$AD$841,13,0)</f>
        <v>Viên chức</v>
      </c>
      <c r="AF454" s="143" t="s">
        <v>3268</v>
      </c>
      <c r="AG454" s="42" t="str">
        <f>VLOOKUP(A454,'[1]DANH SÁCH'!$B$8:$H$841,7,0)</f>
        <v>Kế toán viên</v>
      </c>
      <c r="AH454" s="45">
        <v>3.66</v>
      </c>
      <c r="AI454" s="42">
        <v>5</v>
      </c>
      <c r="AJ454" s="70">
        <v>0</v>
      </c>
      <c r="AK454" s="69">
        <v>46001</v>
      </c>
      <c r="AL454" s="71" t="s">
        <v>158</v>
      </c>
      <c r="AM454" s="53" t="str">
        <f>VLOOKUP(A454,'[1]DANH SÁCH'!$B$8:$F$841,5,0)</f>
        <v>KTĐH</v>
      </c>
      <c r="AN454" s="53"/>
      <c r="AO454" s="53" t="s">
        <v>3298</v>
      </c>
      <c r="AP454" s="53">
        <v>2011</v>
      </c>
      <c r="AQ454" s="72" t="s">
        <v>113</v>
      </c>
      <c r="AR454" s="42">
        <f>VLOOKUP(A454,'[1]Chứng chỉ'!$B$8:$Q$1111,11,0)</f>
        <v>0</v>
      </c>
      <c r="AS454" s="42">
        <f>VLOOKUP(A454,'[1]Chứng chỉ'!$B$8:$Q$1111,12,0)</f>
        <v>0</v>
      </c>
      <c r="AT454" s="47">
        <f>VLOOKUP(A454,'[1]Chứng chỉ'!$B$8:$Q$1111,13,0)</f>
        <v>0</v>
      </c>
      <c r="AU454" s="42" t="str">
        <f>VLOOKUP(A454,'[1]Chứng chỉ'!$B$8:$Q$1111,14,0)</f>
        <v>Anh B</v>
      </c>
      <c r="AV454" s="42" t="str">
        <f>VLOOKUP(A454,'[1]Chứng chỉ'!$B$8:$Q$1111,15,0)</f>
        <v>Tày</v>
      </c>
      <c r="AW454" s="42" t="str">
        <f>VLOOKUP(A454,'[1]Chứng chỉ'!$B$8:$Q$1111,16,0)</f>
        <v>Cơ bản</v>
      </c>
      <c r="AX454" s="42"/>
      <c r="AY454" s="57" t="s">
        <v>87</v>
      </c>
      <c r="AZ454" s="65">
        <v>41611</v>
      </c>
      <c r="BA454" s="74"/>
      <c r="BB454" s="74"/>
      <c r="BC454" s="41" t="s">
        <v>128</v>
      </c>
      <c r="BD454" s="64"/>
    </row>
    <row r="455" spans="1:56" ht="51" x14ac:dyDescent="0.3">
      <c r="A455" s="41" t="s">
        <v>3299</v>
      </c>
      <c r="B455" s="42">
        <f t="shared" si="110"/>
        <v>449</v>
      </c>
      <c r="C455" s="68" t="s">
        <v>3300</v>
      </c>
      <c r="D455" s="41" t="s">
        <v>3299</v>
      </c>
      <c r="E455" s="61">
        <v>1596007631</v>
      </c>
      <c r="F455" s="64"/>
      <c r="G455" s="49" t="s">
        <v>3301</v>
      </c>
      <c r="H455" s="76"/>
      <c r="I455" s="76">
        <v>27399</v>
      </c>
      <c r="J455" s="66">
        <f ca="1">INT(DATEDIF(I455,$J$2,"d")/365)</f>
        <v>51</v>
      </c>
      <c r="K455" s="75" t="s">
        <v>3302</v>
      </c>
      <c r="L455" s="41" t="s">
        <v>370</v>
      </c>
      <c r="M455" s="53" t="s">
        <v>67</v>
      </c>
      <c r="N455" s="66"/>
      <c r="O455" s="53"/>
      <c r="P455" s="76" t="s">
        <v>343</v>
      </c>
      <c r="Q455" s="49" t="s">
        <v>94</v>
      </c>
      <c r="R455" s="49"/>
      <c r="S455" s="49" t="s">
        <v>136</v>
      </c>
      <c r="T455" s="49" t="s">
        <v>97</v>
      </c>
      <c r="U455" s="49" t="s">
        <v>94</v>
      </c>
      <c r="V455" s="49" t="str">
        <f t="shared" si="170"/>
        <v>Phường Chi Lăng, Thành phố Lạng Sơn, Tỉnh Lạng Sơn</v>
      </c>
      <c r="W455" s="55" t="s">
        <v>3303</v>
      </c>
      <c r="X455" s="41"/>
      <c r="Y455" s="41"/>
      <c r="Z455" s="41"/>
      <c r="AA455" s="68">
        <f>VLOOKUP(A455,'[1]DANH SÁCH'!$B$8:$AD$841,12,0)</f>
        <v>0</v>
      </c>
      <c r="AB455" s="49" t="str">
        <f>VLOOKUP(A455,'[1]DANH SÁCH'!$B$8:$H$841,6,0)</f>
        <v>TĐ022</v>
      </c>
      <c r="AC455" s="69" t="str">
        <f>VLOOKUP(A455,'[1]DANH SÁCH'!$B$8:$J$841,9,0)</f>
        <v>TCKT</v>
      </c>
      <c r="AD455" s="69" t="str">
        <f>VLOOKUP(A455,'[1]DANH SÁCH'!$B$8:$AC$841,10,0)</f>
        <v>KP041</v>
      </c>
      <c r="AE455" s="69" t="str">
        <f>VLOOKUP(A455,'[1]DANH SÁCH'!$B$8:$AD$841,13,0)</f>
        <v>Viên chức</v>
      </c>
      <c r="AF455" s="143" t="s">
        <v>3268</v>
      </c>
      <c r="AG455" s="42" t="str">
        <f>VLOOKUP(A455,'[1]DANH SÁCH'!$B$8:$H$841,7,0)</f>
        <v>Kế toán viên TC</v>
      </c>
      <c r="AH455" s="45">
        <v>4.58</v>
      </c>
      <c r="AI455" s="42">
        <v>9</v>
      </c>
      <c r="AJ455" s="70">
        <v>0</v>
      </c>
      <c r="AK455" s="69">
        <v>45413</v>
      </c>
      <c r="AL455" s="71" t="s">
        <v>158</v>
      </c>
      <c r="AM455" s="53" t="str">
        <f>VLOOKUP(A455,'[1]DANH SÁCH'!$B$8:$F$841,5,0)</f>
        <v>KTCĐ</v>
      </c>
      <c r="AN455" s="53"/>
      <c r="AO455" s="53" t="s">
        <v>3304</v>
      </c>
      <c r="AP455" s="53">
        <v>2010</v>
      </c>
      <c r="AQ455" s="72" t="s">
        <v>113</v>
      </c>
      <c r="AR455" s="42">
        <f>VLOOKUP(A455,'[1]Chứng chỉ'!$B$8:$Q$1111,11,0)</f>
        <v>0</v>
      </c>
      <c r="AS455" s="42">
        <f>VLOOKUP(A455,'[1]Chứng chỉ'!$B$8:$Q$1111,12,0)</f>
        <v>0</v>
      </c>
      <c r="AT455" s="47">
        <f>VLOOKUP(A455,'[1]Chứng chỉ'!$B$8:$Q$1111,13,0)</f>
        <v>0</v>
      </c>
      <c r="AU455" s="42" t="str">
        <f>VLOOKUP(A455,'[1]Chứng chỉ'!$B$8:$Q$1111,14,0)</f>
        <v>Anh B</v>
      </c>
      <c r="AV455" s="42">
        <f>VLOOKUP(A455,'[1]Chứng chỉ'!$B$8:$Q$1111,15,0)</f>
        <v>0</v>
      </c>
      <c r="AW455" s="42" t="str">
        <f>VLOOKUP(A455,'[1]Chứng chỉ'!$B$8:$Q$1111,16,0)</f>
        <v>B</v>
      </c>
      <c r="AX455" s="42"/>
      <c r="AY455" s="57" t="s">
        <v>85</v>
      </c>
      <c r="AZ455" s="65">
        <v>39177</v>
      </c>
      <c r="BA455" s="74"/>
      <c r="BB455" s="74"/>
      <c r="BC455" s="41"/>
      <c r="BD455" s="64"/>
    </row>
    <row r="456" spans="1:56" ht="40.799999999999997" x14ac:dyDescent="0.3">
      <c r="A456" s="46" t="s">
        <v>3305</v>
      </c>
      <c r="B456" s="42">
        <f t="shared" si="110"/>
        <v>450</v>
      </c>
      <c r="C456" s="63" t="s">
        <v>3306</v>
      </c>
      <c r="D456" s="46" t="s">
        <v>3305</v>
      </c>
      <c r="E456" s="61" t="s">
        <v>3307</v>
      </c>
      <c r="F456" s="42" t="s">
        <v>3308</v>
      </c>
      <c r="G456" s="49" t="s">
        <v>3309</v>
      </c>
      <c r="H456" s="65">
        <v>33503</v>
      </c>
      <c r="I456" s="47"/>
      <c r="J456" s="66">
        <f ca="1">INT(DATEDIF(H456,$J$2,"d")/365)</f>
        <v>34</v>
      </c>
      <c r="K456" s="46" t="s">
        <v>3310</v>
      </c>
      <c r="L456" s="65">
        <v>42361</v>
      </c>
      <c r="M456" s="56"/>
      <c r="N456" s="52"/>
      <c r="O456" s="56"/>
      <c r="P456" s="47"/>
      <c r="Q456" s="47"/>
      <c r="R456" s="47"/>
      <c r="S456" s="47"/>
      <c r="T456" s="47"/>
      <c r="U456" s="47"/>
      <c r="V456" s="56" t="s">
        <v>3311</v>
      </c>
      <c r="W456" s="67" t="s">
        <v>3312</v>
      </c>
      <c r="X456" s="46"/>
      <c r="Y456" s="46"/>
      <c r="Z456" s="46"/>
      <c r="AA456" s="68">
        <f>VLOOKUP(A456,'[1]DANH SÁCH'!$B$8:$AD$841,12,0)</f>
        <v>0</v>
      </c>
      <c r="AB456" s="49" t="str">
        <f>VLOOKUP(A456,'[1]DANH SÁCH'!$B$8:$H$841,6,0)</f>
        <v>TĐ021</v>
      </c>
      <c r="AC456" s="69" t="str">
        <f>VLOOKUP(A456,'[1]DANH SÁCH'!$B$8:$J$841,9,0)</f>
        <v>TCKT</v>
      </c>
      <c r="AD456" s="69" t="str">
        <f>VLOOKUP(A456,'[1]DANH SÁCH'!$B$8:$AC$841,10,0)</f>
        <v>KP041</v>
      </c>
      <c r="AE456" s="69" t="str">
        <f>VLOOKUP(A456,'[1]DANH SÁCH'!$B$8:$AD$841,13,0)</f>
        <v>Viên chức</v>
      </c>
      <c r="AF456" s="143" t="s">
        <v>3268</v>
      </c>
      <c r="AG456" s="42" t="str">
        <f>VLOOKUP(A456,'[1]DANH SÁCH'!$B$8:$H$841,7,0)</f>
        <v>Kế toán viên</v>
      </c>
      <c r="AH456" s="45">
        <v>3.33</v>
      </c>
      <c r="AI456" s="42">
        <v>4</v>
      </c>
      <c r="AJ456" s="70">
        <v>0</v>
      </c>
      <c r="AK456" s="69">
        <v>45444</v>
      </c>
      <c r="AL456" s="71" t="s">
        <v>158</v>
      </c>
      <c r="AM456" s="53" t="str">
        <f>VLOOKUP(A456,'[1]DANH SÁCH'!$B$8:$F$841,5,0)</f>
        <v>KTĐH</v>
      </c>
      <c r="AN456" s="47"/>
      <c r="AO456" s="47"/>
      <c r="AP456" s="47"/>
      <c r="AQ456" s="47"/>
      <c r="AR456" s="42">
        <f>VLOOKUP(A456,'[1]Chứng chỉ'!$B$8:$Q$1111,11,0)</f>
        <v>0</v>
      </c>
      <c r="AS456" s="42">
        <f>VLOOKUP(A456,'[1]Chứng chỉ'!$B$8:$Q$1111,12,0)</f>
        <v>0</v>
      </c>
      <c r="AT456" s="47">
        <f>VLOOKUP(A456,'[1]Chứng chỉ'!$B$8:$Q$1111,13,0)</f>
        <v>0</v>
      </c>
      <c r="AU456" s="42" t="str">
        <f>VLOOKUP(A456,'[1]Chứng chỉ'!$B$8:$Q$1111,14,0)</f>
        <v>Anh B</v>
      </c>
      <c r="AV456" s="42">
        <f>VLOOKUP(A456,'[1]Chứng chỉ'!$B$8:$Q$1111,15,0)</f>
        <v>0</v>
      </c>
      <c r="AW456" s="42" t="str">
        <f>VLOOKUP(A456,'[1]Chứng chỉ'!$B$8:$Q$1111,16,0)</f>
        <v>B</v>
      </c>
      <c r="AX456" s="47"/>
      <c r="AY456" s="47" t="s">
        <v>87</v>
      </c>
      <c r="AZ456" s="65"/>
      <c r="BA456" s="47"/>
      <c r="BB456" s="47"/>
      <c r="BC456" s="41"/>
      <c r="BD456" s="64"/>
    </row>
    <row r="457" spans="1:56" ht="51" x14ac:dyDescent="0.3">
      <c r="A457" s="41" t="s">
        <v>3313</v>
      </c>
      <c r="B457" s="42">
        <f t="shared" si="110"/>
        <v>451</v>
      </c>
      <c r="C457" s="68" t="s">
        <v>3314</v>
      </c>
      <c r="D457" s="41" t="s">
        <v>3313</v>
      </c>
      <c r="E457" s="61">
        <v>2013002143</v>
      </c>
      <c r="F457" s="64"/>
      <c r="G457" s="49" t="s">
        <v>3315</v>
      </c>
      <c r="H457" s="76"/>
      <c r="I457" s="76">
        <v>31797</v>
      </c>
      <c r="J457" s="66">
        <f t="shared" ref="J457:J461" ca="1" si="171">INT(DATEDIF(I457,$J$2,"d")/365)</f>
        <v>39</v>
      </c>
      <c r="K457" s="75" t="s">
        <v>3316</v>
      </c>
      <c r="L457" s="41" t="s">
        <v>3317</v>
      </c>
      <c r="M457" s="53" t="s">
        <v>67</v>
      </c>
      <c r="N457" s="66"/>
      <c r="O457" s="85" t="s">
        <v>3318</v>
      </c>
      <c r="P457" s="49" t="s">
        <v>282</v>
      </c>
      <c r="Q457" s="49" t="s">
        <v>94</v>
      </c>
      <c r="R457" s="76"/>
      <c r="S457" s="76" t="s">
        <v>3318</v>
      </c>
      <c r="T457" s="49" t="s">
        <v>282</v>
      </c>
      <c r="U457" s="49" t="s">
        <v>94</v>
      </c>
      <c r="V457" s="49" t="str">
        <f t="shared" ref="V457:V458" si="172">S457&amp;", "&amp;T457&amp;", "&amp;U457</f>
        <v>Xã Quyết thắng, Huyện Hữu Lũng, Tỉnh Lạng Sơn</v>
      </c>
      <c r="W457" s="55" t="s">
        <v>315</v>
      </c>
      <c r="X457" s="41"/>
      <c r="Y457" s="41"/>
      <c r="Z457" s="41"/>
      <c r="AA457" s="68">
        <f>VLOOKUP(A457,'[1]DANH SÁCH'!$B$8:$AD$841,12,0)</f>
        <v>0</v>
      </c>
      <c r="AB457" s="49" t="str">
        <f>VLOOKUP(A457,'[1]DANH SÁCH'!$B$8:$H$841,6,0)</f>
        <v>TĐ021</v>
      </c>
      <c r="AC457" s="69" t="str">
        <f>VLOOKUP(A457,'[1]DANH SÁCH'!$B$8:$J$841,9,0)</f>
        <v>TCKT</v>
      </c>
      <c r="AD457" s="69" t="str">
        <f>VLOOKUP(A457,'[1]DANH SÁCH'!$B$8:$AC$841,10,0)</f>
        <v>KP041</v>
      </c>
      <c r="AE457" s="69" t="str">
        <f>VLOOKUP(A457,'[1]DANH SÁCH'!$B$8:$AD$841,13,0)</f>
        <v>Viên chức</v>
      </c>
      <c r="AF457" s="143" t="s">
        <v>3268</v>
      </c>
      <c r="AG457" s="42" t="str">
        <f>VLOOKUP(A457,'[1]DANH SÁCH'!$B$8:$H$841,7,0)</f>
        <v>Kế toán viên</v>
      </c>
      <c r="AH457" s="45">
        <v>3.33</v>
      </c>
      <c r="AI457" s="42">
        <v>4</v>
      </c>
      <c r="AJ457" s="70">
        <v>0</v>
      </c>
      <c r="AK457" s="69">
        <v>45413</v>
      </c>
      <c r="AL457" s="71" t="s">
        <v>80</v>
      </c>
      <c r="AM457" s="53" t="str">
        <f>VLOOKUP(A457,'[1]DANH SÁCH'!$B$8:$F$841,5,0)</f>
        <v>KTĐH</v>
      </c>
      <c r="AN457" s="53"/>
      <c r="AO457" s="53" t="s">
        <v>3319</v>
      </c>
      <c r="AP457" s="53"/>
      <c r="AQ457" s="72" t="s">
        <v>113</v>
      </c>
      <c r="AR457" s="42">
        <f>VLOOKUP(A457,'[1]Chứng chỉ'!$B$8:$Q$1111,11,0)</f>
        <v>0</v>
      </c>
      <c r="AS457" s="42">
        <f>VLOOKUP(A457,'[1]Chứng chỉ'!$B$8:$Q$1111,12,0)</f>
        <v>0</v>
      </c>
      <c r="AT457" s="47">
        <f>VLOOKUP(A457,'[1]Chứng chỉ'!$B$8:$Q$1111,13,0)</f>
        <v>0</v>
      </c>
      <c r="AU457" s="42" t="str">
        <f>VLOOKUP(A457,'[1]Chứng chỉ'!$B$8:$Q$1111,14,0)</f>
        <v>Anh B</v>
      </c>
      <c r="AV457" s="42">
        <f>VLOOKUP(A457,'[1]Chứng chỉ'!$B$8:$Q$1111,15,0)</f>
        <v>0</v>
      </c>
      <c r="AW457" s="42" t="str">
        <f>VLOOKUP(A457,'[1]Chứng chỉ'!$B$8:$Q$1111,16,0)</f>
        <v>B</v>
      </c>
      <c r="AX457" s="42"/>
      <c r="AY457" s="57" t="s">
        <v>87</v>
      </c>
      <c r="AZ457" s="65"/>
      <c r="BA457" s="74"/>
      <c r="BB457" s="74"/>
      <c r="BC457" s="41"/>
      <c r="BD457" s="64"/>
    </row>
    <row r="458" spans="1:56" ht="61.2" x14ac:dyDescent="0.3">
      <c r="A458" s="41" t="s">
        <v>3320</v>
      </c>
      <c r="B458" s="42">
        <f t="shared" si="110"/>
        <v>452</v>
      </c>
      <c r="C458" s="68" t="s">
        <v>3321</v>
      </c>
      <c r="D458" s="41" t="s">
        <v>3320</v>
      </c>
      <c r="E458" s="61">
        <v>2010000184</v>
      </c>
      <c r="F458" s="64"/>
      <c r="G458" s="49" t="s">
        <v>3322</v>
      </c>
      <c r="H458" s="76"/>
      <c r="I458" s="76">
        <v>32025</v>
      </c>
      <c r="J458" s="66">
        <f t="shared" ca="1" si="171"/>
        <v>38</v>
      </c>
      <c r="K458" s="75" t="s">
        <v>3323</v>
      </c>
      <c r="L458" s="41" t="s">
        <v>3324</v>
      </c>
      <c r="M458" s="53" t="s">
        <v>67</v>
      </c>
      <c r="N458" s="66"/>
      <c r="O458" s="53" t="s">
        <v>1681</v>
      </c>
      <c r="P458" s="49" t="s">
        <v>282</v>
      </c>
      <c r="Q458" s="49" t="s">
        <v>94</v>
      </c>
      <c r="R458" s="49" t="s">
        <v>3325</v>
      </c>
      <c r="S458" s="49" t="s">
        <v>124</v>
      </c>
      <c r="T458" s="49" t="s">
        <v>97</v>
      </c>
      <c r="U458" s="49" t="s">
        <v>94</v>
      </c>
      <c r="V458" s="49" t="str">
        <f t="shared" si="172"/>
        <v>Phường Đông Kinh, Thành phố Lạng Sơn, Tỉnh Lạng Sơn</v>
      </c>
      <c r="W458" s="55" t="s">
        <v>236</v>
      </c>
      <c r="X458" s="41"/>
      <c r="Y458" s="41"/>
      <c r="Z458" s="41"/>
      <c r="AA458" s="68">
        <f>VLOOKUP(A458,'[1]DANH SÁCH'!$B$8:$AD$841,12,0)</f>
        <v>0</v>
      </c>
      <c r="AB458" s="49" t="str">
        <f>VLOOKUP(A458,'[1]DANH SÁCH'!$B$8:$H$841,6,0)</f>
        <v>TĐ021</v>
      </c>
      <c r="AC458" s="69" t="str">
        <f>VLOOKUP(A458,'[1]DANH SÁCH'!$B$8:$J$841,9,0)</f>
        <v>TCKT</v>
      </c>
      <c r="AD458" s="69" t="str">
        <f>VLOOKUP(A458,'[1]DANH SÁCH'!$B$8:$AC$841,10,0)</f>
        <v>KP041</v>
      </c>
      <c r="AE458" s="69" t="str">
        <f>VLOOKUP(A458,'[1]DANH SÁCH'!$B$8:$AD$841,13,0)</f>
        <v>Viên chức</v>
      </c>
      <c r="AF458" s="143" t="s">
        <v>3268</v>
      </c>
      <c r="AG458" s="42" t="str">
        <f>VLOOKUP(A458,'[1]DANH SÁCH'!$B$8:$H$841,7,0)</f>
        <v>Kế toán viên</v>
      </c>
      <c r="AH458" s="45">
        <v>3.66</v>
      </c>
      <c r="AI458" s="42">
        <v>5</v>
      </c>
      <c r="AJ458" s="70">
        <v>0</v>
      </c>
      <c r="AK458" s="69">
        <v>45778</v>
      </c>
      <c r="AL458" s="71" t="s">
        <v>101</v>
      </c>
      <c r="AM458" s="53" t="str">
        <f>VLOOKUP(A458,'[1]DANH SÁCH'!$B$8:$F$841,5,0)</f>
        <v>KTĐH</v>
      </c>
      <c r="AN458" s="53"/>
      <c r="AO458" s="53" t="s">
        <v>3326</v>
      </c>
      <c r="AP458" s="53">
        <v>2008</v>
      </c>
      <c r="AQ458" s="72" t="s">
        <v>113</v>
      </c>
      <c r="AR458" s="42">
        <f>VLOOKUP(A458,'[1]Chứng chỉ'!$B$8:$Q$1111,11,0)</f>
        <v>0</v>
      </c>
      <c r="AS458" s="42">
        <f>VLOOKUP(A458,'[1]Chứng chỉ'!$B$8:$Q$1111,12,0)</f>
        <v>0</v>
      </c>
      <c r="AT458" s="47">
        <f>VLOOKUP(A458,'[1]Chứng chỉ'!$B$8:$Q$1111,13,0)</f>
        <v>0</v>
      </c>
      <c r="AU458" s="42" t="str">
        <f>VLOOKUP(A458,'[1]Chứng chỉ'!$B$8:$Q$1111,14,0)</f>
        <v>Anh B</v>
      </c>
      <c r="AV458" s="42">
        <f>VLOOKUP(A458,'[1]Chứng chỉ'!$B$8:$Q$1111,15,0)</f>
        <v>0</v>
      </c>
      <c r="AW458" s="42" t="str">
        <f>VLOOKUP(A458,'[1]Chứng chỉ'!$B$8:$Q$1111,16,0)</f>
        <v>B</v>
      </c>
      <c r="AX458" s="42"/>
      <c r="AY458" s="57" t="s">
        <v>127</v>
      </c>
      <c r="AZ458" s="65">
        <v>42311</v>
      </c>
      <c r="BA458" s="74"/>
      <c r="BB458" s="74"/>
      <c r="BC458" s="41"/>
      <c r="BD458" s="64"/>
    </row>
    <row r="459" spans="1:56" ht="40.799999999999997" x14ac:dyDescent="0.3">
      <c r="A459" s="46" t="s">
        <v>3327</v>
      </c>
      <c r="B459" s="42">
        <f t="shared" si="110"/>
        <v>453</v>
      </c>
      <c r="C459" s="93" t="s">
        <v>3328</v>
      </c>
      <c r="D459" s="46" t="s">
        <v>3327</v>
      </c>
      <c r="E459" s="61" t="s">
        <v>3329</v>
      </c>
      <c r="F459" s="64"/>
      <c r="G459" s="49" t="s">
        <v>3330</v>
      </c>
      <c r="H459" s="46"/>
      <c r="I459" s="113" t="s">
        <v>3331</v>
      </c>
      <c r="J459" s="66">
        <f t="shared" ca="1" si="171"/>
        <v>37</v>
      </c>
      <c r="K459" s="75" t="s">
        <v>3332</v>
      </c>
      <c r="L459" s="120" t="s">
        <v>3333</v>
      </c>
      <c r="M459" s="53" t="s">
        <v>67</v>
      </c>
      <c r="N459" s="52" t="s">
        <v>3334</v>
      </c>
      <c r="O459" s="56" t="s">
        <v>1829</v>
      </c>
      <c r="P459" s="47" t="s">
        <v>1193</v>
      </c>
      <c r="Q459" s="47" t="s">
        <v>71</v>
      </c>
      <c r="R459" s="122" t="s">
        <v>3335</v>
      </c>
      <c r="S459" s="47"/>
      <c r="T459" s="47"/>
      <c r="U459" s="47"/>
      <c r="V459" s="122" t="s">
        <v>3335</v>
      </c>
      <c r="W459" s="104" t="s">
        <v>384</v>
      </c>
      <c r="X459" s="46"/>
      <c r="Y459" s="122">
        <v>596</v>
      </c>
      <c r="Z459" s="122" t="s">
        <v>386</v>
      </c>
      <c r="AA459" s="68">
        <f>VLOOKUP(A459,'[1]DANH SÁCH'!$B$8:$AD$841,12,0)</f>
        <v>0</v>
      </c>
      <c r="AB459" s="49" t="str">
        <f>VLOOKUP(A459,'[1]DANH SÁCH'!$B$8:$H$841,6,0)</f>
        <v>TĐ024</v>
      </c>
      <c r="AC459" s="69" t="str">
        <f>VLOOKUP(A459,'[1]DANH SÁCH'!$B$8:$J$841,9,0)</f>
        <v>TCKT</v>
      </c>
      <c r="AD459" s="69" t="str">
        <f>VLOOKUP(A459,'[1]DANH SÁCH'!$B$8:$AC$841,10,0)</f>
        <v>KP041</v>
      </c>
      <c r="AE459" s="69" t="str">
        <f>VLOOKUP(A459,'[1]DANH SÁCH'!$B$8:$AD$841,13,0)</f>
        <v>Viên chức</v>
      </c>
      <c r="AF459" s="143" t="s">
        <v>3164</v>
      </c>
      <c r="AG459" s="122" t="s">
        <v>82</v>
      </c>
      <c r="AH459" s="45">
        <v>3</v>
      </c>
      <c r="AI459" s="42">
        <v>3</v>
      </c>
      <c r="AJ459" s="70">
        <v>0</v>
      </c>
      <c r="AK459" s="69">
        <v>45748</v>
      </c>
      <c r="AL459" s="71" t="s">
        <v>80</v>
      </c>
      <c r="AM459" s="53" t="str">
        <f>VLOOKUP(A459,'[1]DANH SÁCH'!$B$8:$F$841,5,0)</f>
        <v>Cử nhân QTKD</v>
      </c>
      <c r="AN459" s="53"/>
      <c r="AO459" s="53"/>
      <c r="AP459" s="53"/>
      <c r="AQ459" s="72" t="s">
        <v>113</v>
      </c>
      <c r="AR459" s="42">
        <f>VLOOKUP(A459,'[1]Chứng chỉ'!$B$8:$Q$1111,11,0)</f>
        <v>0</v>
      </c>
      <c r="AS459" s="42">
        <f>VLOOKUP(A459,'[1]Chứng chỉ'!$B$8:$Q$1111,12,0)</f>
        <v>0</v>
      </c>
      <c r="AT459" s="47">
        <f>VLOOKUP(A459,'[1]Chứng chỉ'!$B$8:$Q$1111,13,0)</f>
        <v>0</v>
      </c>
      <c r="AU459" s="42" t="str">
        <f>VLOOKUP(A459,'[1]Chứng chỉ'!$B$8:$Q$1111,14,0)</f>
        <v>Anh B</v>
      </c>
      <c r="AV459" s="42">
        <f>VLOOKUP(A459,'[1]Chứng chỉ'!$B$8:$Q$1111,15,0)</f>
        <v>0</v>
      </c>
      <c r="AW459" s="42" t="str">
        <f>VLOOKUP(A459,'[1]Chứng chỉ'!$B$8:$Q$1111,16,0)</f>
        <v>B</v>
      </c>
      <c r="AX459" s="47"/>
      <c r="AY459" s="73" t="s">
        <v>85</v>
      </c>
      <c r="AZ459" s="65"/>
      <c r="BA459" s="74"/>
      <c r="BB459" s="74"/>
      <c r="BC459" s="41"/>
      <c r="BD459" s="64"/>
    </row>
    <row r="460" spans="1:56" ht="40.799999999999997" x14ac:dyDescent="0.3">
      <c r="A460" s="46" t="s">
        <v>3336</v>
      </c>
      <c r="B460" s="42">
        <f t="shared" si="110"/>
        <v>454</v>
      </c>
      <c r="C460" s="93" t="s">
        <v>3337</v>
      </c>
      <c r="D460" s="46" t="s">
        <v>3336</v>
      </c>
      <c r="E460" s="61" t="s">
        <v>3338</v>
      </c>
      <c r="F460" s="10"/>
      <c r="G460" s="49" t="s">
        <v>3339</v>
      </c>
      <c r="H460" s="47"/>
      <c r="I460" s="46" t="s">
        <v>3340</v>
      </c>
      <c r="J460" s="66">
        <f t="shared" ca="1" si="171"/>
        <v>37</v>
      </c>
      <c r="K460" s="94" t="s">
        <v>3341</v>
      </c>
      <c r="L460" s="41" t="s">
        <v>3342</v>
      </c>
      <c r="M460" s="53" t="s">
        <v>67</v>
      </c>
      <c r="N460" s="95"/>
      <c r="O460" s="96"/>
      <c r="P460" s="6"/>
      <c r="Q460" s="6"/>
      <c r="R460" s="6"/>
      <c r="S460" s="6"/>
      <c r="T460" s="6"/>
      <c r="U460" s="6"/>
      <c r="V460" s="6"/>
      <c r="W460" s="67" t="s">
        <v>306</v>
      </c>
      <c r="X460" s="97"/>
      <c r="Y460" s="97"/>
      <c r="Z460" s="97"/>
      <c r="AA460" s="68">
        <f>VLOOKUP(A460,'[1]DANH SÁCH'!$B$8:$AD$841,12,0)</f>
        <v>0</v>
      </c>
      <c r="AB460" s="49" t="str">
        <f>VLOOKUP(A460,'[1]DANH SÁCH'!$B$8:$H$841,6,0)</f>
        <v>TĐ024</v>
      </c>
      <c r="AC460" s="69" t="str">
        <f>VLOOKUP(A460,'[1]DANH SÁCH'!$B$8:$J$841,9,0)</f>
        <v>TCKT</v>
      </c>
      <c r="AD460" s="69" t="str">
        <f>VLOOKUP(A460,'[1]DANH SÁCH'!$B$8:$AC$841,10,0)</f>
        <v>KP041</v>
      </c>
      <c r="AE460" s="69" t="str">
        <f>VLOOKUP(A460,'[1]DANH SÁCH'!$B$8:$AD$841,13,0)</f>
        <v>Viên chức</v>
      </c>
      <c r="AF460" s="41" t="s">
        <v>274</v>
      </c>
      <c r="AG460" s="42" t="str">
        <f>VLOOKUP(A460,'[1]DANH SÁCH'!$B$8:$H$841,7,0)</f>
        <v>Chuyên viên</v>
      </c>
      <c r="AH460" s="45">
        <v>3</v>
      </c>
      <c r="AI460" s="42">
        <v>3</v>
      </c>
      <c r="AJ460" s="70">
        <v>0</v>
      </c>
      <c r="AK460" s="69">
        <v>45931</v>
      </c>
      <c r="AL460" s="71" t="s">
        <v>80</v>
      </c>
      <c r="AM460" s="53" t="str">
        <f>VLOOKUP(A460,'[1]DANH SÁCH'!$B$8:$F$841,5,0)</f>
        <v>Cử nhân QTKD</v>
      </c>
      <c r="AN460" s="53" t="s">
        <v>3343</v>
      </c>
      <c r="AO460" s="53"/>
      <c r="AP460" s="53"/>
      <c r="AQ460" s="72" t="s">
        <v>113</v>
      </c>
      <c r="AR460" s="42">
        <f>VLOOKUP(A460,'[1]Chứng chỉ'!$B$8:$Q$1111,11,0)</f>
        <v>0</v>
      </c>
      <c r="AS460" s="42">
        <f>VLOOKUP(A460,'[1]Chứng chỉ'!$B$8:$Q$1111,12,0)</f>
        <v>0</v>
      </c>
      <c r="AT460" s="47">
        <f>VLOOKUP(A460,'[1]Chứng chỉ'!$B$8:$Q$1111,13,0)</f>
        <v>0</v>
      </c>
      <c r="AU460" s="42">
        <f>VLOOKUP(A460,'[1]Chứng chỉ'!$B$8:$Q$1111,14,0)</f>
        <v>0</v>
      </c>
      <c r="AV460" s="42">
        <f>VLOOKUP(A460,'[1]Chứng chỉ'!$B$8:$Q$1111,15,0)</f>
        <v>0</v>
      </c>
      <c r="AW460" s="42">
        <f>VLOOKUP(A460,'[1]Chứng chỉ'!$B$8:$Q$1111,16,0)</f>
        <v>0</v>
      </c>
      <c r="AX460" s="6"/>
      <c r="AY460" s="98" t="s">
        <v>85</v>
      </c>
      <c r="AZ460" s="65"/>
      <c r="BA460" s="74"/>
      <c r="BB460" s="74"/>
      <c r="BC460" s="41"/>
      <c r="BD460" s="42"/>
    </row>
    <row r="461" spans="1:56" ht="40.799999999999997" x14ac:dyDescent="0.3">
      <c r="A461" s="46" t="s">
        <v>3344</v>
      </c>
      <c r="B461" s="42">
        <f t="shared" si="110"/>
        <v>455</v>
      </c>
      <c r="C461" s="63" t="s">
        <v>3345</v>
      </c>
      <c r="D461" s="46" t="s">
        <v>3344</v>
      </c>
      <c r="E461" s="61" t="s">
        <v>3346</v>
      </c>
      <c r="F461" s="64"/>
      <c r="G461" s="49" t="s">
        <v>3347</v>
      </c>
      <c r="H461" s="46"/>
      <c r="I461" s="46" t="s">
        <v>3348</v>
      </c>
      <c r="J461" s="66">
        <f t="shared" ca="1" si="171"/>
        <v>32</v>
      </c>
      <c r="K461" s="75" t="s">
        <v>3349</v>
      </c>
      <c r="L461" s="46" t="s">
        <v>3350</v>
      </c>
      <c r="M461" s="53" t="s">
        <v>67</v>
      </c>
      <c r="N461" s="128" t="s">
        <v>460</v>
      </c>
      <c r="O461" s="56" t="s">
        <v>3351</v>
      </c>
      <c r="P461" s="47" t="s">
        <v>3352</v>
      </c>
      <c r="Q461" s="47" t="s">
        <v>1206</v>
      </c>
      <c r="R461" s="47" t="s">
        <v>3353</v>
      </c>
      <c r="S461" s="47" t="s">
        <v>460</v>
      </c>
      <c r="T461" s="47" t="s">
        <v>2015</v>
      </c>
      <c r="U461" s="47" t="s">
        <v>71</v>
      </c>
      <c r="V461" s="49" t="str">
        <f t="shared" ref="V461:V470" si="173">S461&amp;", "&amp;T461&amp;", "&amp;U461</f>
        <v>Thị trấn Cao Lộc, Cao Lộc, Lạng Sơn</v>
      </c>
      <c r="W461" s="67" t="s">
        <v>3354</v>
      </c>
      <c r="X461" s="46"/>
      <c r="Y461" s="46"/>
      <c r="Z461" s="46"/>
      <c r="AA461" s="68">
        <f>VLOOKUP(A461,'[1]DANH SÁCH'!$B$8:$AD$841,12,0)</f>
        <v>0</v>
      </c>
      <c r="AB461" s="49" t="str">
        <f>VLOOKUP(A461,'[1]DANH SÁCH'!$B$8:$H$841,6,0)</f>
        <v>TĐ025</v>
      </c>
      <c r="AC461" s="69" t="str">
        <f>VLOOKUP(A461,'[1]DANH SÁCH'!$B$8:$J$841,9,0)</f>
        <v>TCKT</v>
      </c>
      <c r="AD461" s="69" t="str">
        <f>VLOOKUP(A461,'[1]DANH SÁCH'!$B$8:$AC$841,10,0)</f>
        <v>KP041</v>
      </c>
      <c r="AE461" s="69" t="str">
        <f>VLOOKUP(A461,'[1]DANH SÁCH'!$B$8:$AD$841,13,0)</f>
        <v>Viên chức</v>
      </c>
      <c r="AF461" s="143" t="s">
        <v>3164</v>
      </c>
      <c r="AG461" s="122" t="s">
        <v>82</v>
      </c>
      <c r="AH461" s="45">
        <v>3</v>
      </c>
      <c r="AI461" s="42">
        <v>3</v>
      </c>
      <c r="AJ461" s="70">
        <v>0</v>
      </c>
      <c r="AK461" s="69">
        <v>45474</v>
      </c>
      <c r="AL461" s="71" t="s">
        <v>80</v>
      </c>
      <c r="AM461" s="72" t="str">
        <f>VLOOKUP(A461,'[1]DANH SÁCH'!$B$8:$F$841,5,0)</f>
        <v>Cử nhân TCNH</v>
      </c>
      <c r="AN461" s="53"/>
      <c r="AO461" s="53" t="s">
        <v>3238</v>
      </c>
      <c r="AP461" s="53">
        <v>2016</v>
      </c>
      <c r="AQ461" s="72" t="s">
        <v>113</v>
      </c>
      <c r="AR461" s="42">
        <f>VLOOKUP(A461,'[1]Chứng chỉ'!$B$8:$Q$1111,11,0)</f>
        <v>0</v>
      </c>
      <c r="AS461" s="42">
        <f>VLOOKUP(A461,'[1]Chứng chỉ'!$B$8:$Q$1111,12,0)</f>
        <v>0</v>
      </c>
      <c r="AT461" s="47">
        <f>VLOOKUP(A461,'[1]Chứng chỉ'!$B$8:$Q$1111,13,0)</f>
        <v>0</v>
      </c>
      <c r="AU461" s="42" t="str">
        <f>VLOOKUP(A461,'[1]Chứng chỉ'!$B$8:$Q$1111,14,0)</f>
        <v>Anh B</v>
      </c>
      <c r="AV461" s="42">
        <f>VLOOKUP(A461,'[1]Chứng chỉ'!$B$8:$Q$1111,15,0)</f>
        <v>0</v>
      </c>
      <c r="AW461" s="42" t="str">
        <f>VLOOKUP(A461,'[1]Chứng chỉ'!$B$8:$Q$1111,16,0)</f>
        <v>B</v>
      </c>
      <c r="AX461" s="47"/>
      <c r="AY461" s="73" t="s">
        <v>85</v>
      </c>
      <c r="AZ461" s="65"/>
      <c r="BA461" s="74"/>
      <c r="BB461" s="74"/>
      <c r="BC461" s="41"/>
      <c r="BD461" s="42"/>
    </row>
    <row r="462" spans="1:56" ht="51" x14ac:dyDescent="0.3">
      <c r="A462" s="41" t="s">
        <v>3355</v>
      </c>
      <c r="B462" s="42">
        <f t="shared" si="110"/>
        <v>456</v>
      </c>
      <c r="C462" s="68" t="s">
        <v>3356</v>
      </c>
      <c r="D462" s="41" t="s">
        <v>3355</v>
      </c>
      <c r="E462" s="61">
        <v>2011001572</v>
      </c>
      <c r="F462" s="64"/>
      <c r="G462" s="49" t="s">
        <v>3357</v>
      </c>
      <c r="H462" s="76">
        <v>32058</v>
      </c>
      <c r="I462" s="76"/>
      <c r="J462" s="66">
        <f ca="1">INT(DATEDIF(H462,$J$2,"d")/365)</f>
        <v>38</v>
      </c>
      <c r="K462" s="75" t="s">
        <v>3358</v>
      </c>
      <c r="L462" s="83" t="s">
        <v>3359</v>
      </c>
      <c r="M462" s="53" t="s">
        <v>67</v>
      </c>
      <c r="N462" s="66" t="s">
        <v>94</v>
      </c>
      <c r="O462" s="53" t="s">
        <v>3360</v>
      </c>
      <c r="P462" s="49" t="s">
        <v>155</v>
      </c>
      <c r="Q462" s="49" t="s">
        <v>94</v>
      </c>
      <c r="R462" s="49"/>
      <c r="S462" s="49" t="s">
        <v>1324</v>
      </c>
      <c r="T462" s="49" t="s">
        <v>108</v>
      </c>
      <c r="U462" s="49" t="s">
        <v>94</v>
      </c>
      <c r="V462" s="49" t="str">
        <f t="shared" si="173"/>
        <v>Thị trấn Đồng Đăng, Huyện Cao Lộc, Tỉnh Lạng Sơn</v>
      </c>
      <c r="W462" s="55" t="s">
        <v>315</v>
      </c>
      <c r="X462" s="41"/>
      <c r="Y462" s="41"/>
      <c r="Z462" s="41"/>
      <c r="AA462" s="68" t="str">
        <f>VLOOKUP(A462,'[1]DANH SÁCH'!$B$8:$AD$841,12,0)</f>
        <v>Trưởng phòng</v>
      </c>
      <c r="AB462" s="49" t="str">
        <f>VLOOKUP(A462,'[1]DANH SÁCH'!$B$8:$H$841,6,0)</f>
        <v>TĐ003</v>
      </c>
      <c r="AC462" s="69" t="str">
        <f>VLOOKUP(A462,'[1]DANH SÁCH'!$B$8:$J$841,9,0)</f>
        <v>KHTH</v>
      </c>
      <c r="AD462" s="69" t="str">
        <f>VLOOKUP(A462,'[1]DANH SÁCH'!$B$8:$AC$841,10,0)</f>
        <v>KP042</v>
      </c>
      <c r="AE462" s="69" t="str">
        <f>VLOOKUP(A462,'[1]DANH SÁCH'!$B$8:$AD$841,13,0)</f>
        <v>Viên chức</v>
      </c>
      <c r="AF462" s="41" t="s">
        <v>274</v>
      </c>
      <c r="AG462" s="42" t="str">
        <f>VLOOKUP(A462,'[1]DANH SÁCH'!$B$8:$H$841,7,0)</f>
        <v>Bác sĩ chính (hạng II)</v>
      </c>
      <c r="AH462" s="45">
        <v>4.4000000000000004</v>
      </c>
      <c r="AI462" s="42">
        <v>1</v>
      </c>
      <c r="AJ462" s="70">
        <v>0</v>
      </c>
      <c r="AK462" s="69">
        <v>45809</v>
      </c>
      <c r="AL462" s="71" t="s">
        <v>80</v>
      </c>
      <c r="AM462" s="53" t="str">
        <f>VLOOKUP(A462,'[1]DANH SÁCH'!$B$8:$F$841,5,0)</f>
        <v>BSCKI</v>
      </c>
      <c r="AN462" s="53" t="s">
        <v>1667</v>
      </c>
      <c r="AO462" s="53" t="s">
        <v>112</v>
      </c>
      <c r="AP462" s="53">
        <v>2018</v>
      </c>
      <c r="AQ462" s="99" t="s">
        <v>113</v>
      </c>
      <c r="AR462" s="42" t="s">
        <v>82</v>
      </c>
      <c r="AS462" s="42">
        <f>VLOOKUP(A462,'[1]Chứng chỉ'!$B$8:$Q$1111,12,0)</f>
        <v>0</v>
      </c>
      <c r="AT462" s="47" t="s">
        <v>139</v>
      </c>
      <c r="AU462" s="42" t="str">
        <f>VLOOKUP(A462,'[1]Chứng chỉ'!$B$8:$Q$1111,14,0)</f>
        <v>Anh B</v>
      </c>
      <c r="AV462" s="42" t="str">
        <f>VLOOKUP(A462,'[1]Chứng chỉ'!$B$8:$Q$1111,15,0)</f>
        <v>Tày</v>
      </c>
      <c r="AW462" s="42" t="str">
        <f>VLOOKUP(A462,'[1]Chứng chỉ'!$B$8:$Q$1111,16,0)</f>
        <v>Cơ bản</v>
      </c>
      <c r="AX462" s="42"/>
      <c r="AY462" s="57" t="s">
        <v>127</v>
      </c>
      <c r="AZ462" s="65">
        <v>40280</v>
      </c>
      <c r="BA462" s="74" t="e">
        <f t="shared" ref="BA462:BA464" si="174">VLOOKUP(A462,#REF!,4,0)</f>
        <v>#REF!</v>
      </c>
      <c r="BB462" s="74" t="e">
        <f t="shared" ref="BB462:BB464" si="175">VLOOKUP(A462,#REF!,5,0)</f>
        <v>#REF!</v>
      </c>
      <c r="BC462" s="41"/>
      <c r="BD462" s="42"/>
    </row>
    <row r="463" spans="1:56" ht="61.2" x14ac:dyDescent="0.3">
      <c r="A463" s="41" t="s">
        <v>3361</v>
      </c>
      <c r="B463" s="42">
        <f t="shared" si="110"/>
        <v>457</v>
      </c>
      <c r="C463" s="68" t="s">
        <v>3362</v>
      </c>
      <c r="D463" s="41" t="s">
        <v>3361</v>
      </c>
      <c r="E463" s="61">
        <v>2011000016</v>
      </c>
      <c r="F463" s="64"/>
      <c r="G463" s="49" t="s">
        <v>3363</v>
      </c>
      <c r="H463" s="76"/>
      <c r="I463" s="76">
        <v>32411</v>
      </c>
      <c r="J463" s="66">
        <f t="shared" ref="J463:J466" ca="1" si="176">INT(DATEDIF(I463,$J$2,"d")/365)</f>
        <v>37</v>
      </c>
      <c r="K463" s="75" t="s">
        <v>3364</v>
      </c>
      <c r="L463" s="41" t="s">
        <v>2325</v>
      </c>
      <c r="M463" s="53" t="s">
        <v>67</v>
      </c>
      <c r="N463" s="66" t="s">
        <v>3365</v>
      </c>
      <c r="O463" s="53" t="s">
        <v>3366</v>
      </c>
      <c r="P463" s="49" t="s">
        <v>155</v>
      </c>
      <c r="Q463" s="49" t="s">
        <v>94</v>
      </c>
      <c r="R463" s="49" t="s">
        <v>3367</v>
      </c>
      <c r="S463" s="49" t="s">
        <v>166</v>
      </c>
      <c r="T463" s="49" t="s">
        <v>97</v>
      </c>
      <c r="U463" s="49" t="s">
        <v>94</v>
      </c>
      <c r="V463" s="49" t="str">
        <f t="shared" si="173"/>
        <v>Phường Tam Thanh, Thành phố Lạng Sơn, Tỉnh Lạng Sơn</v>
      </c>
      <c r="W463" s="55" t="s">
        <v>224</v>
      </c>
      <c r="X463" s="41"/>
      <c r="Y463" s="41"/>
      <c r="Z463" s="41"/>
      <c r="AA463" s="68">
        <f>VLOOKUP(A463,'[1]DANH SÁCH'!$B$8:$AD$841,12,0)</f>
        <v>0</v>
      </c>
      <c r="AB463" s="49" t="str">
        <f>VLOOKUP(A463,'[1]DANH SÁCH'!$B$8:$H$841,6,0)</f>
        <v>TĐ011</v>
      </c>
      <c r="AC463" s="69" t="str">
        <f>VLOOKUP(A463,'[1]DANH SÁCH'!$B$8:$J$841,9,0)</f>
        <v>KHTH</v>
      </c>
      <c r="AD463" s="69" t="str">
        <f>VLOOKUP(A463,'[1]DANH SÁCH'!$B$8:$AC$841,10,0)</f>
        <v>KP042</v>
      </c>
      <c r="AE463" s="69" t="str">
        <f>VLOOKUP(A463,'[1]DANH SÁCH'!$B$8:$AD$841,13,0)</f>
        <v>Viên chức</v>
      </c>
      <c r="AF463" s="41" t="s">
        <v>157</v>
      </c>
      <c r="AG463" s="42" t="str">
        <f>VLOOKUP(A463,'[1]DANH SÁCH'!$B$8:$H$841,7,0)</f>
        <v>Điều dưỡng (hạng IV)</v>
      </c>
      <c r="AH463" s="45">
        <v>3.65</v>
      </c>
      <c r="AI463" s="42">
        <v>6</v>
      </c>
      <c r="AJ463" s="70">
        <v>0</v>
      </c>
      <c r="AK463" s="69">
        <v>45839</v>
      </c>
      <c r="AL463" s="71" t="s">
        <v>80</v>
      </c>
      <c r="AM463" s="53" t="str">
        <f>VLOOKUP(A463,'[1]DANH SÁCH'!$B$8:$F$841,5,0)</f>
        <v>Điều dưỡng ĐH</v>
      </c>
      <c r="AN463" s="53"/>
      <c r="AO463" s="53" t="s">
        <v>3368</v>
      </c>
      <c r="AP463" s="53">
        <v>2009</v>
      </c>
      <c r="AQ463" s="72" t="s">
        <v>113</v>
      </c>
      <c r="AR463" s="42">
        <f>VLOOKUP(A463,'[1]Chứng chỉ'!$B$8:$Q$1111,11,0)</f>
        <v>0</v>
      </c>
      <c r="AS463" s="42">
        <f>VLOOKUP(A463,'[1]Chứng chỉ'!$B$8:$Q$1111,12,0)</f>
        <v>0</v>
      </c>
      <c r="AT463" s="47">
        <f>VLOOKUP(A463,'[1]Chứng chỉ'!$B$8:$Q$1111,13,0)</f>
        <v>0</v>
      </c>
      <c r="AU463" s="42">
        <f>VLOOKUP(A463,'[1]Chứng chỉ'!$B$8:$Q$1111,14,0)</f>
        <v>0</v>
      </c>
      <c r="AV463" s="42" t="str">
        <f>VLOOKUP(A463,'[1]Chứng chỉ'!$B$8:$Q$1111,15,0)</f>
        <v>Tày</v>
      </c>
      <c r="AW463" s="42" t="str">
        <f>VLOOKUP(A463,'[1]Chứng chỉ'!$B$8:$Q$1111,16,0)</f>
        <v>Cơ bản</v>
      </c>
      <c r="AX463" s="42"/>
      <c r="AY463" s="57" t="s">
        <v>85</v>
      </c>
      <c r="AZ463" s="65"/>
      <c r="BA463" s="74" t="e">
        <f t="shared" si="174"/>
        <v>#REF!</v>
      </c>
      <c r="BB463" s="74" t="e">
        <f t="shared" si="175"/>
        <v>#REF!</v>
      </c>
      <c r="BC463" s="41"/>
      <c r="BD463" s="64"/>
    </row>
    <row r="464" spans="1:56" ht="61.2" x14ac:dyDescent="0.3">
      <c r="A464" s="41" t="s">
        <v>3369</v>
      </c>
      <c r="B464" s="42">
        <f t="shared" si="110"/>
        <v>458</v>
      </c>
      <c r="C464" s="68" t="s">
        <v>3370</v>
      </c>
      <c r="D464" s="41" t="s">
        <v>3369</v>
      </c>
      <c r="E464" s="61">
        <v>1505002503</v>
      </c>
      <c r="F464" s="64"/>
      <c r="G464" s="49" t="s">
        <v>3371</v>
      </c>
      <c r="H464" s="76"/>
      <c r="I464" s="76">
        <v>27959</v>
      </c>
      <c r="J464" s="66">
        <f t="shared" ca="1" si="176"/>
        <v>50</v>
      </c>
      <c r="K464" s="75" t="s">
        <v>3372</v>
      </c>
      <c r="L464" s="41" t="s">
        <v>3373</v>
      </c>
      <c r="M464" s="53" t="s">
        <v>67</v>
      </c>
      <c r="N464" s="66" t="s">
        <v>214</v>
      </c>
      <c r="O464" s="53" t="s">
        <v>214</v>
      </c>
      <c r="P464" s="49" t="s">
        <v>97</v>
      </c>
      <c r="Q464" s="49" t="s">
        <v>94</v>
      </c>
      <c r="R464" s="49" t="s">
        <v>3374</v>
      </c>
      <c r="S464" s="49" t="s">
        <v>124</v>
      </c>
      <c r="T464" s="49" t="s">
        <v>97</v>
      </c>
      <c r="U464" s="49" t="s">
        <v>94</v>
      </c>
      <c r="V464" s="49" t="str">
        <f t="shared" si="173"/>
        <v>Phường Đông Kinh, Thành phố Lạng Sơn, Tỉnh Lạng Sơn</v>
      </c>
      <c r="W464" s="55" t="s">
        <v>724</v>
      </c>
      <c r="X464" s="41"/>
      <c r="Y464" s="41"/>
      <c r="Z464" s="41"/>
      <c r="AA464" s="68">
        <f>VLOOKUP(A464,'[1]DANH SÁCH'!$B$8:$AD$841,12,0)</f>
        <v>0</v>
      </c>
      <c r="AB464" s="49" t="str">
        <f>VLOOKUP(A464,'[1]DANH SÁCH'!$B$8:$H$841,6,0)</f>
        <v>TĐ012</v>
      </c>
      <c r="AC464" s="69" t="str">
        <f>VLOOKUP(A464,'[1]DANH SÁCH'!$B$8:$J$841,9,0)</f>
        <v>KHTH</v>
      </c>
      <c r="AD464" s="69" t="str">
        <f>VLOOKUP(A464,'[1]DANH SÁCH'!$B$8:$AC$841,10,0)</f>
        <v>KP042</v>
      </c>
      <c r="AE464" s="69" t="str">
        <f>VLOOKUP(A464,'[1]DANH SÁCH'!$B$8:$AD$841,13,0)</f>
        <v>Viên chức</v>
      </c>
      <c r="AF464" s="41" t="s">
        <v>157</v>
      </c>
      <c r="AG464" s="42" t="str">
        <f>VLOOKUP(A464,'[1]DANH SÁCH'!$B$8:$H$841,7,0)</f>
        <v>Điều dưỡng (hạng IV)</v>
      </c>
      <c r="AH464" s="45">
        <v>3.96</v>
      </c>
      <c r="AI464" s="42">
        <v>7</v>
      </c>
      <c r="AJ464" s="70">
        <v>0</v>
      </c>
      <c r="AK464" s="69">
        <v>45170</v>
      </c>
      <c r="AL464" s="71" t="s">
        <v>158</v>
      </c>
      <c r="AM464" s="53" t="str">
        <f>VLOOKUP(A464,'[1]DANH SÁCH'!$B$8:$F$841,5,0)</f>
        <v>Điều dưỡng CĐ</v>
      </c>
      <c r="AN464" s="53"/>
      <c r="AO464" s="53" t="s">
        <v>3375</v>
      </c>
      <c r="AP464" s="53">
        <v>1998</v>
      </c>
      <c r="AQ464" s="72" t="s">
        <v>113</v>
      </c>
      <c r="AR464" s="42" t="s">
        <v>82</v>
      </c>
      <c r="AS464" s="42">
        <f>VLOOKUP(A464,'[1]Chứng chỉ'!$B$8:$Q$1111,12,0)</f>
        <v>0</v>
      </c>
      <c r="AT464" s="47">
        <f>VLOOKUP(A464,'[1]Chứng chỉ'!$B$8:$Q$1111,13,0)</f>
        <v>0</v>
      </c>
      <c r="AU464" s="42">
        <f>VLOOKUP(A464,'[1]Chứng chỉ'!$B$8:$Q$1111,14,0)</f>
        <v>0</v>
      </c>
      <c r="AV464" s="42" t="str">
        <f>VLOOKUP(A464,'[1]Chứng chỉ'!$B$8:$Q$1111,15,0)</f>
        <v>Tày</v>
      </c>
      <c r="AW464" s="42">
        <f>VLOOKUP(A464,'[1]Chứng chỉ'!$B$8:$Q$1111,16,0)</f>
        <v>0</v>
      </c>
      <c r="AX464" s="42"/>
      <c r="AY464" s="57" t="s">
        <v>85</v>
      </c>
      <c r="AZ464" s="65">
        <v>42923</v>
      </c>
      <c r="BA464" s="74" t="e">
        <f t="shared" si="174"/>
        <v>#REF!</v>
      </c>
      <c r="BB464" s="74" t="e">
        <f t="shared" si="175"/>
        <v>#REF!</v>
      </c>
      <c r="BC464" s="41"/>
      <c r="BD464" s="64"/>
    </row>
    <row r="465" spans="1:56" ht="61.2" x14ac:dyDescent="0.3">
      <c r="A465" s="41" t="s">
        <v>3376</v>
      </c>
      <c r="B465" s="42">
        <f t="shared" si="110"/>
        <v>459</v>
      </c>
      <c r="C465" s="68" t="s">
        <v>3377</v>
      </c>
      <c r="D465" s="41" t="s">
        <v>3376</v>
      </c>
      <c r="E465" s="61">
        <v>2008000399</v>
      </c>
      <c r="F465" s="64"/>
      <c r="G465" s="49" t="s">
        <v>3378</v>
      </c>
      <c r="H465" s="76"/>
      <c r="I465" s="76">
        <v>31556</v>
      </c>
      <c r="J465" s="66">
        <f t="shared" ca="1" si="176"/>
        <v>40</v>
      </c>
      <c r="K465" s="75" t="s">
        <v>3379</v>
      </c>
      <c r="L465" s="41" t="s">
        <v>3380</v>
      </c>
      <c r="M465" s="53" t="s">
        <v>67</v>
      </c>
      <c r="N465" s="66" t="s">
        <v>124</v>
      </c>
      <c r="O465" s="53" t="s">
        <v>124</v>
      </c>
      <c r="P465" s="49" t="s">
        <v>97</v>
      </c>
      <c r="Q465" s="49" t="s">
        <v>94</v>
      </c>
      <c r="R465" s="49" t="s">
        <v>3381</v>
      </c>
      <c r="S465" s="49" t="s">
        <v>124</v>
      </c>
      <c r="T465" s="49" t="s">
        <v>97</v>
      </c>
      <c r="U465" s="49" t="s">
        <v>94</v>
      </c>
      <c r="V465" s="49" t="str">
        <f t="shared" si="173"/>
        <v>Phường Đông Kinh, Thành phố Lạng Sơn, Tỉnh Lạng Sơn</v>
      </c>
      <c r="W465" s="55" t="s">
        <v>236</v>
      </c>
      <c r="X465" s="41"/>
      <c r="Y465" s="41"/>
      <c r="Z465" s="41"/>
      <c r="AA465" s="68">
        <f>VLOOKUP(A465,'[1]DANH SÁCH'!$B$8:$AD$841,12,0)</f>
        <v>0</v>
      </c>
      <c r="AB465" s="49" t="str">
        <f>VLOOKUP(A465,'[1]DANH SÁCH'!$B$8:$H$841,6,0)</f>
        <v>TĐ026</v>
      </c>
      <c r="AC465" s="69" t="str">
        <f>VLOOKUP(A465,'[1]DANH SÁCH'!$B$8:$J$841,9,0)</f>
        <v>KHTH</v>
      </c>
      <c r="AD465" s="69" t="str">
        <f>VLOOKUP(A465,'[1]DANH SÁCH'!$B$8:$AC$841,10,0)</f>
        <v>KP042</v>
      </c>
      <c r="AE465" s="69" t="str">
        <f>VLOOKUP(A465,'[1]DANH SÁCH'!$B$8:$AD$841,13,0)</f>
        <v>Viên chức</v>
      </c>
      <c r="AF465" s="41" t="s">
        <v>3175</v>
      </c>
      <c r="AG465" s="42" t="str">
        <f>VLOOKUP(A465,'[1]DANH SÁCH'!$B$8:$H$841,7,0)</f>
        <v>Công nghệ thông tin (hạng III)</v>
      </c>
      <c r="AH465" s="45">
        <v>3.99</v>
      </c>
      <c r="AI465" s="42">
        <v>6</v>
      </c>
      <c r="AJ465" s="70">
        <v>0</v>
      </c>
      <c r="AK465" s="69">
        <v>45474</v>
      </c>
      <c r="AL465" s="71" t="s">
        <v>80</v>
      </c>
      <c r="AM465" s="53" t="str">
        <f>VLOOKUP(A465,'[1]DANH SÁCH'!$B$8:$F$841,5,0)</f>
        <v>ĐH CNTT</v>
      </c>
      <c r="AN465" s="53"/>
      <c r="AO465" s="53"/>
      <c r="AP465" s="53"/>
      <c r="AQ465" s="72" t="s">
        <v>113</v>
      </c>
      <c r="AR465" s="42">
        <f>VLOOKUP(A465,'[1]Chứng chỉ'!$B$8:$Q$1111,11,0)</f>
        <v>0</v>
      </c>
      <c r="AS465" s="42">
        <f>VLOOKUP(A465,'[1]Chứng chỉ'!$B$8:$Q$1111,12,0)</f>
        <v>0</v>
      </c>
      <c r="AT465" s="47">
        <f>VLOOKUP(A465,'[1]Chứng chỉ'!$B$8:$Q$1111,13,0)</f>
        <v>0</v>
      </c>
      <c r="AU465" s="42">
        <f>VLOOKUP(A465,'[1]Chứng chỉ'!$B$8:$Q$1111,14,0)</f>
        <v>0</v>
      </c>
      <c r="AV465" s="42">
        <f>VLOOKUP(A465,'[1]Chứng chỉ'!$B$8:$Q$1111,15,0)</f>
        <v>0</v>
      </c>
      <c r="AW465" s="42" t="s">
        <v>80</v>
      </c>
      <c r="AX465" s="42"/>
      <c r="AY465" s="57" t="s">
        <v>127</v>
      </c>
      <c r="AZ465" s="65">
        <v>41598</v>
      </c>
      <c r="BA465" s="74"/>
      <c r="BB465" s="74"/>
      <c r="BC465" s="41"/>
      <c r="BD465" s="42"/>
    </row>
    <row r="466" spans="1:56" ht="61.2" x14ac:dyDescent="0.3">
      <c r="A466" s="41" t="s">
        <v>3382</v>
      </c>
      <c r="B466" s="42">
        <f t="shared" si="110"/>
        <v>460</v>
      </c>
      <c r="C466" s="68" t="s">
        <v>3383</v>
      </c>
      <c r="D466" s="41" t="s">
        <v>3382</v>
      </c>
      <c r="E466" s="61">
        <v>2009003252</v>
      </c>
      <c r="F466" s="64"/>
      <c r="G466" s="49" t="s">
        <v>3384</v>
      </c>
      <c r="H466" s="76"/>
      <c r="I466" s="76">
        <v>31041</v>
      </c>
      <c r="J466" s="66">
        <f t="shared" ca="1" si="176"/>
        <v>41</v>
      </c>
      <c r="K466" s="75" t="s">
        <v>3385</v>
      </c>
      <c r="L466" s="41" t="s">
        <v>3386</v>
      </c>
      <c r="M466" s="53" t="s">
        <v>67</v>
      </c>
      <c r="N466" s="66" t="s">
        <v>2723</v>
      </c>
      <c r="O466" s="53" t="s">
        <v>2723</v>
      </c>
      <c r="P466" s="49" t="s">
        <v>1116</v>
      </c>
      <c r="Q466" s="49" t="s">
        <v>94</v>
      </c>
      <c r="R466" s="49" t="s">
        <v>3387</v>
      </c>
      <c r="S466" s="49" t="s">
        <v>124</v>
      </c>
      <c r="T466" s="49" t="s">
        <v>97</v>
      </c>
      <c r="U466" s="49" t="s">
        <v>94</v>
      </c>
      <c r="V466" s="49" t="str">
        <f t="shared" si="173"/>
        <v>Phường Đông Kinh, Thành phố Lạng Sơn, Tỉnh Lạng Sơn</v>
      </c>
      <c r="W466" s="86" t="s">
        <v>249</v>
      </c>
      <c r="X466" s="41"/>
      <c r="Y466" s="41"/>
      <c r="Z466" s="41"/>
      <c r="AA466" s="68">
        <f>VLOOKUP(A466,'[1]DANH SÁCH'!$B$8:$AD$841,12,0)</f>
        <v>0</v>
      </c>
      <c r="AB466" s="49" t="str">
        <f>VLOOKUP(A466,'[1]DANH SÁCH'!$B$8:$H$841,6,0)</f>
        <v>TĐ026</v>
      </c>
      <c r="AC466" s="69" t="str">
        <f>VLOOKUP(A466,'[1]DANH SÁCH'!$B$8:$J$841,9,0)</f>
        <v>KHTH</v>
      </c>
      <c r="AD466" s="69" t="str">
        <f>VLOOKUP(A466,'[1]DANH SÁCH'!$B$8:$AC$841,10,0)</f>
        <v>KP042</v>
      </c>
      <c r="AE466" s="69" t="str">
        <f>VLOOKUP(A466,'[1]DANH SÁCH'!$B$8:$AD$841,13,0)</f>
        <v>Viên chức</v>
      </c>
      <c r="AF466" s="143" t="s">
        <v>3164</v>
      </c>
      <c r="AG466" s="42" t="str">
        <f>VLOOKUP(A466,'[1]DANH SÁCH'!$B$8:$H$841,7,0)</f>
        <v>Chuyên viên</v>
      </c>
      <c r="AH466" s="45">
        <v>3.99</v>
      </c>
      <c r="AI466" s="42">
        <v>6</v>
      </c>
      <c r="AJ466" s="70">
        <v>0</v>
      </c>
      <c r="AK466" s="69">
        <v>45689</v>
      </c>
      <c r="AL466" s="71" t="s">
        <v>80</v>
      </c>
      <c r="AM466" s="53" t="str">
        <f>VLOOKUP(A466,'[1]DANH SÁCH'!$B$8:$F$841,5,0)</f>
        <v>ĐH CNTT</v>
      </c>
      <c r="AN466" s="53"/>
      <c r="AO466" s="53" t="s">
        <v>1172</v>
      </c>
      <c r="AP466" s="53">
        <v>2008</v>
      </c>
      <c r="AQ466" s="72" t="s">
        <v>113</v>
      </c>
      <c r="AR466" s="42">
        <f>VLOOKUP(A466,'[1]Chứng chỉ'!$B$8:$Q$1111,11,0)</f>
        <v>0</v>
      </c>
      <c r="AS466" s="42">
        <f>VLOOKUP(A466,'[1]Chứng chỉ'!$B$8:$Q$1111,12,0)</f>
        <v>0</v>
      </c>
      <c r="AT466" s="47">
        <f>VLOOKUP(A466,'[1]Chứng chỉ'!$B$8:$Q$1111,13,0)</f>
        <v>0</v>
      </c>
      <c r="AU466" s="42">
        <f>VLOOKUP(A466,'[1]Chứng chỉ'!$B$8:$Q$1111,14,0)</f>
        <v>0</v>
      </c>
      <c r="AV466" s="42" t="str">
        <f>VLOOKUP(A466,'[1]Chứng chỉ'!$B$8:$Q$1111,15,0)</f>
        <v>Tày</v>
      </c>
      <c r="AW466" s="42" t="s">
        <v>80</v>
      </c>
      <c r="AX466" s="42"/>
      <c r="AY466" s="57" t="s">
        <v>85</v>
      </c>
      <c r="AZ466" s="65"/>
      <c r="BA466" s="74"/>
      <c r="BB466" s="74"/>
      <c r="BC466" s="41"/>
      <c r="BD466" s="42"/>
    </row>
    <row r="467" spans="1:56" ht="40.799999999999997" x14ac:dyDescent="0.3">
      <c r="A467" s="102" t="s">
        <v>3388</v>
      </c>
      <c r="B467" s="42">
        <f t="shared" si="110"/>
        <v>461</v>
      </c>
      <c r="C467" s="93" t="s">
        <v>3389</v>
      </c>
      <c r="D467" s="102" t="s">
        <v>3388</v>
      </c>
      <c r="E467" s="61" t="s">
        <v>3390</v>
      </c>
      <c r="F467" s="122"/>
      <c r="G467" s="49" t="s">
        <v>3391</v>
      </c>
      <c r="H467" s="102" t="s">
        <v>3392</v>
      </c>
      <c r="I467" s="102"/>
      <c r="J467" s="66">
        <f ca="1">INT(DATEDIF(H467,$J$2,"d")/365)</f>
        <v>33</v>
      </c>
      <c r="K467" s="75" t="s">
        <v>3393</v>
      </c>
      <c r="L467" s="120" t="s">
        <v>3394</v>
      </c>
      <c r="M467" s="53" t="s">
        <v>67</v>
      </c>
      <c r="N467" s="131" t="s">
        <v>3395</v>
      </c>
      <c r="O467" s="132" t="s">
        <v>3396</v>
      </c>
      <c r="P467" s="115" t="s">
        <v>2015</v>
      </c>
      <c r="Q467" s="115" t="s">
        <v>71</v>
      </c>
      <c r="R467" s="115" t="s">
        <v>3397</v>
      </c>
      <c r="S467" s="115" t="s">
        <v>3396</v>
      </c>
      <c r="T467" s="115" t="s">
        <v>2015</v>
      </c>
      <c r="U467" s="115" t="s">
        <v>71</v>
      </c>
      <c r="V467" s="49" t="str">
        <f t="shared" si="173"/>
        <v>Hải Yến, Cao Lộc, Lạng Sơn</v>
      </c>
      <c r="W467" s="130" t="s">
        <v>761</v>
      </c>
      <c r="X467" s="120" t="s">
        <v>3398</v>
      </c>
      <c r="Y467" s="120" t="s">
        <v>3399</v>
      </c>
      <c r="Z467" s="120" t="s">
        <v>764</v>
      </c>
      <c r="AA467" s="68">
        <f>VLOOKUP(A467,'[1]DANH SÁCH'!$B$8:$AD$841,12,0)</f>
        <v>0</v>
      </c>
      <c r="AB467" s="49" t="str">
        <f>VLOOKUP(A467,'[1]DANH SÁCH'!$B$8:$H$841,6,0)</f>
        <v>TĐ036</v>
      </c>
      <c r="AC467" s="69" t="str">
        <f>VLOOKUP(A467,'[1]DANH SÁCH'!$B$8:$J$841,9,0)</f>
        <v>Chỉ đạo tuyến</v>
      </c>
      <c r="AD467" s="69" t="str">
        <f>VLOOKUP(A467,'[1]DANH SÁCH'!$B$8:$AC$841,10,0)</f>
        <v>KP045</v>
      </c>
      <c r="AE467" s="69" t="str">
        <f>VLOOKUP(A467,'[1]DANH SÁCH'!$B$8:$AD$841,13,0)</f>
        <v>Viên chức</v>
      </c>
      <c r="AF467" s="41" t="s">
        <v>3400</v>
      </c>
      <c r="AG467" s="42" t="str">
        <f>VLOOKUP(A467,'[1]DANH SÁCH'!$B$8:$H$841,7,0)</f>
        <v>Y tế công cộng (hạng III)</v>
      </c>
      <c r="AH467" s="45">
        <v>3</v>
      </c>
      <c r="AI467" s="42">
        <v>3</v>
      </c>
      <c r="AJ467" s="70">
        <v>0</v>
      </c>
      <c r="AK467" s="69">
        <v>45146</v>
      </c>
      <c r="AL467" s="71" t="s">
        <v>80</v>
      </c>
      <c r="AM467" s="53" t="str">
        <f>VLOOKUP(A467,'[1]DANH SÁCH'!$B$8:$F$841,5,0)</f>
        <v>YTCC</v>
      </c>
      <c r="AN467" s="53" t="s">
        <v>81</v>
      </c>
      <c r="AO467" s="53" t="s">
        <v>3401</v>
      </c>
      <c r="AP467" s="53">
        <v>2016</v>
      </c>
      <c r="AQ467" s="72" t="s">
        <v>113</v>
      </c>
      <c r="AR467" s="42">
        <f>VLOOKUP(A467,'[1]Chứng chỉ'!$B$8:$Q$1111,11,0)</f>
        <v>0</v>
      </c>
      <c r="AS467" s="42">
        <f>VLOOKUP(A467,'[1]Chứng chỉ'!$B$8:$Q$1111,12,0)</f>
        <v>0</v>
      </c>
      <c r="AT467" s="47">
        <f>VLOOKUP(A467,'[1]Chứng chỉ'!$B$8:$Q$1111,13,0)</f>
        <v>0</v>
      </c>
      <c r="AU467" s="42">
        <f>VLOOKUP(A467,'[1]Chứng chỉ'!$B$8:$Q$1111,14,0)</f>
        <v>0</v>
      </c>
      <c r="AV467" s="42">
        <f>VLOOKUP(A467,'[1]Chứng chỉ'!$B$8:$Q$1111,15,0)</f>
        <v>0</v>
      </c>
      <c r="AW467" s="42">
        <f>VLOOKUP(A467,'[1]Chứng chỉ'!$B$8:$Q$1111,16,0)</f>
        <v>0</v>
      </c>
      <c r="AX467" s="115"/>
      <c r="AY467" s="115" t="s">
        <v>127</v>
      </c>
      <c r="AZ467" s="65"/>
      <c r="BA467" s="74"/>
      <c r="BB467" s="74"/>
      <c r="BC467" s="41"/>
      <c r="BD467" s="42"/>
    </row>
    <row r="468" spans="1:56" ht="71.400000000000006" x14ac:dyDescent="0.3">
      <c r="A468" s="41" t="s">
        <v>3402</v>
      </c>
      <c r="B468" s="42">
        <f t="shared" si="110"/>
        <v>462</v>
      </c>
      <c r="C468" s="68" t="s">
        <v>3403</v>
      </c>
      <c r="D468" s="41" t="s">
        <v>3402</v>
      </c>
      <c r="E468" s="61">
        <v>2013002168</v>
      </c>
      <c r="F468" s="64"/>
      <c r="G468" s="49" t="s">
        <v>3404</v>
      </c>
      <c r="H468" s="76"/>
      <c r="I468" s="76">
        <v>32755</v>
      </c>
      <c r="J468" s="66">
        <f t="shared" ref="J468:J473" ca="1" si="177">INT(DATEDIF(I468,$J$2,"d")/365)</f>
        <v>36</v>
      </c>
      <c r="K468" s="75" t="s">
        <v>3405</v>
      </c>
      <c r="L468" s="41" t="s">
        <v>3406</v>
      </c>
      <c r="M468" s="53" t="s">
        <v>67</v>
      </c>
      <c r="N468" s="66" t="s">
        <v>3407</v>
      </c>
      <c r="O468" s="85" t="s">
        <v>3408</v>
      </c>
      <c r="P468" s="76" t="s">
        <v>3409</v>
      </c>
      <c r="Q468" s="76" t="s">
        <v>3410</v>
      </c>
      <c r="R468" s="76" t="s">
        <v>3411</v>
      </c>
      <c r="S468" s="76" t="s">
        <v>73</v>
      </c>
      <c r="T468" s="85" t="s">
        <v>97</v>
      </c>
      <c r="U468" s="85" t="s">
        <v>94</v>
      </c>
      <c r="V468" s="49" t="str">
        <f t="shared" si="173"/>
        <v>Phường Vĩnh Trại, Thành phố Lạng Sơn, Tỉnh Lạng Sơn</v>
      </c>
      <c r="W468" s="55" t="s">
        <v>3412</v>
      </c>
      <c r="X468" s="41"/>
      <c r="Y468" s="41"/>
      <c r="Z468" s="41"/>
      <c r="AA468" s="68" t="str">
        <f>VLOOKUP(A468,'[1]DANH SÁCH'!$B$8:$AD$841,12,0)</f>
        <v>Trưởng phòng</v>
      </c>
      <c r="AB468" s="49" t="str">
        <f>VLOOKUP(A468,'[1]DANH SÁCH'!$B$8:$H$841,6,0)</f>
        <v>TĐ011</v>
      </c>
      <c r="AC468" s="69" t="str">
        <f>VLOOKUP(A468,'[1]DANH SÁCH'!$B$8:$J$841,9,0)</f>
        <v>CTXH</v>
      </c>
      <c r="AD468" s="69" t="str">
        <f>VLOOKUP(A468,'[1]DANH SÁCH'!$B$8:$AC$841,10,0)</f>
        <v>KP043</v>
      </c>
      <c r="AE468" s="69" t="str">
        <f>VLOOKUP(A468,'[1]DANH SÁCH'!$B$8:$AD$841,13,0)</f>
        <v>Viên chức</v>
      </c>
      <c r="AF468" s="41" t="s">
        <v>147</v>
      </c>
      <c r="AG468" s="42" t="str">
        <f>VLOOKUP(A468,'[1]DANH SÁCH'!$B$8:$H$841,7,0)</f>
        <v>Điều dưỡng (hạng III)</v>
      </c>
      <c r="AH468" s="45">
        <v>3.33</v>
      </c>
      <c r="AI468" s="42">
        <v>4</v>
      </c>
      <c r="AJ468" s="70">
        <v>0</v>
      </c>
      <c r="AK468" s="127" t="s">
        <v>3219</v>
      </c>
      <c r="AL468" s="71" t="s">
        <v>80</v>
      </c>
      <c r="AM468" s="53" t="str">
        <f>VLOOKUP(A468,'[1]DANH SÁCH'!$B$8:$F$841,5,0)</f>
        <v>Điều dưỡng ĐH</v>
      </c>
      <c r="AN468" s="53"/>
      <c r="AO468" s="53" t="s">
        <v>596</v>
      </c>
      <c r="AP468" s="53">
        <v>2012</v>
      </c>
      <c r="AQ468" s="72" t="s">
        <v>113</v>
      </c>
      <c r="AR468" s="42">
        <f>VLOOKUP(A468,'[1]Chứng chỉ'!$B$8:$Q$1111,11,0)</f>
        <v>0</v>
      </c>
      <c r="AS468" s="42">
        <f>VLOOKUP(A468,'[1]Chứng chỉ'!$B$8:$Q$1111,12,0)</f>
        <v>0</v>
      </c>
      <c r="AT468" s="47" t="s">
        <v>101</v>
      </c>
      <c r="AU468" s="42" t="str">
        <f>VLOOKUP(A468,'[1]Chứng chỉ'!$B$8:$Q$1111,14,0)</f>
        <v>Anh B</v>
      </c>
      <c r="AV468" s="42">
        <f>VLOOKUP(A468,'[1]Chứng chỉ'!$B$8:$Q$1111,15,0)</f>
        <v>0</v>
      </c>
      <c r="AW468" s="42" t="str">
        <f>VLOOKUP(A468,'[1]Chứng chỉ'!$B$8:$Q$1111,16,0)</f>
        <v>B</v>
      </c>
      <c r="AX468" s="53"/>
      <c r="AY468" s="57" t="s">
        <v>127</v>
      </c>
      <c r="AZ468" s="65"/>
      <c r="BA468" s="74" t="e">
        <f t="shared" ref="BA468:BA470" si="178">VLOOKUP(A468,#REF!,4,0)</f>
        <v>#REF!</v>
      </c>
      <c r="BB468" s="74" t="e">
        <f t="shared" ref="BB468:BB470" si="179">VLOOKUP(A468,#REF!,5,0)</f>
        <v>#REF!</v>
      </c>
      <c r="BC468" s="41"/>
      <c r="BD468" s="42"/>
    </row>
    <row r="469" spans="1:56" ht="61.2" x14ac:dyDescent="0.3">
      <c r="A469" s="41" t="s">
        <v>3413</v>
      </c>
      <c r="B469" s="42">
        <f t="shared" si="110"/>
        <v>463</v>
      </c>
      <c r="C469" s="68" t="s">
        <v>3414</v>
      </c>
      <c r="D469" s="41" t="s">
        <v>3413</v>
      </c>
      <c r="E469" s="61">
        <v>1506002916</v>
      </c>
      <c r="F469" s="64"/>
      <c r="G469" s="49" t="s">
        <v>3415</v>
      </c>
      <c r="H469" s="76"/>
      <c r="I469" s="76">
        <v>30834</v>
      </c>
      <c r="J469" s="66">
        <f t="shared" ca="1" si="177"/>
        <v>42</v>
      </c>
      <c r="K469" s="75" t="s">
        <v>3416</v>
      </c>
      <c r="L469" s="41" t="s">
        <v>3417</v>
      </c>
      <c r="M469" s="53" t="s">
        <v>67</v>
      </c>
      <c r="N469" s="49" t="s">
        <v>97</v>
      </c>
      <c r="O469" s="53" t="s">
        <v>166</v>
      </c>
      <c r="P469" s="49" t="s">
        <v>97</v>
      </c>
      <c r="Q469" s="49" t="s">
        <v>94</v>
      </c>
      <c r="R469" s="49" t="s">
        <v>3418</v>
      </c>
      <c r="S469" s="49" t="s">
        <v>166</v>
      </c>
      <c r="T469" s="49" t="s">
        <v>97</v>
      </c>
      <c r="U469" s="49" t="s">
        <v>94</v>
      </c>
      <c r="V469" s="49" t="str">
        <f t="shared" si="173"/>
        <v>Phường Tam Thanh, Thành phố Lạng Sơn, Tỉnh Lạng Sơn</v>
      </c>
      <c r="W469" s="55" t="s">
        <v>579</v>
      </c>
      <c r="X469" s="41"/>
      <c r="Y469" s="41"/>
      <c r="Z469" s="41"/>
      <c r="AA469" s="68">
        <f>VLOOKUP(A469,'[1]DANH SÁCH'!$B$8:$AD$841,12,0)</f>
        <v>0</v>
      </c>
      <c r="AB469" s="49" t="str">
        <f>VLOOKUP(A469,'[1]DANH SÁCH'!$B$8:$H$841,6,0)</f>
        <v>TĐ011</v>
      </c>
      <c r="AC469" s="69" t="str">
        <f>VLOOKUP(A469,'[1]DANH SÁCH'!$B$8:$J$841,9,0)</f>
        <v>CTXH</v>
      </c>
      <c r="AD469" s="69" t="str">
        <f>VLOOKUP(A469,'[1]DANH SÁCH'!$B$8:$AC$841,10,0)</f>
        <v>KP043</v>
      </c>
      <c r="AE469" s="69" t="str">
        <f>VLOOKUP(A469,'[1]DANH SÁCH'!$B$8:$AD$841,13,0)</f>
        <v>Viên chức</v>
      </c>
      <c r="AF469" s="41" t="s">
        <v>147</v>
      </c>
      <c r="AG469" s="42" t="str">
        <f>VLOOKUP(A469,'[1]DANH SÁCH'!$B$8:$H$841,7,0)</f>
        <v>Điều dưỡng (hạng III)</v>
      </c>
      <c r="AH469" s="45">
        <v>3.99</v>
      </c>
      <c r="AI469" s="42">
        <v>6</v>
      </c>
      <c r="AJ469" s="70">
        <v>0</v>
      </c>
      <c r="AK469" s="69">
        <v>45778</v>
      </c>
      <c r="AL469" s="71" t="s">
        <v>80</v>
      </c>
      <c r="AM469" s="53" t="str">
        <f>VLOOKUP(A469,'[1]DANH SÁCH'!$B$8:$F$841,5,0)</f>
        <v>Điều dưỡng ĐH</v>
      </c>
      <c r="AN469" s="53"/>
      <c r="AO469" s="53" t="s">
        <v>1093</v>
      </c>
      <c r="AP469" s="53">
        <v>2018</v>
      </c>
      <c r="AQ469" s="72" t="s">
        <v>113</v>
      </c>
      <c r="AR469" s="42">
        <f>VLOOKUP(A469,'[1]Chứng chỉ'!$B$8:$Q$1111,11,0)</f>
        <v>0</v>
      </c>
      <c r="AS469" s="42">
        <f>VLOOKUP(A469,'[1]Chứng chỉ'!$B$8:$Q$1111,12,0)</f>
        <v>0</v>
      </c>
      <c r="AT469" s="47">
        <f>VLOOKUP(A469,'[1]Chứng chỉ'!$B$8:$Q$1111,13,0)</f>
        <v>0</v>
      </c>
      <c r="AU469" s="42" t="str">
        <f>VLOOKUP(A469,'[1]Chứng chỉ'!$B$8:$Q$1111,14,0)</f>
        <v>Anh A2</v>
      </c>
      <c r="AV469" s="42" t="str">
        <f>VLOOKUP(A469,'[1]Chứng chỉ'!$B$8:$Q$1111,15,0)</f>
        <v>x</v>
      </c>
      <c r="AW469" s="42" t="str">
        <f>VLOOKUP(A469,'[1]Chứng chỉ'!$B$8:$Q$1111,16,0)</f>
        <v>Cơ bản</v>
      </c>
      <c r="AX469" s="42"/>
      <c r="AY469" s="57" t="s">
        <v>85</v>
      </c>
      <c r="AZ469" s="65">
        <v>42971</v>
      </c>
      <c r="BA469" s="74" t="e">
        <f t="shared" si="178"/>
        <v>#REF!</v>
      </c>
      <c r="BB469" s="74" t="e">
        <f t="shared" si="179"/>
        <v>#REF!</v>
      </c>
      <c r="BC469" s="41"/>
      <c r="BD469" s="42"/>
    </row>
    <row r="470" spans="1:56" ht="51" x14ac:dyDescent="0.3">
      <c r="A470" s="41" t="s">
        <v>3419</v>
      </c>
      <c r="B470" s="42">
        <f t="shared" si="110"/>
        <v>464</v>
      </c>
      <c r="C470" s="68" t="s">
        <v>3420</v>
      </c>
      <c r="D470" s="41" t="s">
        <v>3419</v>
      </c>
      <c r="E470" s="61">
        <v>2013002124</v>
      </c>
      <c r="F470" s="64"/>
      <c r="G470" s="49" t="s">
        <v>3421</v>
      </c>
      <c r="H470" s="76"/>
      <c r="I470" s="76">
        <v>32618</v>
      </c>
      <c r="J470" s="66">
        <f t="shared" ca="1" si="177"/>
        <v>37</v>
      </c>
      <c r="K470" s="75" t="s">
        <v>3422</v>
      </c>
      <c r="L470" s="41" t="s">
        <v>3423</v>
      </c>
      <c r="M470" s="53" t="s">
        <v>67</v>
      </c>
      <c r="N470" s="66" t="s">
        <v>3424</v>
      </c>
      <c r="O470" s="53" t="s">
        <v>73</v>
      </c>
      <c r="P470" s="49" t="s">
        <v>97</v>
      </c>
      <c r="Q470" s="49" t="s">
        <v>94</v>
      </c>
      <c r="R470" s="76" t="s">
        <v>3425</v>
      </c>
      <c r="S470" s="49" t="s">
        <v>73</v>
      </c>
      <c r="T470" s="49" t="s">
        <v>97</v>
      </c>
      <c r="U470" s="49" t="s">
        <v>94</v>
      </c>
      <c r="V470" s="49" t="str">
        <f t="shared" si="173"/>
        <v>Phường Vĩnh Trại, Thành phố Lạng Sơn, Tỉnh Lạng Sơn</v>
      </c>
      <c r="W470" s="55" t="s">
        <v>315</v>
      </c>
      <c r="X470" s="41"/>
      <c r="Y470" s="41"/>
      <c r="Z470" s="41"/>
      <c r="AA470" s="68">
        <f>VLOOKUP(A470,'[1]DANH SÁCH'!$B$8:$AD$841,12,0)</f>
        <v>0</v>
      </c>
      <c r="AB470" s="49" t="str">
        <f>VLOOKUP(A470,'[1]DANH SÁCH'!$B$8:$H$841,6,0)</f>
        <v>TĐ012</v>
      </c>
      <c r="AC470" s="69" t="str">
        <f>VLOOKUP(A470,'[1]DANH SÁCH'!$B$8:$J$841,9,0)</f>
        <v>CTXH</v>
      </c>
      <c r="AD470" s="69" t="str">
        <f>VLOOKUP(A470,'[1]DANH SÁCH'!$B$8:$AC$841,10,0)</f>
        <v>KP043</v>
      </c>
      <c r="AE470" s="69" t="str">
        <f>VLOOKUP(A470,'[1]DANH SÁCH'!$B$8:$AD$841,13,0)</f>
        <v>Viên chức</v>
      </c>
      <c r="AF470" s="41" t="s">
        <v>157</v>
      </c>
      <c r="AG470" s="42" t="str">
        <f>VLOOKUP(A470,'[1]DANH SÁCH'!$B$8:$H$841,7,0)</f>
        <v>Điều dưỡng (hạng IV)</v>
      </c>
      <c r="AH470" s="45">
        <v>3.03</v>
      </c>
      <c r="AI470" s="42">
        <v>4</v>
      </c>
      <c r="AJ470" s="70">
        <v>0</v>
      </c>
      <c r="AK470" s="69">
        <v>45636</v>
      </c>
      <c r="AL470" s="71" t="s">
        <v>158</v>
      </c>
      <c r="AM470" s="53" t="str">
        <f>VLOOKUP(A470,'[1]DANH SÁCH'!$B$8:$F$841,5,0)</f>
        <v>Điều dưỡng CĐ</v>
      </c>
      <c r="AN470" s="53"/>
      <c r="AO470" s="53" t="s">
        <v>1093</v>
      </c>
      <c r="AP470" s="53">
        <v>2010</v>
      </c>
      <c r="AQ470" s="72" t="s">
        <v>113</v>
      </c>
      <c r="AR470" s="42">
        <f>VLOOKUP(A470,'[1]Chứng chỉ'!$B$8:$Q$1111,11,0)</f>
        <v>0</v>
      </c>
      <c r="AS470" s="42">
        <f>VLOOKUP(A470,'[1]Chứng chỉ'!$B$8:$Q$1111,12,0)</f>
        <v>0</v>
      </c>
      <c r="AT470" s="47">
        <f>VLOOKUP(A470,'[1]Chứng chỉ'!$B$8:$Q$1111,13,0)</f>
        <v>0</v>
      </c>
      <c r="AU470" s="42" t="str">
        <f>VLOOKUP(A470,'[1]Chứng chỉ'!$B$8:$Q$1111,14,0)</f>
        <v>Anh B</v>
      </c>
      <c r="AV470" s="42">
        <f>VLOOKUP(A470,'[1]Chứng chỉ'!$B$8:$Q$1111,15,0)</f>
        <v>0</v>
      </c>
      <c r="AW470" s="42" t="str">
        <f>VLOOKUP(A470,'[1]Chứng chỉ'!$B$8:$Q$1111,16,0)</f>
        <v>Cơ bản</v>
      </c>
      <c r="AX470" s="42"/>
      <c r="AY470" s="57" t="s">
        <v>85</v>
      </c>
      <c r="AZ470" s="65"/>
      <c r="BA470" s="74" t="e">
        <f t="shared" si="178"/>
        <v>#REF!</v>
      </c>
      <c r="BB470" s="74" t="e">
        <f t="shared" si="179"/>
        <v>#REF!</v>
      </c>
      <c r="BC470" s="41"/>
      <c r="BD470" s="42"/>
    </row>
    <row r="471" spans="1:56" ht="40.799999999999997" x14ac:dyDescent="0.3">
      <c r="A471" s="46" t="s">
        <v>3426</v>
      </c>
      <c r="B471" s="42">
        <f t="shared" si="110"/>
        <v>465</v>
      </c>
      <c r="C471" s="93" t="s">
        <v>3427</v>
      </c>
      <c r="D471" s="46" t="s">
        <v>3426</v>
      </c>
      <c r="E471" s="61" t="s">
        <v>3428</v>
      </c>
      <c r="F471" s="64"/>
      <c r="G471" s="49" t="s">
        <v>3429</v>
      </c>
      <c r="H471" s="46"/>
      <c r="I471" s="146" t="s">
        <v>3430</v>
      </c>
      <c r="J471" s="66">
        <f t="shared" ca="1" si="177"/>
        <v>32</v>
      </c>
      <c r="K471" s="75" t="s">
        <v>3431</v>
      </c>
      <c r="L471" s="102" t="s">
        <v>809</v>
      </c>
      <c r="M471" s="53" t="s">
        <v>67</v>
      </c>
      <c r="N471" s="52" t="s">
        <v>166</v>
      </c>
      <c r="O471" s="56" t="s">
        <v>166</v>
      </c>
      <c r="P471" s="47" t="s">
        <v>97</v>
      </c>
      <c r="Q471" s="47" t="s">
        <v>71</v>
      </c>
      <c r="R471" s="121" t="s">
        <v>3432</v>
      </c>
      <c r="S471" s="47"/>
      <c r="T471" s="47"/>
      <c r="U471" s="47"/>
      <c r="V471" s="121" t="s">
        <v>3432</v>
      </c>
      <c r="W471" s="104" t="s">
        <v>384</v>
      </c>
      <c r="X471" s="41" t="s">
        <v>3433</v>
      </c>
      <c r="Y471" s="122">
        <v>626</v>
      </c>
      <c r="Z471" s="122" t="s">
        <v>386</v>
      </c>
      <c r="AA471" s="68">
        <f>VLOOKUP(A471,'[1]DANH SÁCH'!$B$8:$AD$841,12,0)</f>
        <v>0</v>
      </c>
      <c r="AB471" s="49" t="str">
        <f>VLOOKUP(A471,'[1]DANH SÁCH'!$B$8:$H$841,6,0)</f>
        <v>TĐ037</v>
      </c>
      <c r="AC471" s="69" t="str">
        <f>VLOOKUP(A471,'[1]DANH SÁCH'!$B$8:$J$841,9,0)</f>
        <v>CTXH</v>
      </c>
      <c r="AD471" s="69" t="str">
        <f>VLOOKUP(A471,'[1]DANH SÁCH'!$B$8:$AC$841,10,0)</f>
        <v>KP043</v>
      </c>
      <c r="AE471" s="69" t="str">
        <f>VLOOKUP(A471,'[1]DANH SÁCH'!$B$8:$AD$841,13,0)</f>
        <v>Viên chức</v>
      </c>
      <c r="AF471" s="143" t="s">
        <v>3164</v>
      </c>
      <c r="AG471" s="122" t="s">
        <v>82</v>
      </c>
      <c r="AH471" s="45">
        <v>3.33</v>
      </c>
      <c r="AI471" s="42">
        <v>4</v>
      </c>
      <c r="AJ471" s="70">
        <v>0</v>
      </c>
      <c r="AK471" s="69">
        <v>45950</v>
      </c>
      <c r="AL471" s="71" t="s">
        <v>80</v>
      </c>
      <c r="AM471" s="53" t="str">
        <f>VLOOKUP(A471,'[1]DANH SÁCH'!$B$8:$F$841,5,0)</f>
        <v>Cử nhân QHCC</v>
      </c>
      <c r="AN471" s="53"/>
      <c r="AO471" s="53" t="s">
        <v>3434</v>
      </c>
      <c r="AP471" s="53">
        <v>2015</v>
      </c>
      <c r="AQ471" s="72" t="s">
        <v>113</v>
      </c>
      <c r="AR471" s="42">
        <f>VLOOKUP(A471,'[1]Chứng chỉ'!$B$8:$Q$1111,11,0)</f>
        <v>0</v>
      </c>
      <c r="AS471" s="42">
        <f>VLOOKUP(A471,'[1]Chứng chỉ'!$B$8:$Q$1111,12,0)</f>
        <v>0</v>
      </c>
      <c r="AT471" s="47" t="s">
        <v>101</v>
      </c>
      <c r="AU471" s="42" t="str">
        <f>VLOOKUP(A471,'[1]Chứng chỉ'!$B$8:$Q$1111,14,0)</f>
        <v>Anh A2</v>
      </c>
      <c r="AV471" s="42">
        <f>VLOOKUP(A471,'[1]Chứng chỉ'!$B$8:$Q$1111,15,0)</f>
        <v>0</v>
      </c>
      <c r="AW471" s="42" t="str">
        <f>VLOOKUP(A471,'[1]Chứng chỉ'!$B$8:$Q$1111,16,0)</f>
        <v>Cơ bản</v>
      </c>
      <c r="AX471" s="47"/>
      <c r="AY471" s="73" t="s">
        <v>87</v>
      </c>
      <c r="AZ471" s="65">
        <v>42173</v>
      </c>
      <c r="BA471" s="74"/>
      <c r="BB471" s="74"/>
      <c r="BC471" s="41"/>
      <c r="BD471" s="42"/>
    </row>
    <row r="472" spans="1:56" ht="40.799999999999997" x14ac:dyDescent="0.3">
      <c r="A472" s="46" t="s">
        <v>3435</v>
      </c>
      <c r="B472" s="42">
        <f t="shared" si="110"/>
        <v>466</v>
      </c>
      <c r="C472" s="93" t="s">
        <v>3436</v>
      </c>
      <c r="D472" s="46" t="s">
        <v>3435</v>
      </c>
      <c r="E472" s="61" t="s">
        <v>3437</v>
      </c>
      <c r="F472" s="64"/>
      <c r="G472" s="49" t="s">
        <v>3438</v>
      </c>
      <c r="H472" s="46"/>
      <c r="I472" s="101">
        <v>34165</v>
      </c>
      <c r="J472" s="66">
        <f t="shared" ca="1" si="177"/>
        <v>33</v>
      </c>
      <c r="K472" s="75" t="s">
        <v>3439</v>
      </c>
      <c r="L472" s="102" t="s">
        <v>3440</v>
      </c>
      <c r="M472" s="53" t="s">
        <v>67</v>
      </c>
      <c r="N472" s="52" t="s">
        <v>3441</v>
      </c>
      <c r="O472" s="56" t="s">
        <v>3442</v>
      </c>
      <c r="P472" s="47" t="s">
        <v>3443</v>
      </c>
      <c r="Q472" s="47" t="s">
        <v>1058</v>
      </c>
      <c r="R472" s="122" t="s">
        <v>3425</v>
      </c>
      <c r="S472" s="47"/>
      <c r="T472" s="47"/>
      <c r="U472" s="49" t="s">
        <v>94</v>
      </c>
      <c r="V472" s="122" t="s">
        <v>3425</v>
      </c>
      <c r="W472" s="104" t="s">
        <v>384</v>
      </c>
      <c r="X472" s="46"/>
      <c r="Y472" s="122">
        <v>594</v>
      </c>
      <c r="Z472" s="122" t="s">
        <v>386</v>
      </c>
      <c r="AA472" s="68">
        <f>VLOOKUP(A472,'[1]DANH SÁCH'!$B$8:$AD$841,12,0)</f>
        <v>0</v>
      </c>
      <c r="AB472" s="49" t="str">
        <f>VLOOKUP(A472,'[1]DANH SÁCH'!$B$8:$H$841,6,0)</f>
        <v>TĐ039</v>
      </c>
      <c r="AC472" s="69" t="str">
        <f>VLOOKUP(A472,'[1]DANH SÁCH'!$B$8:$J$841,9,0)</f>
        <v>CTXH</v>
      </c>
      <c r="AD472" s="69" t="str">
        <f>VLOOKUP(A472,'[1]DANH SÁCH'!$B$8:$AC$841,10,0)</f>
        <v>KP043</v>
      </c>
      <c r="AE472" s="69" t="str">
        <f>VLOOKUP(A472,'[1]DANH SÁCH'!$B$8:$AD$841,13,0)</f>
        <v>Viên chức</v>
      </c>
      <c r="AF472" s="143" t="s">
        <v>3164</v>
      </c>
      <c r="AG472" s="122" t="s">
        <v>82</v>
      </c>
      <c r="AH472" s="45">
        <v>3</v>
      </c>
      <c r="AI472" s="42">
        <v>3</v>
      </c>
      <c r="AJ472" s="70">
        <v>0</v>
      </c>
      <c r="AK472" s="69">
        <v>45566</v>
      </c>
      <c r="AL472" s="71" t="s">
        <v>80</v>
      </c>
      <c r="AM472" s="53" t="str">
        <f>VLOOKUP(A472,'[1]DANH SÁCH'!$B$8:$F$841,5,0)</f>
        <v>Cử nhân Báo chí</v>
      </c>
      <c r="AN472" s="53"/>
      <c r="AO472" s="53" t="s">
        <v>3444</v>
      </c>
      <c r="AP472" s="53">
        <v>2016</v>
      </c>
      <c r="AQ472" s="72" t="s">
        <v>113</v>
      </c>
      <c r="AR472" s="42">
        <f>VLOOKUP(A472,'[1]Chứng chỉ'!$B$8:$Q$1111,11,0)</f>
        <v>0</v>
      </c>
      <c r="AS472" s="42">
        <f>VLOOKUP(A472,'[1]Chứng chỉ'!$B$8:$Q$1111,12,0)</f>
        <v>0</v>
      </c>
      <c r="AT472" s="47">
        <f>VLOOKUP(A472,'[1]Chứng chỉ'!$B$8:$Q$1111,13,0)</f>
        <v>0</v>
      </c>
      <c r="AU472" s="42" t="str">
        <f>VLOOKUP(A472,'[1]Chứng chỉ'!$B$8:$Q$1111,14,0)</f>
        <v>B</v>
      </c>
      <c r="AV472" s="42">
        <f>VLOOKUP(A472,'[1]Chứng chỉ'!$B$8:$Q$1111,15,0)</f>
        <v>0</v>
      </c>
      <c r="AW472" s="42" t="str">
        <f>VLOOKUP(A472,'[1]Chứng chỉ'!$B$8:$Q$1111,16,0)</f>
        <v>B</v>
      </c>
      <c r="AX472" s="47"/>
      <c r="AY472" s="73" t="s">
        <v>87</v>
      </c>
      <c r="AZ472" s="65"/>
      <c r="BA472" s="74"/>
      <c r="BB472" s="74"/>
      <c r="BC472" s="41"/>
      <c r="BD472" s="42"/>
    </row>
    <row r="473" spans="1:56" ht="51" x14ac:dyDescent="0.3">
      <c r="A473" s="41" t="s">
        <v>3445</v>
      </c>
      <c r="B473" s="42">
        <f t="shared" si="110"/>
        <v>467</v>
      </c>
      <c r="C473" s="68" t="s">
        <v>3446</v>
      </c>
      <c r="D473" s="41" t="s">
        <v>3445</v>
      </c>
      <c r="E473" s="61">
        <v>1504002806</v>
      </c>
      <c r="F473" s="64"/>
      <c r="G473" s="49" t="s">
        <v>3447</v>
      </c>
      <c r="H473" s="76"/>
      <c r="I473" s="76">
        <v>26825</v>
      </c>
      <c r="J473" s="66">
        <f t="shared" ca="1" si="177"/>
        <v>53</v>
      </c>
      <c r="K473" s="75" t="s">
        <v>3448</v>
      </c>
      <c r="L473" s="41" t="s">
        <v>3449</v>
      </c>
      <c r="M473" s="53" t="s">
        <v>67</v>
      </c>
      <c r="N473" s="66" t="s">
        <v>3450</v>
      </c>
      <c r="O473" s="53" t="s">
        <v>3451</v>
      </c>
      <c r="P473" s="49" t="s">
        <v>1610</v>
      </c>
      <c r="Q473" s="49" t="s">
        <v>135</v>
      </c>
      <c r="R473" s="49" t="s">
        <v>3452</v>
      </c>
      <c r="S473" s="49" t="s">
        <v>73</v>
      </c>
      <c r="T473" s="49" t="s">
        <v>97</v>
      </c>
      <c r="U473" s="49" t="s">
        <v>94</v>
      </c>
      <c r="V473" s="49" t="str">
        <f t="shared" ref="V473:V483" si="180">S473&amp;", "&amp;T473&amp;", "&amp;U473</f>
        <v>Phường Vĩnh Trại, Thành phố Lạng Sơn, Tỉnh Lạng Sơn</v>
      </c>
      <c r="W473" s="55" t="s">
        <v>3453</v>
      </c>
      <c r="X473" s="41"/>
      <c r="Y473" s="41"/>
      <c r="Z473" s="41"/>
      <c r="AA473" s="68">
        <f>VLOOKUP(A473,'[1]DANH SÁCH'!$B$8:$AD$841,12,0)</f>
        <v>0</v>
      </c>
      <c r="AB473" s="49" t="str">
        <f>VLOOKUP(A473,'[1]DANH SÁCH'!$B$8:$H$841,6,0)</f>
        <v>TĐ012</v>
      </c>
      <c r="AC473" s="69" t="str">
        <f>VLOOKUP(A473,'[1]DANH SÁCH'!$B$8:$J$841,9,0)</f>
        <v>QLCL</v>
      </c>
      <c r="AD473" s="69" t="str">
        <f>VLOOKUP(A473,'[1]DANH SÁCH'!$B$8:$AC$841,10,0)</f>
        <v>KP044</v>
      </c>
      <c r="AE473" s="69" t="str">
        <f>VLOOKUP(A473,'[1]DANH SÁCH'!$B$8:$AD$841,13,0)</f>
        <v>Viên chức</v>
      </c>
      <c r="AF473" s="41" t="s">
        <v>157</v>
      </c>
      <c r="AG473" s="42" t="str">
        <f>VLOOKUP(A473,'[1]DANH SÁCH'!$B$8:$H$841,7,0)</f>
        <v>Điều dưỡng (hạng IV)</v>
      </c>
      <c r="AH473" s="45">
        <v>3.96</v>
      </c>
      <c r="AI473" s="42">
        <v>7</v>
      </c>
      <c r="AJ473" s="70">
        <v>0</v>
      </c>
      <c r="AK473" s="69">
        <v>45627</v>
      </c>
      <c r="AL473" s="71" t="s">
        <v>158</v>
      </c>
      <c r="AM473" s="53" t="str">
        <f>VLOOKUP(A473,'[1]DANH SÁCH'!$B$8:$F$841,5,0)</f>
        <v>Điều dưỡng CĐ</v>
      </c>
      <c r="AN473" s="53"/>
      <c r="AO473" s="53" t="s">
        <v>175</v>
      </c>
      <c r="AP473" s="53">
        <v>2003</v>
      </c>
      <c r="AQ473" s="72" t="s">
        <v>113</v>
      </c>
      <c r="AR473" s="42">
        <f>VLOOKUP(A473,'[1]Chứng chỉ'!$B$8:$Q$1111,11,0)</f>
        <v>0</v>
      </c>
      <c r="AS473" s="42">
        <f>VLOOKUP(A473,'[1]Chứng chỉ'!$B$8:$Q$1111,12,0)</f>
        <v>0</v>
      </c>
      <c r="AT473" s="47">
        <f>VLOOKUP(A473,'[1]Chứng chỉ'!$B$8:$Q$1111,13,0)</f>
        <v>0</v>
      </c>
      <c r="AU473" s="42">
        <f>VLOOKUP(A473,'[1]Chứng chỉ'!$B$8:$Q$1111,14,0)</f>
        <v>0</v>
      </c>
      <c r="AV473" s="42">
        <f>VLOOKUP(A473,'[1]Chứng chỉ'!$B$8:$Q$1111,15,0)</f>
        <v>0</v>
      </c>
      <c r="AW473" s="42">
        <f>VLOOKUP(A473,'[1]Chứng chỉ'!$B$8:$Q$1111,16,0)</f>
        <v>0</v>
      </c>
      <c r="AX473" s="42"/>
      <c r="AY473" s="57" t="s">
        <v>87</v>
      </c>
      <c r="AZ473" s="65">
        <v>41598</v>
      </c>
      <c r="BA473" s="74" t="e">
        <f>VLOOKUP(A473,#REF!,4,0)</f>
        <v>#REF!</v>
      </c>
      <c r="BB473" s="74" t="e">
        <f>VLOOKUP(A473,#REF!,5,0)</f>
        <v>#REF!</v>
      </c>
      <c r="BC473" s="41"/>
      <c r="BD473" s="47"/>
    </row>
    <row r="474" spans="1:56" ht="40.799999999999997" x14ac:dyDescent="0.3">
      <c r="A474" s="41" t="s">
        <v>3454</v>
      </c>
      <c r="B474" s="42">
        <f t="shared" si="110"/>
        <v>468</v>
      </c>
      <c r="C474" s="68" t="s">
        <v>3455</v>
      </c>
      <c r="D474" s="41" t="s">
        <v>3454</v>
      </c>
      <c r="E474" s="61">
        <v>2016000986</v>
      </c>
      <c r="F474" s="64"/>
      <c r="G474" s="49" t="s">
        <v>3456</v>
      </c>
      <c r="H474" s="41" t="s">
        <v>3457</v>
      </c>
      <c r="I474" s="76"/>
      <c r="J474" s="66">
        <f ca="1">INT(DATEDIF(H474,$J$2,"d")/365)</f>
        <v>33</v>
      </c>
      <c r="K474" s="75" t="s">
        <v>3458</v>
      </c>
      <c r="L474" s="41" t="s">
        <v>3459</v>
      </c>
      <c r="M474" s="53" t="s">
        <v>67</v>
      </c>
      <c r="N474" s="66" t="s">
        <v>3460</v>
      </c>
      <c r="O474" s="53" t="s">
        <v>3461</v>
      </c>
      <c r="P474" s="49" t="s">
        <v>758</v>
      </c>
      <c r="Q474" s="47" t="s">
        <v>71</v>
      </c>
      <c r="R474" s="49" t="s">
        <v>3461</v>
      </c>
      <c r="S474" s="49" t="s">
        <v>3462</v>
      </c>
      <c r="T474" s="49" t="s">
        <v>93</v>
      </c>
      <c r="U474" s="49" t="s">
        <v>94</v>
      </c>
      <c r="V474" s="49" t="str">
        <f t="shared" si="180"/>
        <v>Xã Bắc Sơn, Huyện Bắc Sơn, Tỉnh Lạng Sơn</v>
      </c>
      <c r="W474" s="86" t="s">
        <v>3463</v>
      </c>
      <c r="X474" s="41"/>
      <c r="Y474" s="41"/>
      <c r="Z474" s="41"/>
      <c r="AA474" s="68">
        <f>VLOOKUP(A474,'[1]DANH SÁCH'!$B$8:$AD$841,12,0)</f>
        <v>0</v>
      </c>
      <c r="AB474" s="49" t="str">
        <f>VLOOKUP(A474,'[1]DANH SÁCH'!$B$8:$H$841,6,0)</f>
        <v>TĐ036</v>
      </c>
      <c r="AC474" s="69" t="str">
        <f>VLOOKUP(A474,'[1]DANH SÁCH'!$B$8:$J$841,9,0)</f>
        <v>KHTH</v>
      </c>
      <c r="AD474" s="69" t="str">
        <f>VLOOKUP(A474,'[1]DANH SÁCH'!$B$8:$AC$841,10,0)</f>
        <v>KP042</v>
      </c>
      <c r="AE474" s="69" t="str">
        <f>VLOOKUP(A474,'[1]DANH SÁCH'!$B$8:$AD$841,13,0)</f>
        <v>Viên chức</v>
      </c>
      <c r="AF474" s="41" t="s">
        <v>3400</v>
      </c>
      <c r="AG474" s="42" t="str">
        <f>VLOOKUP(A474,'[1]DANH SÁCH'!$B$8:$H$841,7,0)</f>
        <v>Y tế công cộng (hạng III)</v>
      </c>
      <c r="AH474" s="45">
        <v>3.33</v>
      </c>
      <c r="AI474" s="42">
        <v>4</v>
      </c>
      <c r="AJ474" s="70">
        <v>0</v>
      </c>
      <c r="AK474" s="69">
        <v>45677</v>
      </c>
      <c r="AL474" s="71" t="s">
        <v>80</v>
      </c>
      <c r="AM474" s="53" t="str">
        <f>VLOOKUP(A474,'[1]DANH SÁCH'!$B$8:$F$841,5,0)</f>
        <v>YTCC</v>
      </c>
      <c r="AN474" s="53" t="s">
        <v>81</v>
      </c>
      <c r="AO474" s="53" t="s">
        <v>3401</v>
      </c>
      <c r="AP474" s="53">
        <v>2015</v>
      </c>
      <c r="AQ474" s="72" t="s">
        <v>113</v>
      </c>
      <c r="AR474" s="42">
        <f>VLOOKUP(A474,'[1]Chứng chỉ'!$B$8:$Q$1111,11,0)</f>
        <v>0</v>
      </c>
      <c r="AS474" s="42" t="str">
        <f>VLOOKUP(A474,'[1]Chứng chỉ'!$B$8:$Q$1111,12,0)</f>
        <v>x</v>
      </c>
      <c r="AT474" s="47">
        <f>VLOOKUP(A474,'[1]Chứng chỉ'!$B$8:$Q$1111,13,0)</f>
        <v>0</v>
      </c>
      <c r="AU474" s="42">
        <f>VLOOKUP(A474,'[1]Chứng chỉ'!$B$8:$Q$1111,14,0)</f>
        <v>0</v>
      </c>
      <c r="AV474" s="42">
        <f>VLOOKUP(A474,'[1]Chứng chỉ'!$B$8:$Q$1111,15,0)</f>
        <v>0</v>
      </c>
      <c r="AW474" s="42">
        <f>VLOOKUP(A474,'[1]Chứng chỉ'!$B$8:$Q$1111,16,0)</f>
        <v>0</v>
      </c>
      <c r="AX474" s="42"/>
      <c r="AY474" s="57" t="s">
        <v>85</v>
      </c>
      <c r="AZ474" s="65">
        <v>44144</v>
      </c>
      <c r="BA474" s="74"/>
      <c r="BB474" s="74"/>
      <c r="BC474" s="41"/>
      <c r="BD474" s="42"/>
    </row>
    <row r="475" spans="1:56" ht="61.2" x14ac:dyDescent="0.3">
      <c r="A475" s="41" t="s">
        <v>3464</v>
      </c>
      <c r="B475" s="42">
        <f t="shared" si="110"/>
        <v>469</v>
      </c>
      <c r="C475" s="68" t="s">
        <v>3465</v>
      </c>
      <c r="D475" s="41" t="s">
        <v>3464</v>
      </c>
      <c r="E475" s="61">
        <v>2015002146</v>
      </c>
      <c r="F475" s="64"/>
      <c r="G475" s="49" t="s">
        <v>3466</v>
      </c>
      <c r="H475" s="76"/>
      <c r="I475" s="41" t="s">
        <v>3467</v>
      </c>
      <c r="J475" s="66">
        <f t="shared" ref="J475:J477" ca="1" si="181">INT(DATEDIF(I475,$J$2,"d")/365)</f>
        <v>34</v>
      </c>
      <c r="K475" s="75" t="s">
        <v>3468</v>
      </c>
      <c r="L475" s="41" t="s">
        <v>3469</v>
      </c>
      <c r="M475" s="53" t="s">
        <v>67</v>
      </c>
      <c r="N475" s="66" t="s">
        <v>3470</v>
      </c>
      <c r="O475" s="53" t="s">
        <v>3470</v>
      </c>
      <c r="P475" s="49" t="s">
        <v>221</v>
      </c>
      <c r="Q475" s="49" t="s">
        <v>94</v>
      </c>
      <c r="R475" s="49" t="s">
        <v>3471</v>
      </c>
      <c r="S475" s="49" t="s">
        <v>96</v>
      </c>
      <c r="T475" s="49" t="s">
        <v>97</v>
      </c>
      <c r="U475" s="49" t="s">
        <v>94</v>
      </c>
      <c r="V475" s="49" t="str">
        <f t="shared" si="180"/>
        <v>Phường Hoàng Văn Thụ, Thành phố Lạng Sơn, Tỉnh Lạng Sơn</v>
      </c>
      <c r="W475" s="86" t="s">
        <v>1640</v>
      </c>
      <c r="X475" s="41"/>
      <c r="Y475" s="41"/>
      <c r="Z475" s="41"/>
      <c r="AA475" s="68">
        <f>VLOOKUP(A475,'[1]DANH SÁCH'!$B$8:$AD$841,12,0)</f>
        <v>0</v>
      </c>
      <c r="AB475" s="49" t="str">
        <f>VLOOKUP(A475,'[1]DANH SÁCH'!$B$8:$H$841,6,0)</f>
        <v>TĐ036</v>
      </c>
      <c r="AC475" s="69" t="str">
        <f>VLOOKUP(A475,'[1]DANH SÁCH'!$B$8:$J$841,9,0)</f>
        <v>Chỉ đạo tuyến</v>
      </c>
      <c r="AD475" s="69" t="str">
        <f>VLOOKUP(A475,'[1]DANH SÁCH'!$B$8:$AC$841,10,0)</f>
        <v>KP045</v>
      </c>
      <c r="AE475" s="69" t="str">
        <f>VLOOKUP(A475,'[1]DANH SÁCH'!$B$8:$AD$841,13,0)</f>
        <v>Viên chức</v>
      </c>
      <c r="AF475" s="41" t="s">
        <v>3400</v>
      </c>
      <c r="AG475" s="42" t="str">
        <f>VLOOKUP(A475,'[1]DANH SÁCH'!$B$8:$H$841,7,0)</f>
        <v>Y tế công cộng (hạng III)</v>
      </c>
      <c r="AH475" s="45">
        <v>3</v>
      </c>
      <c r="AI475" s="42">
        <v>3</v>
      </c>
      <c r="AJ475" s="70">
        <v>0</v>
      </c>
      <c r="AK475" s="127" t="s">
        <v>3472</v>
      </c>
      <c r="AL475" s="71" t="s">
        <v>80</v>
      </c>
      <c r="AM475" s="53" t="str">
        <f>VLOOKUP(A475,'[1]DANH SÁCH'!$B$8:$F$841,5,0)</f>
        <v>YTCC</v>
      </c>
      <c r="AN475" s="53" t="s">
        <v>81</v>
      </c>
      <c r="AO475" s="53" t="s">
        <v>3401</v>
      </c>
      <c r="AP475" s="53">
        <v>2014</v>
      </c>
      <c r="AQ475" s="72" t="s">
        <v>113</v>
      </c>
      <c r="AR475" s="42">
        <f>VLOOKUP(A475,'[1]Chứng chỉ'!$B$8:$Q$1111,11,0)</f>
        <v>0</v>
      </c>
      <c r="AS475" s="42" t="str">
        <f>VLOOKUP(A475,'[1]Chứng chỉ'!$B$8:$Q$1111,12,0)</f>
        <v>x</v>
      </c>
      <c r="AT475" s="47">
        <f>VLOOKUP(A475,'[1]Chứng chỉ'!$B$8:$Q$1111,13,0)</f>
        <v>0</v>
      </c>
      <c r="AU475" s="42">
        <f>VLOOKUP(A475,'[1]Chứng chỉ'!$B$8:$Q$1111,14,0)</f>
        <v>0</v>
      </c>
      <c r="AV475" s="42">
        <f>VLOOKUP(A475,'[1]Chứng chỉ'!$B$8:$Q$1111,15,0)</f>
        <v>0</v>
      </c>
      <c r="AW475" s="42">
        <f>VLOOKUP(A475,'[1]Chứng chỉ'!$B$8:$Q$1111,16,0)</f>
        <v>0</v>
      </c>
      <c r="AX475" s="42"/>
      <c r="AY475" s="57" t="s">
        <v>127</v>
      </c>
      <c r="AZ475" s="65"/>
      <c r="BA475" s="74"/>
      <c r="BB475" s="74"/>
      <c r="BC475" s="41"/>
      <c r="BD475" s="42"/>
    </row>
    <row r="476" spans="1:56" ht="51" x14ac:dyDescent="0.3">
      <c r="A476" s="41" t="s">
        <v>3473</v>
      </c>
      <c r="B476" s="42">
        <f t="shared" si="110"/>
        <v>470</v>
      </c>
      <c r="C476" s="68" t="s">
        <v>3474</v>
      </c>
      <c r="D476" s="41" t="s">
        <v>3473</v>
      </c>
      <c r="E476" s="61">
        <v>2011001570</v>
      </c>
      <c r="F476" s="64"/>
      <c r="G476" s="49" t="s">
        <v>3475</v>
      </c>
      <c r="H476" s="76"/>
      <c r="I476" s="76">
        <v>31358</v>
      </c>
      <c r="J476" s="66">
        <f t="shared" ca="1" si="181"/>
        <v>40</v>
      </c>
      <c r="K476" s="75" t="s">
        <v>3476</v>
      </c>
      <c r="L476" s="83" t="s">
        <v>3477</v>
      </c>
      <c r="M476" s="53" t="s">
        <v>67</v>
      </c>
      <c r="N476" s="66" t="s">
        <v>94</v>
      </c>
      <c r="O476" s="85" t="s">
        <v>2098</v>
      </c>
      <c r="P476" s="49" t="s">
        <v>282</v>
      </c>
      <c r="Q476" s="49" t="s">
        <v>94</v>
      </c>
      <c r="R476" s="85"/>
      <c r="S476" s="85" t="s">
        <v>2098</v>
      </c>
      <c r="T476" s="49" t="s">
        <v>282</v>
      </c>
      <c r="U476" s="49" t="s">
        <v>94</v>
      </c>
      <c r="V476" s="49" t="str">
        <f t="shared" si="180"/>
        <v>Thị trấn Hữu Lũng, Huyện Hữu Lũng, Tỉnh Lạng Sơn</v>
      </c>
      <c r="W476" s="86" t="s">
        <v>3478</v>
      </c>
      <c r="X476" s="41"/>
      <c r="Y476" s="41"/>
      <c r="Z476" s="41"/>
      <c r="AA476" s="68" t="str">
        <f>VLOOKUP(A476,'[1]DANH SÁCH'!$B$8:$AD$841,12,0)</f>
        <v>Trưởng phòng</v>
      </c>
      <c r="AB476" s="49" t="str">
        <f>VLOOKUP(A476,'[1]DANH SÁCH'!$B$8:$H$841,6,0)</f>
        <v>TĐ003</v>
      </c>
      <c r="AC476" s="69" t="str">
        <f>VLOOKUP(A476,'[1]DANH SÁCH'!$B$8:$J$841,9,0)</f>
        <v>Chỉ đạo tuyến</v>
      </c>
      <c r="AD476" s="69" t="str">
        <f>VLOOKUP(A476,'[1]DANH SÁCH'!$B$8:$AC$841,10,0)</f>
        <v>KP045</v>
      </c>
      <c r="AE476" s="69" t="str">
        <f>VLOOKUP(A476,'[1]DANH SÁCH'!$B$8:$AD$841,13,0)</f>
        <v>Viên chức</v>
      </c>
      <c r="AF476" s="41" t="s">
        <v>274</v>
      </c>
      <c r="AG476" s="42" t="str">
        <f>VLOOKUP(A476,'[1]DANH SÁCH'!$B$8:$H$841,7,0)</f>
        <v>Bác sĩ chính (hạng II)</v>
      </c>
      <c r="AH476" s="45">
        <v>4.4000000000000004</v>
      </c>
      <c r="AI476" s="42">
        <v>1</v>
      </c>
      <c r="AJ476" s="70">
        <v>0</v>
      </c>
      <c r="AK476" s="69">
        <v>45809</v>
      </c>
      <c r="AL476" s="71" t="s">
        <v>80</v>
      </c>
      <c r="AM476" s="53" t="str">
        <f>VLOOKUP(A476,'[1]DANH SÁCH'!$B$8:$F$841,5,0)</f>
        <v>BSCKI</v>
      </c>
      <c r="AN476" s="53" t="s">
        <v>1308</v>
      </c>
      <c r="AO476" s="53" t="s">
        <v>112</v>
      </c>
      <c r="AP476" s="53">
        <v>2018</v>
      </c>
      <c r="AQ476" s="72" t="s">
        <v>113</v>
      </c>
      <c r="AR476" s="42">
        <f>VLOOKUP(A476,'[1]Chứng chỉ'!$B$8:$Q$1111,11,0)</f>
        <v>0</v>
      </c>
      <c r="AS476" s="42" t="str">
        <f>VLOOKUP(A476,'[1]Chứng chỉ'!$B$8:$Q$1111,12,0)</f>
        <v>x</v>
      </c>
      <c r="AT476" s="47" t="s">
        <v>139</v>
      </c>
      <c r="AU476" s="42">
        <f>VLOOKUP(A476,'[1]Chứng chỉ'!$B$8:$Q$1111,14,0)</f>
        <v>0</v>
      </c>
      <c r="AV476" s="42">
        <f>VLOOKUP(A476,'[1]Chứng chỉ'!$B$8:$Q$1111,15,0)</f>
        <v>0</v>
      </c>
      <c r="AW476" s="42">
        <f>VLOOKUP(A476,'[1]Chứng chỉ'!$B$8:$Q$1111,16,0)</f>
        <v>0</v>
      </c>
      <c r="AX476" s="42"/>
      <c r="AY476" s="57" t="s">
        <v>87</v>
      </c>
      <c r="AZ476" s="65"/>
      <c r="BA476" s="74" t="e">
        <f t="shared" ref="BA476:BA477" si="182">VLOOKUP(A476,#REF!,4,0)</f>
        <v>#REF!</v>
      </c>
      <c r="BB476" s="74" t="e">
        <f t="shared" ref="BB476:BB477" si="183">VLOOKUP(A476,#REF!,5,0)</f>
        <v>#REF!</v>
      </c>
      <c r="BC476" s="41"/>
      <c r="BD476" s="42"/>
    </row>
    <row r="477" spans="1:56" ht="40.799999999999997" x14ac:dyDescent="0.3">
      <c r="A477" s="41" t="s">
        <v>3479</v>
      </c>
      <c r="B477" s="42">
        <f t="shared" si="110"/>
        <v>471</v>
      </c>
      <c r="C477" s="68" t="s">
        <v>3480</v>
      </c>
      <c r="D477" s="41" t="s">
        <v>3479</v>
      </c>
      <c r="E477" s="61">
        <v>2010000161</v>
      </c>
      <c r="F477" s="64"/>
      <c r="G477" s="49" t="s">
        <v>3481</v>
      </c>
      <c r="H477" s="76"/>
      <c r="I477" s="76">
        <v>32160</v>
      </c>
      <c r="J477" s="66">
        <f t="shared" ca="1" si="181"/>
        <v>38</v>
      </c>
      <c r="K477" s="75" t="s">
        <v>3482</v>
      </c>
      <c r="L477" s="83" t="s">
        <v>3483</v>
      </c>
      <c r="M477" s="53" t="s">
        <v>67</v>
      </c>
      <c r="N477" s="66" t="s">
        <v>94</v>
      </c>
      <c r="O477" s="53" t="s">
        <v>342</v>
      </c>
      <c r="P477" s="76" t="s">
        <v>343</v>
      </c>
      <c r="Q477" s="49" t="s">
        <v>94</v>
      </c>
      <c r="R477" s="49" t="s">
        <v>3484</v>
      </c>
      <c r="S477" s="49" t="s">
        <v>342</v>
      </c>
      <c r="T477" s="76" t="s">
        <v>343</v>
      </c>
      <c r="U477" s="49" t="s">
        <v>94</v>
      </c>
      <c r="V477" s="49" t="str">
        <f t="shared" si="180"/>
        <v>Xã Tân Văn, Huyện Bình Gia, Tỉnh Lạng Sơn</v>
      </c>
      <c r="W477" s="55" t="s">
        <v>236</v>
      </c>
      <c r="X477" s="41"/>
      <c r="Y477" s="41"/>
      <c r="Z477" s="41"/>
      <c r="AA477" s="68">
        <f>VLOOKUP(A477,'[1]DANH SÁCH'!$B$8:$AD$841,12,0)</f>
        <v>0</v>
      </c>
      <c r="AB477" s="49" t="str">
        <f>VLOOKUP(A477,'[1]DANH SÁCH'!$B$8:$H$841,6,0)</f>
        <v>TĐ036</v>
      </c>
      <c r="AC477" s="69" t="str">
        <f>VLOOKUP(A477,'[1]DANH SÁCH'!$B$8:$J$841,9,0)</f>
        <v>Chỉ đạo tuyến</v>
      </c>
      <c r="AD477" s="69" t="str">
        <f>VLOOKUP(A477,'[1]DANH SÁCH'!$B$8:$AC$841,10,0)</f>
        <v>KP045</v>
      </c>
      <c r="AE477" s="69" t="str">
        <f>VLOOKUP(A477,'[1]DANH SÁCH'!$B$8:$AD$841,13,0)</f>
        <v>Viên chức</v>
      </c>
      <c r="AF477" s="41" t="s">
        <v>157</v>
      </c>
      <c r="AG477" s="42" t="str">
        <f>VLOOKUP(A477,'[1]DANH SÁCH'!$B$8:$H$841,7,0)</f>
        <v>Y tế công cộng (hạng III)</v>
      </c>
      <c r="AH477" s="45">
        <v>3.33</v>
      </c>
      <c r="AI477" s="42">
        <v>4</v>
      </c>
      <c r="AJ477" s="70">
        <v>0</v>
      </c>
      <c r="AK477" s="69">
        <v>45306</v>
      </c>
      <c r="AL477" s="71" t="s">
        <v>80</v>
      </c>
      <c r="AM477" s="53" t="str">
        <f>VLOOKUP(A477,'[1]DANH SÁCH'!$B$8:$F$841,5,0)</f>
        <v>YTCC</v>
      </c>
      <c r="AN477" s="53" t="s">
        <v>81</v>
      </c>
      <c r="AO477" s="53" t="s">
        <v>1093</v>
      </c>
      <c r="AP477" s="53">
        <v>2008</v>
      </c>
      <c r="AQ477" s="99" t="s">
        <v>113</v>
      </c>
      <c r="AR477" s="42">
        <f>VLOOKUP(A477,'[1]Chứng chỉ'!$B$8:$Q$1111,11,0)</f>
        <v>0</v>
      </c>
      <c r="AS477" s="42">
        <f>VLOOKUP(A477,'[1]Chứng chỉ'!$B$8:$Q$1111,12,0)</f>
        <v>0</v>
      </c>
      <c r="AT477" s="47">
        <f>VLOOKUP(A477,'[1]Chứng chỉ'!$B$8:$Q$1111,13,0)</f>
        <v>0</v>
      </c>
      <c r="AU477" s="42" t="str">
        <f>VLOOKUP(A477,'[1]Chứng chỉ'!$B$8:$Q$1111,14,0)</f>
        <v>Anh B</v>
      </c>
      <c r="AV477" s="42">
        <f>VLOOKUP(A477,'[1]Chứng chỉ'!$B$8:$Q$1111,15,0)</f>
        <v>0</v>
      </c>
      <c r="AW477" s="42" t="str">
        <f>VLOOKUP(A477,'[1]Chứng chỉ'!$B$8:$Q$1111,16,0)</f>
        <v>Cơ bản</v>
      </c>
      <c r="AX477" s="42"/>
      <c r="AY477" s="57" t="s">
        <v>85</v>
      </c>
      <c r="AZ477" s="65"/>
      <c r="BA477" s="74" t="e">
        <f t="shared" si="182"/>
        <v>#REF!</v>
      </c>
      <c r="BB477" s="74" t="e">
        <f t="shared" si="183"/>
        <v>#REF!</v>
      </c>
      <c r="BC477" s="41"/>
      <c r="BD477" s="42"/>
    </row>
    <row r="478" spans="1:56" ht="51" x14ac:dyDescent="0.3">
      <c r="A478" s="41" t="s">
        <v>3485</v>
      </c>
      <c r="B478" s="42">
        <f t="shared" si="110"/>
        <v>472</v>
      </c>
      <c r="C478" s="68" t="s">
        <v>3486</v>
      </c>
      <c r="D478" s="41" t="s">
        <v>3485</v>
      </c>
      <c r="E478" s="61">
        <v>1506001740</v>
      </c>
      <c r="F478" s="64"/>
      <c r="G478" s="49" t="s">
        <v>3487</v>
      </c>
      <c r="H478" s="76">
        <v>27453</v>
      </c>
      <c r="I478" s="76"/>
      <c r="J478" s="66">
        <f t="shared" ref="J478:J484" ca="1" si="184">INT(DATEDIF(H478,$J$2,"d")/365)</f>
        <v>51</v>
      </c>
      <c r="K478" s="75" t="s">
        <v>3488</v>
      </c>
      <c r="L478" s="41" t="s">
        <v>3489</v>
      </c>
      <c r="M478" s="53" t="s">
        <v>67</v>
      </c>
      <c r="N478" s="66" t="s">
        <v>3490</v>
      </c>
      <c r="O478" s="53" t="s">
        <v>3491</v>
      </c>
      <c r="P478" s="49" t="s">
        <v>282</v>
      </c>
      <c r="Q478" s="49" t="s">
        <v>94</v>
      </c>
      <c r="R478" s="49" t="s">
        <v>3492</v>
      </c>
      <c r="S478" s="49" t="s">
        <v>73</v>
      </c>
      <c r="T478" s="49" t="s">
        <v>97</v>
      </c>
      <c r="U478" s="49" t="s">
        <v>94</v>
      </c>
      <c r="V478" s="49" t="str">
        <f t="shared" si="180"/>
        <v>Phường Vĩnh Trại, Thành phố Lạng Sơn, Tỉnh Lạng Sơn</v>
      </c>
      <c r="W478" s="55" t="s">
        <v>98</v>
      </c>
      <c r="X478" s="41"/>
      <c r="Y478" s="41"/>
      <c r="Z478" s="41"/>
      <c r="AA478" s="68" t="str">
        <f>VLOOKUP(A478,'[1]DANH SÁCH'!$B$8:$AD$841,12,0)</f>
        <v>Trưởng phòng</v>
      </c>
      <c r="AB478" s="49" t="e">
        <f>VLOOKUP(A478,'[1]DANH SÁCH'!$B$8:$H$841,6,0)</f>
        <v>#N/A</v>
      </c>
      <c r="AC478" s="69" t="str">
        <f>VLOOKUP(A478,'[1]DANH SÁCH'!$B$8:$J$841,9,0)</f>
        <v>CNTT</v>
      </c>
      <c r="AD478" s="69" t="str">
        <f>VLOOKUP(A478,'[1]DANH SÁCH'!$B$8:$AC$841,10,0)</f>
        <v>KP046</v>
      </c>
      <c r="AE478" s="69" t="str">
        <f>VLOOKUP(A478,'[1]DANH SÁCH'!$B$8:$AD$841,13,0)</f>
        <v>Viên chức</v>
      </c>
      <c r="AF478" s="41" t="s">
        <v>3175</v>
      </c>
      <c r="AG478" s="42" t="str">
        <f>VLOOKUP(A478,'[1]DANH SÁCH'!$B$8:$H$841,7,0)</f>
        <v>Công nghệ thông tin (hạng III)</v>
      </c>
      <c r="AH478" s="45">
        <v>4.32</v>
      </c>
      <c r="AI478" s="42">
        <v>7</v>
      </c>
      <c r="AJ478" s="70">
        <v>0</v>
      </c>
      <c r="AK478" s="69">
        <v>45809</v>
      </c>
      <c r="AL478" s="71" t="s">
        <v>80</v>
      </c>
      <c r="AM478" s="53" t="str">
        <f>VLOOKUP(A478,'[1]DANH SÁCH'!$B$8:$F$841,5,0)</f>
        <v>ThS CNTT</v>
      </c>
      <c r="AN478" s="53" t="s">
        <v>3493</v>
      </c>
      <c r="AO478" s="53" t="s">
        <v>3494</v>
      </c>
      <c r="AP478" s="53">
        <v>2008</v>
      </c>
      <c r="AQ478" s="72" t="s">
        <v>113</v>
      </c>
      <c r="AR478" s="42" t="s">
        <v>82</v>
      </c>
      <c r="AS478" s="42" t="str">
        <f>VLOOKUP(A478,'[1]Chứng chỉ'!$B$8:$Q$1111,12,0)</f>
        <v>QLBV</v>
      </c>
      <c r="AT478" s="47" t="s">
        <v>101</v>
      </c>
      <c r="AU478" s="42" t="str">
        <f>VLOOKUP(A478,'[1]Chứng chỉ'!$B$8:$Q$1111,14,0)</f>
        <v>B</v>
      </c>
      <c r="AV478" s="42">
        <f>VLOOKUP(A478,'[1]Chứng chỉ'!$B$8:$Q$1111,15,0)</f>
        <v>0</v>
      </c>
      <c r="AW478" s="42" t="str">
        <f>VLOOKUP(A478,'[1]Chứng chỉ'!$B$8:$Q$1111,16,0)</f>
        <v>Đại học</v>
      </c>
      <c r="AX478" s="42"/>
      <c r="AY478" s="57" t="s">
        <v>87</v>
      </c>
      <c r="AZ478" s="65">
        <v>41089</v>
      </c>
      <c r="BA478" s="74"/>
      <c r="BB478" s="74"/>
      <c r="BC478" s="41"/>
      <c r="BD478" s="42"/>
    </row>
    <row r="479" spans="1:56" ht="40.799999999999997" x14ac:dyDescent="0.3">
      <c r="A479" s="41" t="s">
        <v>3495</v>
      </c>
      <c r="B479" s="42">
        <f t="shared" si="110"/>
        <v>473</v>
      </c>
      <c r="C479" s="68" t="s">
        <v>3496</v>
      </c>
      <c r="D479" s="41" t="s">
        <v>3495</v>
      </c>
      <c r="E479" s="61">
        <v>2010000129</v>
      </c>
      <c r="F479" s="64"/>
      <c r="G479" s="49" t="s">
        <v>3497</v>
      </c>
      <c r="H479" s="76">
        <v>30188</v>
      </c>
      <c r="I479" s="76"/>
      <c r="J479" s="66">
        <f t="shared" ca="1" si="184"/>
        <v>43</v>
      </c>
      <c r="K479" s="75" t="s">
        <v>3498</v>
      </c>
      <c r="L479" s="41" t="s">
        <v>3499</v>
      </c>
      <c r="M479" s="53" t="s">
        <v>67</v>
      </c>
      <c r="N479" s="66" t="s">
        <v>3500</v>
      </c>
      <c r="O479" s="53" t="s">
        <v>1022</v>
      </c>
      <c r="P479" s="49" t="s">
        <v>93</v>
      </c>
      <c r="Q479" s="49" t="s">
        <v>94</v>
      </c>
      <c r="R479" s="49" t="s">
        <v>3501</v>
      </c>
      <c r="S479" s="49" t="s">
        <v>1022</v>
      </c>
      <c r="T479" s="49" t="s">
        <v>93</v>
      </c>
      <c r="U479" s="49" t="s">
        <v>94</v>
      </c>
      <c r="V479" s="49" t="str">
        <f t="shared" si="180"/>
        <v>Xã Hưng Vũ, Huyện Bắc Sơn, Tỉnh Lạng Sơn</v>
      </c>
      <c r="W479" s="55" t="s">
        <v>236</v>
      </c>
      <c r="X479" s="41"/>
      <c r="Y479" s="41"/>
      <c r="Z479" s="41"/>
      <c r="AA479" s="68">
        <f>VLOOKUP(A479,'[1]DANH SÁCH'!$B$8:$AD$841,12,0)</f>
        <v>0</v>
      </c>
      <c r="AB479" s="49" t="str">
        <f>VLOOKUP(A479,'[1]DANH SÁCH'!$B$8:$H$841,6,0)</f>
        <v>TĐ026</v>
      </c>
      <c r="AC479" s="69" t="str">
        <f>VLOOKUP(A479,'[1]DANH SÁCH'!$B$8:$J$841,9,0)</f>
        <v>CNTT</v>
      </c>
      <c r="AD479" s="69" t="str">
        <f>VLOOKUP(A479,'[1]DANH SÁCH'!$B$8:$AC$841,10,0)</f>
        <v>KP046</v>
      </c>
      <c r="AE479" s="69" t="str">
        <f>VLOOKUP(A479,'[1]DANH SÁCH'!$B$8:$AD$841,13,0)</f>
        <v>Viên chức</v>
      </c>
      <c r="AF479" s="41" t="s">
        <v>3175</v>
      </c>
      <c r="AG479" s="42" t="str">
        <f>VLOOKUP(A479,'[1]DANH SÁCH'!$B$8:$H$841,7,0)</f>
        <v>Công nghệ thông tin (hạng III)</v>
      </c>
      <c r="AH479" s="45">
        <v>3.99</v>
      </c>
      <c r="AI479" s="42">
        <v>6</v>
      </c>
      <c r="AJ479" s="70">
        <v>0</v>
      </c>
      <c r="AK479" s="69">
        <v>45672</v>
      </c>
      <c r="AL479" s="71" t="s">
        <v>80</v>
      </c>
      <c r="AM479" s="53" t="str">
        <f>VLOOKUP(A479,'[1]DANH SÁCH'!$B$8:$F$841,5,0)</f>
        <v>ĐH CNTT</v>
      </c>
      <c r="AN479" s="53" t="s">
        <v>3502</v>
      </c>
      <c r="AO479" s="53" t="s">
        <v>3503</v>
      </c>
      <c r="AP479" s="53">
        <v>2007</v>
      </c>
      <c r="AQ479" s="72" t="s">
        <v>113</v>
      </c>
      <c r="AR479" s="42">
        <f>VLOOKUP(A479,'[1]Chứng chỉ'!$B$8:$Q$1111,11,0)</f>
        <v>0</v>
      </c>
      <c r="AS479" s="42">
        <f>VLOOKUP(A479,'[1]Chứng chỉ'!$B$8:$Q$1111,12,0)</f>
        <v>0</v>
      </c>
      <c r="AT479" s="47" t="str">
        <f>VLOOKUP(A479,'[1]Chứng chỉ'!$B$8:$Q$1111,13,0)</f>
        <v>Sơ cấp</v>
      </c>
      <c r="AU479" s="42" t="str">
        <f>VLOOKUP(A479,'[1]Chứng chỉ'!$B$8:$Q$1111,14,0)</f>
        <v>C</v>
      </c>
      <c r="AV479" s="42">
        <f>VLOOKUP(A479,'[1]Chứng chỉ'!$B$8:$Q$1111,15,0)</f>
        <v>0</v>
      </c>
      <c r="AW479" s="42" t="str">
        <f>VLOOKUP(A479,'[1]Chứng chỉ'!$B$8:$Q$1111,16,0)</f>
        <v>Đại học</v>
      </c>
      <c r="AX479" s="42"/>
      <c r="AY479" s="57" t="s">
        <v>85</v>
      </c>
      <c r="AZ479" s="65">
        <v>40012</v>
      </c>
      <c r="BA479" s="74"/>
      <c r="BB479" s="74"/>
      <c r="BC479" s="41"/>
      <c r="BD479" s="42"/>
    </row>
    <row r="480" spans="1:56" ht="51" x14ac:dyDescent="0.3">
      <c r="A480" s="41" t="s">
        <v>3504</v>
      </c>
      <c r="B480" s="42">
        <f t="shared" si="110"/>
        <v>474</v>
      </c>
      <c r="C480" s="68" t="s">
        <v>3505</v>
      </c>
      <c r="D480" s="41" t="s">
        <v>3504</v>
      </c>
      <c r="E480" s="61">
        <v>2011000006</v>
      </c>
      <c r="F480" s="64"/>
      <c r="G480" s="49" t="s">
        <v>3506</v>
      </c>
      <c r="H480" s="76">
        <v>31280</v>
      </c>
      <c r="I480" s="76"/>
      <c r="J480" s="66">
        <f t="shared" ca="1" si="184"/>
        <v>40</v>
      </c>
      <c r="K480" s="75" t="s">
        <v>3507</v>
      </c>
      <c r="L480" s="41" t="s">
        <v>3508</v>
      </c>
      <c r="M480" s="53" t="s">
        <v>67</v>
      </c>
      <c r="N480" s="66" t="s">
        <v>3509</v>
      </c>
      <c r="O480" s="53" t="s">
        <v>660</v>
      </c>
      <c r="P480" s="49" t="s">
        <v>3510</v>
      </c>
      <c r="Q480" s="49" t="s">
        <v>94</v>
      </c>
      <c r="R480" s="49" t="s">
        <v>3511</v>
      </c>
      <c r="S480" s="49" t="s">
        <v>2998</v>
      </c>
      <c r="T480" s="49" t="s">
        <v>222</v>
      </c>
      <c r="U480" s="49" t="s">
        <v>94</v>
      </c>
      <c r="V480" s="49" t="str">
        <f t="shared" si="180"/>
        <v>TT Đồng Mỏ, Huyện Chi Lăng, Tỉnh Lạng Sơn</v>
      </c>
      <c r="W480" s="55" t="s">
        <v>224</v>
      </c>
      <c r="X480" s="41"/>
      <c r="Y480" s="41"/>
      <c r="Z480" s="41"/>
      <c r="AA480" s="68">
        <f>VLOOKUP(A480,'[1]DANH SÁCH'!$B$8:$AD$841,12,0)</f>
        <v>0</v>
      </c>
      <c r="AB480" s="49" t="str">
        <f>VLOOKUP(A480,'[1]DANH SÁCH'!$B$8:$H$841,6,0)</f>
        <v>TĐ026</v>
      </c>
      <c r="AC480" s="69" t="str">
        <f>VLOOKUP(A480,'[1]DANH SÁCH'!$B$8:$J$841,9,0)</f>
        <v>CNTT</v>
      </c>
      <c r="AD480" s="69" t="str">
        <f>VLOOKUP(A480,'[1]DANH SÁCH'!$B$8:$AC$841,10,0)</f>
        <v>KP046</v>
      </c>
      <c r="AE480" s="69" t="str">
        <f>VLOOKUP(A480,'[1]DANH SÁCH'!$B$8:$AD$841,13,0)</f>
        <v>Viên chức</v>
      </c>
      <c r="AF480" s="41" t="s">
        <v>3175</v>
      </c>
      <c r="AG480" s="42" t="str">
        <f>VLOOKUP(A480,'[1]DANH SÁCH'!$B$8:$H$841,7,0)</f>
        <v>Công nghệ thông tin (hạng III)</v>
      </c>
      <c r="AH480" s="45">
        <v>3.99</v>
      </c>
      <c r="AI480" s="42">
        <v>6</v>
      </c>
      <c r="AJ480" s="70">
        <v>0</v>
      </c>
      <c r="AK480" s="69">
        <v>45992</v>
      </c>
      <c r="AL480" s="71" t="s">
        <v>80</v>
      </c>
      <c r="AM480" s="53" t="str">
        <f>VLOOKUP(A480,'[1]DANH SÁCH'!$B$8:$F$841,5,0)</f>
        <v>ĐH CNTT</v>
      </c>
      <c r="AN480" s="53" t="s">
        <v>3502</v>
      </c>
      <c r="AO480" s="53" t="s">
        <v>3512</v>
      </c>
      <c r="AP480" s="53">
        <v>2009</v>
      </c>
      <c r="AQ480" s="72" t="s">
        <v>113</v>
      </c>
      <c r="AR480" s="42">
        <f>VLOOKUP(A480,'[1]Chứng chỉ'!$B$8:$Q$1111,11,0)</f>
        <v>0</v>
      </c>
      <c r="AS480" s="42">
        <f>VLOOKUP(A480,'[1]Chứng chỉ'!$B$8:$Q$1111,12,0)</f>
        <v>0</v>
      </c>
      <c r="AT480" s="47" t="str">
        <f>VLOOKUP(A480,'[1]Chứng chỉ'!$B$8:$Q$1111,13,0)</f>
        <v>Sơ cấp</v>
      </c>
      <c r="AU480" s="42" t="str">
        <f>VLOOKUP(A480,'[1]Chứng chỉ'!$B$8:$Q$1111,14,0)</f>
        <v>B</v>
      </c>
      <c r="AV480" s="42">
        <f>VLOOKUP(A480,'[1]Chứng chỉ'!$B$8:$Q$1111,15,0)</f>
        <v>0</v>
      </c>
      <c r="AW480" s="42" t="str">
        <f>VLOOKUP(A480,'[1]Chứng chỉ'!$B$8:$Q$1111,16,0)</f>
        <v>Đại học</v>
      </c>
      <c r="AX480" s="42"/>
      <c r="AY480" s="57" t="s">
        <v>85</v>
      </c>
      <c r="AZ480" s="65"/>
      <c r="BA480" s="74"/>
      <c r="BB480" s="74"/>
      <c r="BC480" s="41"/>
      <c r="BD480" s="42"/>
    </row>
    <row r="481" spans="1:56" ht="51" x14ac:dyDescent="0.3">
      <c r="A481" s="41" t="s">
        <v>3513</v>
      </c>
      <c r="B481" s="42">
        <f t="shared" si="110"/>
        <v>475</v>
      </c>
      <c r="C481" s="68" t="s">
        <v>3514</v>
      </c>
      <c r="D481" s="41" t="s">
        <v>3513</v>
      </c>
      <c r="E481" s="61">
        <v>2011001575</v>
      </c>
      <c r="F481" s="64"/>
      <c r="G481" s="49" t="s">
        <v>3515</v>
      </c>
      <c r="H481" s="76">
        <v>30792</v>
      </c>
      <c r="I481" s="76"/>
      <c r="J481" s="66">
        <f t="shared" ca="1" si="184"/>
        <v>42</v>
      </c>
      <c r="K481" s="75" t="s">
        <v>3516</v>
      </c>
      <c r="L481" s="41" t="s">
        <v>3517</v>
      </c>
      <c r="M481" s="53" t="s">
        <v>3518</v>
      </c>
      <c r="N481" s="66" t="s">
        <v>3519</v>
      </c>
      <c r="O481" s="53" t="s">
        <v>3520</v>
      </c>
      <c r="P481" s="49" t="s">
        <v>121</v>
      </c>
      <c r="Q481" s="49" t="s">
        <v>122</v>
      </c>
      <c r="R481" s="49" t="s">
        <v>3521</v>
      </c>
      <c r="S481" s="49" t="s">
        <v>136</v>
      </c>
      <c r="T481" s="49" t="s">
        <v>97</v>
      </c>
      <c r="U481" s="49" t="s">
        <v>94</v>
      </c>
      <c r="V481" s="49" t="str">
        <f t="shared" si="180"/>
        <v>Phường Chi Lăng, Thành phố Lạng Sơn, Tỉnh Lạng Sơn</v>
      </c>
      <c r="W481" s="55" t="s">
        <v>315</v>
      </c>
      <c r="X481" s="41"/>
      <c r="Y481" s="41"/>
      <c r="Z481" s="41"/>
      <c r="AA481" s="68" t="str">
        <f>VLOOKUP(A481,'[1]DANH SÁCH'!$B$8:$AD$841,12,0)</f>
        <v>Phó trưởng phòng</v>
      </c>
      <c r="AB481" s="49" t="e">
        <f>VLOOKUP(A481,'[1]DANH SÁCH'!$B$8:$H$841,6,0)</f>
        <v>#N/A</v>
      </c>
      <c r="AC481" s="69" t="str">
        <f>VLOOKUP(A481,'[1]DANH SÁCH'!$B$8:$J$841,9,0)</f>
        <v>CNTT</v>
      </c>
      <c r="AD481" s="69" t="str">
        <f>VLOOKUP(A481,'[1]DANH SÁCH'!$B$8:$AC$841,10,0)</f>
        <v>KP046</v>
      </c>
      <c r="AE481" s="69" t="str">
        <f>VLOOKUP(A481,'[1]DANH SÁCH'!$B$8:$AD$841,13,0)</f>
        <v>Viên chức</v>
      </c>
      <c r="AF481" s="41" t="s">
        <v>3175</v>
      </c>
      <c r="AG481" s="42" t="str">
        <f>VLOOKUP(A481,'[1]DANH SÁCH'!$B$8:$H$841,7,0)</f>
        <v>Công nghệ thông tin (hạng III)</v>
      </c>
      <c r="AH481" s="45">
        <v>3.66</v>
      </c>
      <c r="AI481" s="42">
        <v>5</v>
      </c>
      <c r="AJ481" s="70">
        <v>0</v>
      </c>
      <c r="AK481" s="69">
        <v>45265</v>
      </c>
      <c r="AL481" s="71" t="s">
        <v>80</v>
      </c>
      <c r="AM481" s="53" t="str">
        <f>VLOOKUP(A481,'[1]DANH SÁCH'!$B$8:$F$841,5,0)</f>
        <v>ThS CNTT</v>
      </c>
      <c r="AN481" s="53" t="s">
        <v>3502</v>
      </c>
      <c r="AO481" s="53" t="s">
        <v>3522</v>
      </c>
      <c r="AP481" s="53">
        <v>2008</v>
      </c>
      <c r="AQ481" s="72" t="s">
        <v>113</v>
      </c>
      <c r="AR481" s="42">
        <f>VLOOKUP(A481,'[1]Chứng chỉ'!$B$8:$Q$1111,11,0)</f>
        <v>0</v>
      </c>
      <c r="AS481" s="42" t="str">
        <f>VLOOKUP(A481,'[1]Chứng chỉ'!$B$8:$Q$1111,12,0)</f>
        <v>x</v>
      </c>
      <c r="AT481" s="47" t="str">
        <f>VLOOKUP(A481,'[1]Chứng chỉ'!$B$8:$Q$1111,13,0)</f>
        <v>Sơ cấp</v>
      </c>
      <c r="AU481" s="42" t="str">
        <f>VLOOKUP(A481,'[1]Chứng chỉ'!$B$8:$Q$1111,14,0)</f>
        <v>A2</v>
      </c>
      <c r="AV481" s="42">
        <f>VLOOKUP(A481,'[1]Chứng chỉ'!$B$8:$Q$1111,15,0)</f>
        <v>0</v>
      </c>
      <c r="AW481" s="42" t="str">
        <f>VLOOKUP(A481,'[1]Chứng chỉ'!$B$8:$Q$1111,16,0)</f>
        <v>Đại học</v>
      </c>
      <c r="AX481" s="42"/>
      <c r="AY481" s="57" t="s">
        <v>87</v>
      </c>
      <c r="AZ481" s="65"/>
      <c r="BA481" s="74"/>
      <c r="BB481" s="74"/>
      <c r="BC481" s="41"/>
      <c r="BD481" s="42"/>
    </row>
    <row r="482" spans="1:56" ht="40.799999999999997" x14ac:dyDescent="0.3">
      <c r="A482" s="47" t="s">
        <v>3523</v>
      </c>
      <c r="B482" s="42">
        <f t="shared" si="110"/>
        <v>476</v>
      </c>
      <c r="C482" s="64" t="s">
        <v>3524</v>
      </c>
      <c r="D482" s="47" t="s">
        <v>3523</v>
      </c>
      <c r="E482" s="61" t="s">
        <v>3525</v>
      </c>
      <c r="F482" s="64"/>
      <c r="G482" s="49" t="s">
        <v>3526</v>
      </c>
      <c r="H482" s="65">
        <v>32014</v>
      </c>
      <c r="I482" s="47"/>
      <c r="J482" s="66">
        <f t="shared" ca="1" si="184"/>
        <v>38</v>
      </c>
      <c r="K482" s="46" t="s">
        <v>3527</v>
      </c>
      <c r="L482" s="65">
        <v>40324</v>
      </c>
      <c r="M482" s="56"/>
      <c r="N482" s="52"/>
      <c r="O482" s="56"/>
      <c r="P482" s="47"/>
      <c r="Q482" s="47"/>
      <c r="R482" s="47" t="s">
        <v>3528</v>
      </c>
      <c r="S482" s="47" t="s">
        <v>460</v>
      </c>
      <c r="T482" s="47" t="s">
        <v>2015</v>
      </c>
      <c r="U482" s="47" t="s">
        <v>3529</v>
      </c>
      <c r="V482" s="47" t="str">
        <f t="shared" si="180"/>
        <v>Thị trấn Cao Lộc, Cao Lộc, Lạng sơn</v>
      </c>
      <c r="W482" s="147">
        <v>42372</v>
      </c>
      <c r="X482" s="46"/>
      <c r="Y482" s="46"/>
      <c r="Z482" s="46"/>
      <c r="AA482" s="68">
        <f>VLOOKUP(A482,'[1]DANH SÁCH'!$B$8:$AD$841,12,0)</f>
        <v>0</v>
      </c>
      <c r="AB482" s="49" t="str">
        <f>VLOOKUP(A482,'[1]DANH SÁCH'!$B$8:$H$841,6,0)</f>
        <v>TĐ026</v>
      </c>
      <c r="AC482" s="69" t="str">
        <f>VLOOKUP(A482,'[1]DANH SÁCH'!$B$8:$J$841,9,0)</f>
        <v>CNTT</v>
      </c>
      <c r="AD482" s="69" t="str">
        <f>VLOOKUP(A482,'[1]DANH SÁCH'!$B$8:$AC$841,10,0)</f>
        <v>KP046</v>
      </c>
      <c r="AE482" s="69" t="str">
        <f>VLOOKUP(A482,'[1]DANH SÁCH'!$B$8:$AD$841,13,0)</f>
        <v>Viên chức</v>
      </c>
      <c r="AF482" s="41" t="s">
        <v>3175</v>
      </c>
      <c r="AG482" s="42" t="str">
        <f>VLOOKUP(A482,'[1]DANH SÁCH'!$B$8:$H$841,7,0)</f>
        <v>Công nghệ thông tin (hạng III)</v>
      </c>
      <c r="AH482" s="45">
        <v>3.33</v>
      </c>
      <c r="AI482" s="42">
        <v>4</v>
      </c>
      <c r="AJ482" s="70">
        <v>0</v>
      </c>
      <c r="AK482" s="69">
        <v>45839</v>
      </c>
      <c r="AL482" s="71" t="s">
        <v>80</v>
      </c>
      <c r="AM482" s="53" t="str">
        <f>VLOOKUP(A482,'[1]DANH SÁCH'!$B$8:$F$841,5,0)</f>
        <v>ĐH CNTT</v>
      </c>
      <c r="AN482" s="53" t="s">
        <v>3502</v>
      </c>
      <c r="AO482" s="47"/>
      <c r="AP482" s="47"/>
      <c r="AQ482" s="47"/>
      <c r="AR482" s="42">
        <f>VLOOKUP(A482,'[1]Chứng chỉ'!$B$8:$Q$1111,11,0)</f>
        <v>0</v>
      </c>
      <c r="AS482" s="42">
        <f>VLOOKUP(A482,'[1]Chứng chỉ'!$B$8:$Q$1111,12,0)</f>
        <v>0</v>
      </c>
      <c r="AT482" s="47">
        <f>VLOOKUP(A482,'[1]Chứng chỉ'!$B$8:$Q$1111,13,0)</f>
        <v>0</v>
      </c>
      <c r="AU482" s="42" t="str">
        <f>VLOOKUP(A482,'[1]Chứng chỉ'!$B$8:$Q$1111,14,0)</f>
        <v>B</v>
      </c>
      <c r="AV482" s="42">
        <f>VLOOKUP(A482,'[1]Chứng chỉ'!$B$8:$Q$1111,15,0)</f>
        <v>0</v>
      </c>
      <c r="AW482" s="42" t="str">
        <f>VLOOKUP(A482,'[1]Chứng chỉ'!$B$8:$Q$1111,16,0)</f>
        <v>Đại học</v>
      </c>
      <c r="AX482" s="47"/>
      <c r="AY482" s="42" t="s">
        <v>85</v>
      </c>
      <c r="AZ482" s="65">
        <v>43802</v>
      </c>
      <c r="BA482" s="47"/>
      <c r="BB482" s="47"/>
      <c r="BC482" s="41"/>
      <c r="BD482" s="42"/>
    </row>
    <row r="483" spans="1:56" ht="51" x14ac:dyDescent="0.3">
      <c r="A483" s="41" t="s">
        <v>3530</v>
      </c>
      <c r="B483" s="42">
        <f t="shared" si="110"/>
        <v>477</v>
      </c>
      <c r="C483" s="68" t="s">
        <v>3531</v>
      </c>
      <c r="D483" s="41" t="s">
        <v>3530</v>
      </c>
      <c r="E483" s="61">
        <v>2011001287</v>
      </c>
      <c r="F483" s="64"/>
      <c r="G483" s="49" t="s">
        <v>3532</v>
      </c>
      <c r="H483" s="76">
        <v>31191</v>
      </c>
      <c r="I483" s="76"/>
      <c r="J483" s="66">
        <f t="shared" ca="1" si="184"/>
        <v>41</v>
      </c>
      <c r="K483" s="75" t="s">
        <v>3533</v>
      </c>
      <c r="L483" s="41" t="s">
        <v>3534</v>
      </c>
      <c r="M483" s="53" t="s">
        <v>67</v>
      </c>
      <c r="N483" s="66" t="s">
        <v>3535</v>
      </c>
      <c r="O483" s="53" t="s">
        <v>3360</v>
      </c>
      <c r="P483" s="49" t="s">
        <v>155</v>
      </c>
      <c r="Q483" s="49" t="s">
        <v>94</v>
      </c>
      <c r="R483" s="49" t="s">
        <v>3536</v>
      </c>
      <c r="S483" s="49" t="s">
        <v>73</v>
      </c>
      <c r="T483" s="49" t="s">
        <v>97</v>
      </c>
      <c r="U483" s="49" t="s">
        <v>94</v>
      </c>
      <c r="V483" s="49" t="str">
        <f t="shared" si="180"/>
        <v>Phường Vĩnh Trại, Thành phố Lạng Sơn, Tỉnh Lạng Sơn</v>
      </c>
      <c r="W483" s="55" t="s">
        <v>3537</v>
      </c>
      <c r="X483" s="41"/>
      <c r="Y483" s="41"/>
      <c r="Z483" s="41"/>
      <c r="AA483" s="68">
        <f>VLOOKUP(A483,'[1]DANH SÁCH'!$B$8:$AD$841,12,0)</f>
        <v>0</v>
      </c>
      <c r="AB483" s="49" t="str">
        <f>VLOOKUP(A483,'[1]DANH SÁCH'!$B$8:$H$841,6,0)</f>
        <v>TĐ026</v>
      </c>
      <c r="AC483" s="69" t="str">
        <f>VLOOKUP(A483,'[1]DANH SÁCH'!$B$8:$J$841,9,0)</f>
        <v>CNTT</v>
      </c>
      <c r="AD483" s="69" t="str">
        <f>VLOOKUP(A483,'[1]DANH SÁCH'!$B$8:$AC$841,10,0)</f>
        <v>KP046</v>
      </c>
      <c r="AE483" s="69" t="str">
        <f>VLOOKUP(A483,'[1]DANH SÁCH'!$B$8:$AD$841,13,0)</f>
        <v>Viên chức</v>
      </c>
      <c r="AF483" s="83" t="s">
        <v>3100</v>
      </c>
      <c r="AG483" s="42" t="str">
        <f>VLOOKUP(A483,'[1]DANH SÁCH'!$B$8:$H$841,7,0)</f>
        <v>Chuyên viên</v>
      </c>
      <c r="AH483" s="45">
        <v>3.66</v>
      </c>
      <c r="AI483" s="42">
        <v>5</v>
      </c>
      <c r="AJ483" s="70">
        <v>0</v>
      </c>
      <c r="AK483" s="69">
        <v>45778</v>
      </c>
      <c r="AL483" s="71" t="s">
        <v>158</v>
      </c>
      <c r="AM483" s="53" t="str">
        <f>VLOOKUP(A483,'[1]DANH SÁCH'!$B$8:$F$841,5,0)</f>
        <v>ĐH CNTT</v>
      </c>
      <c r="AN483" s="53" t="s">
        <v>3502</v>
      </c>
      <c r="AO483" s="53" t="s">
        <v>3538</v>
      </c>
      <c r="AP483" s="53">
        <v>2012</v>
      </c>
      <c r="AQ483" s="72" t="s">
        <v>113</v>
      </c>
      <c r="AR483" s="42" t="s">
        <v>82</v>
      </c>
      <c r="AS483" s="42">
        <f>VLOOKUP(A483,'[1]Chứng chỉ'!$B$8:$Q$1111,12,0)</f>
        <v>0</v>
      </c>
      <c r="AT483" s="47">
        <f>VLOOKUP(A483,'[1]Chứng chỉ'!$B$8:$Q$1111,13,0)</f>
        <v>0</v>
      </c>
      <c r="AU483" s="42">
        <f>VLOOKUP(A483,'[1]Chứng chỉ'!$B$8:$Q$1111,14,0)</f>
        <v>0</v>
      </c>
      <c r="AV483" s="42">
        <f>VLOOKUP(A483,'[1]Chứng chỉ'!$B$8:$Q$1111,15,0)</f>
        <v>0</v>
      </c>
      <c r="AW483" s="42" t="str">
        <f>VLOOKUP(A483,'[1]Chứng chỉ'!$B$8:$Q$1111,16,0)</f>
        <v>Đại học</v>
      </c>
      <c r="AX483" s="42"/>
      <c r="AY483" s="57" t="s">
        <v>127</v>
      </c>
      <c r="AZ483" s="65">
        <v>42534</v>
      </c>
      <c r="BA483" s="74"/>
      <c r="BB483" s="74"/>
      <c r="BC483" s="41"/>
      <c r="BD483" s="47"/>
    </row>
    <row r="484" spans="1:56" ht="40.799999999999997" x14ac:dyDescent="0.3">
      <c r="A484" s="47" t="s">
        <v>3539</v>
      </c>
      <c r="B484" s="42">
        <f t="shared" si="110"/>
        <v>478</v>
      </c>
      <c r="C484" s="110" t="s">
        <v>3540</v>
      </c>
      <c r="D484" s="47" t="s">
        <v>3539</v>
      </c>
      <c r="E484" s="61" t="s">
        <v>3541</v>
      </c>
      <c r="F484" s="64"/>
      <c r="G484" s="49" t="s">
        <v>3542</v>
      </c>
      <c r="H484" s="65" t="s">
        <v>3543</v>
      </c>
      <c r="I484" s="64"/>
      <c r="J484" s="66">
        <f t="shared" ca="1" si="184"/>
        <v>44</v>
      </c>
      <c r="K484" s="46" t="s">
        <v>3544</v>
      </c>
      <c r="L484" s="46" t="s">
        <v>3545</v>
      </c>
      <c r="M484" s="53" t="s">
        <v>67</v>
      </c>
      <c r="N484" s="52" t="s">
        <v>460</v>
      </c>
      <c r="O484" s="56"/>
      <c r="P484" s="47"/>
      <c r="Q484" s="47"/>
      <c r="R484" s="47" t="s">
        <v>3546</v>
      </c>
      <c r="S484" s="47" t="s">
        <v>73</v>
      </c>
      <c r="T484" s="47" t="s">
        <v>74</v>
      </c>
      <c r="U484" s="47" t="s">
        <v>71</v>
      </c>
      <c r="V484" s="47" t="s">
        <v>1059</v>
      </c>
      <c r="W484" s="67" t="s">
        <v>3478</v>
      </c>
      <c r="X484" s="46" t="s">
        <v>3547</v>
      </c>
      <c r="Y484" s="46"/>
      <c r="Z484" s="46"/>
      <c r="AA484" s="68">
        <f>VLOOKUP(A484,'[1]DANH SÁCH'!$B$8:$AD$841,12,0)</f>
        <v>0</v>
      </c>
      <c r="AB484" s="49" t="str">
        <f>VLOOKUP(A484,'[1]DANH SÁCH'!$B$8:$H$841,6,0)</f>
        <v>TĐ026</v>
      </c>
      <c r="AC484" s="69" t="str">
        <f>VLOOKUP(A484,'[1]DANH SÁCH'!$B$8:$J$841,9,0)</f>
        <v>CNTT</v>
      </c>
      <c r="AD484" s="69" t="str">
        <f>VLOOKUP(A484,'[1]DANH SÁCH'!$B$8:$AC$841,10,0)</f>
        <v>KP046</v>
      </c>
      <c r="AE484" s="69" t="str">
        <f>VLOOKUP(A484,'[1]DANH SÁCH'!$B$8:$AD$841,13,0)</f>
        <v>Viên chức</v>
      </c>
      <c r="AF484" s="41" t="s">
        <v>3548</v>
      </c>
      <c r="AG484" s="42" t="str">
        <f>VLOOKUP(A484,'[1]DANH SÁCH'!$B$8:$H$841,7,0)</f>
        <v>Công nghệ thông tin (hạng III)</v>
      </c>
      <c r="AH484" s="45">
        <v>3.66</v>
      </c>
      <c r="AI484" s="42">
        <v>5</v>
      </c>
      <c r="AJ484" s="70">
        <v>0</v>
      </c>
      <c r="AK484" s="69">
        <v>46001</v>
      </c>
      <c r="AL484" s="71" t="s">
        <v>80</v>
      </c>
      <c r="AM484" s="53" t="str">
        <f>VLOOKUP(A484,'[1]DANH SÁCH'!$B$8:$F$841,5,0)</f>
        <v>ĐH CNTT</v>
      </c>
      <c r="AN484" s="53" t="s">
        <v>3502</v>
      </c>
      <c r="AO484" s="53"/>
      <c r="AP484" s="53"/>
      <c r="AQ484" s="72"/>
      <c r="AR484" s="42">
        <f>VLOOKUP(A484,'[1]Chứng chỉ'!$B$8:$Q$1111,11,0)</f>
        <v>0</v>
      </c>
      <c r="AS484" s="42">
        <f>VLOOKUP(A484,'[1]Chứng chỉ'!$B$8:$Q$1111,12,0)</f>
        <v>0</v>
      </c>
      <c r="AT484" s="47" t="str">
        <f>VLOOKUP(A484,'[1]Chứng chỉ'!$B$8:$Q$1111,13,0)</f>
        <v>Sơ cấp</v>
      </c>
      <c r="AU484" s="42">
        <f>VLOOKUP(A484,'[1]Chứng chỉ'!$B$8:$Q$1111,14,0)</f>
        <v>0</v>
      </c>
      <c r="AV484" s="42">
        <f>VLOOKUP(A484,'[1]Chứng chỉ'!$B$8:$Q$1111,15,0)</f>
        <v>0</v>
      </c>
      <c r="AW484" s="42" t="str">
        <f>VLOOKUP(A484,'[1]Chứng chỉ'!$B$8:$Q$1111,16,0)</f>
        <v>Đại học</v>
      </c>
      <c r="AX484" s="47"/>
      <c r="AY484" s="73" t="s">
        <v>87</v>
      </c>
      <c r="AZ484" s="65"/>
      <c r="BA484" s="74"/>
      <c r="BB484" s="74"/>
      <c r="BC484" s="41"/>
      <c r="BD484" s="47"/>
    </row>
    <row r="485" spans="1:56" ht="30.6" x14ac:dyDescent="0.3">
      <c r="A485" s="42" t="s">
        <v>3549</v>
      </c>
      <c r="B485" s="42">
        <f t="shared" si="110"/>
        <v>479</v>
      </c>
      <c r="C485" s="64" t="s">
        <v>3550</v>
      </c>
      <c r="D485" s="42" t="s">
        <v>3549</v>
      </c>
      <c r="E485" s="64"/>
      <c r="F485" s="64"/>
      <c r="G485" s="49" t="s">
        <v>3551</v>
      </c>
      <c r="H485" s="46"/>
      <c r="I485" s="46" t="s">
        <v>3552</v>
      </c>
      <c r="J485" s="66">
        <f ca="1">INT(DATEDIF(I485,'[1]Bieu 1a'!$J$2,"d")/365)</f>
        <v>36</v>
      </c>
      <c r="K485" s="46"/>
      <c r="L485" s="47"/>
      <c r="M485" s="56"/>
      <c r="N485" s="52"/>
      <c r="O485" s="56"/>
      <c r="P485" s="47"/>
      <c r="Q485" s="47"/>
      <c r="R485" s="47"/>
      <c r="S485" s="47"/>
      <c r="T485" s="47"/>
      <c r="U485" s="47"/>
      <c r="V485" s="47"/>
      <c r="W485" s="147">
        <v>42744</v>
      </c>
      <c r="X485" s="46" t="s">
        <v>3553</v>
      </c>
      <c r="Y485" s="46"/>
      <c r="Z485" s="46"/>
      <c r="AA485" s="68">
        <f>VLOOKUP(A485,'[1]DANH SÁCH'!$B$8:$AD$841,12,0)</f>
        <v>0</v>
      </c>
      <c r="AB485" s="49" t="str">
        <f>VLOOKUP(A485,'[1]DANH SÁCH'!$B$8:$H$841,6,0)</f>
        <v>TĐ005</v>
      </c>
      <c r="AC485" s="69" t="str">
        <f>VLOOKUP(A485,'[1]DANH SÁCH'!$B$8:$J$841,9,0)</f>
        <v>Da liễu</v>
      </c>
      <c r="AD485" s="69" t="str">
        <f>VLOOKUP(A485,'[1]DANH SÁCH'!$B$8:$AC$841,10,0)</f>
        <v>KP019</v>
      </c>
      <c r="AE485" s="69" t="str">
        <f>VLOOKUP(A485,'[1]DANH SÁCH'!$B$8:$AD$841,13,0)</f>
        <v>Viên chức</v>
      </c>
      <c r="AF485" s="41" t="s">
        <v>274</v>
      </c>
      <c r="AG485" s="42" t="str">
        <f>VLOOKUP(A485,'[1]DANH SÁCH'!$B$8:$H$841,7,0)</f>
        <v>Bác sĩ (hạng III)</v>
      </c>
      <c r="AH485" s="45">
        <v>3.33</v>
      </c>
      <c r="AI485" s="42">
        <v>4</v>
      </c>
      <c r="AJ485" s="70">
        <v>0</v>
      </c>
      <c r="AK485" s="127" t="s">
        <v>3554</v>
      </c>
      <c r="AL485" s="47" t="s">
        <v>80</v>
      </c>
      <c r="AM485" s="53" t="str">
        <f>VLOOKUP(A485,'[1]DANH SÁCH'!$B$8:$F$841,5,0)</f>
        <v>Bác sĩ</v>
      </c>
      <c r="AN485" s="47" t="s">
        <v>372</v>
      </c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65" t="s">
        <v>85</v>
      </c>
      <c r="AZ485" s="65"/>
      <c r="BA485" s="6"/>
      <c r="BB485" s="6"/>
      <c r="BC485" s="7"/>
      <c r="BD485" s="6"/>
    </row>
    <row r="486" spans="1:56" ht="30.6" x14ac:dyDescent="0.3">
      <c r="A486" s="42" t="s">
        <v>3555</v>
      </c>
      <c r="B486" s="42">
        <f t="shared" si="110"/>
        <v>480</v>
      </c>
      <c r="C486" s="64" t="s">
        <v>3556</v>
      </c>
      <c r="D486" s="42" t="s">
        <v>3555</v>
      </c>
      <c r="E486" s="64"/>
      <c r="F486" s="64"/>
      <c r="G486" s="49" t="s">
        <v>3557</v>
      </c>
      <c r="H486" s="46"/>
      <c r="I486" s="46" t="s">
        <v>3558</v>
      </c>
      <c r="J486" s="66">
        <f ca="1">INT(DATEDIF(I486,'[1]Bieu 1a'!$J$2,"d")/365)</f>
        <v>32</v>
      </c>
      <c r="K486" s="46"/>
      <c r="L486" s="47"/>
      <c r="M486" s="56"/>
      <c r="N486" s="52"/>
      <c r="O486" s="56"/>
      <c r="P486" s="47"/>
      <c r="Q486" s="47"/>
      <c r="R486" s="47"/>
      <c r="S486" s="47"/>
      <c r="T486" s="47"/>
      <c r="U486" s="47"/>
      <c r="V486" s="47"/>
      <c r="W486" s="147">
        <v>43179</v>
      </c>
      <c r="X486" s="46" t="s">
        <v>3559</v>
      </c>
      <c r="Y486" s="46"/>
      <c r="Z486" s="46"/>
      <c r="AA486" s="68">
        <f>VLOOKUP(A486,'[1]DANH SÁCH'!$B$8:$AD$841,12,0)</f>
        <v>0</v>
      </c>
      <c r="AB486" s="49" t="str">
        <f>VLOOKUP(A486,'[1]DANH SÁCH'!$B$8:$H$841,6,0)</f>
        <v>TĐ005</v>
      </c>
      <c r="AC486" s="69" t="str">
        <f>VLOOKUP(A486,'[1]DANH SÁCH'!$B$8:$J$841,9,0)</f>
        <v>YHCT</v>
      </c>
      <c r="AD486" s="69" t="str">
        <f>VLOOKUP(A486,'[1]DANH SÁCH'!$B$8:$AC$841,10,0)</f>
        <v>KP020</v>
      </c>
      <c r="AE486" s="69" t="str">
        <f>VLOOKUP(A486,'[1]DANH SÁCH'!$B$8:$AD$841,13,0)</f>
        <v>Viên chức</v>
      </c>
      <c r="AF486" s="41" t="s">
        <v>274</v>
      </c>
      <c r="AG486" s="42" t="str">
        <f>VLOOKUP(A486,'[1]DANH SÁCH'!$B$8:$H$841,7,0)</f>
        <v>Bác sĩ (hạng III)</v>
      </c>
      <c r="AH486" s="45">
        <v>3</v>
      </c>
      <c r="AI486" s="42">
        <v>3</v>
      </c>
      <c r="AJ486" s="70">
        <v>0</v>
      </c>
      <c r="AK486" s="127" t="s">
        <v>3560</v>
      </c>
      <c r="AL486" s="47" t="s">
        <v>80</v>
      </c>
      <c r="AM486" s="53" t="str">
        <f>VLOOKUP(A486,'[1]DANH SÁCH'!$B$8:$F$841,5,0)</f>
        <v>Bác sĩ</v>
      </c>
      <c r="AN486" s="47" t="s">
        <v>1951</v>
      </c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65" t="s">
        <v>87</v>
      </c>
      <c r="AZ486" s="65"/>
      <c r="BA486" s="6"/>
      <c r="BB486" s="6"/>
      <c r="BC486" s="7"/>
      <c r="BD486" s="6"/>
    </row>
    <row r="487" spans="1:56" ht="40.799999999999997" x14ac:dyDescent="0.3">
      <c r="A487" s="42" t="s">
        <v>3561</v>
      </c>
      <c r="B487" s="42">
        <f t="shared" si="110"/>
        <v>481</v>
      </c>
      <c r="C487" s="64" t="s">
        <v>3562</v>
      </c>
      <c r="D487" s="42" t="s">
        <v>3561</v>
      </c>
      <c r="E487" s="64">
        <v>2016006486</v>
      </c>
      <c r="F487" s="64"/>
      <c r="G487" s="49" t="s">
        <v>3563</v>
      </c>
      <c r="H487" s="46"/>
      <c r="I487" s="46" t="s">
        <v>3564</v>
      </c>
      <c r="J487" s="66">
        <f ca="1">INT(DATEDIF(I487,'[1]Bieu 1a'!$J$2,"d")/365)</f>
        <v>33</v>
      </c>
      <c r="K487" s="46"/>
      <c r="L487" s="47"/>
      <c r="M487" s="56"/>
      <c r="N487" s="52"/>
      <c r="O487" s="56"/>
      <c r="P487" s="47"/>
      <c r="Q487" s="47"/>
      <c r="R487" s="47"/>
      <c r="S487" s="47"/>
      <c r="T487" s="47"/>
      <c r="U487" s="47"/>
      <c r="V487" s="47"/>
      <c r="W487" s="147">
        <v>42767</v>
      </c>
      <c r="X487" s="46" t="s">
        <v>3565</v>
      </c>
      <c r="Y487" s="46"/>
      <c r="Z487" s="46"/>
      <c r="AA487" s="68">
        <f>VLOOKUP(A487,'[1]DANH SÁCH'!$B$8:$AD$841,12,0)</f>
        <v>0</v>
      </c>
      <c r="AB487" s="49" t="str">
        <f>VLOOKUP(A487,'[1]DANH SÁCH'!$B$8:$H$841,6,0)</f>
        <v>TĐ008</v>
      </c>
      <c r="AC487" s="69" t="str">
        <f>VLOOKUP(A487,'[1]DANH SÁCH'!$B$8:$J$841,9,0)</f>
        <v>Dược</v>
      </c>
      <c r="AD487" s="69" t="str">
        <f>VLOOKUP(A487,'[1]DANH SÁCH'!$B$8:$AC$841,10,0)</f>
        <v>KP028</v>
      </c>
      <c r="AE487" s="69" t="str">
        <f>VLOOKUP(A487,'[1]DANH SÁCH'!$B$8:$AD$841,13,0)</f>
        <v>Viên chức</v>
      </c>
      <c r="AF487" s="41" t="s">
        <v>2487</v>
      </c>
      <c r="AG487" s="42" t="str">
        <f>VLOOKUP(A487,'[1]DANH SÁCH'!$B$8:$H$841,7,0)</f>
        <v>Dược sĩ (hạng III)</v>
      </c>
      <c r="AH487" s="45">
        <v>3</v>
      </c>
      <c r="AI487" s="42">
        <v>3</v>
      </c>
      <c r="AJ487" s="70">
        <v>0</v>
      </c>
      <c r="AK487" s="69">
        <v>45323</v>
      </c>
      <c r="AL487" s="71" t="s">
        <v>80</v>
      </c>
      <c r="AM487" s="53" t="str">
        <f>VLOOKUP(A487,'[1]DANH SÁCH'!$B$8:$F$841,5,0)</f>
        <v>Dược sỹ ĐH</v>
      </c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65" t="s">
        <v>85</v>
      </c>
      <c r="AZ487" s="65"/>
      <c r="BA487" s="6"/>
      <c r="BB487" s="6"/>
      <c r="BC487" s="7"/>
      <c r="BD487" s="6"/>
    </row>
    <row r="488" spans="1:56" ht="40.799999999999997" x14ac:dyDescent="0.3">
      <c r="A488" s="42" t="s">
        <v>3566</v>
      </c>
      <c r="B488" s="42">
        <f t="shared" si="110"/>
        <v>482</v>
      </c>
      <c r="C488" s="64" t="s">
        <v>3567</v>
      </c>
      <c r="D488" s="42" t="s">
        <v>3566</v>
      </c>
      <c r="E488" s="64"/>
      <c r="F488" s="64"/>
      <c r="G488" s="49" t="s">
        <v>3568</v>
      </c>
      <c r="H488" s="46" t="s">
        <v>3569</v>
      </c>
      <c r="I488" s="46"/>
      <c r="J488" s="66">
        <f ca="1">INT(DATEDIF(H488,'[1]Bieu 1a'!$J$2,"d")/365)</f>
        <v>33</v>
      </c>
      <c r="K488" s="46"/>
      <c r="L488" s="6"/>
      <c r="M488" s="56"/>
      <c r="N488" s="52"/>
      <c r="O488" s="56"/>
      <c r="P488" s="47"/>
      <c r="Q488" s="47"/>
      <c r="R488" s="47"/>
      <c r="S488" s="47"/>
      <c r="T488" s="47"/>
      <c r="U488" s="47"/>
      <c r="V488" s="47"/>
      <c r="W488" s="147">
        <v>44012</v>
      </c>
      <c r="X488" s="46" t="s">
        <v>3570</v>
      </c>
      <c r="Y488" s="46"/>
      <c r="Z488" s="46"/>
      <c r="AA488" s="68">
        <f>VLOOKUP(A488,'[1]DANH SÁCH'!$B$8:$AD$841,12,0)</f>
        <v>0</v>
      </c>
      <c r="AB488" s="49" t="e">
        <f>VLOOKUP(A488,'[1]DANH SÁCH'!$B$8:$H$841,6,0)</f>
        <v>#N/A</v>
      </c>
      <c r="AC488" s="69" t="str">
        <f>VLOOKUP(A488,'[1]DANH SÁCH'!$B$8:$J$841,9,0)</f>
        <v>TCKT</v>
      </c>
      <c r="AD488" s="69" t="str">
        <f>VLOOKUP(A488,'[1]DANH SÁCH'!$B$8:$AC$841,10,0)</f>
        <v>KP041</v>
      </c>
      <c r="AE488" s="69" t="str">
        <f>VLOOKUP(A488,'[1]DANH SÁCH'!$B$8:$AD$841,13,0)</f>
        <v>Viên chức</v>
      </c>
      <c r="AF488" s="143" t="s">
        <v>3218</v>
      </c>
      <c r="AG488" s="42" t="str">
        <f>VLOOKUP(A488,'[1]DANH SÁCH'!$B$8:$H$841,7,0)</f>
        <v>Kế toán viên</v>
      </c>
      <c r="AH488" s="45">
        <v>2.67</v>
      </c>
      <c r="AI488" s="42">
        <v>2</v>
      </c>
      <c r="AJ488" s="70">
        <v>0</v>
      </c>
      <c r="AK488" s="69">
        <v>45474</v>
      </c>
      <c r="AL488" s="47" t="s">
        <v>80</v>
      </c>
      <c r="AM488" s="53" t="str">
        <f>VLOOKUP(A488,'[1]DANH SÁCH'!$B$8:$F$841,5,0)</f>
        <v>ThS TCNH</v>
      </c>
      <c r="AN488" s="53" t="s">
        <v>3571</v>
      </c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65" t="s">
        <v>127</v>
      </c>
      <c r="AZ488" s="65"/>
      <c r="BA488" s="6"/>
      <c r="BB488" s="6"/>
      <c r="BC488" s="7"/>
      <c r="BD488" s="6"/>
    </row>
    <row r="489" spans="1:56" ht="30.6" x14ac:dyDescent="0.3">
      <c r="A489" s="46" t="s">
        <v>3572</v>
      </c>
      <c r="B489" s="42">
        <f t="shared" si="110"/>
        <v>483</v>
      </c>
      <c r="C489" s="64" t="s">
        <v>3573</v>
      </c>
      <c r="D489" s="46" t="s">
        <v>3572</v>
      </c>
      <c r="E489" s="64"/>
      <c r="F489" s="64"/>
      <c r="G489" s="49" t="s">
        <v>3574</v>
      </c>
      <c r="H489" s="47"/>
      <c r="I489" s="65">
        <v>34061</v>
      </c>
      <c r="J489" s="66">
        <f ca="1">INT(DATEDIF(I489,'[1]Bieu 1a'!$J$2,"d")/365)</f>
        <v>33</v>
      </c>
      <c r="K489" s="46" t="s">
        <v>3575</v>
      </c>
      <c r="L489" s="65">
        <v>44282</v>
      </c>
      <c r="M489" s="56"/>
      <c r="N489" s="52"/>
      <c r="O489" s="56" t="s">
        <v>3576</v>
      </c>
      <c r="P489" s="47" t="s">
        <v>221</v>
      </c>
      <c r="Q489" s="47" t="s">
        <v>71</v>
      </c>
      <c r="R489" s="47" t="s">
        <v>3577</v>
      </c>
      <c r="S489" s="47" t="s">
        <v>3578</v>
      </c>
      <c r="T489" s="47" t="s">
        <v>221</v>
      </c>
      <c r="U489" s="47" t="s">
        <v>71</v>
      </c>
      <c r="V489" s="47"/>
      <c r="W489" s="67" t="s">
        <v>384</v>
      </c>
      <c r="X489" s="46" t="s">
        <v>3579</v>
      </c>
      <c r="Y489" s="46"/>
      <c r="Z489" s="46"/>
      <c r="AA489" s="68">
        <f>VLOOKUP(A489,'[1]DANH SÁCH'!$B$8:$AD$841,12,0)</f>
        <v>0</v>
      </c>
      <c r="AB489" s="47"/>
      <c r="AC489" s="69" t="str">
        <f>VLOOKUP(A489,'[1]DANH SÁCH'!$B$8:$J$841,9,0)</f>
        <v>GM-HS</v>
      </c>
      <c r="AD489" s="69" t="str">
        <f>VLOOKUP(A489,'[1]DANH SÁCH'!$B$8:$AC$841,10,0)</f>
        <v>KP025</v>
      </c>
      <c r="AE489" s="69" t="str">
        <f>VLOOKUP(A489,'[1]DANH SÁCH'!$B$8:$AD$841,13,0)</f>
        <v>Viên chức</v>
      </c>
      <c r="AF489" s="41" t="s">
        <v>157</v>
      </c>
      <c r="AG489" s="42" t="str">
        <f>VLOOKUP(A489,'[1]DANH SÁCH'!$B$8:$H$841,7,0)</f>
        <v>Điều dưỡng (hạng IV)</v>
      </c>
      <c r="AH489" s="45">
        <v>2.72</v>
      </c>
      <c r="AI489" s="42">
        <v>3</v>
      </c>
      <c r="AJ489" s="70">
        <v>0</v>
      </c>
      <c r="AK489" s="69">
        <v>44927</v>
      </c>
      <c r="AL489" s="71" t="s">
        <v>158</v>
      </c>
      <c r="AM489" s="53" t="str">
        <f>VLOOKUP(A489,'[1]DANH SÁCH'!$B$8:$F$841,5,0)</f>
        <v>Điều dưỡng CĐ</v>
      </c>
      <c r="AN489" s="47" t="s">
        <v>2301</v>
      </c>
      <c r="AO489" s="47"/>
      <c r="AP489" s="47"/>
      <c r="AQ489" s="47"/>
      <c r="AR489" s="47"/>
      <c r="AS489" s="47"/>
      <c r="AT489" s="47"/>
      <c r="AU489" s="47" t="s">
        <v>1230</v>
      </c>
      <c r="AV489" s="47"/>
      <c r="AW489" s="47" t="s">
        <v>3580</v>
      </c>
      <c r="AX489" s="47"/>
      <c r="AY489" s="47" t="s">
        <v>85</v>
      </c>
      <c r="AZ489" s="65"/>
      <c r="BA489" s="6"/>
      <c r="BB489" s="6"/>
      <c r="BC489" s="7"/>
      <c r="BD489" s="6"/>
    </row>
    <row r="490" spans="1:56" ht="40.799999999999997" x14ac:dyDescent="0.3">
      <c r="A490" s="103" t="s">
        <v>3581</v>
      </c>
      <c r="B490" s="42">
        <f t="shared" si="110"/>
        <v>484</v>
      </c>
      <c r="C490" s="148" t="s">
        <v>3582</v>
      </c>
      <c r="D490" s="103" t="s">
        <v>3581</v>
      </c>
      <c r="E490" s="64"/>
      <c r="F490" s="64"/>
      <c r="G490" s="49" t="s">
        <v>3583</v>
      </c>
      <c r="H490" s="149"/>
      <c r="I490" s="65">
        <v>31947</v>
      </c>
      <c r="J490" s="66">
        <f ca="1">INT(DATEDIF(I490,'[1]Bieu 1a'!$J$2,"d")/365)</f>
        <v>39</v>
      </c>
      <c r="K490" s="46" t="s">
        <v>3584</v>
      </c>
      <c r="L490" s="65">
        <v>38062</v>
      </c>
      <c r="M490" s="56"/>
      <c r="N490" s="52"/>
      <c r="O490" s="56"/>
      <c r="P490" s="47"/>
      <c r="Q490" s="47"/>
      <c r="R490" s="47" t="s">
        <v>3585</v>
      </c>
      <c r="S490" s="47"/>
      <c r="T490" s="47"/>
      <c r="U490" s="47"/>
      <c r="V490" s="47"/>
      <c r="W490" s="147">
        <v>40193</v>
      </c>
      <c r="X490" s="69">
        <v>44655</v>
      </c>
      <c r="Y490" s="46"/>
      <c r="Z490" s="46"/>
      <c r="AA490" s="68">
        <f>VLOOKUP(A490,'[1]DANH SÁCH'!$B$8:$AD$841,12,0)</f>
        <v>0</v>
      </c>
      <c r="AB490" s="47"/>
      <c r="AC490" s="69" t="str">
        <f>VLOOKUP(A490,'[1]DANH SÁCH'!$B$8:$J$841,9,0)</f>
        <v>Khám bệnh</v>
      </c>
      <c r="AD490" s="69" t="str">
        <f>VLOOKUP(A490,'[1]DANH SÁCH'!$B$8:$AC$841,10,0)</f>
        <v>KP001</v>
      </c>
      <c r="AE490" s="69" t="str">
        <f>VLOOKUP(A490,'[1]DANH SÁCH'!$B$8:$AD$841,13,0)</f>
        <v>Viên chức</v>
      </c>
      <c r="AF490" s="42" t="s">
        <v>3586</v>
      </c>
      <c r="AG490" s="42" t="str">
        <f>VLOOKUP(A490,'[1]DANH SÁCH'!$B$8:$H$841,7,0)</f>
        <v>Hộ sinh (hạng III)</v>
      </c>
      <c r="AH490" s="45">
        <v>3.33</v>
      </c>
      <c r="AI490" s="42">
        <v>4</v>
      </c>
      <c r="AJ490" s="70">
        <v>0</v>
      </c>
      <c r="AK490" s="127" t="s">
        <v>3587</v>
      </c>
      <c r="AL490" s="71" t="s">
        <v>80</v>
      </c>
      <c r="AM490" s="53" t="str">
        <f>VLOOKUP(A490,'[1]DANH SÁCH'!$B$8:$F$841,5,0)</f>
        <v>Điều dưỡng ĐH</v>
      </c>
      <c r="AN490" s="47"/>
      <c r="AO490" s="47"/>
      <c r="AP490" s="47"/>
      <c r="AQ490" s="47"/>
      <c r="AR490" s="47"/>
      <c r="AS490" s="47"/>
      <c r="AT490" s="47"/>
      <c r="AU490" s="47" t="s">
        <v>3588</v>
      </c>
      <c r="AV490" s="47"/>
      <c r="AW490" s="47" t="s">
        <v>3589</v>
      </c>
      <c r="AX490" s="47"/>
      <c r="AY490" s="47" t="s">
        <v>85</v>
      </c>
      <c r="AZ490" s="65"/>
      <c r="BA490" s="6"/>
      <c r="BB490" s="6"/>
      <c r="BC490" s="7"/>
      <c r="BD490" s="6"/>
    </row>
    <row r="491" spans="1:56" ht="15.6" x14ac:dyDescent="0.3">
      <c r="A491" s="150" t="s">
        <v>3590</v>
      </c>
      <c r="B491" s="42">
        <f t="shared" si="110"/>
        <v>485</v>
      </c>
      <c r="C491" s="149" t="s">
        <v>3591</v>
      </c>
      <c r="D491" s="47"/>
      <c r="E491" s="10"/>
      <c r="F491" s="10"/>
      <c r="G491" s="151"/>
      <c r="H491" s="47"/>
      <c r="I491" s="47" t="s">
        <v>3592</v>
      </c>
      <c r="J491" s="66">
        <f ca="1">INT(DATEDIF(I491,'[1]Bieu 1a'!$J$2,"d")/365)</f>
        <v>31</v>
      </c>
      <c r="K491" s="46" t="s">
        <v>3593</v>
      </c>
      <c r="L491" s="6" t="s">
        <v>3594</v>
      </c>
      <c r="M491" s="96"/>
      <c r="N491" s="95"/>
      <c r="O491" s="96"/>
      <c r="P491" s="6"/>
      <c r="Q491" s="6"/>
      <c r="R491" s="6"/>
      <c r="S491" s="6"/>
      <c r="T491" s="6"/>
      <c r="U491" s="6"/>
      <c r="V491" s="6"/>
      <c r="W491" s="67"/>
      <c r="X491" s="97"/>
      <c r="Y491" s="97"/>
      <c r="Z491" s="97"/>
      <c r="AA491" s="68">
        <f>VLOOKUP(A491,'[1]DANH SÁCH'!$B$8:$AD$841,12,0)</f>
        <v>0</v>
      </c>
      <c r="AB491" s="47"/>
      <c r="AC491" s="69" t="str">
        <f>VLOOKUP(A491,'[1]DANH SÁCH'!$B$8:$J$841,9,0)</f>
        <v>Tai mũi họng</v>
      </c>
      <c r="AD491" s="6"/>
      <c r="AE491" s="69" t="str">
        <f>VLOOKUP(A491,'[1]DANH SÁCH'!$B$8:$AD$841,13,0)</f>
        <v>Viên chức</v>
      </c>
      <c r="AF491" s="97"/>
      <c r="AG491" s="6"/>
      <c r="AH491" s="45" t="e">
        <v>#N/A</v>
      </c>
      <c r="AI491" s="42" t="e">
        <v>#N/A</v>
      </c>
      <c r="AJ491" s="70"/>
      <c r="AK491" s="69" t="e">
        <v>#N/A</v>
      </c>
      <c r="AL491" s="6"/>
      <c r="AM491" s="6" t="s">
        <v>3595</v>
      </c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73"/>
      <c r="AZ491" s="6"/>
      <c r="BA491" s="6"/>
      <c r="BB491" s="6"/>
      <c r="BC491" s="7"/>
      <c r="BD491" s="6"/>
    </row>
    <row r="492" spans="1:56" ht="20.399999999999999" x14ac:dyDescent="0.3">
      <c r="A492" s="61" t="s">
        <v>3596</v>
      </c>
      <c r="B492" s="42">
        <f t="shared" si="110"/>
        <v>486</v>
      </c>
      <c r="C492" s="152" t="s">
        <v>3597</v>
      </c>
      <c r="D492" s="61" t="s">
        <v>3596</v>
      </c>
      <c r="E492" s="64"/>
      <c r="F492" s="64"/>
      <c r="G492" s="49"/>
      <c r="H492" s="47">
        <v>0</v>
      </c>
      <c r="I492" s="153">
        <v>35783</v>
      </c>
      <c r="J492" s="52"/>
      <c r="K492" s="46"/>
      <c r="L492" s="47"/>
      <c r="M492" s="56"/>
      <c r="N492" s="52"/>
      <c r="O492" s="56"/>
      <c r="P492" s="47"/>
      <c r="Q492" s="47"/>
      <c r="R492" s="47"/>
      <c r="S492" s="47"/>
      <c r="T492" s="47"/>
      <c r="U492" s="47"/>
      <c r="V492" s="47"/>
      <c r="W492" s="147">
        <v>44562</v>
      </c>
      <c r="X492" s="46"/>
      <c r="Y492" s="46"/>
      <c r="Z492" s="46"/>
      <c r="AA492" s="68">
        <f>VLOOKUP(A492,'[1]DANH SÁCH'!$B$8:$AD$841,12,0)</f>
        <v>0</v>
      </c>
      <c r="AB492" s="47"/>
      <c r="AC492" s="69" t="str">
        <f>VLOOKUP(A492,'[1]DANH SÁCH'!$B$8:$J$841,9,0)</f>
        <v>UB-YHHN</v>
      </c>
      <c r="AD492" s="47"/>
      <c r="AE492" s="69" t="str">
        <f>VLOOKUP(A492,'[1]DANH SÁCH'!$B$8:$AD$841,13,0)</f>
        <v>Viên chức</v>
      </c>
      <c r="AF492" s="41" t="s">
        <v>274</v>
      </c>
      <c r="AG492" s="42" t="str">
        <f>VLOOKUP(A492,'[1]DANH SÁCH'!$B$8:$H$841,7,0)</f>
        <v>Bác sĩ (hạng III)</v>
      </c>
      <c r="AH492" s="45" t="e">
        <v>#N/A</v>
      </c>
      <c r="AI492" s="42" t="e">
        <v>#N/A</v>
      </c>
      <c r="AJ492" s="70"/>
      <c r="AK492" s="69" t="e">
        <v>#N/A</v>
      </c>
      <c r="AL492" s="47" t="s">
        <v>80</v>
      </c>
      <c r="AM492" s="53" t="str">
        <f>VLOOKUP(A492,'[1]DANH SÁCH'!$B$8:$F$841,5,0)</f>
        <v>Bác sĩ</v>
      </c>
      <c r="AN492" s="47"/>
      <c r="AO492" s="47"/>
      <c r="AP492" s="47"/>
      <c r="AQ492" s="47"/>
      <c r="AR492" s="47"/>
      <c r="AS492" s="47"/>
      <c r="AT492" s="47"/>
      <c r="AU492" s="47" t="s">
        <v>3588</v>
      </c>
      <c r="AV492" s="47"/>
      <c r="AW492" s="47" t="s">
        <v>3589</v>
      </c>
      <c r="AX492" s="47"/>
      <c r="AY492" s="47" t="s">
        <v>85</v>
      </c>
      <c r="AZ492" s="47"/>
      <c r="BA492" s="47"/>
      <c r="BB492" s="47"/>
      <c r="BC492" s="81"/>
      <c r="BD492" s="47"/>
    </row>
    <row r="493" spans="1:56" ht="20.399999999999999" x14ac:dyDescent="0.3">
      <c r="A493" s="61" t="s">
        <v>3598</v>
      </c>
      <c r="B493" s="42">
        <f t="shared" si="110"/>
        <v>487</v>
      </c>
      <c r="C493" s="56" t="s">
        <v>3599</v>
      </c>
      <c r="D493" s="61" t="s">
        <v>3598</v>
      </c>
      <c r="E493" s="47"/>
      <c r="F493" s="47"/>
      <c r="G493" s="42"/>
      <c r="H493" s="42"/>
      <c r="I493" s="65">
        <v>33425</v>
      </c>
      <c r="J493" s="66">
        <f ca="1">INT(DATEDIF(I493,'[1]Bieu 1a'!$J$2,"d")/365)</f>
        <v>35</v>
      </c>
      <c r="K493" s="42"/>
      <c r="L493" s="42"/>
      <c r="M493" s="53"/>
      <c r="N493" s="42"/>
      <c r="O493" s="69"/>
      <c r="P493" s="69"/>
      <c r="Q493" s="147"/>
      <c r="R493" s="42"/>
      <c r="S493" s="42"/>
      <c r="T493" s="42"/>
      <c r="U493" s="42"/>
      <c r="V493" s="42"/>
      <c r="W493" s="41" t="s">
        <v>3600</v>
      </c>
      <c r="X493" s="41" t="s">
        <v>3601</v>
      </c>
      <c r="Y493" s="42"/>
      <c r="Z493" s="42"/>
      <c r="AA493" s="68">
        <f>VLOOKUP(A493,'[1]DANH SÁCH'!$B$8:$AD$841,12,0)</f>
        <v>0</v>
      </c>
      <c r="AB493" s="47"/>
      <c r="AC493" s="69" t="str">
        <f>VLOOKUP(A493,'[1]DANH SÁCH'!$B$8:$J$841,9,0)</f>
        <v>Ngoại Thận - Tiết niệu</v>
      </c>
      <c r="AD493" s="47"/>
      <c r="AE493" s="69" t="str">
        <f>VLOOKUP(A493,'[1]DANH SÁCH'!$B$8:$AD$841,13,0)</f>
        <v>Viên chức</v>
      </c>
      <c r="AF493" s="46"/>
      <c r="AG493" s="47"/>
      <c r="AH493" s="45" t="e">
        <v>#N/A</v>
      </c>
      <c r="AI493" s="42" t="e">
        <v>#N/A</v>
      </c>
      <c r="AJ493" s="70"/>
      <c r="AK493" s="69" t="e">
        <v>#N/A</v>
      </c>
      <c r="AL493" s="47" t="s">
        <v>158</v>
      </c>
      <c r="AM493" s="53" t="str">
        <f>VLOOKUP(A493,'[1]DANH SÁCH'!$B$8:$F$841,5,0)</f>
        <v>Điều dưỡng CĐ</v>
      </c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 t="s">
        <v>85</v>
      </c>
      <c r="AZ493" s="47"/>
      <c r="BA493" s="47"/>
      <c r="BB493" s="47"/>
      <c r="BC493" s="81"/>
      <c r="BD493" s="47"/>
    </row>
    <row r="494" spans="1:56" ht="61.2" x14ac:dyDescent="0.3">
      <c r="A494" s="41" t="s">
        <v>3602</v>
      </c>
      <c r="B494" s="42">
        <f t="shared" si="110"/>
        <v>488</v>
      </c>
      <c r="C494" s="68" t="s">
        <v>3603</v>
      </c>
      <c r="D494" s="41" t="s">
        <v>3602</v>
      </c>
      <c r="E494" s="61">
        <v>1504002800</v>
      </c>
      <c r="F494" s="64"/>
      <c r="G494" s="49"/>
      <c r="H494" s="76">
        <v>24187</v>
      </c>
      <c r="I494" s="76"/>
      <c r="J494" s="66">
        <f ca="1">INT(DATEDIF(H494,'[1]Bieu 1a'!$J$2,"d")/365)</f>
        <v>60</v>
      </c>
      <c r="K494" s="75" t="s">
        <v>3604</v>
      </c>
      <c r="L494" s="41" t="s">
        <v>3605</v>
      </c>
      <c r="M494" s="53" t="s">
        <v>67</v>
      </c>
      <c r="N494" s="66"/>
      <c r="O494" s="53"/>
      <c r="P494" s="49" t="s">
        <v>195</v>
      </c>
      <c r="Q494" s="49" t="s">
        <v>94</v>
      </c>
      <c r="R494" s="49"/>
      <c r="S494" s="49" t="s">
        <v>166</v>
      </c>
      <c r="T494" s="49" t="s">
        <v>97</v>
      </c>
      <c r="U494" s="49" t="s">
        <v>94</v>
      </c>
      <c r="V494" s="49" t="str">
        <f t="shared" ref="V494:V509" si="185">S494&amp;", "&amp;T494&amp;", "&amp;U494</f>
        <v>Phường Tam Thanh, Thành phố Lạng Sơn, Tỉnh Lạng Sơn</v>
      </c>
      <c r="W494" s="55" t="s">
        <v>3453</v>
      </c>
      <c r="X494" s="41"/>
      <c r="Y494" s="41"/>
      <c r="Z494" s="41"/>
      <c r="AA494" s="68">
        <f>VLOOKUP(A494,'[1]DANH SÁCH'!$B$8:$AD$841,12,0)</f>
        <v>0</v>
      </c>
      <c r="AB494" s="49" t="str">
        <f>VLOOKUP(A494,'[1]DANH SÁCH'!$B$8:$H$841,6,0)</f>
        <v>TĐ044</v>
      </c>
      <c r="AC494" s="69" t="str">
        <f>VLOOKUP(A494,'[1]DANH SÁCH'!$B$8:$J$841,9,0)</f>
        <v>HCQT</v>
      </c>
      <c r="AD494" s="69" t="str">
        <f>VLOOKUP(A494,'[1]DANH SÁCH'!$B$8:$AC$841,9,0)</f>
        <v>HCQT</v>
      </c>
      <c r="AE494" s="69" t="str">
        <f>VLOOKUP(A494,'[1]DANH SÁCH'!$B$8:$AD$841,13,0)</f>
        <v>HĐ theo NĐ161</v>
      </c>
      <c r="AF494" s="41"/>
      <c r="AG494" s="42">
        <f>VLOOKUP(A494,'[1]DANH SÁCH'!$B$8:$H$841,7,0)</f>
        <v>0</v>
      </c>
      <c r="AH494" s="45">
        <v>1.86</v>
      </c>
      <c r="AI494" s="42">
        <v>3</v>
      </c>
      <c r="AJ494" s="70"/>
      <c r="AK494" s="69">
        <v>45689</v>
      </c>
      <c r="AL494" s="42"/>
      <c r="AM494" s="53" t="str">
        <f>VLOOKUP(A494,'[1]DANH SÁCH'!$B$8:$F$841,5,0)</f>
        <v>Bảo vệ</v>
      </c>
      <c r="AN494" s="53"/>
      <c r="AO494" s="53"/>
      <c r="AP494" s="53"/>
      <c r="AQ494" s="72" t="s">
        <v>3606</v>
      </c>
      <c r="AR494" s="42"/>
      <c r="AS494" s="42"/>
      <c r="AT494" s="47"/>
      <c r="AU494" s="42"/>
      <c r="AV494" s="42"/>
      <c r="AW494" s="42"/>
      <c r="AX494" s="42"/>
      <c r="AY494" s="57" t="s">
        <v>85</v>
      </c>
      <c r="AZ494" s="65"/>
      <c r="BA494" s="74"/>
      <c r="BB494" s="74"/>
      <c r="BC494" s="81"/>
      <c r="BD494" s="47"/>
    </row>
    <row r="495" spans="1:56" ht="51" x14ac:dyDescent="0.3">
      <c r="A495" s="41" t="s">
        <v>3607</v>
      </c>
      <c r="B495" s="42">
        <f t="shared" si="110"/>
        <v>489</v>
      </c>
      <c r="C495" s="68" t="s">
        <v>3608</v>
      </c>
      <c r="D495" s="41" t="s">
        <v>3607</v>
      </c>
      <c r="E495" s="61">
        <v>1506001857</v>
      </c>
      <c r="F495" s="64"/>
      <c r="G495" s="49"/>
      <c r="H495" s="76">
        <v>25243</v>
      </c>
      <c r="I495" s="76"/>
      <c r="J495" s="66">
        <f ca="1">INT(DATEDIF(H495,'[1]Bieu 1a'!$J$2,"d")/365)</f>
        <v>57</v>
      </c>
      <c r="K495" s="75" t="s">
        <v>3609</v>
      </c>
      <c r="L495" s="41" t="s">
        <v>3610</v>
      </c>
      <c r="M495" s="53" t="s">
        <v>67</v>
      </c>
      <c r="N495" s="66" t="s">
        <v>3611</v>
      </c>
      <c r="O495" s="53" t="s">
        <v>3612</v>
      </c>
      <c r="P495" s="49" t="s">
        <v>155</v>
      </c>
      <c r="Q495" s="49" t="s">
        <v>94</v>
      </c>
      <c r="R495" s="49" t="s">
        <v>3613</v>
      </c>
      <c r="S495" s="49" t="s">
        <v>136</v>
      </c>
      <c r="T495" s="49" t="s">
        <v>97</v>
      </c>
      <c r="U495" s="49" t="s">
        <v>94</v>
      </c>
      <c r="V495" s="49" t="str">
        <f t="shared" si="185"/>
        <v>Phường Chi Lăng, Thành phố Lạng Sơn, Tỉnh Lạng Sơn</v>
      </c>
      <c r="W495" s="55" t="s">
        <v>3614</v>
      </c>
      <c r="X495" s="41"/>
      <c r="Y495" s="41"/>
      <c r="Z495" s="41"/>
      <c r="AA495" s="68">
        <f>VLOOKUP(A495,'[1]DANH SÁCH'!$B$8:$AD$841,12,0)</f>
        <v>0</v>
      </c>
      <c r="AB495" s="49" t="str">
        <f>VLOOKUP(A495,'[1]DANH SÁCH'!$B$8:$H$841,6,0)</f>
        <v>TĐ048</v>
      </c>
      <c r="AC495" s="69" t="str">
        <f>VLOOKUP(A495,'[1]DANH SÁCH'!$B$8:$J$841,9,0)</f>
        <v>HCQT</v>
      </c>
      <c r="AD495" s="69" t="str">
        <f>VLOOKUP(A495,'[1]DANH SÁCH'!$B$8:$AC$841,9,0)</f>
        <v>HCQT</v>
      </c>
      <c r="AE495" s="69" t="str">
        <f>VLOOKUP(A495,'[1]DANH SÁCH'!$B$8:$AD$841,13,0)</f>
        <v>HĐ theo NĐ161</v>
      </c>
      <c r="AF495" s="41"/>
      <c r="AG495" s="42">
        <f>VLOOKUP(A495,'[1]DANH SÁCH'!$B$8:$H$841,7,0)</f>
        <v>0</v>
      </c>
      <c r="AH495" s="45" t="s">
        <v>3615</v>
      </c>
      <c r="AI495" s="42">
        <v>6</v>
      </c>
      <c r="AJ495" s="70"/>
      <c r="AK495" s="69">
        <v>45689</v>
      </c>
      <c r="AL495" s="42"/>
      <c r="AM495" s="53" t="str">
        <f>VLOOKUP(A495,'[1]DANH SÁCH'!$B$8:$F$841,5,0)</f>
        <v>NVPV</v>
      </c>
      <c r="AN495" s="53"/>
      <c r="AO495" s="53"/>
      <c r="AP495" s="53"/>
      <c r="AQ495" s="72" t="s">
        <v>3616</v>
      </c>
      <c r="AR495" s="42"/>
      <c r="AS495" s="42"/>
      <c r="AT495" s="47"/>
      <c r="AU495" s="42"/>
      <c r="AV495" s="42"/>
      <c r="AW495" s="42"/>
      <c r="AX495" s="42"/>
      <c r="AY495" s="57" t="s">
        <v>85</v>
      </c>
      <c r="AZ495" s="65">
        <v>35421</v>
      </c>
      <c r="BA495" s="74"/>
      <c r="BB495" s="74"/>
      <c r="BC495" s="81"/>
      <c r="BD495" s="47"/>
    </row>
    <row r="496" spans="1:56" ht="61.2" x14ac:dyDescent="0.3">
      <c r="A496" s="41" t="s">
        <v>3617</v>
      </c>
      <c r="B496" s="42">
        <f t="shared" si="110"/>
        <v>490</v>
      </c>
      <c r="C496" s="68" t="s">
        <v>3618</v>
      </c>
      <c r="D496" s="41" t="s">
        <v>3617</v>
      </c>
      <c r="E496" s="61">
        <v>1500002063</v>
      </c>
      <c r="F496" s="64"/>
      <c r="G496" s="49"/>
      <c r="H496" s="76"/>
      <c r="I496" s="76">
        <v>26012</v>
      </c>
      <c r="J496" s="66">
        <f ca="1">INT(DATEDIF(I496,'[1]Bieu 1a'!$J$2,"d")/365)</f>
        <v>55</v>
      </c>
      <c r="K496" s="75" t="s">
        <v>3619</v>
      </c>
      <c r="L496" s="41" t="s">
        <v>3620</v>
      </c>
      <c r="M496" s="53" t="s">
        <v>67</v>
      </c>
      <c r="N496" s="66"/>
      <c r="O496" s="53" t="s">
        <v>174</v>
      </c>
      <c r="P496" s="49" t="s">
        <v>97</v>
      </c>
      <c r="Q496" s="49" t="s">
        <v>94</v>
      </c>
      <c r="R496" s="49"/>
      <c r="S496" s="49" t="s">
        <v>166</v>
      </c>
      <c r="T496" s="53" t="s">
        <v>97</v>
      </c>
      <c r="U496" s="53" t="s">
        <v>94</v>
      </c>
      <c r="V496" s="49" t="str">
        <f t="shared" si="185"/>
        <v>Phường Tam Thanh, Thành phố Lạng Sơn, Tỉnh Lạng Sơn</v>
      </c>
      <c r="W496" s="55" t="s">
        <v>3621</v>
      </c>
      <c r="X496" s="41"/>
      <c r="Y496" s="41"/>
      <c r="Z496" s="41"/>
      <c r="AA496" s="68">
        <f>VLOOKUP(A496,'[1]DANH SÁCH'!$B$8:$AD$841,12,0)</f>
        <v>0</v>
      </c>
      <c r="AB496" s="49" t="str">
        <f>VLOOKUP(A496,'[1]DANH SÁCH'!$B$8:$H$841,6,0)</f>
        <v>TĐ047</v>
      </c>
      <c r="AC496" s="69" t="str">
        <f>VLOOKUP(A496,'[1]DANH SÁCH'!$B$8:$J$841,9,0)</f>
        <v>CĐHA</v>
      </c>
      <c r="AD496" s="69" t="str">
        <f>VLOOKUP(A496,'[1]DANH SÁCH'!$B$8:$AC$841,9,0)</f>
        <v>CĐHA</v>
      </c>
      <c r="AE496" s="69" t="str">
        <f>VLOOKUP(A496,'[1]DANH SÁCH'!$B$8:$AD$841,13,0)</f>
        <v>HĐ theo NĐ161</v>
      </c>
      <c r="AF496" s="41"/>
      <c r="AG496" s="42">
        <f>VLOOKUP(A496,'[1]DANH SÁCH'!$B$8:$H$841,7,0)</f>
        <v>0</v>
      </c>
      <c r="AH496" s="45" t="e">
        <v>#N/A</v>
      </c>
      <c r="AI496" s="42" t="e">
        <v>#N/A</v>
      </c>
      <c r="AJ496" s="70"/>
      <c r="AK496" s="69" t="e">
        <v>#N/A</v>
      </c>
      <c r="AL496" s="71" t="s">
        <v>3622</v>
      </c>
      <c r="AM496" s="53" t="str">
        <f>VLOOKUP(A496,'[1]DANH SÁCH'!$B$8:$F$841,5,0)</f>
        <v>Hộ lý</v>
      </c>
      <c r="AN496" s="53"/>
      <c r="AO496" s="53"/>
      <c r="AP496" s="53"/>
      <c r="AQ496" s="72" t="s">
        <v>113</v>
      </c>
      <c r="AR496" s="42"/>
      <c r="AS496" s="42"/>
      <c r="AT496" s="47"/>
      <c r="AU496" s="42"/>
      <c r="AV496" s="42"/>
      <c r="AW496" s="42"/>
      <c r="AX496" s="53" t="s">
        <v>3623</v>
      </c>
      <c r="AY496" s="57" t="s">
        <v>85</v>
      </c>
      <c r="AZ496" s="65"/>
      <c r="BA496" s="74"/>
      <c r="BB496" s="74"/>
      <c r="BC496" s="81"/>
      <c r="BD496" s="47"/>
    </row>
    <row r="497" spans="1:56" ht="51" x14ac:dyDescent="0.3">
      <c r="A497" s="41" t="s">
        <v>3624</v>
      </c>
      <c r="B497" s="42">
        <f t="shared" si="110"/>
        <v>491</v>
      </c>
      <c r="C497" s="68" t="s">
        <v>3625</v>
      </c>
      <c r="D497" s="41" t="s">
        <v>3624</v>
      </c>
      <c r="E497" s="61">
        <v>1506002733</v>
      </c>
      <c r="F497" s="64"/>
      <c r="G497" s="49"/>
      <c r="H497" s="76"/>
      <c r="I497" s="76">
        <v>30252</v>
      </c>
      <c r="J497" s="66">
        <f ca="1">INT(DATEDIF(I497,'[1]Bieu 1a'!$J$2,"d")/365)</f>
        <v>43</v>
      </c>
      <c r="K497" s="75" t="s">
        <v>3626</v>
      </c>
      <c r="L497" s="41" t="s">
        <v>3627</v>
      </c>
      <c r="M497" s="53" t="s">
        <v>67</v>
      </c>
      <c r="N497" s="66" t="s">
        <v>3628</v>
      </c>
      <c r="O497" s="53" t="s">
        <v>1108</v>
      </c>
      <c r="P497" s="49" t="s">
        <v>222</v>
      </c>
      <c r="Q497" s="49" t="s">
        <v>94</v>
      </c>
      <c r="R497" s="49"/>
      <c r="S497" s="49" t="s">
        <v>1108</v>
      </c>
      <c r="T497" s="53" t="s">
        <v>222</v>
      </c>
      <c r="U497" s="53" t="s">
        <v>94</v>
      </c>
      <c r="V497" s="49" t="str">
        <f t="shared" si="185"/>
        <v>Xã Quang Lang, Huyện Chi Lăng, Tỉnh Lạng Sơn</v>
      </c>
      <c r="W497" s="55" t="s">
        <v>3629</v>
      </c>
      <c r="X497" s="41"/>
      <c r="Y497" s="41"/>
      <c r="Z497" s="41"/>
      <c r="AA497" s="68">
        <f>VLOOKUP(A497,'[1]DANH SÁCH'!$B$8:$AD$841,12,0)</f>
        <v>0</v>
      </c>
      <c r="AB497" s="49" t="str">
        <f>VLOOKUP(A497,'[1]DANH SÁCH'!$B$8:$H$841,6,0)</f>
        <v>TĐ047</v>
      </c>
      <c r="AC497" s="69" t="str">
        <f>VLOOKUP(A497,'[1]DANH SÁCH'!$B$8:$J$841,9,0)</f>
        <v>GM-HS</v>
      </c>
      <c r="AD497" s="69" t="str">
        <f>VLOOKUP(A497,'[1]DANH SÁCH'!$B$8:$AC$841,9,0)</f>
        <v>GM-HS</v>
      </c>
      <c r="AE497" s="69" t="str">
        <f>VLOOKUP(A497,'[1]DANH SÁCH'!$B$8:$AD$841,13,0)</f>
        <v>HĐ theo NĐ161</v>
      </c>
      <c r="AF497" s="41"/>
      <c r="AG497" s="42">
        <f>VLOOKUP(A497,'[1]DANH SÁCH'!$B$8:$H$841,7,0)</f>
        <v>0</v>
      </c>
      <c r="AH497" s="45">
        <v>2.0099999999999998</v>
      </c>
      <c r="AI497" s="42">
        <v>3</v>
      </c>
      <c r="AJ497" s="70"/>
      <c r="AK497" s="69">
        <v>45689</v>
      </c>
      <c r="AL497" s="71" t="s">
        <v>3622</v>
      </c>
      <c r="AM497" s="53" t="str">
        <f>VLOOKUP(A497,'[1]DANH SÁCH'!$B$8:$F$841,5,0)</f>
        <v>Hộ lý</v>
      </c>
      <c r="AN497" s="53"/>
      <c r="AO497" s="53"/>
      <c r="AP497" s="53"/>
      <c r="AQ497" s="72" t="s">
        <v>113</v>
      </c>
      <c r="AR497" s="42"/>
      <c r="AS497" s="42"/>
      <c r="AT497" s="47"/>
      <c r="AU497" s="42"/>
      <c r="AV497" s="42"/>
      <c r="AW497" s="42"/>
      <c r="AX497" s="53" t="s">
        <v>3623</v>
      </c>
      <c r="AY497" s="57" t="s">
        <v>85</v>
      </c>
      <c r="AZ497" s="65"/>
      <c r="BA497" s="74"/>
      <c r="BB497" s="74"/>
      <c r="BC497" s="150"/>
      <c r="BD497" s="149"/>
    </row>
    <row r="498" spans="1:56" ht="61.2" x14ac:dyDescent="0.3">
      <c r="A498" s="41" t="s">
        <v>3630</v>
      </c>
      <c r="B498" s="42">
        <f t="shared" si="110"/>
        <v>492</v>
      </c>
      <c r="C498" s="68" t="s">
        <v>3631</v>
      </c>
      <c r="D498" s="41" t="s">
        <v>3630</v>
      </c>
      <c r="E498" s="61">
        <v>1503001568</v>
      </c>
      <c r="F498" s="64"/>
      <c r="G498" s="49"/>
      <c r="H498" s="76"/>
      <c r="I498" s="76">
        <v>27153</v>
      </c>
      <c r="J498" s="66">
        <f ca="1">INT(DATEDIF(I498,'[1]Bieu 1a'!$J$2,"d")/365)</f>
        <v>52</v>
      </c>
      <c r="K498" s="75" t="s">
        <v>3632</v>
      </c>
      <c r="L498" s="41" t="s">
        <v>3633</v>
      </c>
      <c r="M498" s="53" t="s">
        <v>67</v>
      </c>
      <c r="N498" s="66" t="s">
        <v>3634</v>
      </c>
      <c r="O498" s="53" t="s">
        <v>1829</v>
      </c>
      <c r="P498" s="49" t="s">
        <v>182</v>
      </c>
      <c r="Q498" s="49" t="s">
        <v>94</v>
      </c>
      <c r="R498" s="49"/>
      <c r="S498" s="49" t="s">
        <v>166</v>
      </c>
      <c r="T498" s="53" t="s">
        <v>97</v>
      </c>
      <c r="U498" s="53" t="s">
        <v>94</v>
      </c>
      <c r="V498" s="49" t="str">
        <f t="shared" si="185"/>
        <v>Phường Tam Thanh, Thành phố Lạng Sơn, Tỉnh Lạng Sơn</v>
      </c>
      <c r="W498" s="55" t="s">
        <v>3635</v>
      </c>
      <c r="X498" s="41"/>
      <c r="Y498" s="41"/>
      <c r="Z498" s="41"/>
      <c r="AA498" s="68">
        <f>VLOOKUP(A498,'[1]DANH SÁCH'!$B$8:$AD$841,12,0)</f>
        <v>0</v>
      </c>
      <c r="AB498" s="49" t="str">
        <f>VLOOKUP(A498,'[1]DANH SÁCH'!$B$8:$H$841,6,0)</f>
        <v>TĐ047</v>
      </c>
      <c r="AC498" s="69" t="str">
        <f>VLOOKUP(A498,'[1]DANH SÁCH'!$B$8:$J$841,9,0)</f>
        <v>GM-HS</v>
      </c>
      <c r="AD498" s="69" t="str">
        <f>VLOOKUP(A498,'[1]DANH SÁCH'!$B$8:$AC$841,9,0)</f>
        <v>GM-HS</v>
      </c>
      <c r="AE498" s="69" t="str">
        <f>VLOOKUP(A498,'[1]DANH SÁCH'!$B$8:$AD$841,13,0)</f>
        <v>HĐ theo NĐ161</v>
      </c>
      <c r="AF498" s="41"/>
      <c r="AG498" s="42">
        <f>VLOOKUP(A498,'[1]DANH SÁCH'!$B$8:$H$841,7,0)</f>
        <v>0</v>
      </c>
      <c r="AH498" s="45">
        <v>2.0099999999999998</v>
      </c>
      <c r="AI498" s="42">
        <v>3</v>
      </c>
      <c r="AJ498" s="70"/>
      <c r="AK498" s="69">
        <v>45689</v>
      </c>
      <c r="AL498" s="71" t="s">
        <v>3622</v>
      </c>
      <c r="AM498" s="53" t="str">
        <f>VLOOKUP(A498,'[1]DANH SÁCH'!$B$8:$F$841,5,0)</f>
        <v>Hộ lý</v>
      </c>
      <c r="AN498" s="53"/>
      <c r="AO498" s="53"/>
      <c r="AP498" s="53"/>
      <c r="AQ498" s="72" t="s">
        <v>113</v>
      </c>
      <c r="AR498" s="42"/>
      <c r="AS498" s="42"/>
      <c r="AT498" s="47"/>
      <c r="AU498" s="42"/>
      <c r="AV498" s="42"/>
      <c r="AW498" s="42"/>
      <c r="AX498" s="53" t="s">
        <v>3623</v>
      </c>
      <c r="AY498" s="57" t="s">
        <v>85</v>
      </c>
      <c r="AZ498" s="65"/>
      <c r="BA498" s="74"/>
      <c r="BB498" s="74"/>
      <c r="BC498" s="150"/>
      <c r="BD498" s="149"/>
    </row>
    <row r="499" spans="1:56" ht="51" x14ac:dyDescent="0.3">
      <c r="A499" s="41" t="s">
        <v>3636</v>
      </c>
      <c r="B499" s="42">
        <f t="shared" si="110"/>
        <v>493</v>
      </c>
      <c r="C499" s="68" t="s">
        <v>3637</v>
      </c>
      <c r="D499" s="41" t="s">
        <v>3636</v>
      </c>
      <c r="E499" s="61">
        <v>1505002937</v>
      </c>
      <c r="F499" s="64"/>
      <c r="G499" s="49"/>
      <c r="H499" s="76"/>
      <c r="I499" s="76">
        <v>27091</v>
      </c>
      <c r="J499" s="66">
        <f ca="1">INT(DATEDIF(I499,'[1]Bieu 1a'!$J$2,"d")/365)</f>
        <v>52</v>
      </c>
      <c r="K499" s="75" t="s">
        <v>3638</v>
      </c>
      <c r="L499" s="41" t="s">
        <v>3639</v>
      </c>
      <c r="M499" s="53" t="s">
        <v>67</v>
      </c>
      <c r="N499" s="66"/>
      <c r="O499" s="53"/>
      <c r="P499" s="49" t="s">
        <v>155</v>
      </c>
      <c r="Q499" s="49" t="s">
        <v>94</v>
      </c>
      <c r="R499" s="49"/>
      <c r="S499" s="49" t="s">
        <v>73</v>
      </c>
      <c r="T499" s="49" t="s">
        <v>97</v>
      </c>
      <c r="U499" s="49" t="s">
        <v>94</v>
      </c>
      <c r="V499" s="49" t="str">
        <f t="shared" si="185"/>
        <v>Phường Vĩnh Trại, Thành phố Lạng Sơn, Tỉnh Lạng Sơn</v>
      </c>
      <c r="W499" s="55" t="s">
        <v>1433</v>
      </c>
      <c r="X499" s="41"/>
      <c r="Y499" s="41"/>
      <c r="Z499" s="41"/>
      <c r="AA499" s="68">
        <f>VLOOKUP(A499,'[1]DANH SÁCH'!$B$8:$AD$841,12,0)</f>
        <v>0</v>
      </c>
      <c r="AB499" s="49" t="str">
        <f>VLOOKUP(A499,'[1]DANH SÁCH'!$B$8:$H$841,6,0)</f>
        <v>TĐ047</v>
      </c>
      <c r="AC499" s="69" t="str">
        <f>VLOOKUP(A499,'[1]DANH SÁCH'!$B$8:$J$841,9,0)</f>
        <v>KSNK</v>
      </c>
      <c r="AD499" s="69" t="str">
        <f>VLOOKUP(A499,'[1]DANH SÁCH'!$B$8:$AC$841,9,0)</f>
        <v>KSNK</v>
      </c>
      <c r="AE499" s="69" t="str">
        <f>VLOOKUP(A499,'[1]DANH SÁCH'!$B$8:$AD$841,13,0)</f>
        <v>HĐ theo NĐ161</v>
      </c>
      <c r="AF499" s="41"/>
      <c r="AG499" s="42">
        <f>VLOOKUP(A499,'[1]DANH SÁCH'!$B$8:$H$841,7,0)</f>
        <v>0</v>
      </c>
      <c r="AH499" s="45">
        <v>2.19</v>
      </c>
      <c r="AI499" s="42">
        <v>4</v>
      </c>
      <c r="AJ499" s="70"/>
      <c r="AK499" s="69">
        <v>45689</v>
      </c>
      <c r="AL499" s="71" t="s">
        <v>3622</v>
      </c>
      <c r="AM499" s="53" t="str">
        <f>VLOOKUP(A499,'[1]DANH SÁCH'!$B$8:$F$841,5,0)</f>
        <v>Hộ lý</v>
      </c>
      <c r="AN499" s="53"/>
      <c r="AO499" s="53"/>
      <c r="AP499" s="53"/>
      <c r="AQ499" s="72"/>
      <c r="AR499" s="42"/>
      <c r="AS499" s="42"/>
      <c r="AT499" s="47"/>
      <c r="AU499" s="42"/>
      <c r="AV499" s="42"/>
      <c r="AW499" s="42"/>
      <c r="AX499" s="42"/>
      <c r="AY499" s="57" t="s">
        <v>85</v>
      </c>
      <c r="AZ499" s="65"/>
      <c r="BA499" s="74"/>
      <c r="BB499" s="74"/>
      <c r="BC499" s="81"/>
      <c r="BD499" s="47"/>
    </row>
    <row r="500" spans="1:56" ht="61.2" x14ac:dyDescent="0.3">
      <c r="A500" s="41" t="s">
        <v>3640</v>
      </c>
      <c r="B500" s="42">
        <f t="shared" si="110"/>
        <v>494</v>
      </c>
      <c r="C500" s="68" t="s">
        <v>3641</v>
      </c>
      <c r="D500" s="41" t="s">
        <v>3640</v>
      </c>
      <c r="E500" s="61">
        <v>1500002069</v>
      </c>
      <c r="F500" s="64"/>
      <c r="G500" s="49"/>
      <c r="H500" s="76"/>
      <c r="I500" s="76">
        <v>26536</v>
      </c>
      <c r="J500" s="66">
        <f ca="1">INT(DATEDIF(I500,'[1]Bieu 1a'!$J$2,"d")/365)</f>
        <v>53</v>
      </c>
      <c r="K500" s="75" t="s">
        <v>3642</v>
      </c>
      <c r="L500" s="41" t="s">
        <v>3643</v>
      </c>
      <c r="M500" s="53" t="s">
        <v>67</v>
      </c>
      <c r="N500" s="66"/>
      <c r="O500" s="85" t="s">
        <v>821</v>
      </c>
      <c r="P500" s="49" t="s">
        <v>195</v>
      </c>
      <c r="Q500" s="49" t="s">
        <v>94</v>
      </c>
      <c r="R500" s="49"/>
      <c r="S500" s="49" t="s">
        <v>124</v>
      </c>
      <c r="T500" s="49" t="s">
        <v>97</v>
      </c>
      <c r="U500" s="49" t="s">
        <v>94</v>
      </c>
      <c r="V500" s="49" t="str">
        <f t="shared" si="185"/>
        <v>Phường Đông Kinh, Thành phố Lạng Sơn, Tỉnh Lạng Sơn</v>
      </c>
      <c r="W500" s="55" t="s">
        <v>3644</v>
      </c>
      <c r="X500" s="41"/>
      <c r="Y500" s="41"/>
      <c r="Z500" s="41"/>
      <c r="AA500" s="68">
        <f>VLOOKUP(A500,'[1]DANH SÁCH'!$B$8:$AD$841,12,0)</f>
        <v>0</v>
      </c>
      <c r="AB500" s="49" t="str">
        <f>VLOOKUP(A500,'[1]DANH SÁCH'!$B$8:$H$841,6,0)</f>
        <v>TĐ047</v>
      </c>
      <c r="AC500" s="69" t="str">
        <f>VLOOKUP(A500,'[1]DANH SÁCH'!$B$8:$J$841,9,0)</f>
        <v>Mắt</v>
      </c>
      <c r="AD500" s="69" t="str">
        <f>VLOOKUP(A500,'[1]DANH SÁCH'!$B$8:$AC$841,9,0)</f>
        <v>Mắt</v>
      </c>
      <c r="AE500" s="69" t="str">
        <f>VLOOKUP(A500,'[1]DANH SÁCH'!$B$8:$AD$841,13,0)</f>
        <v>HĐ theo NĐ161</v>
      </c>
      <c r="AF500" s="41"/>
      <c r="AG500" s="42">
        <f>VLOOKUP(A500,'[1]DANH SÁCH'!$B$8:$H$841,7,0)</f>
        <v>0</v>
      </c>
      <c r="AH500" s="45">
        <v>2.37</v>
      </c>
      <c r="AI500" s="42">
        <v>5</v>
      </c>
      <c r="AJ500" s="70"/>
      <c r="AK500" s="69">
        <v>45689</v>
      </c>
      <c r="AL500" s="71" t="s">
        <v>3622</v>
      </c>
      <c r="AM500" s="53" t="str">
        <f>VLOOKUP(A500,'[1]DANH SÁCH'!$B$8:$F$841,5,0)</f>
        <v>Hộ lý</v>
      </c>
      <c r="AN500" s="53"/>
      <c r="AO500" s="53"/>
      <c r="AP500" s="53"/>
      <c r="AQ500" s="72"/>
      <c r="AR500" s="42"/>
      <c r="AS500" s="42"/>
      <c r="AT500" s="47"/>
      <c r="AU500" s="42"/>
      <c r="AV500" s="42"/>
      <c r="AW500" s="42"/>
      <c r="AX500" s="42"/>
      <c r="AY500" s="57" t="s">
        <v>85</v>
      </c>
      <c r="AZ500" s="65"/>
      <c r="BA500" s="74"/>
      <c r="BB500" s="74"/>
      <c r="BC500" s="81"/>
      <c r="BD500" s="47"/>
    </row>
    <row r="501" spans="1:56" ht="61.2" x14ac:dyDescent="0.3">
      <c r="A501" s="41" t="s">
        <v>3645</v>
      </c>
      <c r="B501" s="42">
        <f t="shared" si="110"/>
        <v>495</v>
      </c>
      <c r="C501" s="68" t="s">
        <v>2276</v>
      </c>
      <c r="D501" s="41" t="s">
        <v>3645</v>
      </c>
      <c r="E501" s="61">
        <v>1500002064</v>
      </c>
      <c r="F501" s="64"/>
      <c r="G501" s="49" t="s">
        <v>3646</v>
      </c>
      <c r="H501" s="76"/>
      <c r="I501" s="76">
        <v>25808</v>
      </c>
      <c r="J501" s="66">
        <f ca="1">INT(DATEDIF(I501,'[1]Bieu 1a'!$J$2,"d")/365)</f>
        <v>55</v>
      </c>
      <c r="K501" s="75" t="s">
        <v>3647</v>
      </c>
      <c r="L501" s="41" t="s">
        <v>3648</v>
      </c>
      <c r="M501" s="53" t="s">
        <v>67</v>
      </c>
      <c r="N501" s="66" t="s">
        <v>3649</v>
      </c>
      <c r="O501" s="85" t="s">
        <v>1041</v>
      </c>
      <c r="P501" s="49" t="s">
        <v>155</v>
      </c>
      <c r="Q501" s="76" t="s">
        <v>94</v>
      </c>
      <c r="R501" s="49"/>
      <c r="S501" s="76" t="s">
        <v>96</v>
      </c>
      <c r="T501" s="85" t="s">
        <v>97</v>
      </c>
      <c r="U501" s="85" t="s">
        <v>94</v>
      </c>
      <c r="V501" s="49" t="str">
        <f t="shared" si="185"/>
        <v>Phường Hoàng Văn Thụ, Thành phố Lạng Sơn, Tỉnh Lạng Sơn</v>
      </c>
      <c r="W501" s="55" t="s">
        <v>3650</v>
      </c>
      <c r="X501" s="41"/>
      <c r="Y501" s="41"/>
      <c r="Z501" s="41"/>
      <c r="AA501" s="68">
        <f>VLOOKUP(A501,'[1]DANH SÁCH'!$B$8:$AD$841,12,0)</f>
        <v>0</v>
      </c>
      <c r="AB501" s="49" t="str">
        <f>VLOOKUP(A501,'[1]DANH SÁCH'!$B$8:$H$841,6,0)</f>
        <v>TĐ047</v>
      </c>
      <c r="AC501" s="69" t="str">
        <f>VLOOKUP(A501,'[1]DANH SÁCH'!$B$8:$J$841,9,0)</f>
        <v>Khám bệnh</v>
      </c>
      <c r="AD501" s="69" t="str">
        <f>VLOOKUP(A501,'[1]DANH SÁCH'!$B$8:$AC$841,9,0)</f>
        <v>Khám bệnh</v>
      </c>
      <c r="AE501" s="69" t="str">
        <f>VLOOKUP(A501,'[1]DANH SÁCH'!$B$8:$AD$841,13,0)</f>
        <v>HĐ theo NĐ161</v>
      </c>
      <c r="AF501" s="41"/>
      <c r="AG501" s="42">
        <f>VLOOKUP(A501,'[1]DANH SÁCH'!$B$8:$H$841,7,0)</f>
        <v>0</v>
      </c>
      <c r="AH501" s="45">
        <v>2.19</v>
      </c>
      <c r="AI501" s="42">
        <v>4</v>
      </c>
      <c r="AJ501" s="70"/>
      <c r="AK501" s="69">
        <v>45689</v>
      </c>
      <c r="AL501" s="71" t="s">
        <v>3622</v>
      </c>
      <c r="AM501" s="53" t="str">
        <f>VLOOKUP(A501,'[1]DANH SÁCH'!$B$8:$F$841,5,0)</f>
        <v>Hộ lý</v>
      </c>
      <c r="AN501" s="53"/>
      <c r="AO501" s="53"/>
      <c r="AP501" s="53"/>
      <c r="AQ501" s="72" t="s">
        <v>113</v>
      </c>
      <c r="AR501" s="42"/>
      <c r="AS501" s="42"/>
      <c r="AT501" s="47"/>
      <c r="AU501" s="42"/>
      <c r="AV501" s="42"/>
      <c r="AW501" s="42"/>
      <c r="AX501" s="53" t="s">
        <v>3623</v>
      </c>
      <c r="AY501" s="57" t="s">
        <v>127</v>
      </c>
      <c r="AZ501" s="65"/>
      <c r="BA501" s="74" t="e">
        <f>VLOOKUP(A501,#REF!,4,0)</f>
        <v>#REF!</v>
      </c>
      <c r="BB501" s="74" t="e">
        <f>VLOOKUP(A501,#REF!,5,0)</f>
        <v>#REF!</v>
      </c>
      <c r="BC501" s="41"/>
      <c r="BD501" s="64"/>
    </row>
    <row r="502" spans="1:56" ht="61.2" x14ac:dyDescent="0.3">
      <c r="A502" s="41" t="s">
        <v>3651</v>
      </c>
      <c r="B502" s="42">
        <f t="shared" si="110"/>
        <v>496</v>
      </c>
      <c r="C502" s="68" t="s">
        <v>3652</v>
      </c>
      <c r="D502" s="41" t="s">
        <v>3651</v>
      </c>
      <c r="E502" s="61">
        <v>1500002077</v>
      </c>
      <c r="F502" s="64"/>
      <c r="G502" s="49"/>
      <c r="H502" s="76"/>
      <c r="I502" s="76">
        <v>26331</v>
      </c>
      <c r="J502" s="66">
        <f ca="1">INT(DATEDIF(I502,'[1]Bieu 1a'!$J$2,"d")/365)</f>
        <v>54</v>
      </c>
      <c r="K502" s="75" t="s">
        <v>3653</v>
      </c>
      <c r="L502" s="83" t="s">
        <v>3654</v>
      </c>
      <c r="M502" s="53" t="s">
        <v>67</v>
      </c>
      <c r="N502" s="66" t="s">
        <v>94</v>
      </c>
      <c r="O502" s="53"/>
      <c r="P502" s="49" t="s">
        <v>145</v>
      </c>
      <c r="Q502" s="49" t="s">
        <v>94</v>
      </c>
      <c r="R502" s="49"/>
      <c r="S502" s="49" t="s">
        <v>166</v>
      </c>
      <c r="T502" s="49" t="s">
        <v>97</v>
      </c>
      <c r="U502" s="49" t="s">
        <v>94</v>
      </c>
      <c r="V502" s="49" t="str">
        <f t="shared" si="185"/>
        <v>Phường Tam Thanh, Thành phố Lạng Sơn, Tỉnh Lạng Sơn</v>
      </c>
      <c r="W502" s="55" t="s">
        <v>3644</v>
      </c>
      <c r="X502" s="41"/>
      <c r="Y502" s="41"/>
      <c r="Z502" s="41"/>
      <c r="AA502" s="68">
        <f>VLOOKUP(A502,'[1]DANH SÁCH'!$B$8:$AD$841,12,0)</f>
        <v>0</v>
      </c>
      <c r="AB502" s="49" t="str">
        <f>VLOOKUP(A502,'[1]DANH SÁCH'!$B$8:$H$841,6,0)</f>
        <v>TĐ047</v>
      </c>
      <c r="AC502" s="69" t="str">
        <f>VLOOKUP(A502,'[1]DANH SÁCH'!$B$8:$J$841,9,0)</f>
        <v>TDCN</v>
      </c>
      <c r="AD502" s="69" t="str">
        <f>VLOOKUP(A502,'[1]DANH SÁCH'!$B$8:$AC$841,9,0)</f>
        <v>TDCN</v>
      </c>
      <c r="AE502" s="69" t="str">
        <f>VLOOKUP(A502,'[1]DANH SÁCH'!$B$8:$AD$841,13,0)</f>
        <v>HĐ theo NĐ161</v>
      </c>
      <c r="AF502" s="41"/>
      <c r="AG502" s="42">
        <f>VLOOKUP(A502,'[1]DANH SÁCH'!$B$8:$H$841,7,0)</f>
        <v>0</v>
      </c>
      <c r="AH502" s="45">
        <v>2.37</v>
      </c>
      <c r="AI502" s="42">
        <v>5</v>
      </c>
      <c r="AJ502" s="70"/>
      <c r="AK502" s="69">
        <v>45689</v>
      </c>
      <c r="AL502" s="71" t="s">
        <v>3622</v>
      </c>
      <c r="AM502" s="53" t="str">
        <f>VLOOKUP(A502,'[1]DANH SÁCH'!$B$8:$F$841,5,0)</f>
        <v>Hộ lý</v>
      </c>
      <c r="AN502" s="53"/>
      <c r="AO502" s="53" t="s">
        <v>1093</v>
      </c>
      <c r="AP502" s="53">
        <v>2011</v>
      </c>
      <c r="AQ502" s="99" t="s">
        <v>113</v>
      </c>
      <c r="AR502" s="42"/>
      <c r="AS502" s="42"/>
      <c r="AT502" s="47"/>
      <c r="AU502" s="42"/>
      <c r="AV502" s="42"/>
      <c r="AW502" s="42"/>
      <c r="AX502" s="42"/>
      <c r="AY502" s="57" t="s">
        <v>85</v>
      </c>
      <c r="AZ502" s="65"/>
      <c r="BA502" s="74"/>
      <c r="BB502" s="74"/>
      <c r="BC502" s="41"/>
      <c r="BD502" s="64"/>
    </row>
    <row r="503" spans="1:56" ht="61.2" x14ac:dyDescent="0.3">
      <c r="A503" s="41" t="s">
        <v>3655</v>
      </c>
      <c r="B503" s="42">
        <f t="shared" si="110"/>
        <v>497</v>
      </c>
      <c r="C503" s="68" t="s">
        <v>3656</v>
      </c>
      <c r="D503" s="41" t="s">
        <v>3655</v>
      </c>
      <c r="E503" s="61">
        <v>1500002061</v>
      </c>
      <c r="F503" s="64"/>
      <c r="G503" s="49"/>
      <c r="H503" s="76"/>
      <c r="I503" s="76">
        <v>28318</v>
      </c>
      <c r="J503" s="66">
        <f ca="1">INT(DATEDIF(I503,'[1]Bieu 1a'!$J$2,"d")/365)</f>
        <v>49</v>
      </c>
      <c r="K503" s="75" t="s">
        <v>3657</v>
      </c>
      <c r="L503" s="83" t="s">
        <v>3658</v>
      </c>
      <c r="M503" s="53" t="s">
        <v>67</v>
      </c>
      <c r="N503" s="66" t="s">
        <v>94</v>
      </c>
      <c r="O503" s="53" t="s">
        <v>2268</v>
      </c>
      <c r="P503" s="49" t="s">
        <v>93</v>
      </c>
      <c r="Q503" s="49" t="s">
        <v>94</v>
      </c>
      <c r="R503" s="49"/>
      <c r="S503" s="49" t="s">
        <v>124</v>
      </c>
      <c r="T503" s="49" t="s">
        <v>97</v>
      </c>
      <c r="U503" s="49" t="s">
        <v>94</v>
      </c>
      <c r="V503" s="49" t="str">
        <f t="shared" si="185"/>
        <v>Phường Đông Kinh, Thành phố Lạng Sơn, Tỉnh Lạng Sơn</v>
      </c>
      <c r="W503" s="55" t="s">
        <v>3659</v>
      </c>
      <c r="X503" s="41"/>
      <c r="Y503" s="41"/>
      <c r="Z503" s="41"/>
      <c r="AA503" s="68">
        <f>VLOOKUP(A503,'[1]DANH SÁCH'!$B$8:$AD$841,12,0)</f>
        <v>0</v>
      </c>
      <c r="AB503" s="49" t="str">
        <f>VLOOKUP(A503,'[1]DANH SÁCH'!$B$8:$H$841,6,0)</f>
        <v>TĐ047</v>
      </c>
      <c r="AC503" s="69" t="str">
        <f>VLOOKUP(A503,'[1]DANH SÁCH'!$B$8:$J$841,9,0)</f>
        <v>Phụ sản</v>
      </c>
      <c r="AD503" s="69" t="str">
        <f>VLOOKUP(A503,'[1]DANH SÁCH'!$B$8:$AC$841,9,0)</f>
        <v>Phụ sản</v>
      </c>
      <c r="AE503" s="69" t="str">
        <f>VLOOKUP(A503,'[1]DANH SÁCH'!$B$8:$AD$841,13,0)</f>
        <v>HĐ theo NĐ161</v>
      </c>
      <c r="AF503" s="41"/>
      <c r="AG503" s="42">
        <f>VLOOKUP(A503,'[1]DANH SÁCH'!$B$8:$H$841,7,0)</f>
        <v>0</v>
      </c>
      <c r="AH503" s="45">
        <v>2.19</v>
      </c>
      <c r="AI503" s="42">
        <v>4</v>
      </c>
      <c r="AJ503" s="70"/>
      <c r="AK503" s="69">
        <v>45689</v>
      </c>
      <c r="AL503" s="71" t="s">
        <v>3622</v>
      </c>
      <c r="AM503" s="53" t="str">
        <f>VLOOKUP(A503,'[1]DANH SÁCH'!$B$8:$F$841,5,0)</f>
        <v>Hộ lý</v>
      </c>
      <c r="AN503" s="53"/>
      <c r="AO503" s="53" t="s">
        <v>1093</v>
      </c>
      <c r="AP503" s="53">
        <v>2011</v>
      </c>
      <c r="AQ503" s="99" t="s">
        <v>3660</v>
      </c>
      <c r="AR503" s="42"/>
      <c r="AS503" s="42"/>
      <c r="AT503" s="47"/>
      <c r="AU503" s="42"/>
      <c r="AV503" s="42"/>
      <c r="AW503" s="42" t="s">
        <v>57</v>
      </c>
      <c r="AX503" s="42" t="s">
        <v>3661</v>
      </c>
      <c r="AY503" s="57" t="s">
        <v>85</v>
      </c>
      <c r="AZ503" s="65"/>
      <c r="BA503" s="74"/>
      <c r="BB503" s="74"/>
      <c r="BC503" s="41" t="s">
        <v>3662</v>
      </c>
      <c r="BD503" s="64"/>
    </row>
    <row r="504" spans="1:56" ht="61.2" x14ac:dyDescent="0.3">
      <c r="A504" s="41" t="s">
        <v>3663</v>
      </c>
      <c r="B504" s="42">
        <f t="shared" si="110"/>
        <v>498</v>
      </c>
      <c r="C504" s="68" t="s">
        <v>3664</v>
      </c>
      <c r="D504" s="41" t="s">
        <v>3663</v>
      </c>
      <c r="E504" s="61">
        <v>1500002071</v>
      </c>
      <c r="F504" s="64"/>
      <c r="G504" s="49"/>
      <c r="H504" s="76"/>
      <c r="I504" s="76">
        <v>26725</v>
      </c>
      <c r="J504" s="66">
        <f ca="1">INT(DATEDIF(I504,'[1]Bieu 1a'!$J$2,"d")/365)</f>
        <v>53</v>
      </c>
      <c r="K504" s="75" t="s">
        <v>3665</v>
      </c>
      <c r="L504" s="41" t="s">
        <v>2959</v>
      </c>
      <c r="M504" s="53" t="s">
        <v>67</v>
      </c>
      <c r="N504" s="66"/>
      <c r="O504" s="53"/>
      <c r="P504" s="49" t="s">
        <v>155</v>
      </c>
      <c r="Q504" s="49" t="s">
        <v>94</v>
      </c>
      <c r="R504" s="49"/>
      <c r="S504" s="49" t="s">
        <v>124</v>
      </c>
      <c r="T504" s="49" t="s">
        <v>97</v>
      </c>
      <c r="U504" s="49" t="s">
        <v>94</v>
      </c>
      <c r="V504" s="49" t="str">
        <f t="shared" si="185"/>
        <v>Phường Đông Kinh, Thành phố Lạng Sơn, Tỉnh Lạng Sơn</v>
      </c>
      <c r="W504" s="55" t="s">
        <v>3644</v>
      </c>
      <c r="X504" s="41"/>
      <c r="Y504" s="41"/>
      <c r="Z504" s="41"/>
      <c r="AA504" s="68">
        <f>VLOOKUP(A504,'[1]DANH SÁCH'!$B$8:$AD$841,12,0)</f>
        <v>0</v>
      </c>
      <c r="AB504" s="49" t="str">
        <f>VLOOKUP(A504,'[1]DANH SÁCH'!$B$8:$H$841,6,0)</f>
        <v>TĐ047</v>
      </c>
      <c r="AC504" s="69" t="str">
        <f>VLOOKUP(A504,'[1]DANH SÁCH'!$B$8:$J$841,9,0)</f>
        <v>HS-VS</v>
      </c>
      <c r="AD504" s="69" t="str">
        <f>VLOOKUP(A504,'[1]DANH SÁCH'!$B$8:$AC$841,9,0)</f>
        <v>HS-VS</v>
      </c>
      <c r="AE504" s="69" t="str">
        <f>VLOOKUP(A504,'[1]DANH SÁCH'!$B$8:$AD$841,13,0)</f>
        <v>HĐ theo NĐ161</v>
      </c>
      <c r="AF504" s="41"/>
      <c r="AG504" s="42">
        <f>VLOOKUP(A504,'[1]DANH SÁCH'!$B$8:$H$841,7,0)</f>
        <v>0</v>
      </c>
      <c r="AH504" s="45">
        <v>2.19</v>
      </c>
      <c r="AI504" s="42">
        <v>4</v>
      </c>
      <c r="AJ504" s="70"/>
      <c r="AK504" s="69">
        <v>45689</v>
      </c>
      <c r="AL504" s="71" t="s">
        <v>3622</v>
      </c>
      <c r="AM504" s="53" t="str">
        <f>VLOOKUP(A504,'[1]DANH SÁCH'!$B$8:$F$841,5,0)</f>
        <v>Hộ lý</v>
      </c>
      <c r="AN504" s="53"/>
      <c r="AO504" s="53"/>
      <c r="AP504" s="53"/>
      <c r="AQ504" s="72"/>
      <c r="AR504" s="42"/>
      <c r="AS504" s="42"/>
      <c r="AT504" s="47"/>
      <c r="AU504" s="42"/>
      <c r="AV504" s="42"/>
      <c r="AW504" s="42"/>
      <c r="AX504" s="42"/>
      <c r="AY504" s="57" t="s">
        <v>85</v>
      </c>
      <c r="AZ504" s="65"/>
      <c r="BA504" s="74"/>
      <c r="BB504" s="74"/>
      <c r="BC504" s="150"/>
      <c r="BD504" s="149"/>
    </row>
    <row r="505" spans="1:56" ht="51" x14ac:dyDescent="0.3">
      <c r="A505" s="41" t="s">
        <v>3666</v>
      </c>
      <c r="B505" s="42">
        <f t="shared" si="110"/>
        <v>499</v>
      </c>
      <c r="C505" s="68" t="s">
        <v>3667</v>
      </c>
      <c r="D505" s="41" t="s">
        <v>3666</v>
      </c>
      <c r="E505" s="61">
        <v>1505002936</v>
      </c>
      <c r="F505" s="64"/>
      <c r="G505" s="49"/>
      <c r="H505" s="76">
        <v>26882</v>
      </c>
      <c r="I505" s="76"/>
      <c r="J505" s="66">
        <f ca="1">INT(DATEDIF(H505,'[1]Bieu 1a'!$J$2,"d")/365)</f>
        <v>53</v>
      </c>
      <c r="K505" s="109" t="s">
        <v>3668</v>
      </c>
      <c r="L505" s="41" t="s">
        <v>3669</v>
      </c>
      <c r="M505" s="53" t="s">
        <v>67</v>
      </c>
      <c r="N505" s="66"/>
      <c r="O505" s="53" t="s">
        <v>73</v>
      </c>
      <c r="P505" s="49" t="s">
        <v>97</v>
      </c>
      <c r="Q505" s="49" t="s">
        <v>94</v>
      </c>
      <c r="R505" s="49"/>
      <c r="S505" s="49" t="s">
        <v>73</v>
      </c>
      <c r="T505" s="49" t="s">
        <v>97</v>
      </c>
      <c r="U505" s="49" t="s">
        <v>94</v>
      </c>
      <c r="V505" s="49" t="str">
        <f t="shared" si="185"/>
        <v>Phường Vĩnh Trại, Thành phố Lạng Sơn, Tỉnh Lạng Sơn</v>
      </c>
      <c r="W505" s="55" t="s">
        <v>3670</v>
      </c>
      <c r="X505" s="41"/>
      <c r="Y505" s="41"/>
      <c r="Z505" s="41"/>
      <c r="AA505" s="68">
        <f>VLOOKUP(A505,'[1]DANH SÁCH'!$B$8:$AD$841,12,0)</f>
        <v>0</v>
      </c>
      <c r="AB505" s="49" t="str">
        <f>VLOOKUP(A505,'[1]DANH SÁCH'!$B$8:$H$841,6,0)</f>
        <v>TĐ043</v>
      </c>
      <c r="AC505" s="69" t="str">
        <f>VLOOKUP(A505,'[1]DANH SÁCH'!$B$8:$J$841,9,0)</f>
        <v>HCQT</v>
      </c>
      <c r="AD505" s="69" t="str">
        <f>VLOOKUP(A505,'[1]DANH SÁCH'!$B$8:$AC$841,9,0)</f>
        <v>HCQT</v>
      </c>
      <c r="AE505" s="69" t="str">
        <f>VLOOKUP(A505,'[1]DANH SÁCH'!$B$8:$AD$841,13,0)</f>
        <v>HĐ theo NĐ161</v>
      </c>
      <c r="AF505" s="41"/>
      <c r="AG505" s="42">
        <f>VLOOKUP(A505,'[1]DANH SÁCH'!$B$8:$H$841,7,0)</f>
        <v>0</v>
      </c>
      <c r="AH505" s="45">
        <v>2.23</v>
      </c>
      <c r="AI505" s="42">
        <v>2</v>
      </c>
      <c r="AJ505" s="70"/>
      <c r="AK505" s="69">
        <v>45689</v>
      </c>
      <c r="AL505" s="69"/>
      <c r="AM505" s="53" t="str">
        <f>VLOOKUP(A505,'[1]DANH SÁCH'!$B$8:$F$841,5,0)</f>
        <v>Lái xe</v>
      </c>
      <c r="AN505" s="53"/>
      <c r="AO505" s="53"/>
      <c r="AP505" s="53"/>
      <c r="AQ505" s="72" t="s">
        <v>113</v>
      </c>
      <c r="AR505" s="42"/>
      <c r="AS505" s="42"/>
      <c r="AT505" s="47"/>
      <c r="AU505" s="42"/>
      <c r="AV505" s="42"/>
      <c r="AW505" s="42"/>
      <c r="AX505" s="42"/>
      <c r="AY505" s="57" t="s">
        <v>87</v>
      </c>
      <c r="AZ505" s="65"/>
      <c r="BA505" s="74"/>
      <c r="BB505" s="74"/>
      <c r="BC505" s="81"/>
      <c r="BD505" s="47"/>
    </row>
    <row r="506" spans="1:56" ht="61.2" x14ac:dyDescent="0.3">
      <c r="A506" s="41" t="s">
        <v>3671</v>
      </c>
      <c r="B506" s="42">
        <f t="shared" si="110"/>
        <v>500</v>
      </c>
      <c r="C506" s="68" t="s">
        <v>3672</v>
      </c>
      <c r="D506" s="41" t="s">
        <v>3671</v>
      </c>
      <c r="E506" s="61">
        <v>2009001179</v>
      </c>
      <c r="F506" s="64"/>
      <c r="G506" s="49"/>
      <c r="H506" s="76">
        <v>31871</v>
      </c>
      <c r="I506" s="76"/>
      <c r="J506" s="66">
        <f ca="1">INT(DATEDIF(H506,'[1]Bieu 1a'!$J$2,"d")/365)</f>
        <v>39</v>
      </c>
      <c r="K506" s="75" t="s">
        <v>3673</v>
      </c>
      <c r="L506" s="41" t="s">
        <v>3674</v>
      </c>
      <c r="M506" s="53" t="s">
        <v>67</v>
      </c>
      <c r="N506" s="66" t="s">
        <v>3675</v>
      </c>
      <c r="O506" s="53" t="s">
        <v>1022</v>
      </c>
      <c r="P506" s="49" t="s">
        <v>93</v>
      </c>
      <c r="Q506" s="49" t="s">
        <v>94</v>
      </c>
      <c r="R506" s="49" t="s">
        <v>3676</v>
      </c>
      <c r="S506" s="49" t="s">
        <v>166</v>
      </c>
      <c r="T506" s="49" t="s">
        <v>97</v>
      </c>
      <c r="U506" s="49" t="s">
        <v>94</v>
      </c>
      <c r="V506" s="49" t="str">
        <f t="shared" si="185"/>
        <v>Phường Tam Thanh, Thành phố Lạng Sơn, Tỉnh Lạng Sơn</v>
      </c>
      <c r="W506" s="55" t="s">
        <v>3677</v>
      </c>
      <c r="X506" s="41"/>
      <c r="Y506" s="41"/>
      <c r="Z506" s="41"/>
      <c r="AA506" s="68">
        <f>VLOOKUP(A506,'[1]DANH SÁCH'!$B$8:$AD$841,12,0)</f>
        <v>0</v>
      </c>
      <c r="AB506" s="49" t="str">
        <f>VLOOKUP(A506,'[1]DANH SÁCH'!$B$8:$H$841,6,0)</f>
        <v>TĐ043</v>
      </c>
      <c r="AC506" s="69" t="str">
        <f>VLOOKUP(A506,'[1]DANH SÁCH'!$B$8:$J$841,9,0)</f>
        <v>HCQT</v>
      </c>
      <c r="AD506" s="69" t="str">
        <f>VLOOKUP(A506,'[1]DANH SÁCH'!$B$8:$AC$841,9,0)</f>
        <v>HCQT</v>
      </c>
      <c r="AE506" s="69" t="str">
        <f>VLOOKUP(A506,'[1]DANH SÁCH'!$B$8:$AD$841,13,0)</f>
        <v>HĐ theo NĐ161</v>
      </c>
      <c r="AF506" s="41"/>
      <c r="AG506" s="42">
        <f>VLOOKUP(A506,'[1]DANH SÁCH'!$B$8:$H$841,7,0)</f>
        <v>0</v>
      </c>
      <c r="AH506" s="45">
        <v>2.0499999999999998</v>
      </c>
      <c r="AI506" s="42">
        <v>1</v>
      </c>
      <c r="AJ506" s="70"/>
      <c r="AK506" s="69">
        <v>45689</v>
      </c>
      <c r="AL506" s="42"/>
      <c r="AM506" s="53" t="str">
        <f>VLOOKUP(A506,'[1]DANH SÁCH'!$B$8:$F$841,5,0)</f>
        <v>Lái xe</v>
      </c>
      <c r="AN506" s="53"/>
      <c r="AO506" s="53"/>
      <c r="AP506" s="53"/>
      <c r="AQ506" s="72"/>
      <c r="AR506" s="42"/>
      <c r="AS506" s="42"/>
      <c r="AT506" s="47"/>
      <c r="AU506" s="42"/>
      <c r="AV506" s="42"/>
      <c r="AW506" s="42"/>
      <c r="AX506" s="42"/>
      <c r="AY506" s="57" t="s">
        <v>85</v>
      </c>
      <c r="AZ506" s="65"/>
      <c r="BA506" s="74"/>
      <c r="BB506" s="74"/>
      <c r="BC506" s="81"/>
      <c r="BD506" s="47"/>
    </row>
    <row r="507" spans="1:56" ht="51" x14ac:dyDescent="0.3">
      <c r="A507" s="41" t="s">
        <v>3678</v>
      </c>
      <c r="B507" s="42">
        <f t="shared" si="110"/>
        <v>501</v>
      </c>
      <c r="C507" s="68" t="s">
        <v>3679</v>
      </c>
      <c r="D507" s="41" t="s">
        <v>3678</v>
      </c>
      <c r="E507" s="61">
        <v>1505002850</v>
      </c>
      <c r="F507" s="64"/>
      <c r="G507" s="49"/>
      <c r="H507" s="76">
        <v>28025</v>
      </c>
      <c r="I507" s="76"/>
      <c r="J507" s="66">
        <f ca="1">INT(DATEDIF(H507,'[1]Bieu 1a'!$J$2,"d")/365)</f>
        <v>49</v>
      </c>
      <c r="K507" s="75" t="s">
        <v>3680</v>
      </c>
      <c r="L507" s="41" t="s">
        <v>2148</v>
      </c>
      <c r="M507" s="53" t="s">
        <v>67</v>
      </c>
      <c r="N507" s="66" t="s">
        <v>3681</v>
      </c>
      <c r="O507" s="53" t="s">
        <v>1185</v>
      </c>
      <c r="P507" s="49" t="s">
        <v>195</v>
      </c>
      <c r="Q507" s="49" t="s">
        <v>94</v>
      </c>
      <c r="R507" s="49" t="s">
        <v>3682</v>
      </c>
      <c r="S507" s="49" t="s">
        <v>214</v>
      </c>
      <c r="T507" s="49" t="s">
        <v>97</v>
      </c>
      <c r="U507" s="49" t="s">
        <v>94</v>
      </c>
      <c r="V507" s="49" t="str">
        <f t="shared" si="185"/>
        <v>Xã Hoàng Đồng, Thành phố Lạng Sơn, Tỉnh Lạng Sơn</v>
      </c>
      <c r="W507" s="55" t="s">
        <v>3683</v>
      </c>
      <c r="X507" s="41"/>
      <c r="Y507" s="41"/>
      <c r="Z507" s="41"/>
      <c r="AA507" s="68">
        <f>VLOOKUP(A507,'[1]DANH SÁCH'!$B$8:$AD$841,12,0)</f>
        <v>0</v>
      </c>
      <c r="AB507" s="49" t="str">
        <f>VLOOKUP(A507,'[1]DANH SÁCH'!$B$8:$H$841,6,0)</f>
        <v>TĐ043</v>
      </c>
      <c r="AC507" s="69" t="str">
        <f>VLOOKUP(A507,'[1]DANH SÁCH'!$B$8:$J$841,9,0)</f>
        <v>HCQT</v>
      </c>
      <c r="AD507" s="69" t="str">
        <f>VLOOKUP(A507,'[1]DANH SÁCH'!$B$8:$AC$841,9,0)</f>
        <v>HCQT</v>
      </c>
      <c r="AE507" s="69" t="str">
        <f>VLOOKUP(A507,'[1]DANH SÁCH'!$B$8:$AD$841,13,0)</f>
        <v>HĐ theo NĐ161</v>
      </c>
      <c r="AF507" s="41"/>
      <c r="AG507" s="42">
        <f>VLOOKUP(A507,'[1]DANH SÁCH'!$B$8:$H$841,7,0)</f>
        <v>0</v>
      </c>
      <c r="AH507" s="45">
        <v>2.23</v>
      </c>
      <c r="AI507" s="42">
        <v>2</v>
      </c>
      <c r="AJ507" s="70"/>
      <c r="AK507" s="69">
        <v>45689</v>
      </c>
      <c r="AL507" s="69"/>
      <c r="AM507" s="53" t="str">
        <f>VLOOKUP(A507,'[1]DANH SÁCH'!$B$8:$F$841,5,0)</f>
        <v>Lái xe</v>
      </c>
      <c r="AN507" s="53"/>
      <c r="AO507" s="53"/>
      <c r="AP507" s="53"/>
      <c r="AQ507" s="72" t="s">
        <v>3684</v>
      </c>
      <c r="AR507" s="42"/>
      <c r="AS507" s="42"/>
      <c r="AT507" s="47"/>
      <c r="AU507" s="42"/>
      <c r="AV507" s="42"/>
      <c r="AW507" s="42"/>
      <c r="AX507" s="42"/>
      <c r="AY507" s="57" t="s">
        <v>85</v>
      </c>
      <c r="AZ507" s="65"/>
      <c r="BA507" s="74"/>
      <c r="BB507" s="74"/>
      <c r="BC507" s="81"/>
      <c r="BD507" s="47"/>
    </row>
    <row r="508" spans="1:56" ht="51" x14ac:dyDescent="0.3">
      <c r="A508" s="41" t="s">
        <v>3685</v>
      </c>
      <c r="B508" s="42">
        <f t="shared" si="110"/>
        <v>502</v>
      </c>
      <c r="C508" s="68" t="s">
        <v>3686</v>
      </c>
      <c r="D508" s="41" t="s">
        <v>3685</v>
      </c>
      <c r="E508" s="61">
        <v>2009000949</v>
      </c>
      <c r="F508" s="64"/>
      <c r="G508" s="49"/>
      <c r="H508" s="76">
        <v>28875</v>
      </c>
      <c r="I508" s="76"/>
      <c r="J508" s="66">
        <f ca="1">INT(DATEDIF(H508,'[1]Bieu 1a'!$J$2,"d")/365)</f>
        <v>47</v>
      </c>
      <c r="K508" s="75" t="s">
        <v>3687</v>
      </c>
      <c r="L508" s="41" t="s">
        <v>3688</v>
      </c>
      <c r="M508" s="53" t="s">
        <v>67</v>
      </c>
      <c r="N508" s="49" t="s">
        <v>174</v>
      </c>
      <c r="O508" s="53" t="s">
        <v>174</v>
      </c>
      <c r="P508" s="49" t="s">
        <v>97</v>
      </c>
      <c r="Q508" s="49" t="s">
        <v>94</v>
      </c>
      <c r="R508" s="49"/>
      <c r="S508" s="49" t="s">
        <v>174</v>
      </c>
      <c r="T508" s="49" t="s">
        <v>97</v>
      </c>
      <c r="U508" s="49" t="s">
        <v>94</v>
      </c>
      <c r="V508" s="49" t="str">
        <f t="shared" si="185"/>
        <v>Xã Mai Pha, Thành phố Lạng Sơn, Tỉnh Lạng Sơn</v>
      </c>
      <c r="W508" s="55" t="s">
        <v>98</v>
      </c>
      <c r="X508" s="41"/>
      <c r="Y508" s="41"/>
      <c r="Z508" s="41"/>
      <c r="AA508" s="68">
        <f>VLOOKUP(A508,'[1]DANH SÁCH'!$B$8:$AD$841,12,0)</f>
        <v>0</v>
      </c>
      <c r="AB508" s="49" t="str">
        <f>VLOOKUP(A508,'[1]DANH SÁCH'!$B$8:$H$841,6,0)</f>
        <v>TĐ043</v>
      </c>
      <c r="AC508" s="69" t="str">
        <f>VLOOKUP(A508,'[1]DANH SÁCH'!$B$8:$J$841,9,0)</f>
        <v>HCQT</v>
      </c>
      <c r="AD508" s="69" t="str">
        <f>VLOOKUP(A508,'[1]DANH SÁCH'!$B$8:$AC$841,9,0)</f>
        <v>HCQT</v>
      </c>
      <c r="AE508" s="69" t="str">
        <f>VLOOKUP(A508,'[1]DANH SÁCH'!$B$8:$AD$841,13,0)</f>
        <v>HĐ theo NĐ161</v>
      </c>
      <c r="AF508" s="41"/>
      <c r="AG508" s="42">
        <f>VLOOKUP(A508,'[1]DANH SÁCH'!$B$8:$H$841,7,0)</f>
        <v>0</v>
      </c>
      <c r="AH508" s="45">
        <v>2.0499999999999998</v>
      </c>
      <c r="AI508" s="42">
        <v>1</v>
      </c>
      <c r="AJ508" s="70"/>
      <c r="AK508" s="69">
        <v>45689</v>
      </c>
      <c r="AL508" s="42"/>
      <c r="AM508" s="53" t="str">
        <f>VLOOKUP(A508,'[1]DANH SÁCH'!$B$8:$F$841,5,0)</f>
        <v>Lái xe</v>
      </c>
      <c r="AN508" s="53"/>
      <c r="AO508" s="53"/>
      <c r="AP508" s="53"/>
      <c r="AQ508" s="72"/>
      <c r="AR508" s="42"/>
      <c r="AS508" s="42"/>
      <c r="AT508" s="47"/>
      <c r="AU508" s="42"/>
      <c r="AV508" s="42"/>
      <c r="AW508" s="42"/>
      <c r="AX508" s="42"/>
      <c r="AY508" s="57" t="s">
        <v>85</v>
      </c>
      <c r="AZ508" s="65"/>
      <c r="BA508" s="74"/>
      <c r="BB508" s="74"/>
      <c r="BC508" s="81"/>
      <c r="BD508" s="47"/>
    </row>
    <row r="509" spans="1:56" ht="51" x14ac:dyDescent="0.3">
      <c r="A509" s="41" t="s">
        <v>3689</v>
      </c>
      <c r="B509" s="42">
        <f t="shared" si="110"/>
        <v>503</v>
      </c>
      <c r="C509" s="68" t="s">
        <v>3690</v>
      </c>
      <c r="D509" s="41" t="s">
        <v>3689</v>
      </c>
      <c r="E509" s="61">
        <v>2013003423</v>
      </c>
      <c r="F509" s="64"/>
      <c r="G509" s="49"/>
      <c r="H509" s="76">
        <v>32070</v>
      </c>
      <c r="I509" s="76"/>
      <c r="J509" s="66">
        <f ca="1">INT(DATEDIF(H509,'[1]Bieu 1a'!$J$2,"d")/365)</f>
        <v>38</v>
      </c>
      <c r="K509" s="75" t="s">
        <v>3691</v>
      </c>
      <c r="L509" s="41" t="s">
        <v>3692</v>
      </c>
      <c r="M509" s="53" t="s">
        <v>67</v>
      </c>
      <c r="N509" s="66" t="s">
        <v>3681</v>
      </c>
      <c r="O509" s="53" t="s">
        <v>1185</v>
      </c>
      <c r="P509" s="49" t="s">
        <v>195</v>
      </c>
      <c r="Q509" s="49" t="s">
        <v>94</v>
      </c>
      <c r="R509" s="49" t="s">
        <v>3693</v>
      </c>
      <c r="S509" s="49" t="s">
        <v>1185</v>
      </c>
      <c r="T509" s="49" t="s">
        <v>195</v>
      </c>
      <c r="U509" s="49" t="s">
        <v>94</v>
      </c>
      <c r="V509" s="49" t="str">
        <f t="shared" si="185"/>
        <v>Xã Quốc Việt, Huyện Tràng Định, Tỉnh Lạng Sơn</v>
      </c>
      <c r="W509" s="86" t="s">
        <v>3694</v>
      </c>
      <c r="X509" s="41"/>
      <c r="Y509" s="41"/>
      <c r="Z509" s="41"/>
      <c r="AA509" s="68">
        <f>VLOOKUP(A509,'[1]DANH SÁCH'!$B$8:$AD$841,12,0)</f>
        <v>0</v>
      </c>
      <c r="AB509" s="49" t="str">
        <f>VLOOKUP(A509,'[1]DANH SÁCH'!$B$8:$H$841,6,0)</f>
        <v>TĐ043</v>
      </c>
      <c r="AC509" s="69" t="str">
        <f>VLOOKUP(A509,'[1]DANH SÁCH'!$B$8:$J$841,9,0)</f>
        <v>HCQT</v>
      </c>
      <c r="AD509" s="69" t="str">
        <f>VLOOKUP(A509,'[1]DANH SÁCH'!$B$8:$AC$841,9,0)</f>
        <v>HCQT</v>
      </c>
      <c r="AE509" s="69" t="str">
        <f>VLOOKUP(A509,'[1]DANH SÁCH'!$B$8:$AD$841,13,0)</f>
        <v>HĐ theo NĐ161</v>
      </c>
      <c r="AF509" s="41"/>
      <c r="AG509" s="42">
        <f>VLOOKUP(A509,'[1]DANH SÁCH'!$B$8:$H$841,7,0)</f>
        <v>0</v>
      </c>
      <c r="AH509" s="45">
        <v>2.0499999999999998</v>
      </c>
      <c r="AI509" s="42">
        <v>1</v>
      </c>
      <c r="AJ509" s="70"/>
      <c r="AK509" s="69">
        <v>45689</v>
      </c>
      <c r="AL509" s="42"/>
      <c r="AM509" s="53" t="str">
        <f>VLOOKUP(A509,'[1]DANH SÁCH'!$B$8:$F$841,5,0)</f>
        <v>Lái xe</v>
      </c>
      <c r="AN509" s="53"/>
      <c r="AO509" s="53"/>
      <c r="AP509" s="53"/>
      <c r="AQ509" s="72" t="s">
        <v>113</v>
      </c>
      <c r="AR509" s="42"/>
      <c r="AS509" s="42"/>
      <c r="AT509" s="47"/>
      <c r="AU509" s="42"/>
      <c r="AV509" s="42"/>
      <c r="AW509" s="42"/>
      <c r="AX509" s="42" t="s">
        <v>3695</v>
      </c>
      <c r="AY509" s="57" t="s">
        <v>85</v>
      </c>
      <c r="AZ509" s="65"/>
      <c r="BA509" s="74"/>
      <c r="BB509" s="74"/>
      <c r="BC509" s="81"/>
      <c r="BD509" s="47"/>
    </row>
    <row r="510" spans="1:56" ht="51" x14ac:dyDescent="0.3">
      <c r="A510" s="41" t="s">
        <v>3696</v>
      </c>
      <c r="B510" s="42">
        <f t="shared" si="110"/>
        <v>504</v>
      </c>
      <c r="C510" s="68" t="s">
        <v>3697</v>
      </c>
      <c r="D510" s="41" t="s">
        <v>3696</v>
      </c>
      <c r="E510" s="61">
        <v>2015003319</v>
      </c>
      <c r="F510" s="64"/>
      <c r="G510" s="49"/>
      <c r="H510" s="76" t="s">
        <v>3698</v>
      </c>
      <c r="I510" s="76"/>
      <c r="J510" s="66">
        <f ca="1">INT(DATEDIF(H510,'[1]Bieu 1a'!$J$2,"d")/365)</f>
        <v>36</v>
      </c>
      <c r="K510" s="75" t="s">
        <v>3699</v>
      </c>
      <c r="L510" s="41" t="s">
        <v>3700</v>
      </c>
      <c r="M510" s="53" t="s">
        <v>67</v>
      </c>
      <c r="N510" s="66" t="s">
        <v>1379</v>
      </c>
      <c r="O510" s="139" t="s">
        <v>1379</v>
      </c>
      <c r="P510" s="76" t="s">
        <v>1193</v>
      </c>
      <c r="Q510" s="49" t="s">
        <v>94</v>
      </c>
      <c r="R510" s="66" t="s">
        <v>1379</v>
      </c>
      <c r="S510" s="66" t="s">
        <v>1379</v>
      </c>
      <c r="T510" s="76" t="s">
        <v>1193</v>
      </c>
      <c r="U510" s="49" t="s">
        <v>94</v>
      </c>
      <c r="V510" s="49" t="s">
        <v>3701</v>
      </c>
      <c r="W510" s="55" t="s">
        <v>3702</v>
      </c>
      <c r="X510" s="78"/>
      <c r="Y510" s="78"/>
      <c r="Z510" s="78"/>
      <c r="AA510" s="68">
        <f>VLOOKUP(A510,'[1]DANH SÁCH'!$B$8:$AD$841,12,0)</f>
        <v>0</v>
      </c>
      <c r="AB510" s="49" t="str">
        <f>VLOOKUP(A510,'[1]DANH SÁCH'!$B$8:$H$841,6,0)</f>
        <v>TĐ043</v>
      </c>
      <c r="AC510" s="69" t="str">
        <f>VLOOKUP(A510,'[1]DANH SÁCH'!$B$8:$J$841,9,0)</f>
        <v>HCQT</v>
      </c>
      <c r="AD510" s="69" t="str">
        <f>VLOOKUP(A510,'[1]DANH SÁCH'!$B$8:$AC$841,9,0)</f>
        <v>HCQT</v>
      </c>
      <c r="AE510" s="69" t="str">
        <f>VLOOKUP(A510,'[1]DANH SÁCH'!$B$8:$AD$841,13,0)</f>
        <v>HĐ theo NĐ161</v>
      </c>
      <c r="AF510" s="41"/>
      <c r="AG510" s="42">
        <f>VLOOKUP(A510,'[1]DANH SÁCH'!$B$8:$H$841,7,0)</f>
        <v>0</v>
      </c>
      <c r="AH510" s="45">
        <v>2.0499999999999998</v>
      </c>
      <c r="AI510" s="42">
        <v>1</v>
      </c>
      <c r="AJ510" s="70"/>
      <c r="AK510" s="69">
        <v>45689</v>
      </c>
      <c r="AL510" s="69"/>
      <c r="AM510" s="53" t="str">
        <f>VLOOKUP(A510,'[1]DANH SÁCH'!$B$8:$F$841,5,0)</f>
        <v>Lái xe</v>
      </c>
      <c r="AN510" s="53"/>
      <c r="AO510" s="53"/>
      <c r="AP510" s="53"/>
      <c r="AQ510" s="72" t="s">
        <v>113</v>
      </c>
      <c r="AR510" s="41"/>
      <c r="AS510" s="41"/>
      <c r="AT510" s="47"/>
      <c r="AU510" s="42"/>
      <c r="AV510" s="42"/>
      <c r="AW510" s="42"/>
      <c r="AX510" s="42"/>
      <c r="AY510" s="57" t="s">
        <v>85</v>
      </c>
      <c r="AZ510" s="65"/>
      <c r="BA510" s="74"/>
      <c r="BB510" s="74"/>
      <c r="BC510" s="81"/>
      <c r="BD510" s="47"/>
    </row>
    <row r="511" spans="1:56" ht="51" x14ac:dyDescent="0.3">
      <c r="A511" s="41" t="s">
        <v>3703</v>
      </c>
      <c r="B511" s="42">
        <f t="shared" si="110"/>
        <v>505</v>
      </c>
      <c r="C511" s="68" t="s">
        <v>3704</v>
      </c>
      <c r="D511" s="41" t="s">
        <v>3703</v>
      </c>
      <c r="E511" s="61">
        <v>1505002505</v>
      </c>
      <c r="F511" s="64"/>
      <c r="G511" s="49" t="s">
        <v>3705</v>
      </c>
      <c r="H511" s="76">
        <v>29731</v>
      </c>
      <c r="I511" s="76"/>
      <c r="J511" s="66">
        <f ca="1">INT(DATEDIF(H511,'[1]Bieu 1a'!$J$2,"d")/365)</f>
        <v>45</v>
      </c>
      <c r="K511" s="75" t="s">
        <v>3706</v>
      </c>
      <c r="L511" s="41" t="s">
        <v>3707</v>
      </c>
      <c r="M511" s="53" t="s">
        <v>67</v>
      </c>
      <c r="N511" s="66" t="s">
        <v>3708</v>
      </c>
      <c r="O511" s="53" t="s">
        <v>3709</v>
      </c>
      <c r="P511" s="49" t="s">
        <v>3710</v>
      </c>
      <c r="Q511" s="49" t="s">
        <v>1551</v>
      </c>
      <c r="R511" s="49" t="s">
        <v>3711</v>
      </c>
      <c r="S511" s="49" t="s">
        <v>136</v>
      </c>
      <c r="T511" s="49" t="s">
        <v>97</v>
      </c>
      <c r="U511" s="49" t="s">
        <v>94</v>
      </c>
      <c r="V511" s="49" t="str">
        <f t="shared" ref="V511:V519" si="186">S511&amp;", "&amp;T511&amp;", "&amp;U511</f>
        <v>Phường Chi Lăng, Thành phố Lạng Sơn, Tỉnh Lạng Sơn</v>
      </c>
      <c r="W511" s="55" t="s">
        <v>3712</v>
      </c>
      <c r="X511" s="41"/>
      <c r="Y511" s="41"/>
      <c r="Z511" s="41"/>
      <c r="AA511" s="68">
        <f>VLOOKUP(A511,'[1]DANH SÁCH'!$B$8:$AD$841,12,0)</f>
        <v>0</v>
      </c>
      <c r="AB511" s="49" t="str">
        <f>VLOOKUP(A511,'[1]DANH SÁCH'!$B$8:$H$841,6,0)</f>
        <v>TĐ046</v>
      </c>
      <c r="AC511" s="69" t="str">
        <f>VLOOKUP(A511,'[1]DANH SÁCH'!$B$8:$J$841,9,0)</f>
        <v>HCQT</v>
      </c>
      <c r="AD511" s="69" t="str">
        <f>VLOOKUP(A511,'[1]DANH SÁCH'!$B$8:$AC$841,9,0)</f>
        <v>HCQT</v>
      </c>
      <c r="AE511" s="69" t="str">
        <f>VLOOKUP(A511,'[1]DANH SÁCH'!$B$8:$AD$841,13,0)</f>
        <v>HĐ theo NĐ161</v>
      </c>
      <c r="AF511" s="41"/>
      <c r="AG511" s="42">
        <f>VLOOKUP(A511,'[1]DANH SÁCH'!$B$8:$H$841,7,0)</f>
        <v>0</v>
      </c>
      <c r="AH511" s="45">
        <v>1.83</v>
      </c>
      <c r="AI511" s="42">
        <v>2</v>
      </c>
      <c r="AJ511" s="70"/>
      <c r="AK511" s="69">
        <v>45689</v>
      </c>
      <c r="AL511" s="71" t="s">
        <v>3713</v>
      </c>
      <c r="AM511" s="53" t="str">
        <f>VLOOKUP(A511,'[1]DANH SÁCH'!$B$8:$F$841,5,0)</f>
        <v>NVKT</v>
      </c>
      <c r="AN511" s="53"/>
      <c r="AO511" s="53" t="s">
        <v>3714</v>
      </c>
      <c r="AP511" s="53">
        <v>2003</v>
      </c>
      <c r="AQ511" s="72" t="s">
        <v>113</v>
      </c>
      <c r="AR511" s="42"/>
      <c r="AS511" s="42"/>
      <c r="AT511" s="47"/>
      <c r="AU511" s="42"/>
      <c r="AV511" s="42"/>
      <c r="AW511" s="42" t="s">
        <v>57</v>
      </c>
      <c r="AX511" s="42"/>
      <c r="AY511" s="57" t="s">
        <v>85</v>
      </c>
      <c r="AZ511" s="65"/>
      <c r="BA511" s="74"/>
      <c r="BB511" s="74"/>
      <c r="BC511" s="81"/>
      <c r="BD511" s="47"/>
    </row>
    <row r="512" spans="1:56" ht="61.2" x14ac:dyDescent="0.3">
      <c r="A512" s="41" t="s">
        <v>3715</v>
      </c>
      <c r="B512" s="42">
        <f t="shared" si="110"/>
        <v>506</v>
      </c>
      <c r="C512" s="68" t="s">
        <v>3716</v>
      </c>
      <c r="D512" s="41" t="s">
        <v>3715</v>
      </c>
      <c r="E512" s="61">
        <v>2010000197</v>
      </c>
      <c r="F512" s="64"/>
      <c r="G512" s="49" t="s">
        <v>3717</v>
      </c>
      <c r="H512" s="76">
        <v>30754</v>
      </c>
      <c r="I512" s="76"/>
      <c r="J512" s="66">
        <f ca="1">INT(DATEDIF(H512,'[1]Bieu 1a'!$J$2,"d")/365)</f>
        <v>42</v>
      </c>
      <c r="K512" s="75" t="s">
        <v>3718</v>
      </c>
      <c r="L512" s="41" t="s">
        <v>3719</v>
      </c>
      <c r="M512" s="53" t="s">
        <v>67</v>
      </c>
      <c r="N512" s="66" t="s">
        <v>3720</v>
      </c>
      <c r="O512" s="85" t="s">
        <v>3721</v>
      </c>
      <c r="P512" s="49" t="s">
        <v>195</v>
      </c>
      <c r="Q512" s="76" t="s">
        <v>94</v>
      </c>
      <c r="R512" s="49"/>
      <c r="S512" s="76" t="s">
        <v>96</v>
      </c>
      <c r="T512" s="76" t="s">
        <v>97</v>
      </c>
      <c r="U512" s="76" t="s">
        <v>94</v>
      </c>
      <c r="V512" s="49" t="str">
        <f t="shared" si="186"/>
        <v>Phường Hoàng Văn Thụ, Thành phố Lạng Sơn, Tỉnh Lạng Sơn</v>
      </c>
      <c r="W512" s="55" t="s">
        <v>3722</v>
      </c>
      <c r="X512" s="41"/>
      <c r="Y512" s="41"/>
      <c r="Z512" s="41"/>
      <c r="AA512" s="68">
        <f>VLOOKUP(A512,'[1]DANH SÁCH'!$B$8:$AD$841,12,0)</f>
        <v>0</v>
      </c>
      <c r="AB512" s="49" t="str">
        <f>VLOOKUP(A512,'[1]DANH SÁCH'!$B$8:$H$841,6,0)</f>
        <v>TĐ046</v>
      </c>
      <c r="AC512" s="69" t="str">
        <f>VLOOKUP(A512,'[1]DANH SÁCH'!$B$8:$J$841,9,0)</f>
        <v>HCQT</v>
      </c>
      <c r="AD512" s="69" t="str">
        <f>VLOOKUP(A512,'[1]DANH SÁCH'!$B$8:$AC$841,9,0)</f>
        <v>HCQT</v>
      </c>
      <c r="AE512" s="69" t="str">
        <f>VLOOKUP(A512,'[1]DANH SÁCH'!$B$8:$AD$841,13,0)</f>
        <v>HĐ theo NĐ161</v>
      </c>
      <c r="AF512" s="41"/>
      <c r="AG512" s="42">
        <f>VLOOKUP(A512,'[1]DANH SÁCH'!$B$8:$H$841,7,0)</f>
        <v>0</v>
      </c>
      <c r="AH512" s="45">
        <v>1.65</v>
      </c>
      <c r="AI512" s="42">
        <v>1</v>
      </c>
      <c r="AJ512" s="70"/>
      <c r="AK512" s="69">
        <v>45689</v>
      </c>
      <c r="AL512" s="71" t="s">
        <v>3713</v>
      </c>
      <c r="AM512" s="53" t="str">
        <f>VLOOKUP(A512,'[1]DANH SÁCH'!$B$8:$F$841,5,0)</f>
        <v>NVKT</v>
      </c>
      <c r="AN512" s="53"/>
      <c r="AO512" s="53" t="s">
        <v>3723</v>
      </c>
      <c r="AP512" s="53">
        <v>2007</v>
      </c>
      <c r="AQ512" s="72" t="s">
        <v>113</v>
      </c>
      <c r="AR512" s="42"/>
      <c r="AS512" s="42"/>
      <c r="AT512" s="47"/>
      <c r="AU512" s="42"/>
      <c r="AV512" s="42"/>
      <c r="AW512" s="42"/>
      <c r="AX512" s="42"/>
      <c r="AY512" s="57" t="s">
        <v>85</v>
      </c>
      <c r="AZ512" s="65">
        <v>38523</v>
      </c>
      <c r="BA512" s="74"/>
      <c r="BB512" s="74"/>
      <c r="BC512" s="81"/>
      <c r="BD512" s="47"/>
    </row>
    <row r="513" spans="1:56" ht="91.8" x14ac:dyDescent="0.3">
      <c r="A513" s="41" t="s">
        <v>3724</v>
      </c>
      <c r="B513" s="42">
        <f t="shared" si="110"/>
        <v>507</v>
      </c>
      <c r="C513" s="68" t="s">
        <v>3725</v>
      </c>
      <c r="D513" s="41" t="s">
        <v>3724</v>
      </c>
      <c r="E513" s="61">
        <v>1504000564</v>
      </c>
      <c r="F513" s="64"/>
      <c r="G513" s="49"/>
      <c r="H513" s="76">
        <v>26740</v>
      </c>
      <c r="I513" s="76"/>
      <c r="J513" s="66">
        <f ca="1">INT(DATEDIF(H513,'[1]Bieu 1a'!$J$2,"d")/365)</f>
        <v>53</v>
      </c>
      <c r="K513" s="75" t="s">
        <v>3726</v>
      </c>
      <c r="L513" s="41" t="s">
        <v>3727</v>
      </c>
      <c r="M513" s="53" t="s">
        <v>67</v>
      </c>
      <c r="N513" s="66" t="s">
        <v>74</v>
      </c>
      <c r="O513" s="53" t="s">
        <v>3728</v>
      </c>
      <c r="P513" s="76" t="s">
        <v>3729</v>
      </c>
      <c r="Q513" s="49" t="s">
        <v>94</v>
      </c>
      <c r="R513" s="49" t="s">
        <v>3730</v>
      </c>
      <c r="S513" s="49" t="s">
        <v>136</v>
      </c>
      <c r="T513" s="49" t="s">
        <v>97</v>
      </c>
      <c r="U513" s="49" t="s">
        <v>94</v>
      </c>
      <c r="V513" s="49" t="str">
        <f t="shared" si="186"/>
        <v>Phường Chi Lăng, Thành phố Lạng Sơn, Tỉnh Lạng Sơn</v>
      </c>
      <c r="W513" s="55" t="s">
        <v>2664</v>
      </c>
      <c r="X513" s="41"/>
      <c r="Y513" s="41"/>
      <c r="Z513" s="41"/>
      <c r="AA513" s="68">
        <f>VLOOKUP(A513,'[1]DANH SÁCH'!$B$8:$AD$841,12,0)</f>
        <v>0</v>
      </c>
      <c r="AB513" s="49" t="str">
        <f>VLOOKUP(A513,'[1]DANH SÁCH'!$B$8:$H$841,6,0)</f>
        <v>TĐ046</v>
      </c>
      <c r="AC513" s="69" t="str">
        <f>VLOOKUP(A513,'[1]DANH SÁCH'!$B$8:$J$841,9,0)</f>
        <v>VT-TTBYT</v>
      </c>
      <c r="AD513" s="69" t="str">
        <f>VLOOKUP(A513,'[1]DANH SÁCH'!$B$8:$AC$841,9,0)</f>
        <v>VT-TTBYT</v>
      </c>
      <c r="AE513" s="69" t="str">
        <f>VLOOKUP(A513,'[1]DANH SÁCH'!$B$8:$AD$841,13,0)</f>
        <v>HĐ theo NĐ161</v>
      </c>
      <c r="AF513" s="41"/>
      <c r="AG513" s="42">
        <f>VLOOKUP(A513,'[1]DANH SÁCH'!$B$8:$H$841,7,0)</f>
        <v>0</v>
      </c>
      <c r="AH513" s="45">
        <v>1.83</v>
      </c>
      <c r="AI513" s="42">
        <v>2</v>
      </c>
      <c r="AJ513" s="70"/>
      <c r="AK513" s="69">
        <v>45689</v>
      </c>
      <c r="AL513" s="71" t="s">
        <v>3713</v>
      </c>
      <c r="AM513" s="53" t="str">
        <f>VLOOKUP(A513,'[1]DANH SÁCH'!$B$8:$F$841,5,0)</f>
        <v>NVKT</v>
      </c>
      <c r="AN513" s="53"/>
      <c r="AO513" s="53" t="s">
        <v>3731</v>
      </c>
      <c r="AP513" s="53">
        <v>1999</v>
      </c>
      <c r="AQ513" s="72" t="s">
        <v>113</v>
      </c>
      <c r="AR513" s="42"/>
      <c r="AS513" s="42"/>
      <c r="AT513" s="47"/>
      <c r="AU513" s="42"/>
      <c r="AV513" s="42"/>
      <c r="AW513" s="42" t="s">
        <v>57</v>
      </c>
      <c r="AX513" s="42" t="s">
        <v>3732</v>
      </c>
      <c r="AY513" s="57" t="s">
        <v>87</v>
      </c>
      <c r="AZ513" s="65"/>
      <c r="BA513" s="74"/>
      <c r="BB513" s="74"/>
      <c r="BC513" s="81"/>
      <c r="BD513" s="47"/>
    </row>
    <row r="514" spans="1:56" ht="51" x14ac:dyDescent="0.3">
      <c r="A514" s="41" t="s">
        <v>3733</v>
      </c>
      <c r="B514" s="42">
        <f t="shared" si="110"/>
        <v>508</v>
      </c>
      <c r="C514" s="68" t="s">
        <v>3734</v>
      </c>
      <c r="D514" s="41" t="s">
        <v>3733</v>
      </c>
      <c r="E514" s="61">
        <v>2009000950</v>
      </c>
      <c r="F514" s="64"/>
      <c r="G514" s="49"/>
      <c r="H514" s="76">
        <v>32455</v>
      </c>
      <c r="I514" s="76"/>
      <c r="J514" s="66">
        <f ca="1">INT(DATEDIF(H514,'[1]Bieu 1a'!$J$2,"d")/365)</f>
        <v>37</v>
      </c>
      <c r="K514" s="75" t="s">
        <v>3735</v>
      </c>
      <c r="L514" s="41" t="s">
        <v>3736</v>
      </c>
      <c r="M514" s="53" t="s">
        <v>67</v>
      </c>
      <c r="N514" s="66" t="s">
        <v>3737</v>
      </c>
      <c r="O514" s="53" t="s">
        <v>3738</v>
      </c>
      <c r="P514" s="49" t="s">
        <v>3739</v>
      </c>
      <c r="Q514" s="49" t="s">
        <v>544</v>
      </c>
      <c r="R514" s="49" t="s">
        <v>3740</v>
      </c>
      <c r="S514" s="49" t="s">
        <v>73</v>
      </c>
      <c r="T514" s="49" t="s">
        <v>97</v>
      </c>
      <c r="U514" s="49" t="s">
        <v>94</v>
      </c>
      <c r="V514" s="49" t="str">
        <f t="shared" si="186"/>
        <v>Phường Vĩnh Trại, Thành phố Lạng Sơn, Tỉnh Lạng Sơn</v>
      </c>
      <c r="W514" s="55" t="s">
        <v>98</v>
      </c>
      <c r="X514" s="41"/>
      <c r="Y514" s="41"/>
      <c r="Z514" s="41"/>
      <c r="AA514" s="68">
        <f>VLOOKUP(A514,'[1]DANH SÁCH'!$B$8:$AD$841,12,0)</f>
        <v>0</v>
      </c>
      <c r="AB514" s="49" t="str">
        <f>VLOOKUP(A514,'[1]DANH SÁCH'!$B$8:$H$841,6,0)</f>
        <v>TĐ046</v>
      </c>
      <c r="AC514" s="69" t="str">
        <f>VLOOKUP(A514,'[1]DANH SÁCH'!$B$8:$J$841,9,0)</f>
        <v>VT-TTBYT</v>
      </c>
      <c r="AD514" s="69" t="str">
        <f>VLOOKUP(A514,'[1]DANH SÁCH'!$B$8:$AC$841,9,0)</f>
        <v>VT-TTBYT</v>
      </c>
      <c r="AE514" s="69" t="str">
        <f>VLOOKUP(A514,'[1]DANH SÁCH'!$B$8:$AD$841,13,0)</f>
        <v>HĐ theo NĐ161</v>
      </c>
      <c r="AF514" s="41"/>
      <c r="AG514" s="42">
        <f>VLOOKUP(A514,'[1]DANH SÁCH'!$B$8:$H$841,7,0)</f>
        <v>0</v>
      </c>
      <c r="AH514" s="45" t="s">
        <v>1591</v>
      </c>
      <c r="AI514" s="42">
        <v>4</v>
      </c>
      <c r="AJ514" s="70"/>
      <c r="AK514" s="69">
        <v>45261</v>
      </c>
      <c r="AL514" s="71" t="s">
        <v>3713</v>
      </c>
      <c r="AM514" s="53" t="str">
        <f>VLOOKUP(A514,'[1]DANH SÁCH'!$B$8:$F$841,5,0)</f>
        <v>NVKT</v>
      </c>
      <c r="AN514" s="53"/>
      <c r="AO514" s="53" t="s">
        <v>3741</v>
      </c>
      <c r="AP514" s="53">
        <v>2008</v>
      </c>
      <c r="AQ514" s="72" t="s">
        <v>113</v>
      </c>
      <c r="AR514" s="42"/>
      <c r="AS514" s="42"/>
      <c r="AT514" s="47"/>
      <c r="AU514" s="42"/>
      <c r="AV514" s="42"/>
      <c r="AW514" s="42" t="s">
        <v>86</v>
      </c>
      <c r="AX514" s="42"/>
      <c r="AY514" s="57" t="s">
        <v>87</v>
      </c>
      <c r="AZ514" s="65"/>
      <c r="BA514" s="74"/>
      <c r="BB514" s="74"/>
      <c r="BC514" s="81"/>
      <c r="BD514" s="47"/>
    </row>
    <row r="515" spans="1:56" ht="51" x14ac:dyDescent="0.3">
      <c r="A515" s="41" t="s">
        <v>3742</v>
      </c>
      <c r="B515" s="42">
        <f t="shared" si="110"/>
        <v>509</v>
      </c>
      <c r="C515" s="68" t="s">
        <v>3743</v>
      </c>
      <c r="D515" s="41" t="s">
        <v>3742</v>
      </c>
      <c r="E515" s="61">
        <v>1507000017</v>
      </c>
      <c r="F515" s="64"/>
      <c r="G515" s="49"/>
      <c r="H515" s="76"/>
      <c r="I515" s="76">
        <v>30269</v>
      </c>
      <c r="J515" s="66">
        <f ca="1">INT(DATEDIF(I515,'[1]Bieu 1a'!$J$2,"d")/365)</f>
        <v>43</v>
      </c>
      <c r="K515" s="75" t="s">
        <v>3744</v>
      </c>
      <c r="L515" s="41" t="s">
        <v>3745</v>
      </c>
      <c r="M515" s="53" t="s">
        <v>67</v>
      </c>
      <c r="N515" s="66"/>
      <c r="O515" s="53" t="s">
        <v>174</v>
      </c>
      <c r="P515" s="49" t="s">
        <v>97</v>
      </c>
      <c r="Q515" s="49" t="s">
        <v>94</v>
      </c>
      <c r="R515" s="49"/>
      <c r="S515" s="49" t="s">
        <v>174</v>
      </c>
      <c r="T515" s="49" t="s">
        <v>97</v>
      </c>
      <c r="U515" s="49" t="s">
        <v>94</v>
      </c>
      <c r="V515" s="49" t="str">
        <f t="shared" si="186"/>
        <v>Xã Mai Pha, Thành phố Lạng Sơn, Tỉnh Lạng Sơn</v>
      </c>
      <c r="W515" s="55" t="s">
        <v>3746</v>
      </c>
      <c r="X515" s="41"/>
      <c r="Y515" s="41"/>
      <c r="Z515" s="41"/>
      <c r="AA515" s="68">
        <f>VLOOKUP(A515,'[1]DANH SÁCH'!$B$8:$AD$841,12,0)</f>
        <v>0</v>
      </c>
      <c r="AB515" s="49" t="str">
        <f>VLOOKUP(A515,'[1]DANH SÁCH'!$B$8:$H$841,6,0)</f>
        <v>TĐ047</v>
      </c>
      <c r="AC515" s="69" t="str">
        <f>VLOOKUP(A515,'[1]DANH SÁCH'!$B$8:$J$841,9,0)</f>
        <v>Cấp Cứu</v>
      </c>
      <c r="AD515" s="69" t="str">
        <f>VLOOKUP(A515,'[1]DANH SÁCH'!$B$8:$AC$841,9,0)</f>
        <v>Cấp Cứu</v>
      </c>
      <c r="AE515" s="69" t="str">
        <f>VLOOKUP(A515,'[1]DANH SÁCH'!$B$8:$AD$841,13,0)</f>
        <v>HĐ theo NĐ161</v>
      </c>
      <c r="AF515" s="41"/>
      <c r="AG515" s="42">
        <f>VLOOKUP(A515,'[1]DANH SÁCH'!$B$8:$H$841,7,0)</f>
        <v>0</v>
      </c>
      <c r="AH515" s="45">
        <v>1.83</v>
      </c>
      <c r="AI515" s="42">
        <v>2</v>
      </c>
      <c r="AJ515" s="70"/>
      <c r="AK515" s="69">
        <v>45689</v>
      </c>
      <c r="AL515" s="71" t="s">
        <v>3622</v>
      </c>
      <c r="AM515" s="53" t="str">
        <f>VLOOKUP(A515,'[1]DANH SÁCH'!$B$8:$F$841,5,0)</f>
        <v>Hộ Lý</v>
      </c>
      <c r="AN515" s="53"/>
      <c r="AO515" s="53"/>
      <c r="AP515" s="53"/>
      <c r="AQ515" s="72"/>
      <c r="AR515" s="42"/>
      <c r="AS515" s="42"/>
      <c r="AT515" s="47"/>
      <c r="AU515" s="42"/>
      <c r="AV515" s="42"/>
      <c r="AW515" s="42"/>
      <c r="AX515" s="42"/>
      <c r="AY515" s="57" t="s">
        <v>85</v>
      </c>
      <c r="AZ515" s="65"/>
      <c r="BA515" s="74"/>
      <c r="BB515" s="74"/>
      <c r="BC515" s="81"/>
      <c r="BD515" s="47"/>
    </row>
    <row r="516" spans="1:56" ht="61.2" x14ac:dyDescent="0.3">
      <c r="A516" s="41" t="s">
        <v>3747</v>
      </c>
      <c r="B516" s="42">
        <f t="shared" si="110"/>
        <v>510</v>
      </c>
      <c r="C516" s="68" t="s">
        <v>3748</v>
      </c>
      <c r="D516" s="41" t="s">
        <v>3747</v>
      </c>
      <c r="E516" s="61">
        <v>2009001784</v>
      </c>
      <c r="F516" s="64"/>
      <c r="G516" s="49"/>
      <c r="H516" s="76"/>
      <c r="I516" s="76">
        <v>27956</v>
      </c>
      <c r="J516" s="66">
        <f ca="1">INT(DATEDIF(I516,'[1]Bieu 1a'!$J$2,"d")/365)</f>
        <v>50</v>
      </c>
      <c r="K516" s="75" t="s">
        <v>3749</v>
      </c>
      <c r="L516" s="41" t="s">
        <v>3750</v>
      </c>
      <c r="M516" s="53" t="s">
        <v>67</v>
      </c>
      <c r="N516" s="66"/>
      <c r="O516" s="53"/>
      <c r="P516" s="49" t="s">
        <v>182</v>
      </c>
      <c r="Q516" s="49" t="s">
        <v>94</v>
      </c>
      <c r="R516" s="49"/>
      <c r="S516" s="49" t="s">
        <v>166</v>
      </c>
      <c r="T516" s="49" t="s">
        <v>97</v>
      </c>
      <c r="U516" s="49" t="s">
        <v>94</v>
      </c>
      <c r="V516" s="49" t="str">
        <f t="shared" si="186"/>
        <v>Phường Tam Thanh, Thành phố Lạng Sơn, Tỉnh Lạng Sơn</v>
      </c>
      <c r="W516" s="55" t="s">
        <v>3751</v>
      </c>
      <c r="X516" s="41"/>
      <c r="Y516" s="41"/>
      <c r="Z516" s="41"/>
      <c r="AA516" s="68">
        <f>VLOOKUP(A516,'[1]DANH SÁCH'!$B$8:$AD$841,12,0)</f>
        <v>0</v>
      </c>
      <c r="AB516" s="49" t="str">
        <f>VLOOKUP(A516,'[1]DANH SÁCH'!$B$8:$H$841,6,0)</f>
        <v>TĐ047</v>
      </c>
      <c r="AC516" s="69" t="str">
        <f>VLOOKUP(A516,'[1]DANH SÁCH'!$B$8:$J$841,9,0)</f>
        <v>GPB</v>
      </c>
      <c r="AD516" s="69" t="str">
        <f>VLOOKUP(A516,'[1]DANH SÁCH'!$B$8:$AC$841,9,0)</f>
        <v>GPB</v>
      </c>
      <c r="AE516" s="69" t="str">
        <f>VLOOKUP(A516,'[1]DANH SÁCH'!$B$8:$AD$841,13,0)</f>
        <v>HĐ theo NĐ161</v>
      </c>
      <c r="AF516" s="41"/>
      <c r="AG516" s="42">
        <f>VLOOKUP(A516,'[1]DANH SÁCH'!$B$8:$H$841,7,0)</f>
        <v>0</v>
      </c>
      <c r="AH516" s="45">
        <v>1.83</v>
      </c>
      <c r="AI516" s="42">
        <v>2</v>
      </c>
      <c r="AJ516" s="70"/>
      <c r="AK516" s="69">
        <v>45689</v>
      </c>
      <c r="AL516" s="71" t="s">
        <v>3622</v>
      </c>
      <c r="AM516" s="53" t="str">
        <f>VLOOKUP(A516,'[1]DANH SÁCH'!$B$8:$F$841,5,0)</f>
        <v>Hộ Lý</v>
      </c>
      <c r="AN516" s="53"/>
      <c r="AO516" s="53"/>
      <c r="AP516" s="53"/>
      <c r="AQ516" s="72"/>
      <c r="AR516" s="42"/>
      <c r="AS516" s="42"/>
      <c r="AT516" s="47"/>
      <c r="AU516" s="42"/>
      <c r="AV516" s="42"/>
      <c r="AW516" s="42"/>
      <c r="AX516" s="42"/>
      <c r="AY516" s="57" t="s">
        <v>85</v>
      </c>
      <c r="AZ516" s="65"/>
      <c r="BA516" s="74"/>
      <c r="BB516" s="74"/>
      <c r="BC516" s="81"/>
      <c r="BD516" s="47"/>
    </row>
    <row r="517" spans="1:56" ht="61.2" x14ac:dyDescent="0.3">
      <c r="A517" s="41" t="s">
        <v>3752</v>
      </c>
      <c r="B517" s="42">
        <f t="shared" ref="B517:B771" si="187">ROW()-6</f>
        <v>511</v>
      </c>
      <c r="C517" s="68" t="s">
        <v>3753</v>
      </c>
      <c r="D517" s="41" t="s">
        <v>3752</v>
      </c>
      <c r="E517" s="61">
        <v>1505002504</v>
      </c>
      <c r="F517" s="64"/>
      <c r="G517" s="49"/>
      <c r="H517" s="76"/>
      <c r="I517" s="76">
        <v>29953</v>
      </c>
      <c r="J517" s="66">
        <f ca="1">INT(DATEDIF(I517,'[1]Bieu 1a'!$J$2,"d")/365)</f>
        <v>44</v>
      </c>
      <c r="K517" s="75" t="s">
        <v>3754</v>
      </c>
      <c r="L517" s="41" t="s">
        <v>2386</v>
      </c>
      <c r="M517" s="53" t="s">
        <v>67</v>
      </c>
      <c r="N517" s="66"/>
      <c r="O517" s="53"/>
      <c r="P517" s="49" t="s">
        <v>108</v>
      </c>
      <c r="Q517" s="49" t="s">
        <v>94</v>
      </c>
      <c r="R517" s="49"/>
      <c r="S517" s="49" t="s">
        <v>166</v>
      </c>
      <c r="T517" s="49" t="s">
        <v>97</v>
      </c>
      <c r="U517" s="49" t="s">
        <v>94</v>
      </c>
      <c r="V517" s="49" t="str">
        <f t="shared" si="186"/>
        <v>Phường Tam Thanh, Thành phố Lạng Sơn, Tỉnh Lạng Sơn</v>
      </c>
      <c r="W517" s="55" t="s">
        <v>3755</v>
      </c>
      <c r="X517" s="41"/>
      <c r="Y517" s="41"/>
      <c r="Z517" s="41"/>
      <c r="AA517" s="68">
        <f>VLOOKUP(A517,'[1]DANH SÁCH'!$B$8:$AD$841,12,0)</f>
        <v>0</v>
      </c>
      <c r="AB517" s="49" t="str">
        <f>VLOOKUP(A517,'[1]DANH SÁCH'!$B$8:$H$841,6,0)</f>
        <v>TĐ047</v>
      </c>
      <c r="AC517" s="69" t="str">
        <f>VLOOKUP(A517,'[1]DANH SÁCH'!$B$8:$J$841,9,0)</f>
        <v>HH-TM</v>
      </c>
      <c r="AD517" s="69" t="str">
        <f>VLOOKUP(A517,'[1]DANH SÁCH'!$B$8:$AC$841,9,0)</f>
        <v>HH-TM</v>
      </c>
      <c r="AE517" s="69" t="str">
        <f>VLOOKUP(A517,'[1]DANH SÁCH'!$B$8:$AD$841,13,0)</f>
        <v>HĐ theo NĐ161</v>
      </c>
      <c r="AF517" s="41"/>
      <c r="AG517" s="42">
        <f>VLOOKUP(A517,'[1]DANH SÁCH'!$B$8:$H$841,7,0)</f>
        <v>0</v>
      </c>
      <c r="AH517" s="45">
        <v>1.83</v>
      </c>
      <c r="AI517" s="42">
        <v>2</v>
      </c>
      <c r="AJ517" s="70"/>
      <c r="AK517" s="69">
        <v>45689</v>
      </c>
      <c r="AL517" s="71" t="s">
        <v>3622</v>
      </c>
      <c r="AM517" s="53" t="str">
        <f>VLOOKUP(A517,'[1]DANH SÁCH'!$B$8:$F$841,5,0)</f>
        <v>Hộ Lý</v>
      </c>
      <c r="AN517" s="53"/>
      <c r="AO517" s="53"/>
      <c r="AP517" s="53"/>
      <c r="AQ517" s="72"/>
      <c r="AR517" s="42"/>
      <c r="AS517" s="42"/>
      <c r="AT517" s="47"/>
      <c r="AU517" s="42"/>
      <c r="AV517" s="42"/>
      <c r="AW517" s="42"/>
      <c r="AX517" s="42"/>
      <c r="AY517" s="57" t="s">
        <v>85</v>
      </c>
      <c r="AZ517" s="65"/>
      <c r="BA517" s="74"/>
      <c r="BB517" s="74"/>
      <c r="BC517" s="150"/>
      <c r="BD517" s="149"/>
    </row>
    <row r="518" spans="1:56" ht="51" x14ac:dyDescent="0.3">
      <c r="A518" s="41" t="s">
        <v>3756</v>
      </c>
      <c r="B518" s="42">
        <f t="shared" si="187"/>
        <v>512</v>
      </c>
      <c r="C518" s="68" t="s">
        <v>3757</v>
      </c>
      <c r="D518" s="41" t="s">
        <v>3756</v>
      </c>
      <c r="E518" s="61">
        <v>1596008820</v>
      </c>
      <c r="F518" s="64"/>
      <c r="G518" s="49"/>
      <c r="H518" s="76">
        <v>27303</v>
      </c>
      <c r="I518" s="76"/>
      <c r="J518" s="66">
        <f ca="1">INT(DATEDIF(H518,'[1]Bieu 1a'!$J$2,"d")/365)</f>
        <v>51</v>
      </c>
      <c r="K518" s="75" t="s">
        <v>3758</v>
      </c>
      <c r="L518" s="41" t="s">
        <v>3759</v>
      </c>
      <c r="M518" s="53" t="s">
        <v>67</v>
      </c>
      <c r="N518" s="66"/>
      <c r="O518" s="53"/>
      <c r="P518" s="49"/>
      <c r="Q518" s="49" t="s">
        <v>94</v>
      </c>
      <c r="R518" s="49" t="s">
        <v>3760</v>
      </c>
      <c r="S518" s="49" t="s">
        <v>214</v>
      </c>
      <c r="T518" s="49" t="s">
        <v>97</v>
      </c>
      <c r="U518" s="49" t="s">
        <v>94</v>
      </c>
      <c r="V518" s="49" t="str">
        <f t="shared" si="186"/>
        <v>Xã Hoàng Đồng, Thành phố Lạng Sơn, Tỉnh Lạng Sơn</v>
      </c>
      <c r="W518" s="55" t="s">
        <v>3761</v>
      </c>
      <c r="X518" s="41"/>
      <c r="Y518" s="41"/>
      <c r="Z518" s="41"/>
      <c r="AA518" s="68">
        <f>VLOOKUP(A518,'[1]DANH SÁCH'!$B$8:$AD$841,12,0)</f>
        <v>0</v>
      </c>
      <c r="AB518" s="49" t="str">
        <f>VLOOKUP(A518,'[1]DANH SÁCH'!$B$8:$H$841,6,0)</f>
        <v>TĐ048</v>
      </c>
      <c r="AC518" s="69" t="str">
        <f>VLOOKUP(A518,'[1]DANH SÁCH'!$B$8:$J$841,9,0)</f>
        <v>KSNK</v>
      </c>
      <c r="AD518" s="69" t="str">
        <f>VLOOKUP(A518,'[1]DANH SÁCH'!$B$8:$AC$841,9,0)</f>
        <v>KSNK</v>
      </c>
      <c r="AE518" s="69" t="str">
        <f>VLOOKUP(A518,'[1]DANH SÁCH'!$B$8:$AD$841,13,0)</f>
        <v>HĐ theo NĐ161</v>
      </c>
      <c r="AF518" s="41"/>
      <c r="AG518" s="42">
        <f>VLOOKUP(A518,'[1]DANH SÁCH'!$B$8:$H$841,7,0)</f>
        <v>0</v>
      </c>
      <c r="AH518" s="45" t="s">
        <v>3615</v>
      </c>
      <c r="AI518" s="42">
        <v>6</v>
      </c>
      <c r="AJ518" s="70"/>
      <c r="AK518" s="69">
        <v>45689</v>
      </c>
      <c r="AL518" s="42"/>
      <c r="AM518" s="53" t="str">
        <f>VLOOKUP(A518,'[1]DANH SÁCH'!$B$8:$F$841,5,0)</f>
        <v>NVPV</v>
      </c>
      <c r="AN518" s="53"/>
      <c r="AO518" s="53"/>
      <c r="AP518" s="53"/>
      <c r="AQ518" s="72"/>
      <c r="AR518" s="42"/>
      <c r="AS518" s="42"/>
      <c r="AT518" s="47"/>
      <c r="AU518" s="42"/>
      <c r="AV518" s="42"/>
      <c r="AW518" s="42"/>
      <c r="AX518" s="42"/>
      <c r="AY518" s="57" t="s">
        <v>85</v>
      </c>
      <c r="AZ518" s="65">
        <v>34684</v>
      </c>
      <c r="BA518" s="74"/>
      <c r="BB518" s="74"/>
      <c r="BC518" s="81"/>
      <c r="BD518" s="47"/>
    </row>
    <row r="519" spans="1:56" ht="51" x14ac:dyDescent="0.3">
      <c r="A519" s="41" t="s">
        <v>3762</v>
      </c>
      <c r="B519" s="42">
        <f t="shared" si="187"/>
        <v>513</v>
      </c>
      <c r="C519" s="68" t="s">
        <v>3763</v>
      </c>
      <c r="D519" s="41" t="s">
        <v>3762</v>
      </c>
      <c r="E519" s="61">
        <v>2010001138</v>
      </c>
      <c r="F519" s="64"/>
      <c r="G519" s="49"/>
      <c r="H519" s="76">
        <v>28347</v>
      </c>
      <c r="I519" s="76"/>
      <c r="J519" s="66">
        <f ca="1">INT(DATEDIF(H519,'[1]Bieu 1a'!$J$2,"d")/365)</f>
        <v>49</v>
      </c>
      <c r="K519" s="75" t="s">
        <v>3764</v>
      </c>
      <c r="L519" s="41" t="s">
        <v>3765</v>
      </c>
      <c r="M519" s="53" t="s">
        <v>67</v>
      </c>
      <c r="N519" s="66"/>
      <c r="O519" s="53"/>
      <c r="P519" s="49"/>
      <c r="Q519" s="49" t="s">
        <v>94</v>
      </c>
      <c r="R519" s="49"/>
      <c r="S519" s="49" t="s">
        <v>136</v>
      </c>
      <c r="T519" s="49" t="s">
        <v>97</v>
      </c>
      <c r="U519" s="49" t="s">
        <v>94</v>
      </c>
      <c r="V519" s="49" t="str">
        <f t="shared" si="186"/>
        <v>Phường Chi Lăng, Thành phố Lạng Sơn, Tỉnh Lạng Sơn</v>
      </c>
      <c r="W519" s="55" t="s">
        <v>3761</v>
      </c>
      <c r="X519" s="41"/>
      <c r="Y519" s="41"/>
      <c r="Z519" s="41"/>
      <c r="AA519" s="68">
        <f>VLOOKUP(A519,'[1]DANH SÁCH'!$B$8:$AD$841,12,0)</f>
        <v>0</v>
      </c>
      <c r="AB519" s="49" t="str">
        <f>VLOOKUP(A519,'[1]DANH SÁCH'!$B$8:$H$841,6,0)</f>
        <v>TĐ048</v>
      </c>
      <c r="AC519" s="69" t="str">
        <f>VLOOKUP(A519,'[1]DANH SÁCH'!$B$8:$J$841,9,0)</f>
        <v>KSNK</v>
      </c>
      <c r="AD519" s="69" t="str">
        <f>VLOOKUP(A519,'[1]DANH SÁCH'!$B$8:$AC$841,9,0)</f>
        <v>KSNK</v>
      </c>
      <c r="AE519" s="69" t="str">
        <f>VLOOKUP(A519,'[1]DANH SÁCH'!$B$8:$AD$841,13,0)</f>
        <v>HĐ theo NĐ161</v>
      </c>
      <c r="AF519" s="41"/>
      <c r="AG519" s="42">
        <f>VLOOKUP(A519,'[1]DANH SÁCH'!$B$8:$H$841,7,0)</f>
        <v>0</v>
      </c>
      <c r="AH519" s="45" t="s">
        <v>3615</v>
      </c>
      <c r="AI519" s="42">
        <v>6</v>
      </c>
      <c r="AJ519" s="70"/>
      <c r="AK519" s="69">
        <v>45689</v>
      </c>
      <c r="AL519" s="42"/>
      <c r="AM519" s="53" t="str">
        <f>VLOOKUP(A519,'[1]DANH SÁCH'!$B$8:$F$841,5,0)</f>
        <v>NVPV</v>
      </c>
      <c r="AN519" s="53"/>
      <c r="AO519" s="53"/>
      <c r="AP519" s="53"/>
      <c r="AQ519" s="72"/>
      <c r="AR519" s="42"/>
      <c r="AS519" s="42"/>
      <c r="AT519" s="47"/>
      <c r="AU519" s="42"/>
      <c r="AV519" s="42"/>
      <c r="AW519" s="42"/>
      <c r="AX519" s="42"/>
      <c r="AY519" s="57" t="s">
        <v>85</v>
      </c>
      <c r="AZ519" s="65"/>
      <c r="BA519" s="74"/>
      <c r="BB519" s="74"/>
      <c r="BC519" s="81"/>
      <c r="BD519" s="47"/>
    </row>
    <row r="520" spans="1:56" ht="20.399999999999999" x14ac:dyDescent="0.3">
      <c r="A520" s="41" t="s">
        <v>3766</v>
      </c>
      <c r="B520" s="42">
        <f t="shared" si="187"/>
        <v>514</v>
      </c>
      <c r="C520" s="68" t="s">
        <v>3767</v>
      </c>
      <c r="D520" s="41" t="s">
        <v>3766</v>
      </c>
      <c r="E520" s="61">
        <v>1506001850</v>
      </c>
      <c r="F520" s="64"/>
      <c r="G520" s="49"/>
      <c r="H520" s="76"/>
      <c r="I520" s="76">
        <v>27895</v>
      </c>
      <c r="J520" s="66">
        <f ca="1">INT(DATEDIF(I520,'[1]Bieu 1a'!$J$2,"d")/365)</f>
        <v>50</v>
      </c>
      <c r="K520" s="75" t="s">
        <v>3768</v>
      </c>
      <c r="L520" s="41" t="s">
        <v>3769</v>
      </c>
      <c r="M520" s="53" t="s">
        <v>67</v>
      </c>
      <c r="N520" s="66"/>
      <c r="O520" s="53"/>
      <c r="P520" s="49" t="s">
        <v>155</v>
      </c>
      <c r="Q520" s="49" t="s">
        <v>94</v>
      </c>
      <c r="R520" s="49"/>
      <c r="S520" s="49" t="s">
        <v>460</v>
      </c>
      <c r="T520" s="49" t="s">
        <v>108</v>
      </c>
      <c r="U520" s="49" t="s">
        <v>94</v>
      </c>
      <c r="V520" s="56" t="s">
        <v>293</v>
      </c>
      <c r="W520" s="55" t="s">
        <v>1501</v>
      </c>
      <c r="X520" s="41"/>
      <c r="Y520" s="41"/>
      <c r="Z520" s="41"/>
      <c r="AA520" s="68">
        <f>VLOOKUP(A520,'[1]DANH SÁCH'!$B$8:$AD$841,12,0)</f>
        <v>0</v>
      </c>
      <c r="AB520" s="49" t="str">
        <f>VLOOKUP(A520,'[1]DANH SÁCH'!$B$8:$H$841,6,0)</f>
        <v>TĐ047</v>
      </c>
      <c r="AC520" s="69" t="str">
        <f>VLOOKUP(A520,'[1]DANH SÁCH'!$B$8:$J$841,9,0)</f>
        <v>Tai mũi họng</v>
      </c>
      <c r="AD520" s="69" t="str">
        <f>VLOOKUP(A520,'[1]DANH SÁCH'!$B$8:$AC$841,9,0)</f>
        <v>Tai mũi họng</v>
      </c>
      <c r="AE520" s="69" t="str">
        <f>VLOOKUP(A520,'[1]DANH SÁCH'!$B$8:$AD$841,13,0)</f>
        <v>HĐ theo NĐ161</v>
      </c>
      <c r="AF520" s="41"/>
      <c r="AG520" s="42">
        <f>VLOOKUP(A520,'[1]DANH SÁCH'!$B$8:$H$841,7,0)</f>
        <v>0</v>
      </c>
      <c r="AH520" s="45">
        <v>1.83</v>
      </c>
      <c r="AI520" s="42">
        <v>2</v>
      </c>
      <c r="AJ520" s="70"/>
      <c r="AK520" s="69">
        <v>45689</v>
      </c>
      <c r="AL520" s="71" t="s">
        <v>3622</v>
      </c>
      <c r="AM520" s="53" t="str">
        <f>VLOOKUP(A520,'[1]DANH SÁCH'!$B$8:$F$841,5,0)</f>
        <v>Hộ lý</v>
      </c>
      <c r="AN520" s="53"/>
      <c r="AO520" s="53"/>
      <c r="AP520" s="53"/>
      <c r="AQ520" s="72"/>
      <c r="AR520" s="42"/>
      <c r="AS520" s="42"/>
      <c r="AT520" s="47"/>
      <c r="AU520" s="42"/>
      <c r="AV520" s="42"/>
      <c r="AW520" s="42"/>
      <c r="AX520" s="42" t="s">
        <v>3770</v>
      </c>
      <c r="AY520" s="57" t="s">
        <v>85</v>
      </c>
      <c r="AZ520" s="65"/>
      <c r="BA520" s="74"/>
      <c r="BB520" s="74"/>
      <c r="BC520" s="150"/>
      <c r="BD520" s="149"/>
    </row>
    <row r="521" spans="1:56" ht="40.799999999999997" x14ac:dyDescent="0.3">
      <c r="A521" s="47" t="s">
        <v>3771</v>
      </c>
      <c r="B521" s="42">
        <f t="shared" si="187"/>
        <v>515</v>
      </c>
      <c r="C521" s="116" t="s">
        <v>3772</v>
      </c>
      <c r="D521" s="47" t="s">
        <v>3771</v>
      </c>
      <c r="E521" s="61" t="s">
        <v>3773</v>
      </c>
      <c r="F521" s="64"/>
      <c r="G521" s="49" t="s">
        <v>3774</v>
      </c>
      <c r="H521" s="47"/>
      <c r="I521" s="154" t="s">
        <v>3775</v>
      </c>
      <c r="J521" s="66">
        <f ca="1">INT(DATEDIF(I521,'[1]Bieu 1a'!$J$2,"d")/365)</f>
        <v>33</v>
      </c>
      <c r="K521" s="155" t="s">
        <v>3776</v>
      </c>
      <c r="L521" s="156" t="s">
        <v>3777</v>
      </c>
      <c r="M521" s="53" t="s">
        <v>3778</v>
      </c>
      <c r="N521" s="53" t="s">
        <v>911</v>
      </c>
      <c r="O521" s="56" t="s">
        <v>911</v>
      </c>
      <c r="P521" s="47"/>
      <c r="Q521" s="47"/>
      <c r="R521" s="49"/>
      <c r="S521" s="56" t="s">
        <v>911</v>
      </c>
      <c r="T521" s="47"/>
      <c r="U521" s="47"/>
      <c r="V521" s="56" t="s">
        <v>3779</v>
      </c>
      <c r="W521" s="46" t="s">
        <v>3780</v>
      </c>
      <c r="X521" s="46"/>
      <c r="Y521" s="46"/>
      <c r="Z521" s="46"/>
      <c r="AA521" s="68">
        <f>VLOOKUP(A521,'[1]DANH SÁCH'!$B$8:$AD$841,12,0)</f>
        <v>0</v>
      </c>
      <c r="AB521" s="49" t="str">
        <f>VLOOKUP(A521,'[1]DANH SÁCH'!$B$8:$H$841,6,0)</f>
        <v>TĐ005</v>
      </c>
      <c r="AC521" s="69" t="str">
        <f>VLOOKUP(A521,'[1]DANH SÁCH'!$B$8:$J$841,9,0)</f>
        <v>Cấp cứu</v>
      </c>
      <c r="AD521" s="69" t="str">
        <f>VLOOKUP(A521,'[1]DANH SÁCH'!$B$8:$AC$841,9,0)</f>
        <v>Cấp cứu</v>
      </c>
      <c r="AE521" s="69" t="str">
        <f>VLOOKUP(A521,'[1]DANH SÁCH'!$B$8:$AD$841,13,0)</f>
        <v>Viên chức</v>
      </c>
      <c r="AF521" s="41"/>
      <c r="AG521" s="42">
        <f>VLOOKUP(A521,'[1]DANH SÁCH'!$B$8:$H$841,7,0)</f>
        <v>0</v>
      </c>
      <c r="AH521" s="45" t="s">
        <v>3781</v>
      </c>
      <c r="AI521" s="42">
        <v>2</v>
      </c>
      <c r="AJ521" s="70"/>
      <c r="AK521" s="69">
        <v>45065</v>
      </c>
      <c r="AL521" s="47" t="s">
        <v>80</v>
      </c>
      <c r="AM521" s="53" t="str">
        <f>VLOOKUP(A521,'[1]DANH SÁCH'!$B$8:$F$841,5,0)</f>
        <v>Bác sĩ</v>
      </c>
      <c r="AN521" s="157" t="s">
        <v>372</v>
      </c>
      <c r="AO521" s="53" t="s">
        <v>3782</v>
      </c>
      <c r="AP521" s="47"/>
      <c r="AQ521" s="72"/>
      <c r="AR521" s="47"/>
      <c r="AS521" s="47"/>
      <c r="AT521" s="47"/>
      <c r="AU521" s="47"/>
      <c r="AV521" s="47"/>
      <c r="AW521" s="47"/>
      <c r="AX521" s="47" t="s">
        <v>3783</v>
      </c>
      <c r="AY521" s="47" t="s">
        <v>127</v>
      </c>
      <c r="AZ521" s="65"/>
      <c r="BA521" s="74"/>
      <c r="BB521" s="74"/>
      <c r="BC521" s="41"/>
      <c r="BD521" s="64"/>
    </row>
    <row r="522" spans="1:56" ht="40.799999999999997" x14ac:dyDescent="0.3">
      <c r="A522" s="46" t="s">
        <v>3784</v>
      </c>
      <c r="B522" s="42">
        <f t="shared" si="187"/>
        <v>516</v>
      </c>
      <c r="C522" s="63" t="s">
        <v>3785</v>
      </c>
      <c r="D522" s="46" t="s">
        <v>3784</v>
      </c>
      <c r="E522" s="61" t="s">
        <v>3786</v>
      </c>
      <c r="F522" s="64"/>
      <c r="G522" s="49" t="s">
        <v>3787</v>
      </c>
      <c r="H522" s="47"/>
      <c r="I522" s="61" t="s">
        <v>3788</v>
      </c>
      <c r="J522" s="66">
        <f ca="1">INT(DATEDIF(I522,'[1]Bieu 1a'!$J$2,"d")/365)</f>
        <v>32</v>
      </c>
      <c r="K522" s="46" t="s">
        <v>3789</v>
      </c>
      <c r="L522" s="47" t="s">
        <v>3790</v>
      </c>
      <c r="M522" s="56" t="s">
        <v>3778</v>
      </c>
      <c r="N522" s="52"/>
      <c r="O522" s="61" t="s">
        <v>3791</v>
      </c>
      <c r="P522" s="47"/>
      <c r="Q522" s="47"/>
      <c r="R522" s="49"/>
      <c r="S522" s="47"/>
      <c r="T522" s="47"/>
      <c r="U522" s="47"/>
      <c r="V522" s="56" t="s">
        <v>3791</v>
      </c>
      <c r="W522" s="61" t="s">
        <v>3792</v>
      </c>
      <c r="X522" s="46"/>
      <c r="Y522" s="46"/>
      <c r="Z522" s="46"/>
      <c r="AA522" s="68">
        <f>VLOOKUP(A522,'[1]DANH SÁCH'!$B$8:$AD$841,12,0)</f>
        <v>0</v>
      </c>
      <c r="AB522" s="49" t="str">
        <f>VLOOKUP(A522,'[1]DANH SÁCH'!$B$8:$H$841,6,0)</f>
        <v>TĐ005</v>
      </c>
      <c r="AC522" s="69" t="str">
        <f>VLOOKUP(A522,'[1]DANH SÁCH'!$B$8:$J$841,9,0)</f>
        <v>Cấp cứu</v>
      </c>
      <c r="AD522" s="69" t="str">
        <f>VLOOKUP(A522,'[1]DANH SÁCH'!$B$8:$AC$841,9,0)</f>
        <v>Cấp cứu</v>
      </c>
      <c r="AE522" s="69" t="str">
        <f>VLOOKUP(A522,'[1]DANH SÁCH'!$B$8:$AD$841,13,0)</f>
        <v>Viên chức</v>
      </c>
      <c r="AF522" s="41"/>
      <c r="AG522" s="42">
        <f>VLOOKUP(A522,'[1]DANH SÁCH'!$B$8:$H$841,7,0)</f>
        <v>0</v>
      </c>
      <c r="AH522" s="45" t="s">
        <v>3781</v>
      </c>
      <c r="AI522" s="42">
        <v>2</v>
      </c>
      <c r="AJ522" s="70"/>
      <c r="AK522" s="69">
        <v>45179</v>
      </c>
      <c r="AL522" s="47" t="s">
        <v>80</v>
      </c>
      <c r="AM522" s="53" t="str">
        <f>VLOOKUP(A522,'[1]DANH SÁCH'!$B$8:$F$841,5,0)</f>
        <v>Bác sĩ</v>
      </c>
      <c r="AN522" s="157" t="s">
        <v>372</v>
      </c>
      <c r="AO522" s="61" t="s">
        <v>297</v>
      </c>
      <c r="AP522" s="61" t="s">
        <v>3793</v>
      </c>
      <c r="AQ522" s="47"/>
      <c r="AR522" s="47"/>
      <c r="AS522" s="47"/>
      <c r="AT522" s="47"/>
      <c r="AU522" s="47"/>
      <c r="AV522" s="47"/>
      <c r="AW522" s="47"/>
      <c r="AX522" s="47"/>
      <c r="AY522" s="46" t="s">
        <v>127</v>
      </c>
      <c r="AZ522" s="65"/>
      <c r="BA522" s="47"/>
      <c r="BB522" s="47"/>
      <c r="BC522" s="41"/>
      <c r="BD522" s="64"/>
    </row>
    <row r="523" spans="1:56" ht="40.799999999999997" x14ac:dyDescent="0.3">
      <c r="A523" s="46" t="s">
        <v>3794</v>
      </c>
      <c r="B523" s="42">
        <f t="shared" si="187"/>
        <v>517</v>
      </c>
      <c r="C523" s="63" t="s">
        <v>3795</v>
      </c>
      <c r="D523" s="46" t="s">
        <v>3794</v>
      </c>
      <c r="E523" s="67">
        <v>2020451563</v>
      </c>
      <c r="F523" s="64">
        <v>2099854413</v>
      </c>
      <c r="G523" s="49" t="s">
        <v>3796</v>
      </c>
      <c r="H523" s="47" t="s">
        <v>3797</v>
      </c>
      <c r="I523" s="47"/>
      <c r="J523" s="66">
        <f ca="1">INT(DATEDIF(H523,'[1]Bieu 1a'!$J$2,"d")/365)</f>
        <v>33</v>
      </c>
      <c r="K523" s="75" t="s">
        <v>3798</v>
      </c>
      <c r="L523" s="46" t="s">
        <v>3799</v>
      </c>
      <c r="M523" s="53" t="s">
        <v>67</v>
      </c>
      <c r="N523" s="66"/>
      <c r="O523" s="56" t="s">
        <v>3800</v>
      </c>
      <c r="P523" s="47" t="s">
        <v>758</v>
      </c>
      <c r="Q523" s="47" t="s">
        <v>71</v>
      </c>
      <c r="R523" s="49"/>
      <c r="S523" s="47" t="s">
        <v>758</v>
      </c>
      <c r="T523" s="47" t="s">
        <v>758</v>
      </c>
      <c r="U523" s="47" t="s">
        <v>71</v>
      </c>
      <c r="V523" s="56" t="s">
        <v>3801</v>
      </c>
      <c r="W523" s="67" t="s">
        <v>385</v>
      </c>
      <c r="X523" s="46"/>
      <c r="Y523" s="46"/>
      <c r="Z523" s="46"/>
      <c r="AA523" s="68">
        <f>VLOOKUP(A523,'[1]DANH SÁCH'!$B$8:$AD$841,12,0)</f>
        <v>0</v>
      </c>
      <c r="AB523" s="49" t="str">
        <f>VLOOKUP(A523,'[1]DANH SÁCH'!$B$8:$H$841,6,0)</f>
        <v>TĐ003</v>
      </c>
      <c r="AC523" s="69" t="str">
        <f>VLOOKUP(A523,'[1]DANH SÁCH'!$B$8:$J$841,9,0)</f>
        <v>HSTC-CĐ</v>
      </c>
      <c r="AD523" s="69" t="str">
        <f>VLOOKUP(A523,'[1]DANH SÁCH'!$B$8:$AC$841,9,0)</f>
        <v>HSTC-CĐ</v>
      </c>
      <c r="AE523" s="69" t="str">
        <f>VLOOKUP(A523,'[1]DANH SÁCH'!$B$8:$AD$841,13,0)</f>
        <v>Viên chức</v>
      </c>
      <c r="AF523" s="41"/>
      <c r="AG523" s="42">
        <f>VLOOKUP(A523,'[1]DANH SÁCH'!$B$8:$H$841,7,0)</f>
        <v>0</v>
      </c>
      <c r="AH523" s="45" t="s">
        <v>3802</v>
      </c>
      <c r="AI523" s="42">
        <v>3</v>
      </c>
      <c r="AJ523" s="70"/>
      <c r="AK523" s="69">
        <v>45419</v>
      </c>
      <c r="AL523" s="47" t="s">
        <v>80</v>
      </c>
      <c r="AM523" s="53" t="str">
        <f>VLOOKUP(A523,'[1]DANH SÁCH'!$B$8:$F$841,5,0)</f>
        <v>BSCKI</v>
      </c>
      <c r="AN523" s="53" t="s">
        <v>372</v>
      </c>
      <c r="AO523" s="53" t="s">
        <v>1130</v>
      </c>
      <c r="AP523" s="53">
        <v>2017</v>
      </c>
      <c r="AQ523" s="72" t="s">
        <v>113</v>
      </c>
      <c r="AR523" s="47"/>
      <c r="AS523" s="47"/>
      <c r="AT523" s="47"/>
      <c r="AU523" s="47" t="s">
        <v>3803</v>
      </c>
      <c r="AV523" s="47"/>
      <c r="AW523" s="47" t="s">
        <v>3803</v>
      </c>
      <c r="AX523" s="47"/>
      <c r="AY523" s="73" t="s">
        <v>85</v>
      </c>
      <c r="AZ523" s="65"/>
      <c r="BA523" s="74"/>
      <c r="BB523" s="74"/>
      <c r="BC523" s="41"/>
      <c r="BD523" s="6"/>
    </row>
    <row r="524" spans="1:56" ht="61.2" x14ac:dyDescent="0.3">
      <c r="A524" s="47" t="s">
        <v>3804</v>
      </c>
      <c r="B524" s="42">
        <f t="shared" si="187"/>
        <v>518</v>
      </c>
      <c r="C524" s="116" t="s">
        <v>3805</v>
      </c>
      <c r="D524" s="47" t="s">
        <v>3804</v>
      </c>
      <c r="E524" s="61" t="s">
        <v>3806</v>
      </c>
      <c r="F524" s="64"/>
      <c r="G524" s="49" t="s">
        <v>3807</v>
      </c>
      <c r="H524" s="47"/>
      <c r="I524" s="154" t="s">
        <v>3808</v>
      </c>
      <c r="J524" s="66">
        <f ca="1">INT(DATEDIF(I524,'[1]Bieu 1a'!$J$2,"d")/365)</f>
        <v>31</v>
      </c>
      <c r="K524" s="155" t="s">
        <v>3809</v>
      </c>
      <c r="L524" s="156" t="s">
        <v>3810</v>
      </c>
      <c r="M524" s="53" t="s">
        <v>3778</v>
      </c>
      <c r="N524" s="53" t="s">
        <v>3811</v>
      </c>
      <c r="O524" s="56" t="s">
        <v>3811</v>
      </c>
      <c r="P524" s="47"/>
      <c r="Q524" s="47"/>
      <c r="R524" s="49"/>
      <c r="S524" s="56" t="s">
        <v>3811</v>
      </c>
      <c r="T524" s="47"/>
      <c r="U524" s="47"/>
      <c r="V524" s="56" t="s">
        <v>3812</v>
      </c>
      <c r="W524" s="46" t="s">
        <v>3780</v>
      </c>
      <c r="X524" s="46"/>
      <c r="Y524" s="46"/>
      <c r="Z524" s="46"/>
      <c r="AA524" s="68">
        <f>VLOOKUP(A524,'[1]DANH SÁCH'!$B$8:$AD$841,12,0)</f>
        <v>0</v>
      </c>
      <c r="AB524" s="49" t="str">
        <f>VLOOKUP(A524,'[1]DANH SÁCH'!$B$8:$H$841,6,0)</f>
        <v>TĐ005</v>
      </c>
      <c r="AC524" s="69" t="str">
        <f>VLOOKUP(A524,'[1]DANH SÁCH'!$B$8:$J$841,9,0)</f>
        <v>Truyền nhiễm</v>
      </c>
      <c r="AD524" s="69" t="str">
        <f>VLOOKUP(A524,'[1]DANH SÁCH'!$B$8:$AC$841,9,0)</f>
        <v>Truyền nhiễm</v>
      </c>
      <c r="AE524" s="69" t="str">
        <f>VLOOKUP(A524,'[1]DANH SÁCH'!$B$8:$AD$841,13,0)</f>
        <v>Viên chức</v>
      </c>
      <c r="AF524" s="41"/>
      <c r="AG524" s="42">
        <f>VLOOKUP(A524,'[1]DANH SÁCH'!$B$8:$H$841,7,0)</f>
        <v>0</v>
      </c>
      <c r="AH524" s="45" t="s">
        <v>3781</v>
      </c>
      <c r="AI524" s="42">
        <v>2</v>
      </c>
      <c r="AJ524" s="70"/>
      <c r="AK524" s="69">
        <v>45065</v>
      </c>
      <c r="AL524" s="47" t="s">
        <v>80</v>
      </c>
      <c r="AM524" s="53" t="str">
        <f>VLOOKUP(A524,'[1]DANH SÁCH'!$B$8:$F$841,5,0)</f>
        <v>Bác sĩ</v>
      </c>
      <c r="AN524" s="157" t="s">
        <v>3813</v>
      </c>
      <c r="AO524" s="53" t="s">
        <v>1804</v>
      </c>
      <c r="AP524" s="47"/>
      <c r="AQ524" s="72"/>
      <c r="AR524" s="47"/>
      <c r="AS524" s="47"/>
      <c r="AT524" s="47"/>
      <c r="AU524" s="47"/>
      <c r="AV524" s="47"/>
      <c r="AW524" s="47"/>
      <c r="AX524" s="47"/>
      <c r="AY524" s="47" t="s">
        <v>85</v>
      </c>
      <c r="AZ524" s="65"/>
      <c r="BA524" s="74"/>
      <c r="BB524" s="74"/>
      <c r="BC524" s="41"/>
      <c r="BD524" s="6"/>
    </row>
    <row r="525" spans="1:56" ht="40.799999999999997" x14ac:dyDescent="0.3">
      <c r="A525" s="46" t="s">
        <v>3814</v>
      </c>
      <c r="B525" s="42">
        <f t="shared" si="187"/>
        <v>519</v>
      </c>
      <c r="C525" s="63" t="s">
        <v>3815</v>
      </c>
      <c r="D525" s="46" t="s">
        <v>3814</v>
      </c>
      <c r="E525" s="61" t="s">
        <v>3816</v>
      </c>
      <c r="F525" s="64"/>
      <c r="G525" s="49" t="s">
        <v>3817</v>
      </c>
      <c r="H525" s="47"/>
      <c r="I525" s="61" t="s">
        <v>3818</v>
      </c>
      <c r="J525" s="66">
        <f ca="1">INT(DATEDIF(I525,'[1]Bieu 1a'!$J$2,"d")/365)</f>
        <v>32</v>
      </c>
      <c r="K525" s="46" t="s">
        <v>3819</v>
      </c>
      <c r="L525" s="47" t="s">
        <v>3820</v>
      </c>
      <c r="M525" s="56" t="s">
        <v>3778</v>
      </c>
      <c r="N525" s="52"/>
      <c r="O525" s="61" t="s">
        <v>3821</v>
      </c>
      <c r="P525" s="47"/>
      <c r="Q525" s="47"/>
      <c r="R525" s="49"/>
      <c r="S525" s="47"/>
      <c r="T525" s="47"/>
      <c r="U525" s="47"/>
      <c r="V525" s="56" t="s">
        <v>3822</v>
      </c>
      <c r="W525" s="61" t="s">
        <v>3823</v>
      </c>
      <c r="X525" s="46"/>
      <c r="Y525" s="46"/>
      <c r="Z525" s="46"/>
      <c r="AA525" s="68">
        <f>VLOOKUP(A525,'[1]DANH SÁCH'!$B$8:$AD$841,12,0)</f>
        <v>0</v>
      </c>
      <c r="AB525" s="49" t="str">
        <f>VLOOKUP(A525,'[1]DANH SÁCH'!$B$8:$H$841,6,0)</f>
        <v>TĐ005</v>
      </c>
      <c r="AC525" s="69" t="str">
        <f>VLOOKUP(A525,'[1]DANH SÁCH'!$B$8:$J$841,9,0)</f>
        <v>HSTC-CĐ</v>
      </c>
      <c r="AD525" s="69" t="str">
        <f>VLOOKUP(A525,'[1]DANH SÁCH'!$B$8:$AC$841,9,0)</f>
        <v>HSTC-CĐ</v>
      </c>
      <c r="AE525" s="69" t="str">
        <f>VLOOKUP(A525,'[1]DANH SÁCH'!$B$8:$AD$841,13,0)</f>
        <v>Viên chức</v>
      </c>
      <c r="AF525" s="41"/>
      <c r="AG525" s="42">
        <f>VLOOKUP(A525,'[1]DANH SÁCH'!$B$8:$H$841,7,0)</f>
        <v>0</v>
      </c>
      <c r="AH525" s="45" t="s">
        <v>3802</v>
      </c>
      <c r="AI525" s="42">
        <v>3</v>
      </c>
      <c r="AJ525" s="70"/>
      <c r="AK525" s="69">
        <v>46083</v>
      </c>
      <c r="AL525" s="47" t="s">
        <v>80</v>
      </c>
      <c r="AM525" s="53" t="str">
        <f>VLOOKUP(A525,'[1]DANH SÁCH'!$B$8:$F$841,5,0)</f>
        <v>Bác sĩ</v>
      </c>
      <c r="AN525" s="53" t="s">
        <v>372</v>
      </c>
      <c r="AO525" s="61"/>
      <c r="AP525" s="61"/>
      <c r="AQ525" s="47"/>
      <c r="AR525" s="47"/>
      <c r="AS525" s="47"/>
      <c r="AT525" s="47"/>
      <c r="AU525" s="47"/>
      <c r="AV525" s="47"/>
      <c r="AW525" s="47"/>
      <c r="AX525" s="47"/>
      <c r="AY525" s="46" t="s">
        <v>87</v>
      </c>
      <c r="AZ525" s="65"/>
      <c r="BA525" s="47"/>
      <c r="BB525" s="47"/>
      <c r="BC525" s="41"/>
      <c r="BD525" s="6"/>
    </row>
    <row r="526" spans="1:56" ht="51" x14ac:dyDescent="0.3">
      <c r="A526" s="47" t="s">
        <v>3824</v>
      </c>
      <c r="B526" s="42">
        <f t="shared" si="187"/>
        <v>520</v>
      </c>
      <c r="C526" s="116" t="s">
        <v>3825</v>
      </c>
      <c r="D526" s="47" t="s">
        <v>3824</v>
      </c>
      <c r="E526" s="61" t="s">
        <v>3826</v>
      </c>
      <c r="F526" s="64"/>
      <c r="G526" s="49" t="s">
        <v>3827</v>
      </c>
      <c r="H526" s="47"/>
      <c r="I526" s="154" t="s">
        <v>3828</v>
      </c>
      <c r="J526" s="66">
        <f ca="1">INT(DATEDIF(I526,'[1]Bieu 1a'!$J$2,"d")/365)</f>
        <v>31</v>
      </c>
      <c r="K526" s="155" t="s">
        <v>3829</v>
      </c>
      <c r="L526" s="156" t="s">
        <v>3440</v>
      </c>
      <c r="M526" s="53" t="s">
        <v>3778</v>
      </c>
      <c r="N526" s="53" t="s">
        <v>3830</v>
      </c>
      <c r="O526" s="56" t="s">
        <v>3830</v>
      </c>
      <c r="P526" s="47"/>
      <c r="Q526" s="47"/>
      <c r="R526" s="49"/>
      <c r="S526" s="56" t="s">
        <v>3830</v>
      </c>
      <c r="T526" s="47"/>
      <c r="U526" s="47"/>
      <c r="V526" s="56" t="s">
        <v>3830</v>
      </c>
      <c r="W526" s="46" t="s">
        <v>3831</v>
      </c>
      <c r="X526" s="46"/>
      <c r="Y526" s="46"/>
      <c r="Z526" s="46"/>
      <c r="AA526" s="68">
        <f>VLOOKUP(A526,'[1]DANH SÁCH'!$B$8:$AD$841,12,0)</f>
        <v>0</v>
      </c>
      <c r="AB526" s="49" t="str">
        <f>VLOOKUP(A526,'[1]DANH SÁCH'!$B$8:$H$841,6,0)</f>
        <v>TĐ005</v>
      </c>
      <c r="AC526" s="69" t="str">
        <f>VLOOKUP(A526,'[1]DANH SÁCH'!$B$8:$J$841,9,0)</f>
        <v>Nội Tiêu hóa</v>
      </c>
      <c r="AD526" s="69" t="str">
        <f>VLOOKUP(A526,'[1]DANH SÁCH'!$B$8:$AC$841,9,0)</f>
        <v>Nội Tiêu hóa</v>
      </c>
      <c r="AE526" s="69" t="str">
        <f>VLOOKUP(A526,'[1]DANH SÁCH'!$B$8:$AD$841,13,0)</f>
        <v>Viên chức</v>
      </c>
      <c r="AF526" s="41"/>
      <c r="AG526" s="42">
        <f>VLOOKUP(A526,'[1]DANH SÁCH'!$B$8:$H$841,7,0)</f>
        <v>0</v>
      </c>
      <c r="AH526" s="45" t="s">
        <v>3781</v>
      </c>
      <c r="AI526" s="42">
        <v>2</v>
      </c>
      <c r="AJ526" s="70"/>
      <c r="AK526" s="69">
        <v>45061</v>
      </c>
      <c r="AL526" s="47" t="s">
        <v>80</v>
      </c>
      <c r="AM526" s="53" t="str">
        <f>VLOOKUP(A526,'[1]DANH SÁCH'!$B$8:$F$841,5,0)</f>
        <v>Bác sĩ</v>
      </c>
      <c r="AN526" s="53" t="s">
        <v>372</v>
      </c>
      <c r="AO526" s="53" t="s">
        <v>3782</v>
      </c>
      <c r="AP526" s="47"/>
      <c r="AQ526" s="72"/>
      <c r="AR526" s="47"/>
      <c r="AS526" s="47"/>
      <c r="AT526" s="47"/>
      <c r="AU526" s="47"/>
      <c r="AV526" s="47"/>
      <c r="AW526" s="47"/>
      <c r="AX526" s="47"/>
      <c r="AY526" s="47" t="s">
        <v>127</v>
      </c>
      <c r="AZ526" s="65"/>
      <c r="BA526" s="74"/>
      <c r="BB526" s="74"/>
      <c r="BC526" s="41"/>
      <c r="BD526" s="64"/>
    </row>
    <row r="527" spans="1:56" ht="40.799999999999997" x14ac:dyDescent="0.3">
      <c r="A527" s="46" t="s">
        <v>3832</v>
      </c>
      <c r="B527" s="42">
        <f t="shared" si="187"/>
        <v>521</v>
      </c>
      <c r="C527" s="72" t="s">
        <v>3833</v>
      </c>
      <c r="D527" s="46" t="s">
        <v>3832</v>
      </c>
      <c r="E527" s="61" t="s">
        <v>3834</v>
      </c>
      <c r="F527" s="10"/>
      <c r="G527" s="49" t="s">
        <v>3835</v>
      </c>
      <c r="H527" s="47"/>
      <c r="I527" s="41" t="s">
        <v>3836</v>
      </c>
      <c r="J527" s="66">
        <f ca="1">INT(DATEDIF(I527,'[1]Bieu 1a'!$J$2,"d")/365)</f>
        <v>30</v>
      </c>
      <c r="K527" s="41" t="s">
        <v>3837</v>
      </c>
      <c r="L527" s="41" t="s">
        <v>3838</v>
      </c>
      <c r="M527" s="158" t="s">
        <v>3839</v>
      </c>
      <c r="N527" s="95"/>
      <c r="O527" s="96"/>
      <c r="P527" s="6"/>
      <c r="Q527" s="6"/>
      <c r="R527" s="49"/>
      <c r="S527" s="6"/>
      <c r="T527" s="6"/>
      <c r="U527" s="6"/>
      <c r="V527" s="56" t="s">
        <v>3840</v>
      </c>
      <c r="W527" s="67" t="s">
        <v>3841</v>
      </c>
      <c r="X527" s="97"/>
      <c r="Y527" s="97"/>
      <c r="Z527" s="97"/>
      <c r="AA527" s="68">
        <f>VLOOKUP(A527,'[1]DANH SÁCH'!$B$8:$AD$841,12,0)</f>
        <v>0</v>
      </c>
      <c r="AB527" s="49" t="str">
        <f>VLOOKUP(A527,'[1]DANH SÁCH'!$B$8:$H$841,6,0)</f>
        <v>TĐ005</v>
      </c>
      <c r="AC527" s="69" t="str">
        <f>VLOOKUP(A527,'[1]DANH SÁCH'!$B$8:$J$841,9,0)</f>
        <v>Nội Tiêu hóa</v>
      </c>
      <c r="AD527" s="69" t="str">
        <f>VLOOKUP(A527,'[1]DANH SÁCH'!$B$8:$AC$841,9,0)</f>
        <v>Nội Tiêu hóa</v>
      </c>
      <c r="AE527" s="69" t="str">
        <f>VLOOKUP(A527,'[1]DANH SÁCH'!$B$8:$AD$841,13,0)</f>
        <v>Viên chức</v>
      </c>
      <c r="AF527" s="41"/>
      <c r="AG527" s="42">
        <f>VLOOKUP(A527,'[1]DANH SÁCH'!$B$8:$H$841,7,0)</f>
        <v>0</v>
      </c>
      <c r="AH527" s="45" t="s">
        <v>3781</v>
      </c>
      <c r="AI527" s="42">
        <v>2</v>
      </c>
      <c r="AJ527" s="70"/>
      <c r="AK527" s="69">
        <v>45395</v>
      </c>
      <c r="AL527" s="6" t="s">
        <v>80</v>
      </c>
      <c r="AM527" s="53" t="str">
        <f>VLOOKUP(A527,'[1]DANH SÁCH'!$B$8:$F$841,5,0)</f>
        <v>Bác sĩ</v>
      </c>
      <c r="AN527" s="53" t="s">
        <v>372</v>
      </c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47" t="s">
        <v>85</v>
      </c>
      <c r="AZ527" s="65"/>
      <c r="BA527" s="6"/>
      <c r="BB527" s="6"/>
      <c r="BC527" s="41"/>
      <c r="BD527" s="64"/>
    </row>
    <row r="528" spans="1:56" ht="30.6" x14ac:dyDescent="0.3">
      <c r="A528" s="47" t="s">
        <v>3842</v>
      </c>
      <c r="B528" s="42">
        <f t="shared" si="187"/>
        <v>522</v>
      </c>
      <c r="C528" s="63" t="s">
        <v>3843</v>
      </c>
      <c r="D528" s="47" t="s">
        <v>3842</v>
      </c>
      <c r="E528" s="61" t="s">
        <v>3844</v>
      </c>
      <c r="F528" s="64"/>
      <c r="G528" s="49" t="s">
        <v>3845</v>
      </c>
      <c r="H528" s="46" t="s">
        <v>3846</v>
      </c>
      <c r="I528" s="149"/>
      <c r="J528" s="66">
        <f ca="1">INT(DATEDIF(H528,'[1]Bieu 1a'!$J$2,"d")/365)</f>
        <v>33</v>
      </c>
      <c r="K528" s="46" t="s">
        <v>3847</v>
      </c>
      <c r="L528" s="65">
        <v>40345</v>
      </c>
      <c r="M528" s="56" t="s">
        <v>3778</v>
      </c>
      <c r="N528" s="52"/>
      <c r="O528" s="56"/>
      <c r="P528" s="47"/>
      <c r="Q528" s="47"/>
      <c r="R528" s="49"/>
      <c r="S528" s="47"/>
      <c r="T528" s="47"/>
      <c r="U528" s="47"/>
      <c r="V528" s="56" t="s">
        <v>3628</v>
      </c>
      <c r="W528" s="67" t="s">
        <v>3848</v>
      </c>
      <c r="X528" s="46"/>
      <c r="Y528" s="46"/>
      <c r="Z528" s="46"/>
      <c r="AA528" s="68">
        <f>VLOOKUP(A528,'[1]DANH SÁCH'!$B$8:$AD$841,12,0)</f>
        <v>0</v>
      </c>
      <c r="AB528" s="49" t="str">
        <f>VLOOKUP(A528,'[1]DANH SÁCH'!$B$8:$H$841,6,0)</f>
        <v>TĐ005</v>
      </c>
      <c r="AC528" s="69" t="str">
        <f>VLOOKUP(A528,'[1]DANH SÁCH'!$B$8:$J$841,9,0)</f>
        <v>Nội TM</v>
      </c>
      <c r="AD528" s="69" t="str">
        <f>VLOOKUP(A528,'[1]DANH SÁCH'!$B$8:$AC$841,9,0)</f>
        <v>Nội TM</v>
      </c>
      <c r="AE528" s="69" t="str">
        <f>VLOOKUP(A528,'[1]DANH SÁCH'!$B$8:$AD$841,13,0)</f>
        <v>HĐ có thời hạn</v>
      </c>
      <c r="AF528" s="41"/>
      <c r="AG528" s="42">
        <f>VLOOKUP(A528,'[1]DANH SÁCH'!$B$8:$H$841,7,0)</f>
        <v>0</v>
      </c>
      <c r="AH528" s="45" t="s">
        <v>3781</v>
      </c>
      <c r="AI528" s="42">
        <v>2</v>
      </c>
      <c r="AJ528" s="70"/>
      <c r="AK528" s="69">
        <v>45326</v>
      </c>
      <c r="AL528" s="47" t="s">
        <v>80</v>
      </c>
      <c r="AM528" s="53" t="str">
        <f>VLOOKUP(A528,'[1]DANH SÁCH'!$B$8:$F$841,5,0)</f>
        <v>Bác sĩ</v>
      </c>
      <c r="AN528" s="47" t="s">
        <v>307</v>
      </c>
      <c r="AO528" s="56" t="s">
        <v>880</v>
      </c>
      <c r="AP528" s="47"/>
      <c r="AQ528" s="46" t="s">
        <v>113</v>
      </c>
      <c r="AR528" s="47"/>
      <c r="AS528" s="47"/>
      <c r="AT528" s="47"/>
      <c r="AU528" s="47"/>
      <c r="AV528" s="47"/>
      <c r="AW528" s="47"/>
      <c r="AX528" s="47"/>
      <c r="AY528" s="47" t="s">
        <v>85</v>
      </c>
      <c r="AZ528" s="65"/>
      <c r="BA528" s="47"/>
      <c r="BB528" s="47"/>
      <c r="BC528" s="41"/>
      <c r="BD528" s="64"/>
    </row>
    <row r="529" spans="1:56" ht="71.400000000000006" x14ac:dyDescent="0.3">
      <c r="A529" s="47" t="s">
        <v>3849</v>
      </c>
      <c r="B529" s="42">
        <f t="shared" si="187"/>
        <v>523</v>
      </c>
      <c r="C529" s="116" t="s">
        <v>3850</v>
      </c>
      <c r="D529" s="47" t="s">
        <v>3849</v>
      </c>
      <c r="E529" s="61" t="s">
        <v>3851</v>
      </c>
      <c r="F529" s="64"/>
      <c r="G529" s="49" t="s">
        <v>3852</v>
      </c>
      <c r="H529" s="47"/>
      <c r="I529" s="154" t="s">
        <v>3853</v>
      </c>
      <c r="J529" s="66">
        <f ca="1">INT(DATEDIF(I529,'[1]Bieu 1a'!$J$2,"d")/365)</f>
        <v>31</v>
      </c>
      <c r="K529" s="155" t="s">
        <v>3854</v>
      </c>
      <c r="L529" s="156" t="s">
        <v>3855</v>
      </c>
      <c r="M529" s="53" t="s">
        <v>3778</v>
      </c>
      <c r="N529" s="53" t="s">
        <v>3856</v>
      </c>
      <c r="O529" s="56" t="s">
        <v>3856</v>
      </c>
      <c r="P529" s="47"/>
      <c r="Q529" s="47"/>
      <c r="R529" s="49"/>
      <c r="S529" s="56" t="s">
        <v>3856</v>
      </c>
      <c r="T529" s="47"/>
      <c r="U529" s="47"/>
      <c r="V529" s="56" t="s">
        <v>3857</v>
      </c>
      <c r="W529" s="46" t="s">
        <v>3780</v>
      </c>
      <c r="X529" s="46"/>
      <c r="Y529" s="46"/>
      <c r="Z529" s="46"/>
      <c r="AA529" s="68">
        <f>VLOOKUP(A529,'[1]DANH SÁCH'!$B$8:$AD$841,12,0)</f>
        <v>0</v>
      </c>
      <c r="AB529" s="49" t="str">
        <f>VLOOKUP(A529,'[1]DANH SÁCH'!$B$8:$H$841,6,0)</f>
        <v>TĐ005</v>
      </c>
      <c r="AC529" s="69" t="str">
        <f>VLOOKUP(A529,'[1]DANH SÁCH'!$B$8:$J$841,9,0)</f>
        <v>Nội TM</v>
      </c>
      <c r="AD529" s="69" t="str">
        <f>VLOOKUP(A529,'[1]DANH SÁCH'!$B$8:$AC$841,9,0)</f>
        <v>Nội TM</v>
      </c>
      <c r="AE529" s="69" t="str">
        <f>VLOOKUP(A529,'[1]DANH SÁCH'!$B$8:$AD$841,13,0)</f>
        <v>Viên chức</v>
      </c>
      <c r="AF529" s="41"/>
      <c r="AG529" s="42">
        <f>VLOOKUP(A529,'[1]DANH SÁCH'!$B$8:$H$841,7,0)</f>
        <v>0</v>
      </c>
      <c r="AH529" s="45" t="s">
        <v>3781</v>
      </c>
      <c r="AI529" s="42">
        <v>2</v>
      </c>
      <c r="AJ529" s="70"/>
      <c r="AK529" s="69">
        <v>45157</v>
      </c>
      <c r="AL529" s="47" t="s">
        <v>80</v>
      </c>
      <c r="AM529" s="53" t="str">
        <f>VLOOKUP(A529,'[1]DANH SÁCH'!$B$8:$F$841,5,0)</f>
        <v>Bác sĩ</v>
      </c>
      <c r="AN529" s="53" t="s">
        <v>372</v>
      </c>
      <c r="AO529" s="53" t="s">
        <v>1804</v>
      </c>
      <c r="AP529" s="47"/>
      <c r="AQ529" s="72"/>
      <c r="AR529" s="47"/>
      <c r="AS529" s="47"/>
      <c r="AT529" s="47"/>
      <c r="AU529" s="47"/>
      <c r="AV529" s="47"/>
      <c r="AW529" s="47"/>
      <c r="AX529" s="47"/>
      <c r="AY529" s="47" t="s">
        <v>127</v>
      </c>
      <c r="AZ529" s="65"/>
      <c r="BA529" s="74"/>
      <c r="BB529" s="74"/>
      <c r="BC529" s="41"/>
      <c r="BD529" s="64"/>
    </row>
    <row r="530" spans="1:56" ht="40.799999999999997" x14ac:dyDescent="0.3">
      <c r="A530" s="46" t="s">
        <v>3858</v>
      </c>
      <c r="B530" s="42">
        <f t="shared" si="187"/>
        <v>524</v>
      </c>
      <c r="C530" s="63" t="s">
        <v>3859</v>
      </c>
      <c r="D530" s="46" t="s">
        <v>3858</v>
      </c>
      <c r="E530" s="61" t="s">
        <v>3860</v>
      </c>
      <c r="F530" s="64"/>
      <c r="G530" s="49" t="s">
        <v>3861</v>
      </c>
      <c r="H530" s="47"/>
      <c r="I530" s="61" t="s">
        <v>3862</v>
      </c>
      <c r="J530" s="66">
        <f ca="1">INT(DATEDIF(I530,'[1]Bieu 1a'!$J$2,"d")/365)</f>
        <v>32</v>
      </c>
      <c r="K530" s="46" t="s">
        <v>3863</v>
      </c>
      <c r="L530" s="47" t="s">
        <v>3864</v>
      </c>
      <c r="M530" s="56" t="s">
        <v>3778</v>
      </c>
      <c r="N530" s="52"/>
      <c r="O530" s="61" t="s">
        <v>3865</v>
      </c>
      <c r="P530" s="47"/>
      <c r="Q530" s="47"/>
      <c r="R530" s="49"/>
      <c r="S530" s="47"/>
      <c r="T530" s="47"/>
      <c r="U530" s="47"/>
      <c r="V530" s="56" t="s">
        <v>3866</v>
      </c>
      <c r="W530" s="61" t="s">
        <v>3792</v>
      </c>
      <c r="X530" s="46"/>
      <c r="Y530" s="46"/>
      <c r="Z530" s="46"/>
      <c r="AA530" s="68">
        <f>VLOOKUP(A530,'[1]DANH SÁCH'!$B$8:$AD$841,12,0)</f>
        <v>0</v>
      </c>
      <c r="AB530" s="49" t="str">
        <f>VLOOKUP(A530,'[1]DANH SÁCH'!$B$8:$H$841,6,0)</f>
        <v>TĐ005</v>
      </c>
      <c r="AC530" s="69" t="str">
        <f>VLOOKUP(A530,'[1]DANH SÁCH'!$B$8:$J$841,9,0)</f>
        <v>Nội Tổng hợp</v>
      </c>
      <c r="AD530" s="69" t="str">
        <f>VLOOKUP(A530,'[1]DANH SÁCH'!$B$8:$AC$841,9,0)</f>
        <v>Nội Tổng hợp</v>
      </c>
      <c r="AE530" s="69" t="str">
        <f>VLOOKUP(A530,'[1]DANH SÁCH'!$B$8:$AD$841,13,0)</f>
        <v>HĐ có thời hạn</v>
      </c>
      <c r="AF530" s="41"/>
      <c r="AG530" s="42">
        <f>VLOOKUP(A530,'[1]DANH SÁCH'!$B$8:$H$841,7,0)</f>
        <v>0</v>
      </c>
      <c r="AH530" s="45" t="s">
        <v>3781</v>
      </c>
      <c r="AI530" s="42">
        <v>2</v>
      </c>
      <c r="AJ530" s="70"/>
      <c r="AK530" s="69">
        <v>45179</v>
      </c>
      <c r="AL530" s="47" t="s">
        <v>80</v>
      </c>
      <c r="AM530" s="53" t="str">
        <f>VLOOKUP(A530,'[1]DANH SÁCH'!$B$8:$F$841,5,0)</f>
        <v>Bác sĩ</v>
      </c>
      <c r="AN530" s="56" t="s">
        <v>307</v>
      </c>
      <c r="AO530" s="61" t="s">
        <v>297</v>
      </c>
      <c r="AP530" s="61" t="s">
        <v>3793</v>
      </c>
      <c r="AQ530" s="47"/>
      <c r="AR530" s="47"/>
      <c r="AS530" s="47"/>
      <c r="AT530" s="47"/>
      <c r="AU530" s="47"/>
      <c r="AV530" s="47"/>
      <c r="AW530" s="47"/>
      <c r="AX530" s="47"/>
      <c r="AY530" s="46" t="s">
        <v>127</v>
      </c>
      <c r="AZ530" s="65"/>
      <c r="BA530" s="47"/>
      <c r="BB530" s="47"/>
      <c r="BC530" s="41"/>
      <c r="BD530" s="64"/>
    </row>
    <row r="531" spans="1:56" ht="40.799999999999997" x14ac:dyDescent="0.3">
      <c r="A531" s="46" t="s">
        <v>3867</v>
      </c>
      <c r="B531" s="42">
        <f t="shared" si="187"/>
        <v>525</v>
      </c>
      <c r="C531" s="63" t="s">
        <v>3868</v>
      </c>
      <c r="D531" s="46" t="s">
        <v>3867</v>
      </c>
      <c r="E531" s="61" t="s">
        <v>3869</v>
      </c>
      <c r="F531" s="64"/>
      <c r="G531" s="49" t="s">
        <v>3870</v>
      </c>
      <c r="H531" s="47"/>
      <c r="I531" s="65">
        <v>34926</v>
      </c>
      <c r="J531" s="66">
        <f ca="1">INT(DATEDIF(I531,'[1]Bieu 1a'!$J$2,"d")/365)</f>
        <v>30</v>
      </c>
      <c r="K531" s="46" t="s">
        <v>3871</v>
      </c>
      <c r="L531" s="65">
        <v>40269</v>
      </c>
      <c r="M531" s="56"/>
      <c r="N531" s="52"/>
      <c r="O531" s="56"/>
      <c r="P531" s="47"/>
      <c r="Q531" s="47"/>
      <c r="R531" s="49"/>
      <c r="S531" s="47"/>
      <c r="T531" s="47"/>
      <c r="U531" s="47"/>
      <c r="V531" s="56" t="s">
        <v>3872</v>
      </c>
      <c r="W531" s="67" t="s">
        <v>3873</v>
      </c>
      <c r="X531" s="46"/>
      <c r="Y531" s="46"/>
      <c r="Z531" s="46"/>
      <c r="AA531" s="68">
        <f>VLOOKUP(A531,'[1]DANH SÁCH'!$B$8:$AD$841,12,0)</f>
        <v>0</v>
      </c>
      <c r="AB531" s="49" t="str">
        <f>VLOOKUP(A531,'[1]DANH SÁCH'!$B$8:$H$841,6,0)</f>
        <v>TĐ005</v>
      </c>
      <c r="AC531" s="69" t="str">
        <f>VLOOKUP(A531,'[1]DANH SÁCH'!$B$8:$J$841,9,0)</f>
        <v>Phụ sản</v>
      </c>
      <c r="AD531" s="69" t="str">
        <f>VLOOKUP(A531,'[1]DANH SÁCH'!$B$8:$AC$841,9,0)</f>
        <v>Phụ sản</v>
      </c>
      <c r="AE531" s="69" t="str">
        <f>VLOOKUP(A531,'[1]DANH SÁCH'!$B$8:$AD$841,13,0)</f>
        <v>Viên chức</v>
      </c>
      <c r="AF531" s="41"/>
      <c r="AG531" s="42">
        <f>VLOOKUP(A531,'[1]DANH SÁCH'!$B$8:$H$841,7,0)</f>
        <v>0</v>
      </c>
      <c r="AH531" s="45" t="s">
        <v>3781</v>
      </c>
      <c r="AI531" s="42">
        <v>2</v>
      </c>
      <c r="AJ531" s="70"/>
      <c r="AK531" s="69">
        <v>45423</v>
      </c>
      <c r="AL531" s="47" t="s">
        <v>80</v>
      </c>
      <c r="AM531" s="53" t="str">
        <f>VLOOKUP(A531,'[1]DANH SÁCH'!$B$8:$F$841,5,0)</f>
        <v>Bác sĩ</v>
      </c>
      <c r="AN531" s="53" t="s">
        <v>372</v>
      </c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 t="s">
        <v>85</v>
      </c>
      <c r="AZ531" s="65"/>
      <c r="BA531" s="47"/>
      <c r="BB531" s="47"/>
      <c r="BC531" s="41"/>
      <c r="BD531" s="64"/>
    </row>
    <row r="532" spans="1:56" ht="40.799999999999997" x14ac:dyDescent="0.3">
      <c r="A532" s="47" t="s">
        <v>3874</v>
      </c>
      <c r="B532" s="42">
        <f t="shared" si="187"/>
        <v>526</v>
      </c>
      <c r="C532" s="116" t="s">
        <v>3875</v>
      </c>
      <c r="D532" s="47" t="s">
        <v>3874</v>
      </c>
      <c r="E532" s="61" t="s">
        <v>3876</v>
      </c>
      <c r="F532" s="64"/>
      <c r="G532" s="49" t="s">
        <v>3877</v>
      </c>
      <c r="H532" s="149"/>
      <c r="I532" s="154" t="s">
        <v>3878</v>
      </c>
      <c r="J532" s="66">
        <f ca="1">INT(DATEDIF(I532,'[1]Bieu 1a'!$J$2,"d")/365)</f>
        <v>31</v>
      </c>
      <c r="K532" s="155" t="s">
        <v>3879</v>
      </c>
      <c r="L532" s="156" t="s">
        <v>3880</v>
      </c>
      <c r="M532" s="53" t="s">
        <v>3778</v>
      </c>
      <c r="N532" s="53" t="s">
        <v>3881</v>
      </c>
      <c r="O532" s="56" t="s">
        <v>3881</v>
      </c>
      <c r="P532" s="47"/>
      <c r="Q532" s="47"/>
      <c r="R532" s="49"/>
      <c r="S532" s="56" t="s">
        <v>3882</v>
      </c>
      <c r="T532" s="47"/>
      <c r="U532" s="47"/>
      <c r="V532" s="56" t="s">
        <v>3883</v>
      </c>
      <c r="W532" s="46" t="s">
        <v>3831</v>
      </c>
      <c r="X532" s="46"/>
      <c r="Y532" s="46"/>
      <c r="Z532" s="46"/>
      <c r="AA532" s="68">
        <f>VLOOKUP(A532,'[1]DANH SÁCH'!$B$8:$AD$841,12,0)</f>
        <v>0</v>
      </c>
      <c r="AB532" s="49" t="str">
        <f>VLOOKUP(A532,'[1]DANH SÁCH'!$B$8:$H$841,6,0)</f>
        <v>TĐ005</v>
      </c>
      <c r="AC532" s="69" t="str">
        <f>VLOOKUP(A532,'[1]DANH SÁCH'!$B$8:$J$841,9,0)</f>
        <v>Nội Thận-TN-LM</v>
      </c>
      <c r="AD532" s="69" t="str">
        <f>VLOOKUP(A532,'[1]DANH SÁCH'!$B$8:$AC$841,9,0)</f>
        <v>Nội Thận-TN-LM</v>
      </c>
      <c r="AE532" s="69" t="str">
        <f>VLOOKUP(A532,'[1]DANH SÁCH'!$B$8:$AD$841,13,0)</f>
        <v>Viên chức</v>
      </c>
      <c r="AF532" s="41"/>
      <c r="AG532" s="42">
        <f>VLOOKUP(A532,'[1]DANH SÁCH'!$B$8:$H$841,7,0)</f>
        <v>0</v>
      </c>
      <c r="AH532" s="45" t="s">
        <v>3781</v>
      </c>
      <c r="AI532" s="42">
        <v>2</v>
      </c>
      <c r="AJ532" s="70"/>
      <c r="AK532" s="69">
        <v>45061</v>
      </c>
      <c r="AL532" s="47" t="s">
        <v>80</v>
      </c>
      <c r="AM532" s="53" t="str">
        <f>VLOOKUP(A532,'[1]DANH SÁCH'!$B$8:$F$841,5,0)</f>
        <v>Bác sĩ</v>
      </c>
      <c r="AN532" s="157" t="s">
        <v>3813</v>
      </c>
      <c r="AO532" s="53" t="s">
        <v>3782</v>
      </c>
      <c r="AP532" s="47"/>
      <c r="AQ532" s="72"/>
      <c r="AR532" s="47"/>
      <c r="AS532" s="47"/>
      <c r="AT532" s="47"/>
      <c r="AU532" s="47"/>
      <c r="AV532" s="47"/>
      <c r="AW532" s="47"/>
      <c r="AX532" s="47"/>
      <c r="AY532" s="47" t="s">
        <v>85</v>
      </c>
      <c r="AZ532" s="65"/>
      <c r="BA532" s="74"/>
      <c r="BB532" s="74"/>
      <c r="BC532" s="41" t="s">
        <v>890</v>
      </c>
      <c r="BD532" s="64"/>
    </row>
    <row r="533" spans="1:56" ht="40.799999999999997" x14ac:dyDescent="0.3">
      <c r="A533" s="46" t="s">
        <v>3884</v>
      </c>
      <c r="B533" s="42">
        <f t="shared" si="187"/>
        <v>527</v>
      </c>
      <c r="C533" s="72" t="s">
        <v>3885</v>
      </c>
      <c r="D533" s="46" t="s">
        <v>3884</v>
      </c>
      <c r="E533" s="61" t="s">
        <v>3886</v>
      </c>
      <c r="F533" s="10"/>
      <c r="G533" s="49" t="s">
        <v>3887</v>
      </c>
      <c r="H533" s="41" t="s">
        <v>3888</v>
      </c>
      <c r="I533" s="47"/>
      <c r="J533" s="66">
        <f ca="1">INT(DATEDIF(H533,'[1]Bieu 1a'!$J$2,"d")/365)</f>
        <v>32</v>
      </c>
      <c r="K533" s="41" t="s">
        <v>3889</v>
      </c>
      <c r="L533" s="41" t="s">
        <v>2535</v>
      </c>
      <c r="M533" s="158" t="s">
        <v>3890</v>
      </c>
      <c r="N533" s="95"/>
      <c r="O533" s="96"/>
      <c r="P533" s="6"/>
      <c r="Q533" s="6"/>
      <c r="R533" s="49"/>
      <c r="S533" s="6"/>
      <c r="T533" s="6"/>
      <c r="U533" s="6"/>
      <c r="V533" s="56" t="s">
        <v>1059</v>
      </c>
      <c r="W533" s="67" t="s">
        <v>3841</v>
      </c>
      <c r="X533" s="97"/>
      <c r="Y533" s="97"/>
      <c r="Z533" s="97"/>
      <c r="AA533" s="68">
        <f>VLOOKUP(A533,'[1]DANH SÁCH'!$B$8:$AD$841,12,0)</f>
        <v>0</v>
      </c>
      <c r="AB533" s="49" t="str">
        <f>VLOOKUP(A533,'[1]DANH SÁCH'!$B$8:$H$841,6,0)</f>
        <v>TĐ005</v>
      </c>
      <c r="AC533" s="69" t="str">
        <f>VLOOKUP(A533,'[1]DANH SÁCH'!$B$8:$J$841,9,0)</f>
        <v>Chấn thương - Bỏng</v>
      </c>
      <c r="AD533" s="69" t="str">
        <f>VLOOKUP(A533,'[1]DANH SÁCH'!$B$8:$AC$841,9,0)</f>
        <v>Chấn thương - Bỏng</v>
      </c>
      <c r="AE533" s="69" t="str">
        <f>VLOOKUP(A533,'[1]DANH SÁCH'!$B$8:$AD$841,13,0)</f>
        <v>HĐ có thời hạn</v>
      </c>
      <c r="AF533" s="41"/>
      <c r="AG533" s="42">
        <f>VLOOKUP(A533,'[1]DANH SÁCH'!$B$8:$H$841,7,0)</f>
        <v>0</v>
      </c>
      <c r="AH533" s="45" t="s">
        <v>3781</v>
      </c>
      <c r="AI533" s="42">
        <v>2</v>
      </c>
      <c r="AJ533" s="70"/>
      <c r="AK533" s="69">
        <v>45395</v>
      </c>
      <c r="AL533" s="6" t="s">
        <v>80</v>
      </c>
      <c r="AM533" s="53" t="str">
        <f>VLOOKUP(A533,'[1]DANH SÁCH'!$B$8:$F$841,5,0)</f>
        <v>Bác sĩ</v>
      </c>
      <c r="AN533" s="53" t="s">
        <v>372</v>
      </c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47" t="s">
        <v>85</v>
      </c>
      <c r="AZ533" s="65"/>
      <c r="BA533" s="6"/>
      <c r="BB533" s="6"/>
      <c r="BC533" s="41"/>
      <c r="BD533" s="64"/>
    </row>
    <row r="534" spans="1:56" ht="61.2" x14ac:dyDescent="0.3">
      <c r="A534" s="47" t="s">
        <v>3891</v>
      </c>
      <c r="B534" s="42">
        <f t="shared" si="187"/>
        <v>528</v>
      </c>
      <c r="C534" s="116" t="s">
        <v>3892</v>
      </c>
      <c r="D534" s="47" t="s">
        <v>3891</v>
      </c>
      <c r="E534" s="61" t="s">
        <v>3893</v>
      </c>
      <c r="F534" s="64"/>
      <c r="G534" s="49" t="s">
        <v>3894</v>
      </c>
      <c r="H534" s="47"/>
      <c r="I534" s="154" t="s">
        <v>3895</v>
      </c>
      <c r="J534" s="66">
        <f ca="1">INT(DATEDIF(I534,'[1]Bieu 1a'!$J$2,"d")/365)</f>
        <v>30</v>
      </c>
      <c r="K534" s="155" t="s">
        <v>3896</v>
      </c>
      <c r="L534" s="156" t="s">
        <v>3897</v>
      </c>
      <c r="M534" s="53" t="s">
        <v>3778</v>
      </c>
      <c r="N534" s="53" t="s">
        <v>3898</v>
      </c>
      <c r="O534" s="56" t="s">
        <v>3898</v>
      </c>
      <c r="P534" s="47"/>
      <c r="Q534" s="47"/>
      <c r="R534" s="49"/>
      <c r="S534" s="56" t="s">
        <v>3898</v>
      </c>
      <c r="T534" s="47"/>
      <c r="U534" s="47"/>
      <c r="V534" s="56" t="s">
        <v>3898</v>
      </c>
      <c r="W534" s="46" t="s">
        <v>3831</v>
      </c>
      <c r="X534" s="46"/>
      <c r="Y534" s="46"/>
      <c r="Z534" s="46"/>
      <c r="AA534" s="68">
        <f>VLOOKUP(A534,'[1]DANH SÁCH'!$B$8:$AD$841,12,0)</f>
        <v>0</v>
      </c>
      <c r="AB534" s="49" t="str">
        <f>VLOOKUP(A534,'[1]DANH SÁCH'!$B$8:$H$841,6,0)</f>
        <v>TĐ005</v>
      </c>
      <c r="AC534" s="69" t="str">
        <f>VLOOKUP(A534,'[1]DANH SÁCH'!$B$8:$J$841,9,0)</f>
        <v>Ngoại Thận - Tiết niệu</v>
      </c>
      <c r="AD534" s="69" t="str">
        <f>VLOOKUP(A534,'[1]DANH SÁCH'!$B$8:$AC$841,9,0)</f>
        <v>Ngoại Thận - Tiết niệu</v>
      </c>
      <c r="AE534" s="69" t="str">
        <f>VLOOKUP(A534,'[1]DANH SÁCH'!$B$8:$AD$841,13,0)</f>
        <v>Viên chức</v>
      </c>
      <c r="AF534" s="41"/>
      <c r="AG534" s="42">
        <f>VLOOKUP(A534,'[1]DANH SÁCH'!$B$8:$H$841,7,0)</f>
        <v>0</v>
      </c>
      <c r="AH534" s="45" t="s">
        <v>3781</v>
      </c>
      <c r="AI534" s="42">
        <v>2</v>
      </c>
      <c r="AJ534" s="70"/>
      <c r="AK534" s="69">
        <v>45061</v>
      </c>
      <c r="AL534" s="47" t="s">
        <v>80</v>
      </c>
      <c r="AM534" s="53" t="str">
        <f>VLOOKUP(A534,'[1]DANH SÁCH'!$B$8:$F$841,5,0)</f>
        <v>Bác sĩ</v>
      </c>
      <c r="AN534" s="157" t="s">
        <v>3813</v>
      </c>
      <c r="AO534" s="53" t="s">
        <v>3782</v>
      </c>
      <c r="AP534" s="47"/>
      <c r="AQ534" s="72"/>
      <c r="AR534" s="47"/>
      <c r="AS534" s="47"/>
      <c r="AT534" s="47"/>
      <c r="AU534" s="47"/>
      <c r="AV534" s="47"/>
      <c r="AW534" s="47"/>
      <c r="AX534" s="47"/>
      <c r="AY534" s="47" t="s">
        <v>127</v>
      </c>
      <c r="AZ534" s="65"/>
      <c r="BA534" s="74"/>
      <c r="BB534" s="74"/>
      <c r="BC534" s="41"/>
      <c r="BD534" s="64"/>
    </row>
    <row r="535" spans="1:56" ht="81.599999999999994" x14ac:dyDescent="0.3">
      <c r="A535" s="47" t="s">
        <v>3899</v>
      </c>
      <c r="B535" s="42">
        <f t="shared" si="187"/>
        <v>529</v>
      </c>
      <c r="C535" s="44" t="s">
        <v>3900</v>
      </c>
      <c r="D535" s="47" t="s">
        <v>3899</v>
      </c>
      <c r="E535" s="61" t="s">
        <v>3901</v>
      </c>
      <c r="F535" s="64"/>
      <c r="G535" s="49" t="s">
        <v>3902</v>
      </c>
      <c r="H535" s="47"/>
      <c r="I535" s="154" t="s">
        <v>3903</v>
      </c>
      <c r="J535" s="66">
        <f ca="1">INT(DATEDIF(I535,'[1]Bieu 1a'!$J$2,"d")/365)</f>
        <v>32</v>
      </c>
      <c r="K535" s="155" t="s">
        <v>3904</v>
      </c>
      <c r="L535" s="156" t="s">
        <v>3905</v>
      </c>
      <c r="M535" s="53" t="s">
        <v>3778</v>
      </c>
      <c r="N535" s="53" t="s">
        <v>3906</v>
      </c>
      <c r="O535" s="56" t="s">
        <v>3906</v>
      </c>
      <c r="P535" s="47"/>
      <c r="Q535" s="47"/>
      <c r="R535" s="49"/>
      <c r="S535" s="56" t="s">
        <v>3907</v>
      </c>
      <c r="T535" s="47"/>
      <c r="U535" s="47"/>
      <c r="V535" s="56" t="s">
        <v>3907</v>
      </c>
      <c r="W535" s="46" t="s">
        <v>3908</v>
      </c>
      <c r="X535" s="46"/>
      <c r="Y535" s="46"/>
      <c r="Z535" s="46"/>
      <c r="AA535" s="68">
        <f>VLOOKUP(A535,'[1]DANH SÁCH'!$B$8:$AD$841,12,0)</f>
        <v>0</v>
      </c>
      <c r="AB535" s="49" t="str">
        <f>VLOOKUP(A535,'[1]DANH SÁCH'!$B$8:$H$841,6,0)</f>
        <v>TĐ005</v>
      </c>
      <c r="AC535" s="69" t="str">
        <f>VLOOKUP(A535,'[1]DANH SÁCH'!$B$8:$J$841,9,0)</f>
        <v>TDCN</v>
      </c>
      <c r="AD535" s="69" t="str">
        <f>VLOOKUP(A535,'[1]DANH SÁCH'!$B$8:$AC$841,9,0)</f>
        <v>TDCN</v>
      </c>
      <c r="AE535" s="69" t="str">
        <f>VLOOKUP(A535,'[1]DANH SÁCH'!$B$8:$AD$841,13,0)</f>
        <v>HĐ có thời hạn</v>
      </c>
      <c r="AF535" s="41"/>
      <c r="AG535" s="42">
        <f>VLOOKUP(A535,'[1]DANH SÁCH'!$B$8:$H$841,7,0)</f>
        <v>0</v>
      </c>
      <c r="AH535" s="45" t="s">
        <v>3781</v>
      </c>
      <c r="AI535" s="42">
        <v>2</v>
      </c>
      <c r="AJ535" s="70"/>
      <c r="AK535" s="69">
        <v>45225</v>
      </c>
      <c r="AL535" s="47" t="s">
        <v>80</v>
      </c>
      <c r="AM535" s="53" t="str">
        <f>VLOOKUP(A535,'[1]DANH SÁCH'!$B$8:$F$841,5,0)</f>
        <v>Bác sĩ</v>
      </c>
      <c r="AN535" s="157" t="s">
        <v>3813</v>
      </c>
      <c r="AO535" s="53" t="s">
        <v>3782</v>
      </c>
      <c r="AP535" s="47"/>
      <c r="AQ535" s="72"/>
      <c r="AR535" s="47"/>
      <c r="AS535" s="47"/>
      <c r="AT535" s="47"/>
      <c r="AU535" s="47"/>
      <c r="AV535" s="47"/>
      <c r="AW535" s="47"/>
      <c r="AX535" s="47"/>
      <c r="AY535" s="47" t="s">
        <v>85</v>
      </c>
      <c r="AZ535" s="65"/>
      <c r="BA535" s="74"/>
      <c r="BB535" s="74"/>
      <c r="BC535" s="41"/>
      <c r="BD535" s="64"/>
    </row>
    <row r="536" spans="1:56" ht="40.799999999999997" x14ac:dyDescent="0.3">
      <c r="A536" s="47" t="s">
        <v>3909</v>
      </c>
      <c r="B536" s="42">
        <f t="shared" si="187"/>
        <v>530</v>
      </c>
      <c r="C536" s="72" t="s">
        <v>3910</v>
      </c>
      <c r="D536" s="47" t="s">
        <v>3909</v>
      </c>
      <c r="E536" s="61" t="s">
        <v>3911</v>
      </c>
      <c r="F536" s="64"/>
      <c r="G536" s="49" t="s">
        <v>3912</v>
      </c>
      <c r="H536" s="41" t="s">
        <v>3913</v>
      </c>
      <c r="I536" s="64"/>
      <c r="J536" s="66">
        <f ca="1">INT(DATEDIF(H536,'[1]Bieu 1a'!$J$2,"d")/365)</f>
        <v>32</v>
      </c>
      <c r="K536" s="41" t="s">
        <v>3914</v>
      </c>
      <c r="L536" s="41" t="s">
        <v>3915</v>
      </c>
      <c r="M536" s="158" t="s">
        <v>3916</v>
      </c>
      <c r="N536" s="52"/>
      <c r="O536" s="56"/>
      <c r="P536" s="47"/>
      <c r="Q536" s="47"/>
      <c r="R536" s="49"/>
      <c r="S536" s="47"/>
      <c r="T536" s="47"/>
      <c r="U536" s="47"/>
      <c r="V536" s="56" t="s">
        <v>3917</v>
      </c>
      <c r="W536" s="67" t="s">
        <v>3918</v>
      </c>
      <c r="X536" s="46"/>
      <c r="Y536" s="46"/>
      <c r="Z536" s="46"/>
      <c r="AA536" s="68">
        <f>VLOOKUP(A536,'[1]DANH SÁCH'!$B$8:$AD$841,12,0)</f>
        <v>0</v>
      </c>
      <c r="AB536" s="49" t="str">
        <f>VLOOKUP(A536,'[1]DANH SÁCH'!$B$8:$H$841,6,0)</f>
        <v>TĐ005</v>
      </c>
      <c r="AC536" s="69" t="str">
        <f>VLOOKUP(A536,'[1]DANH SÁCH'!$B$8:$J$841,9,0)</f>
        <v>Ngoại Tiêu hóa</v>
      </c>
      <c r="AD536" s="69" t="str">
        <f>VLOOKUP(A536,'[1]DANH SÁCH'!$B$8:$AC$841,9,0)</f>
        <v>Ngoại Tiêu hóa</v>
      </c>
      <c r="AE536" s="69" t="str">
        <f>VLOOKUP(A536,'[1]DANH SÁCH'!$B$8:$AD$841,13,0)</f>
        <v>Viên chức</v>
      </c>
      <c r="AF536" s="41"/>
      <c r="AG536" s="42">
        <f>VLOOKUP(A536,'[1]DANH SÁCH'!$B$8:$H$841,7,0)</f>
        <v>0</v>
      </c>
      <c r="AH536" s="45" t="s">
        <v>3781</v>
      </c>
      <c r="AI536" s="42">
        <v>2</v>
      </c>
      <c r="AJ536" s="70"/>
      <c r="AK536" s="69">
        <v>45383</v>
      </c>
      <c r="AL536" s="46" t="s">
        <v>80</v>
      </c>
      <c r="AM536" s="53" t="str">
        <f>VLOOKUP(A536,'[1]DANH SÁCH'!$B$8:$F$841,5,0)</f>
        <v>Bác sĩ</v>
      </c>
      <c r="AN536" s="53" t="s">
        <v>372</v>
      </c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 t="s">
        <v>85</v>
      </c>
      <c r="AZ536" s="65"/>
      <c r="BA536" s="47"/>
      <c r="BB536" s="47"/>
      <c r="BC536" s="41"/>
      <c r="BD536" s="64"/>
    </row>
    <row r="537" spans="1:56" ht="40.799999999999997" x14ac:dyDescent="0.3">
      <c r="A537" s="47" t="s">
        <v>3919</v>
      </c>
      <c r="B537" s="42">
        <f t="shared" si="187"/>
        <v>531</v>
      </c>
      <c r="C537" s="110" t="s">
        <v>3920</v>
      </c>
      <c r="D537" s="47" t="s">
        <v>3919</v>
      </c>
      <c r="E537" s="61" t="s">
        <v>3921</v>
      </c>
      <c r="F537" s="64"/>
      <c r="G537" s="49" t="s">
        <v>3922</v>
      </c>
      <c r="H537" s="65">
        <v>35030</v>
      </c>
      <c r="I537" s="47"/>
      <c r="J537" s="66">
        <f ca="1">INT(DATEDIF(H537,'[1]Bieu 1a'!$J$2,"d")/365)</f>
        <v>30</v>
      </c>
      <c r="K537" s="41" t="s">
        <v>3923</v>
      </c>
      <c r="L537" s="69">
        <v>41059</v>
      </c>
      <c r="M537" s="56"/>
      <c r="N537" s="52"/>
      <c r="O537" s="56"/>
      <c r="P537" s="47"/>
      <c r="Q537" s="47"/>
      <c r="R537" s="49"/>
      <c r="S537" s="47" t="s">
        <v>3924</v>
      </c>
      <c r="T537" s="47" t="s">
        <v>758</v>
      </c>
      <c r="U537" s="47" t="s">
        <v>71</v>
      </c>
      <c r="V537" s="56" t="s">
        <v>3925</v>
      </c>
      <c r="W537" s="69">
        <v>44105</v>
      </c>
      <c r="X537" s="46"/>
      <c r="Y537" s="46"/>
      <c r="Z537" s="46"/>
      <c r="AA537" s="68">
        <f>VLOOKUP(A537,'[1]DANH SÁCH'!$B$8:$AD$841,12,0)</f>
        <v>0</v>
      </c>
      <c r="AB537" s="49" t="str">
        <f>VLOOKUP(A537,'[1]DANH SÁCH'!$B$8:$H$841,6,0)</f>
        <v>TĐ005</v>
      </c>
      <c r="AC537" s="69" t="str">
        <f>VLOOKUP(A537,'[1]DANH SÁCH'!$B$8:$J$841,9,0)</f>
        <v>Ngoại Tiêu hóa</v>
      </c>
      <c r="AD537" s="69" t="str">
        <f>VLOOKUP(A537,'[1]DANH SÁCH'!$B$8:$AC$841,9,0)</f>
        <v>Ngoại Tiêu hóa</v>
      </c>
      <c r="AE537" s="69" t="str">
        <f>VLOOKUP(A537,'[1]DANH SÁCH'!$B$8:$AD$841,13,0)</f>
        <v>HĐ có thời hạn</v>
      </c>
      <c r="AF537" s="41"/>
      <c r="AG537" s="42">
        <f>VLOOKUP(A537,'[1]DANH SÁCH'!$B$8:$H$841,7,0)</f>
        <v>0</v>
      </c>
      <c r="AH537" s="45" t="s">
        <v>3781</v>
      </c>
      <c r="AI537" s="42">
        <v>2</v>
      </c>
      <c r="AJ537" s="70"/>
      <c r="AK537" s="69">
        <v>45474</v>
      </c>
      <c r="AL537" s="47" t="s">
        <v>80</v>
      </c>
      <c r="AM537" s="53" t="str">
        <f>VLOOKUP(A537,'[1]DANH SÁCH'!$B$8:$F$841,5,0)</f>
        <v>Bác sĩ</v>
      </c>
      <c r="AN537" s="53" t="s">
        <v>372</v>
      </c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2" t="s">
        <v>87</v>
      </c>
      <c r="AZ537" s="65"/>
      <c r="BA537" s="47"/>
      <c r="BB537" s="47"/>
      <c r="BC537" s="41"/>
      <c r="BD537" s="64"/>
    </row>
    <row r="538" spans="1:56" ht="30.6" x14ac:dyDescent="0.3">
      <c r="A538" s="46" t="s">
        <v>3926</v>
      </c>
      <c r="B538" s="42">
        <f t="shared" si="187"/>
        <v>532</v>
      </c>
      <c r="C538" s="63" t="s">
        <v>3927</v>
      </c>
      <c r="D538" s="46" t="s">
        <v>3926</v>
      </c>
      <c r="E538" s="61" t="s">
        <v>3928</v>
      </c>
      <c r="F538" s="64"/>
      <c r="G538" s="49" t="s">
        <v>3929</v>
      </c>
      <c r="H538" s="65">
        <v>34337</v>
      </c>
      <c r="I538" s="47"/>
      <c r="J538" s="66">
        <f ca="1">INT(DATEDIF(H538,'[1]Bieu 1a'!$J$2,"d")/365)</f>
        <v>32</v>
      </c>
      <c r="K538" s="46" t="s">
        <v>3930</v>
      </c>
      <c r="L538" s="65">
        <v>40515</v>
      </c>
      <c r="M538" s="56"/>
      <c r="N538" s="52"/>
      <c r="O538" s="56"/>
      <c r="P538" s="47"/>
      <c r="Q538" s="47"/>
      <c r="R538" s="49"/>
      <c r="S538" s="47"/>
      <c r="T538" s="47"/>
      <c r="U538" s="47"/>
      <c r="V538" s="56" t="s">
        <v>3931</v>
      </c>
      <c r="W538" s="67" t="s">
        <v>3932</v>
      </c>
      <c r="X538" s="46"/>
      <c r="Y538" s="46"/>
      <c r="Z538" s="46"/>
      <c r="AA538" s="68">
        <f>VLOOKUP(A538,'[1]DANH SÁCH'!$B$8:$AD$841,12,0)</f>
        <v>0</v>
      </c>
      <c r="AB538" s="49" t="str">
        <f>VLOOKUP(A538,'[1]DANH SÁCH'!$B$8:$H$841,6,0)</f>
        <v>TĐ005</v>
      </c>
      <c r="AC538" s="69" t="str">
        <f>VLOOKUP(A538,'[1]DANH SÁCH'!$B$8:$J$841,9,0)</f>
        <v>Ngoại TK-LN</v>
      </c>
      <c r="AD538" s="69" t="str">
        <f>VLOOKUP(A538,'[1]DANH SÁCH'!$B$8:$AC$841,9,0)</f>
        <v>Ngoại TK-LN</v>
      </c>
      <c r="AE538" s="69" t="str">
        <f>VLOOKUP(A538,'[1]DANH SÁCH'!$B$8:$AD$841,13,0)</f>
        <v>HĐ có thời hạn</v>
      </c>
      <c r="AF538" s="41"/>
      <c r="AG538" s="42">
        <f>VLOOKUP(A538,'[1]DANH SÁCH'!$B$8:$H$841,7,0)</f>
        <v>0</v>
      </c>
      <c r="AH538" s="45" t="s">
        <v>3781</v>
      </c>
      <c r="AI538" s="42">
        <v>2</v>
      </c>
      <c r="AJ538" s="70"/>
      <c r="AK538" s="69">
        <v>45410</v>
      </c>
      <c r="AL538" s="47" t="s">
        <v>80</v>
      </c>
      <c r="AM538" s="53" t="str">
        <f>VLOOKUP(A538,'[1]DANH SÁCH'!$B$8:$F$841,5,0)</f>
        <v>Bác sĩ</v>
      </c>
      <c r="AN538" s="53" t="s">
        <v>372</v>
      </c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 t="s">
        <v>85</v>
      </c>
      <c r="AZ538" s="65"/>
      <c r="BA538" s="47"/>
      <c r="BB538" s="47"/>
      <c r="BC538" s="41"/>
      <c r="BD538" s="64"/>
    </row>
    <row r="539" spans="1:56" ht="61.2" x14ac:dyDescent="0.3">
      <c r="A539" s="47" t="s">
        <v>3933</v>
      </c>
      <c r="B539" s="42">
        <f t="shared" si="187"/>
        <v>533</v>
      </c>
      <c r="C539" s="116" t="s">
        <v>3934</v>
      </c>
      <c r="D539" s="47" t="s">
        <v>3933</v>
      </c>
      <c r="E539" s="61" t="s">
        <v>3935</v>
      </c>
      <c r="F539" s="64"/>
      <c r="G539" s="49" t="s">
        <v>3936</v>
      </c>
      <c r="H539" s="47"/>
      <c r="I539" s="154" t="s">
        <v>3937</v>
      </c>
      <c r="J539" s="66">
        <f ca="1">INT(DATEDIF(I539,'[1]Bieu 1a'!$J$2,"d")/365)</f>
        <v>31</v>
      </c>
      <c r="K539" s="155" t="s">
        <v>3938</v>
      </c>
      <c r="L539" s="156" t="s">
        <v>3939</v>
      </c>
      <c r="M539" s="53" t="s">
        <v>3778</v>
      </c>
      <c r="N539" s="53" t="s">
        <v>3940</v>
      </c>
      <c r="O539" s="56" t="s">
        <v>3940</v>
      </c>
      <c r="P539" s="47"/>
      <c r="Q539" s="47"/>
      <c r="R539" s="49"/>
      <c r="S539" s="56" t="s">
        <v>3940</v>
      </c>
      <c r="T539" s="47"/>
      <c r="U539" s="47"/>
      <c r="V539" s="56" t="s">
        <v>3941</v>
      </c>
      <c r="W539" s="46" t="s">
        <v>3831</v>
      </c>
      <c r="X539" s="46"/>
      <c r="Y539" s="46"/>
      <c r="Z539" s="46"/>
      <c r="AA539" s="68">
        <f>VLOOKUP(A539,'[1]DANH SÁCH'!$B$8:$AD$841,12,0)</f>
        <v>0</v>
      </c>
      <c r="AB539" s="49" t="str">
        <f>VLOOKUP(A539,'[1]DANH SÁCH'!$B$8:$H$841,6,0)</f>
        <v>TĐ005</v>
      </c>
      <c r="AC539" s="69" t="str">
        <f>VLOOKUP(A539,'[1]DANH SÁCH'!$B$8:$J$841,9,0)</f>
        <v>Nhi</v>
      </c>
      <c r="AD539" s="69" t="str">
        <f>VLOOKUP(A539,'[1]DANH SÁCH'!$B$8:$AC$841,9,0)</f>
        <v>Nhi</v>
      </c>
      <c r="AE539" s="69" t="str">
        <f>VLOOKUP(A539,'[1]DANH SÁCH'!$B$8:$AD$841,13,0)</f>
        <v>Viên chức</v>
      </c>
      <c r="AF539" s="41"/>
      <c r="AG539" s="42">
        <f>VLOOKUP(A539,'[1]DANH SÁCH'!$B$8:$H$841,7,0)</f>
        <v>0</v>
      </c>
      <c r="AH539" s="45" t="s">
        <v>3802</v>
      </c>
      <c r="AI539" s="42">
        <v>3</v>
      </c>
      <c r="AJ539" s="70"/>
      <c r="AK539" s="69">
        <v>45976</v>
      </c>
      <c r="AL539" s="47" t="s">
        <v>80</v>
      </c>
      <c r="AM539" s="53" t="str">
        <f>VLOOKUP(A539,'[1]DANH SÁCH'!$B$8:$F$841,5,0)</f>
        <v>Bác sĩ</v>
      </c>
      <c r="AN539" s="157" t="s">
        <v>3813</v>
      </c>
      <c r="AO539" s="53" t="s">
        <v>3782</v>
      </c>
      <c r="AP539" s="47"/>
      <c r="AQ539" s="72"/>
      <c r="AR539" s="47"/>
      <c r="AS539" s="47"/>
      <c r="AT539" s="47"/>
      <c r="AU539" s="47"/>
      <c r="AV539" s="47"/>
      <c r="AW539" s="47"/>
      <c r="AX539" s="47"/>
      <c r="AY539" s="47" t="s">
        <v>85</v>
      </c>
      <c r="AZ539" s="65"/>
      <c r="BA539" s="74"/>
      <c r="BB539" s="74"/>
      <c r="BC539" s="41"/>
      <c r="BD539" s="64"/>
    </row>
    <row r="540" spans="1:56" ht="40.799999999999997" x14ac:dyDescent="0.3">
      <c r="A540" s="46" t="s">
        <v>3942</v>
      </c>
      <c r="B540" s="42">
        <f t="shared" si="187"/>
        <v>534</v>
      </c>
      <c r="C540" s="63" t="s">
        <v>3943</v>
      </c>
      <c r="D540" s="46" t="s">
        <v>3942</v>
      </c>
      <c r="E540" s="67">
        <v>2020895225</v>
      </c>
      <c r="F540" s="64"/>
      <c r="G540" s="49" t="s">
        <v>3944</v>
      </c>
      <c r="H540" s="62">
        <v>34095</v>
      </c>
      <c r="I540" s="64"/>
      <c r="J540" s="66">
        <f ca="1">INT(DATEDIF(H540,'[1]Bieu 1a'!$J$2,"d")/365)</f>
        <v>33</v>
      </c>
      <c r="K540" s="75" t="s">
        <v>3945</v>
      </c>
      <c r="L540" s="46" t="s">
        <v>3946</v>
      </c>
      <c r="M540" s="53" t="s">
        <v>67</v>
      </c>
      <c r="N540" s="66"/>
      <c r="O540" s="56" t="s">
        <v>3947</v>
      </c>
      <c r="P540" s="47" t="s">
        <v>1193</v>
      </c>
      <c r="Q540" s="47" t="s">
        <v>71</v>
      </c>
      <c r="R540" s="49"/>
      <c r="S540" s="47" t="s">
        <v>1379</v>
      </c>
      <c r="T540" s="47" t="s">
        <v>1193</v>
      </c>
      <c r="U540" s="47" t="s">
        <v>71</v>
      </c>
      <c r="V540" s="56" t="s">
        <v>3948</v>
      </c>
      <c r="W540" s="55" t="s">
        <v>3949</v>
      </c>
      <c r="X540" s="46"/>
      <c r="Y540" s="46"/>
      <c r="Z540" s="46"/>
      <c r="AA540" s="68">
        <f>VLOOKUP(A540,'[1]DANH SÁCH'!$B$8:$AD$841,12,0)</f>
        <v>0</v>
      </c>
      <c r="AB540" s="49" t="str">
        <f>VLOOKUP(A540,'[1]DANH SÁCH'!$B$8:$H$841,6,0)</f>
        <v>TĐ005</v>
      </c>
      <c r="AC540" s="69" t="str">
        <f>VLOOKUP(A540,'[1]DANH SÁCH'!$B$8:$J$841,9,0)</f>
        <v>Răng Hàm Mặt</v>
      </c>
      <c r="AD540" s="69" t="str">
        <f>VLOOKUP(A540,'[1]DANH SÁCH'!$B$8:$AC$841,9,0)</f>
        <v>Răng Hàm Mặt</v>
      </c>
      <c r="AE540" s="69" t="str">
        <f>VLOOKUP(A540,'[1]DANH SÁCH'!$B$8:$AD$841,13,0)</f>
        <v>Viên chức</v>
      </c>
      <c r="AF540" s="41"/>
      <c r="AG540" s="42">
        <f>VLOOKUP(A540,'[1]DANH SÁCH'!$B$8:$H$841,7,0)</f>
        <v>0</v>
      </c>
      <c r="AH540" s="45" t="s">
        <v>3802</v>
      </c>
      <c r="AI540" s="42">
        <v>3</v>
      </c>
      <c r="AJ540" s="70"/>
      <c r="AK540" s="69">
        <v>45475</v>
      </c>
      <c r="AL540" s="47" t="s">
        <v>80</v>
      </c>
      <c r="AM540" s="53" t="str">
        <f>VLOOKUP(A540,'[1]DANH SÁCH'!$B$8:$F$841,5,0)</f>
        <v>Bác sĩ</v>
      </c>
      <c r="AN540" s="53" t="s">
        <v>2225</v>
      </c>
      <c r="AO540" s="53" t="s">
        <v>1130</v>
      </c>
      <c r="AP540" s="53">
        <v>2017</v>
      </c>
      <c r="AQ540" s="72" t="s">
        <v>113</v>
      </c>
      <c r="AR540" s="47"/>
      <c r="AS540" s="47"/>
      <c r="AT540" s="47"/>
      <c r="AU540" s="47" t="s">
        <v>86</v>
      </c>
      <c r="AV540" s="47"/>
      <c r="AW540" s="47" t="s">
        <v>3950</v>
      </c>
      <c r="AX540" s="47"/>
      <c r="AY540" s="73" t="s">
        <v>85</v>
      </c>
      <c r="AZ540" s="65"/>
      <c r="BA540" s="74"/>
      <c r="BB540" s="74"/>
      <c r="BC540" s="150"/>
      <c r="BD540" s="149"/>
    </row>
    <row r="541" spans="1:56" ht="40.799999999999997" x14ac:dyDescent="0.3">
      <c r="A541" s="46" t="s">
        <v>3951</v>
      </c>
      <c r="B541" s="42">
        <f t="shared" si="187"/>
        <v>535</v>
      </c>
      <c r="C541" s="116" t="s">
        <v>3952</v>
      </c>
      <c r="D541" s="46" t="s">
        <v>3951</v>
      </c>
      <c r="E541" s="61" t="s">
        <v>3953</v>
      </c>
      <c r="F541" s="64"/>
      <c r="G541" s="49" t="s">
        <v>3954</v>
      </c>
      <c r="H541" s="61" t="s">
        <v>3955</v>
      </c>
      <c r="I541" s="149"/>
      <c r="J541" s="66">
        <f ca="1">INT(DATEDIF(H541,'[1]Bieu 1a'!$J$2,"d")/365)</f>
        <v>31</v>
      </c>
      <c r="K541" s="46" t="s">
        <v>3956</v>
      </c>
      <c r="L541" s="47" t="s">
        <v>3957</v>
      </c>
      <c r="M541" s="56" t="s">
        <v>3778</v>
      </c>
      <c r="N541" s="52"/>
      <c r="O541" s="61" t="s">
        <v>3958</v>
      </c>
      <c r="P541" s="47"/>
      <c r="Q541" s="47"/>
      <c r="R541" s="49"/>
      <c r="S541" s="47"/>
      <c r="T541" s="47"/>
      <c r="U541" s="47"/>
      <c r="V541" s="56" t="s">
        <v>3959</v>
      </c>
      <c r="W541" s="61" t="s">
        <v>3823</v>
      </c>
      <c r="X541" s="46"/>
      <c r="Y541" s="46"/>
      <c r="Z541" s="46"/>
      <c r="AA541" s="68">
        <f>VLOOKUP(A541,'[1]DANH SÁCH'!$B$8:$AD$841,12,0)</f>
        <v>0</v>
      </c>
      <c r="AB541" s="49" t="str">
        <f>VLOOKUP(A541,'[1]DANH SÁCH'!$B$8:$H$841,6,0)</f>
        <v>TĐ005</v>
      </c>
      <c r="AC541" s="69" t="str">
        <f>VLOOKUP(A541,'[1]DANH SÁCH'!$B$8:$J$841,9,0)</f>
        <v>Răng Hàm Mặt</v>
      </c>
      <c r="AD541" s="69" t="str">
        <f>VLOOKUP(A541,'[1]DANH SÁCH'!$B$8:$AC$841,9,0)</f>
        <v>Răng Hàm Mặt</v>
      </c>
      <c r="AE541" s="69" t="str">
        <f>VLOOKUP(A541,'[1]DANH SÁCH'!$B$8:$AD$841,13,0)</f>
        <v>Viên chức</v>
      </c>
      <c r="AF541" s="41"/>
      <c r="AG541" s="42">
        <f>VLOOKUP(A541,'[1]DANH SÁCH'!$B$8:$H$841,7,0)</f>
        <v>0</v>
      </c>
      <c r="AH541" s="45" t="s">
        <v>3781</v>
      </c>
      <c r="AI541" s="42">
        <v>2</v>
      </c>
      <c r="AJ541" s="70"/>
      <c r="AK541" s="69">
        <v>45171</v>
      </c>
      <c r="AL541" s="47" t="s">
        <v>80</v>
      </c>
      <c r="AM541" s="53" t="str">
        <f>VLOOKUP(A541,'[1]DANH SÁCH'!$B$8:$F$841,5,0)</f>
        <v>Bác sĩ</v>
      </c>
      <c r="AN541" s="53" t="s">
        <v>2225</v>
      </c>
      <c r="AO541" s="61" t="s">
        <v>387</v>
      </c>
      <c r="AP541" s="61" t="s">
        <v>3960</v>
      </c>
      <c r="AQ541" s="47"/>
      <c r="AR541" s="47"/>
      <c r="AS541" s="47"/>
      <c r="AT541" s="47"/>
      <c r="AU541" s="47"/>
      <c r="AV541" s="47"/>
      <c r="AW541" s="47"/>
      <c r="AX541" s="47"/>
      <c r="AY541" s="46" t="s">
        <v>87</v>
      </c>
      <c r="AZ541" s="65">
        <v>43550</v>
      </c>
      <c r="BA541" s="47"/>
      <c r="BB541" s="47"/>
      <c r="BC541" s="150"/>
      <c r="BD541" s="149"/>
    </row>
    <row r="542" spans="1:56" ht="71.400000000000006" x14ac:dyDescent="0.3">
      <c r="A542" s="47" t="s">
        <v>3961</v>
      </c>
      <c r="B542" s="42">
        <f t="shared" si="187"/>
        <v>536</v>
      </c>
      <c r="C542" s="116" t="s">
        <v>3962</v>
      </c>
      <c r="D542" s="47" t="s">
        <v>3961</v>
      </c>
      <c r="E542" s="61" t="s">
        <v>3963</v>
      </c>
      <c r="F542" s="64"/>
      <c r="G542" s="49" t="s">
        <v>3964</v>
      </c>
      <c r="H542" s="154" t="s">
        <v>3965</v>
      </c>
      <c r="I542" s="149"/>
      <c r="J542" s="66">
        <f ca="1">INT(DATEDIF(H542,'[1]Bieu 1a'!$J$2,"d")/365)</f>
        <v>33</v>
      </c>
      <c r="K542" s="155" t="s">
        <v>3966</v>
      </c>
      <c r="L542" s="156" t="s">
        <v>3946</v>
      </c>
      <c r="M542" s="53" t="s">
        <v>3778</v>
      </c>
      <c r="N542" s="53" t="s">
        <v>3967</v>
      </c>
      <c r="O542" s="56" t="s">
        <v>3967</v>
      </c>
      <c r="P542" s="47"/>
      <c r="Q542" s="47"/>
      <c r="R542" s="49"/>
      <c r="S542" s="56" t="s">
        <v>3967</v>
      </c>
      <c r="T542" s="47"/>
      <c r="U542" s="47"/>
      <c r="V542" s="56" t="s">
        <v>3968</v>
      </c>
      <c r="W542" s="46" t="s">
        <v>3831</v>
      </c>
      <c r="X542" s="46"/>
      <c r="Y542" s="46"/>
      <c r="Z542" s="46"/>
      <c r="AA542" s="68">
        <f>VLOOKUP(A542,'[1]DANH SÁCH'!$B$8:$AD$841,12,0)</f>
        <v>0</v>
      </c>
      <c r="AB542" s="49" t="str">
        <f>VLOOKUP(A542,'[1]DANH SÁCH'!$B$8:$H$841,6,0)</f>
        <v>TĐ005</v>
      </c>
      <c r="AC542" s="69" t="str">
        <f>VLOOKUP(A542,'[1]DANH SÁCH'!$B$8:$J$841,9,0)</f>
        <v>Tai mũi họng</v>
      </c>
      <c r="AD542" s="69" t="str">
        <f>VLOOKUP(A542,'[1]DANH SÁCH'!$B$8:$AC$841,9,0)</f>
        <v>Tai mũi họng</v>
      </c>
      <c r="AE542" s="69" t="str">
        <f>VLOOKUP(A542,'[1]DANH SÁCH'!$B$8:$AD$841,13,0)</f>
        <v>Viên chức</v>
      </c>
      <c r="AF542" s="41"/>
      <c r="AG542" s="42">
        <f>VLOOKUP(A542,'[1]DANH SÁCH'!$B$8:$H$841,7,0)</f>
        <v>0</v>
      </c>
      <c r="AH542" s="45" t="s">
        <v>3781</v>
      </c>
      <c r="AI542" s="42">
        <v>2</v>
      </c>
      <c r="AJ542" s="70"/>
      <c r="AK542" s="69">
        <v>45061</v>
      </c>
      <c r="AL542" s="47" t="s">
        <v>80</v>
      </c>
      <c r="AM542" s="53" t="str">
        <f>VLOOKUP(A542,'[1]DANH SÁCH'!$B$8:$F$841,5,0)</f>
        <v>Bác sĩ</v>
      </c>
      <c r="AN542" s="53" t="s">
        <v>2225</v>
      </c>
      <c r="AO542" s="53" t="s">
        <v>3782</v>
      </c>
      <c r="AP542" s="47"/>
      <c r="AQ542" s="72"/>
      <c r="AR542" s="47"/>
      <c r="AS542" s="47"/>
      <c r="AT542" s="47"/>
      <c r="AU542" s="47"/>
      <c r="AV542" s="47"/>
      <c r="AW542" s="47"/>
      <c r="AX542" s="47"/>
      <c r="AY542" s="47" t="s">
        <v>85</v>
      </c>
      <c r="AZ542" s="65"/>
      <c r="BA542" s="74"/>
      <c r="BB542" s="74"/>
      <c r="BC542" s="150"/>
      <c r="BD542" s="149"/>
    </row>
    <row r="543" spans="1:56" ht="40.799999999999997" x14ac:dyDescent="0.3">
      <c r="A543" s="61" t="s">
        <v>3969</v>
      </c>
      <c r="B543" s="42">
        <f t="shared" si="187"/>
        <v>537</v>
      </c>
      <c r="C543" s="148" t="s">
        <v>3970</v>
      </c>
      <c r="D543" s="61" t="s">
        <v>3969</v>
      </c>
      <c r="E543" s="61" t="s">
        <v>3971</v>
      </c>
      <c r="F543" s="10"/>
      <c r="G543" s="49" t="s">
        <v>3972</v>
      </c>
      <c r="H543" s="47"/>
      <c r="I543" s="65">
        <v>35318</v>
      </c>
      <c r="J543" s="66">
        <f ca="1">INT(DATEDIF(I543,'[1]Bieu 1a'!$J$2,"d")/365)</f>
        <v>29</v>
      </c>
      <c r="K543" s="46" t="s">
        <v>3973</v>
      </c>
      <c r="L543" s="46" t="s">
        <v>3974</v>
      </c>
      <c r="M543" s="96"/>
      <c r="N543" s="95"/>
      <c r="O543" s="96"/>
      <c r="P543" s="6"/>
      <c r="Q543" s="6"/>
      <c r="R543" s="49"/>
      <c r="S543" s="47" t="s">
        <v>3275</v>
      </c>
      <c r="T543" s="47" t="s">
        <v>74</v>
      </c>
      <c r="U543" s="47" t="s">
        <v>71</v>
      </c>
      <c r="V543" s="56" t="s">
        <v>3975</v>
      </c>
      <c r="W543" s="67" t="s">
        <v>3976</v>
      </c>
      <c r="X543" s="97"/>
      <c r="Y543" s="97"/>
      <c r="Z543" s="97"/>
      <c r="AA543" s="68">
        <f>VLOOKUP(A543,'[1]DANH SÁCH'!$B$8:$AD$841,12,0)</f>
        <v>0</v>
      </c>
      <c r="AB543" s="47"/>
      <c r="AC543" s="69" t="str">
        <f>VLOOKUP(A543,'[1]DANH SÁCH'!$B$8:$J$841,9,0)</f>
        <v>Tâm thần - Thần kinh</v>
      </c>
      <c r="AD543" s="69" t="str">
        <f>VLOOKUP(A543,'[1]DANH SÁCH'!$B$8:$AC$841,9,0)</f>
        <v>Tâm thần - Thần kinh</v>
      </c>
      <c r="AE543" s="69" t="str">
        <f>VLOOKUP(A543,'[1]DANH SÁCH'!$B$8:$AD$841,13,0)</f>
        <v>Viên chức</v>
      </c>
      <c r="AF543" s="41"/>
      <c r="AG543" s="42">
        <f>VLOOKUP(A543,'[1]DANH SÁCH'!$B$8:$H$841,7,0)</f>
        <v>0</v>
      </c>
      <c r="AH543" s="45" t="s">
        <v>3781</v>
      </c>
      <c r="AI543" s="42">
        <v>2</v>
      </c>
      <c r="AJ543" s="70"/>
      <c r="AK543" s="69">
        <v>45590</v>
      </c>
      <c r="AL543" s="47" t="s">
        <v>80</v>
      </c>
      <c r="AM543" s="53" t="str">
        <f>VLOOKUP(A543,'[1]DANH SÁCH'!$B$8:$F$841,5,0)</f>
        <v>Bác sĩ</v>
      </c>
      <c r="AN543" s="53" t="s">
        <v>372</v>
      </c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47" t="s">
        <v>85</v>
      </c>
      <c r="AZ543" s="65"/>
      <c r="BA543" s="6"/>
      <c r="BB543" s="6"/>
      <c r="BC543" s="7"/>
      <c r="BD543" s="6"/>
    </row>
    <row r="544" spans="1:56" ht="20.399999999999999" x14ac:dyDescent="0.3">
      <c r="A544" s="46" t="s">
        <v>3977</v>
      </c>
      <c r="B544" s="42">
        <f t="shared" si="187"/>
        <v>538</v>
      </c>
      <c r="C544" s="49" t="s">
        <v>3978</v>
      </c>
      <c r="D544" s="46" t="s">
        <v>3977</v>
      </c>
      <c r="E544" s="61" t="s">
        <v>3979</v>
      </c>
      <c r="F544" s="64"/>
      <c r="G544" s="49"/>
      <c r="H544" s="46" t="s">
        <v>3980</v>
      </c>
      <c r="I544" s="47"/>
      <c r="J544" s="66">
        <f ca="1">INT(DATEDIF(H544,'[1]Bieu 1a'!$J$2,"d")/365)</f>
        <v>30</v>
      </c>
      <c r="K544" s="72"/>
      <c r="L544" s="41"/>
      <c r="M544" s="56"/>
      <c r="N544" s="52"/>
      <c r="O544" s="56"/>
      <c r="P544" s="47"/>
      <c r="Q544" s="47"/>
      <c r="R544" s="49"/>
      <c r="S544" s="47"/>
      <c r="T544" s="47"/>
      <c r="U544" s="47"/>
      <c r="V544" s="56" t="s">
        <v>3981</v>
      </c>
      <c r="W544" s="67" t="s">
        <v>3982</v>
      </c>
      <c r="X544" s="46"/>
      <c r="Y544" s="46"/>
      <c r="Z544" s="46"/>
      <c r="AA544" s="68">
        <f>VLOOKUP(A544,'[1]DANH SÁCH'!$B$8:$AD$841,12,0)</f>
        <v>0</v>
      </c>
      <c r="AB544" s="49" t="str">
        <f>VLOOKUP(A544,'[1]DANH SÁCH'!$B$8:$H$841,6,0)</f>
        <v>TĐ044</v>
      </c>
      <c r="AC544" s="69" t="str">
        <f>VLOOKUP(A544,'[1]DANH SÁCH'!$B$8:$J$841,9,0)</f>
        <v>HCQT</v>
      </c>
      <c r="AD544" s="69" t="str">
        <f>VLOOKUP(A544,'[1]DANH SÁCH'!$B$8:$AC$841,9,0)</f>
        <v>HCQT</v>
      </c>
      <c r="AE544" s="69" t="str">
        <f>VLOOKUP(A544,'[1]DANH SÁCH'!$B$8:$AD$841,13,0)</f>
        <v>HĐ có thời hạn</v>
      </c>
      <c r="AF544" s="41"/>
      <c r="AG544" s="42">
        <f>VLOOKUP(A544,'[1]DANH SÁCH'!$B$8:$H$841,7,0)</f>
        <v>0</v>
      </c>
      <c r="AH544" s="45">
        <v>1.68</v>
      </c>
      <c r="AI544" s="42">
        <v>2</v>
      </c>
      <c r="AJ544" s="70"/>
      <c r="AK544" s="69">
        <v>45689</v>
      </c>
      <c r="AL544" s="47"/>
      <c r="AM544" s="53" t="str">
        <f>VLOOKUP(A544,'[1]DANH SÁCH'!$B$8:$F$841,5,0)</f>
        <v>Bảo vệ</v>
      </c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 t="s">
        <v>87</v>
      </c>
      <c r="AZ544" s="65"/>
      <c r="BA544" s="47"/>
      <c r="BB544" s="47"/>
      <c r="BC544" s="81"/>
      <c r="BD544" s="47"/>
    </row>
    <row r="545" spans="1:56" ht="20.399999999999999" x14ac:dyDescent="0.3">
      <c r="A545" s="46" t="s">
        <v>3983</v>
      </c>
      <c r="B545" s="42">
        <f t="shared" si="187"/>
        <v>539</v>
      </c>
      <c r="C545" s="49" t="s">
        <v>3984</v>
      </c>
      <c r="D545" s="46" t="s">
        <v>3983</v>
      </c>
      <c r="E545" s="61" t="s">
        <v>3985</v>
      </c>
      <c r="F545" s="64"/>
      <c r="G545" s="49"/>
      <c r="H545" s="46" t="s">
        <v>3986</v>
      </c>
      <c r="I545" s="47"/>
      <c r="J545" s="66">
        <f ca="1">INT(DATEDIF(H545,'[1]Bieu 1a'!$J$2,"d")/365)</f>
        <v>52</v>
      </c>
      <c r="K545" s="72"/>
      <c r="L545" s="41"/>
      <c r="M545" s="56"/>
      <c r="N545" s="52"/>
      <c r="O545" s="56"/>
      <c r="P545" s="47"/>
      <c r="Q545" s="47"/>
      <c r="R545" s="49"/>
      <c r="S545" s="47"/>
      <c r="T545" s="47"/>
      <c r="U545" s="47"/>
      <c r="V545" s="56" t="s">
        <v>756</v>
      </c>
      <c r="W545" s="67" t="s">
        <v>3982</v>
      </c>
      <c r="X545" s="46"/>
      <c r="Y545" s="46"/>
      <c r="Z545" s="46"/>
      <c r="AA545" s="68">
        <f>VLOOKUP(A545,'[1]DANH SÁCH'!$B$8:$AD$841,12,0)</f>
        <v>0</v>
      </c>
      <c r="AB545" s="49" t="str">
        <f>VLOOKUP(A545,'[1]DANH SÁCH'!$B$8:$H$841,6,0)</f>
        <v>TĐ044</v>
      </c>
      <c r="AC545" s="69" t="str">
        <f>VLOOKUP(A545,'[1]DANH SÁCH'!$B$8:$J$841,9,0)</f>
        <v>HCQT</v>
      </c>
      <c r="AD545" s="69" t="str">
        <f>VLOOKUP(A545,'[1]DANH SÁCH'!$B$8:$AC$841,9,0)</f>
        <v>HCQT</v>
      </c>
      <c r="AE545" s="69" t="str">
        <f>VLOOKUP(A545,'[1]DANH SÁCH'!$B$8:$AD$841,13,0)</f>
        <v>HĐ có thời hạn</v>
      </c>
      <c r="AF545" s="41"/>
      <c r="AG545" s="42">
        <f>VLOOKUP(A545,'[1]DANH SÁCH'!$B$8:$H$841,7,0)</f>
        <v>0</v>
      </c>
      <c r="AH545" s="45">
        <v>1.68</v>
      </c>
      <c r="AI545" s="42">
        <v>2</v>
      </c>
      <c r="AJ545" s="70"/>
      <c r="AK545" s="69">
        <v>45689</v>
      </c>
      <c r="AL545" s="47"/>
      <c r="AM545" s="53" t="str">
        <f>VLOOKUP(A545,'[1]DANH SÁCH'!$B$8:$F$841,5,0)</f>
        <v>Bảo vệ</v>
      </c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 t="s">
        <v>85</v>
      </c>
      <c r="AZ545" s="65"/>
      <c r="BA545" s="47"/>
      <c r="BB545" s="47"/>
      <c r="BC545" s="81"/>
      <c r="BD545" s="47"/>
    </row>
    <row r="546" spans="1:56" ht="20.399999999999999" x14ac:dyDescent="0.3">
      <c r="A546" s="46" t="s">
        <v>3987</v>
      </c>
      <c r="B546" s="42">
        <f t="shared" si="187"/>
        <v>540</v>
      </c>
      <c r="C546" s="64" t="s">
        <v>3988</v>
      </c>
      <c r="D546" s="46" t="s">
        <v>3987</v>
      </c>
      <c r="E546" s="61" t="s">
        <v>3989</v>
      </c>
      <c r="F546" s="64"/>
      <c r="G546" s="49"/>
      <c r="H546" s="46" t="s">
        <v>3990</v>
      </c>
      <c r="I546" s="47"/>
      <c r="J546" s="66">
        <f ca="1">INT(DATEDIF(H546,'[1]Bieu 1a'!$J$2,"d")/365)</f>
        <v>59</v>
      </c>
      <c r="K546" s="94"/>
      <c r="L546" s="46"/>
      <c r="M546" s="56"/>
      <c r="N546" s="52"/>
      <c r="O546" s="56"/>
      <c r="P546" s="47"/>
      <c r="Q546" s="47"/>
      <c r="R546" s="49"/>
      <c r="S546" s="47"/>
      <c r="T546" s="47"/>
      <c r="U546" s="47"/>
      <c r="V546" s="56" t="s">
        <v>3991</v>
      </c>
      <c r="W546" s="67" t="s">
        <v>3982</v>
      </c>
      <c r="X546" s="46"/>
      <c r="Y546" s="46"/>
      <c r="Z546" s="46"/>
      <c r="AA546" s="68">
        <f>VLOOKUP(A546,'[1]DANH SÁCH'!$B$8:$AD$841,12,0)</f>
        <v>0</v>
      </c>
      <c r="AB546" s="49" t="str">
        <f>VLOOKUP(A546,'[1]DANH SÁCH'!$B$8:$H$841,6,0)</f>
        <v>TĐ044</v>
      </c>
      <c r="AC546" s="69" t="str">
        <f>VLOOKUP(A546,'[1]DANH SÁCH'!$B$8:$J$841,9,0)</f>
        <v>HCQT</v>
      </c>
      <c r="AD546" s="69" t="str">
        <f>VLOOKUP(A546,'[1]DANH SÁCH'!$B$8:$AC$841,9,0)</f>
        <v>HCQT</v>
      </c>
      <c r="AE546" s="69" t="str">
        <f>VLOOKUP(A546,'[1]DANH SÁCH'!$B$8:$AD$841,13,0)</f>
        <v>HĐ có thời hạn</v>
      </c>
      <c r="AF546" s="41"/>
      <c r="AG546" s="42">
        <f>VLOOKUP(A546,'[1]DANH SÁCH'!$B$8:$H$841,7,0)</f>
        <v>0</v>
      </c>
      <c r="AH546" s="45">
        <v>1.68</v>
      </c>
      <c r="AI546" s="42">
        <v>2</v>
      </c>
      <c r="AJ546" s="70"/>
      <c r="AK546" s="69">
        <v>45689</v>
      </c>
      <c r="AL546" s="47"/>
      <c r="AM546" s="53" t="str">
        <f>VLOOKUP(A546,'[1]DANH SÁCH'!$B$8:$F$841,5,0)</f>
        <v>Bảo vệ</v>
      </c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 t="s">
        <v>87</v>
      </c>
      <c r="AZ546" s="65"/>
      <c r="BA546" s="47"/>
      <c r="BB546" s="47"/>
      <c r="BC546" s="81"/>
      <c r="BD546" s="47"/>
    </row>
    <row r="547" spans="1:56" ht="40.799999999999997" x14ac:dyDescent="0.3">
      <c r="A547" s="46" t="s">
        <v>3992</v>
      </c>
      <c r="B547" s="42">
        <f t="shared" si="187"/>
        <v>541</v>
      </c>
      <c r="C547" s="72" t="s">
        <v>3993</v>
      </c>
      <c r="D547" s="46" t="s">
        <v>3992</v>
      </c>
      <c r="E547" s="61" t="s">
        <v>3994</v>
      </c>
      <c r="F547" s="64"/>
      <c r="G547" s="49" t="s">
        <v>3995</v>
      </c>
      <c r="H547" s="46" t="s">
        <v>3996</v>
      </c>
      <c r="I547" s="47"/>
      <c r="J547" s="66">
        <f ca="1">INT(DATEDIF(H547,'[1]Bieu 1a'!$J$2,"d")/365)</f>
        <v>37</v>
      </c>
      <c r="K547" s="72"/>
      <c r="L547" s="41"/>
      <c r="M547" s="56"/>
      <c r="N547" s="52"/>
      <c r="O547" s="56"/>
      <c r="P547" s="47"/>
      <c r="Q547" s="47"/>
      <c r="R547" s="49"/>
      <c r="S547" s="47"/>
      <c r="T547" s="47"/>
      <c r="U547" s="47"/>
      <c r="V547" s="56" t="s">
        <v>3997</v>
      </c>
      <c r="W547" s="67" t="s">
        <v>3982</v>
      </c>
      <c r="X547" s="46"/>
      <c r="Y547" s="46"/>
      <c r="Z547" s="46"/>
      <c r="AA547" s="68">
        <f>VLOOKUP(A547,'[1]DANH SÁCH'!$B$8:$AD$841,12,0)</f>
        <v>0</v>
      </c>
      <c r="AB547" s="49" t="str">
        <f>VLOOKUP(A547,'[1]DANH SÁCH'!$B$8:$H$841,6,0)</f>
        <v>TĐ044</v>
      </c>
      <c r="AC547" s="69" t="str">
        <f>VLOOKUP(A547,'[1]DANH SÁCH'!$B$8:$J$841,9,0)</f>
        <v>HCQT</v>
      </c>
      <c r="AD547" s="69" t="str">
        <f>VLOOKUP(A547,'[1]DANH SÁCH'!$B$8:$AC$841,9,0)</f>
        <v>HCQT</v>
      </c>
      <c r="AE547" s="69" t="str">
        <f>VLOOKUP(A547,'[1]DANH SÁCH'!$B$8:$AD$841,13,0)</f>
        <v>HĐ có thời hạn</v>
      </c>
      <c r="AF547" s="41"/>
      <c r="AG547" s="42">
        <f>VLOOKUP(A547,'[1]DANH SÁCH'!$B$8:$H$841,7,0)</f>
        <v>0</v>
      </c>
      <c r="AH547" s="45">
        <v>1.68</v>
      </c>
      <c r="AI547" s="42">
        <v>2</v>
      </c>
      <c r="AJ547" s="70"/>
      <c r="AK547" s="69">
        <v>45689</v>
      </c>
      <c r="AL547" s="47"/>
      <c r="AM547" s="53" t="str">
        <f>VLOOKUP(A547,'[1]DANH SÁCH'!$B$8:$F$841,5,0)</f>
        <v>Bảo vệ</v>
      </c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 t="s">
        <v>85</v>
      </c>
      <c r="AZ547" s="65"/>
      <c r="BA547" s="47"/>
      <c r="BB547" s="47"/>
      <c r="BC547" s="81"/>
      <c r="BD547" s="47"/>
    </row>
    <row r="548" spans="1:56" ht="40.799999999999997" x14ac:dyDescent="0.3">
      <c r="A548" s="61" t="s">
        <v>3998</v>
      </c>
      <c r="B548" s="42">
        <f t="shared" si="187"/>
        <v>542</v>
      </c>
      <c r="C548" s="148" t="s">
        <v>3999</v>
      </c>
      <c r="D548" s="61" t="s">
        <v>3998</v>
      </c>
      <c r="E548" s="61" t="s">
        <v>4000</v>
      </c>
      <c r="F548" s="10"/>
      <c r="G548" s="49" t="s">
        <v>4001</v>
      </c>
      <c r="H548" s="47"/>
      <c r="I548" s="65">
        <v>34714</v>
      </c>
      <c r="J548" s="66">
        <f ca="1">INT(DATEDIF(I548,'[1]Bieu 1a'!$J$2,"d")/365)</f>
        <v>31</v>
      </c>
      <c r="K548" s="46" t="s">
        <v>4002</v>
      </c>
      <c r="L548" s="65">
        <v>40469</v>
      </c>
      <c r="M548" s="56"/>
      <c r="N548" s="52"/>
      <c r="O548" s="56"/>
      <c r="P548" s="47"/>
      <c r="Q548" s="47"/>
      <c r="R548" s="49"/>
      <c r="S548" s="47" t="s">
        <v>3275</v>
      </c>
      <c r="T548" s="47" t="s">
        <v>74</v>
      </c>
      <c r="U548" s="47" t="s">
        <v>71</v>
      </c>
      <c r="V548" s="56" t="s">
        <v>4003</v>
      </c>
      <c r="W548" s="67" t="s">
        <v>4004</v>
      </c>
      <c r="X548" s="97"/>
      <c r="Y548" s="97"/>
      <c r="Z548" s="97"/>
      <c r="AA548" s="68">
        <f>VLOOKUP(A548,'[1]DANH SÁCH'!$B$8:$AD$841,12,0)</f>
        <v>0</v>
      </c>
      <c r="AB548" s="47"/>
      <c r="AC548" s="69" t="str">
        <f>VLOOKUP(A548,'[1]DANH SÁCH'!$B$8:$J$841,9,0)</f>
        <v>TCCB</v>
      </c>
      <c r="AD548" s="69" t="str">
        <f>VLOOKUP(A548,'[1]DANH SÁCH'!$B$8:$AC$841,9,0)</f>
        <v>TCCB</v>
      </c>
      <c r="AE548" s="69" t="str">
        <f>VLOOKUP(A548,'[1]DANH SÁCH'!$B$8:$AD$841,13,0)</f>
        <v>Viên chức</v>
      </c>
      <c r="AF548" s="41"/>
      <c r="AG548" s="42">
        <f>VLOOKUP(A548,'[1]DANH SÁCH'!$B$8:$H$841,7,0)</f>
        <v>0</v>
      </c>
      <c r="AH548" s="45" t="s">
        <v>3781</v>
      </c>
      <c r="AI548" s="42">
        <v>2</v>
      </c>
      <c r="AJ548" s="70"/>
      <c r="AK548" s="69">
        <v>45718</v>
      </c>
      <c r="AL548" s="47" t="s">
        <v>80</v>
      </c>
      <c r="AM548" s="53" t="str">
        <f>VLOOKUP(A548,'[1]DANH SÁCH'!$B$8:$F$841,5,0)</f>
        <v>Cử nhân BH</v>
      </c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47" t="s">
        <v>85</v>
      </c>
      <c r="AZ548" s="65"/>
      <c r="BA548" s="6"/>
      <c r="BB548" s="6"/>
      <c r="BC548" s="7"/>
      <c r="BD548" s="6"/>
    </row>
    <row r="549" spans="1:56" ht="40.799999999999997" x14ac:dyDescent="0.3">
      <c r="A549" s="47" t="s">
        <v>4005</v>
      </c>
      <c r="B549" s="42">
        <f t="shared" si="187"/>
        <v>543</v>
      </c>
      <c r="C549" s="63" t="s">
        <v>4006</v>
      </c>
      <c r="D549" s="47" t="s">
        <v>4005</v>
      </c>
      <c r="E549" s="61" t="s">
        <v>4007</v>
      </c>
      <c r="F549" s="64"/>
      <c r="G549" s="49" t="s">
        <v>4008</v>
      </c>
      <c r="H549" s="47"/>
      <c r="I549" s="65">
        <v>35245</v>
      </c>
      <c r="J549" s="66">
        <f ca="1">INT(DATEDIF(I549,'[1]Bieu 1a'!$J$2,"d")/365)</f>
        <v>30</v>
      </c>
      <c r="K549" s="46" t="s">
        <v>4009</v>
      </c>
      <c r="L549" s="65">
        <v>41712</v>
      </c>
      <c r="M549" s="56"/>
      <c r="N549" s="52"/>
      <c r="O549" s="56"/>
      <c r="P549" s="47"/>
      <c r="Q549" s="47"/>
      <c r="R549" s="49"/>
      <c r="S549" s="47"/>
      <c r="T549" s="47"/>
      <c r="U549" s="47"/>
      <c r="V549" s="56" t="s">
        <v>4010</v>
      </c>
      <c r="W549" s="67" t="s">
        <v>4011</v>
      </c>
      <c r="X549" s="46"/>
      <c r="Y549" s="46"/>
      <c r="Z549" s="46"/>
      <c r="AA549" s="68">
        <f>VLOOKUP(A549,'[1]DANH SÁCH'!$B$8:$AD$841,12,0)</f>
        <v>0</v>
      </c>
      <c r="AB549" s="49" t="e">
        <f>VLOOKUP(A549,'[1]DANH SÁCH'!$B$8:$H$841,6,0)</f>
        <v>#N/A</v>
      </c>
      <c r="AC549" s="69" t="str">
        <f>VLOOKUP(A549,'[1]DANH SÁCH'!$B$8:$J$841,9,0)</f>
        <v>TCCB</v>
      </c>
      <c r="AD549" s="69" t="str">
        <f>VLOOKUP(A549,'[1]DANH SÁCH'!$B$8:$AC$841,9,0)</f>
        <v>TCCB</v>
      </c>
      <c r="AE549" s="69" t="str">
        <f>VLOOKUP(A549,'[1]DANH SÁCH'!$B$8:$AD$841,13,0)</f>
        <v>Viên chức</v>
      </c>
      <c r="AF549" s="41"/>
      <c r="AG549" s="42">
        <f>VLOOKUP(A549,'[1]DANH SÁCH'!$B$8:$H$841,7,0)</f>
        <v>0</v>
      </c>
      <c r="AH549" s="45" t="s">
        <v>3781</v>
      </c>
      <c r="AI549" s="42">
        <v>2</v>
      </c>
      <c r="AJ549" s="70"/>
      <c r="AK549" s="127" t="s">
        <v>4012</v>
      </c>
      <c r="AL549" s="47" t="s">
        <v>80</v>
      </c>
      <c r="AM549" s="53" t="str">
        <f>VLOOKUP(A549,'[1]DANH SÁCH'!$B$8:$F$841,5,0)</f>
        <v>Cử nhân CTH</v>
      </c>
      <c r="AN549" s="47"/>
      <c r="AO549" s="47"/>
      <c r="AP549" s="47"/>
      <c r="AQ549" s="46" t="s">
        <v>113</v>
      </c>
      <c r="AR549" s="47"/>
      <c r="AS549" s="47"/>
      <c r="AT549" s="47"/>
      <c r="AU549" s="47"/>
      <c r="AV549" s="47"/>
      <c r="AW549" s="47"/>
      <c r="AX549" s="47"/>
      <c r="AY549" s="47" t="s">
        <v>87</v>
      </c>
      <c r="AZ549" s="65">
        <v>43804</v>
      </c>
      <c r="BA549" s="47"/>
      <c r="BB549" s="47"/>
      <c r="BC549" s="81"/>
      <c r="BD549" s="47"/>
    </row>
    <row r="550" spans="1:56" ht="40.799999999999997" x14ac:dyDescent="0.3">
      <c r="A550" s="46" t="s">
        <v>4013</v>
      </c>
      <c r="B550" s="42">
        <f t="shared" si="187"/>
        <v>544</v>
      </c>
      <c r="C550" s="63" t="s">
        <v>4014</v>
      </c>
      <c r="D550" s="46" t="s">
        <v>4013</v>
      </c>
      <c r="E550" s="67">
        <v>2016005887</v>
      </c>
      <c r="F550" s="64"/>
      <c r="G550" s="49" t="s">
        <v>4015</v>
      </c>
      <c r="H550" s="47"/>
      <c r="I550" s="65">
        <v>33947</v>
      </c>
      <c r="J550" s="66">
        <f ca="1">INT(DATEDIF(I550,'[1]Bieu 1a'!$J$2,"d")/365)</f>
        <v>33</v>
      </c>
      <c r="K550" s="75" t="s">
        <v>4016</v>
      </c>
      <c r="L550" s="46" t="s">
        <v>4017</v>
      </c>
      <c r="M550" s="53" t="s">
        <v>67</v>
      </c>
      <c r="N550" s="66"/>
      <c r="O550" s="56" t="s">
        <v>4018</v>
      </c>
      <c r="P550" s="47" t="s">
        <v>1902</v>
      </c>
      <c r="Q550" s="47" t="s">
        <v>71</v>
      </c>
      <c r="R550" s="49"/>
      <c r="S550" s="47" t="s">
        <v>4018</v>
      </c>
      <c r="T550" s="47" t="s">
        <v>1902</v>
      </c>
      <c r="U550" s="47" t="s">
        <v>71</v>
      </c>
      <c r="V550" s="56" t="s">
        <v>4019</v>
      </c>
      <c r="W550" s="67" t="s">
        <v>4020</v>
      </c>
      <c r="X550" s="46"/>
      <c r="Y550" s="46"/>
      <c r="Z550" s="46"/>
      <c r="AA550" s="68">
        <f>VLOOKUP(A550,'[1]DANH SÁCH'!$B$8:$AD$841,12,0)</f>
        <v>0</v>
      </c>
      <c r="AB550" s="49" t="e">
        <f>VLOOKUP(A550,'[1]DANH SÁCH'!$B$8:$H$841,6,0)</f>
        <v>#N/A</v>
      </c>
      <c r="AC550" s="69" t="str">
        <f>VLOOKUP(A550,'[1]DANH SÁCH'!$B$8:$J$841,9,0)</f>
        <v>TCCB</v>
      </c>
      <c r="AD550" s="69" t="str">
        <f>VLOOKUP(A550,'[1]DANH SÁCH'!$B$8:$AC$841,9,0)</f>
        <v>TCCB</v>
      </c>
      <c r="AE550" s="69" t="str">
        <f>VLOOKUP(A550,'[1]DANH SÁCH'!$B$8:$AD$841,13,0)</f>
        <v>Viên chức</v>
      </c>
      <c r="AF550" s="41"/>
      <c r="AG550" s="42">
        <f>VLOOKUP(A550,'[1]DANH SÁCH'!$B$8:$H$841,7,0)</f>
        <v>0</v>
      </c>
      <c r="AH550" s="45" t="s">
        <v>3802</v>
      </c>
      <c r="AI550" s="42">
        <v>3</v>
      </c>
      <c r="AJ550" s="70"/>
      <c r="AK550" s="69">
        <v>45434</v>
      </c>
      <c r="AL550" s="47" t="s">
        <v>80</v>
      </c>
      <c r="AM550" s="53" t="str">
        <f>VLOOKUP(A550,'[1]DANH SÁCH'!$B$8:$F$841,5,0)</f>
        <v>ThS Luật</v>
      </c>
      <c r="AN550" s="53" t="s">
        <v>4021</v>
      </c>
      <c r="AO550" s="53" t="s">
        <v>4022</v>
      </c>
      <c r="AP550" s="53">
        <v>2015</v>
      </c>
      <c r="AQ550" s="72" t="s">
        <v>113</v>
      </c>
      <c r="AR550" s="47"/>
      <c r="AS550" s="47"/>
      <c r="AT550" s="47" t="s">
        <v>139</v>
      </c>
      <c r="AU550" s="47" t="s">
        <v>84</v>
      </c>
      <c r="AV550" s="47"/>
      <c r="AW550" s="47" t="s">
        <v>86</v>
      </c>
      <c r="AX550" s="47"/>
      <c r="AY550" s="73" t="s">
        <v>85</v>
      </c>
      <c r="AZ550" s="65"/>
      <c r="BA550" s="74"/>
      <c r="BB550" s="74"/>
      <c r="BC550" s="81"/>
      <c r="BD550" s="47"/>
    </row>
    <row r="551" spans="1:56" ht="40.799999999999997" x14ac:dyDescent="0.3">
      <c r="A551" s="41" t="s">
        <v>4023</v>
      </c>
      <c r="B551" s="42">
        <f t="shared" si="187"/>
        <v>545</v>
      </c>
      <c r="C551" s="60" t="s">
        <v>4024</v>
      </c>
      <c r="D551" s="41" t="s">
        <v>4023</v>
      </c>
      <c r="E551" s="67">
        <v>2016001049</v>
      </c>
      <c r="F551" s="64"/>
      <c r="G551" s="49" t="s">
        <v>4025</v>
      </c>
      <c r="H551" s="76"/>
      <c r="I551" s="76">
        <v>34095</v>
      </c>
      <c r="J551" s="66">
        <f ca="1">INT(DATEDIF(I551,'[1]Bieu 1a'!$J$2,"d")/365)</f>
        <v>33</v>
      </c>
      <c r="K551" s="75" t="s">
        <v>4026</v>
      </c>
      <c r="L551" s="83" t="s">
        <v>3946</v>
      </c>
      <c r="M551" s="53" t="s">
        <v>67</v>
      </c>
      <c r="N551" s="66"/>
      <c r="O551" s="53" t="s">
        <v>221</v>
      </c>
      <c r="P551" s="49" t="s">
        <v>221</v>
      </c>
      <c r="Q551" s="49" t="s">
        <v>71</v>
      </c>
      <c r="R551" s="49"/>
      <c r="S551" s="49" t="s">
        <v>4027</v>
      </c>
      <c r="T551" s="49" t="s">
        <v>74</v>
      </c>
      <c r="U551" s="49" t="s">
        <v>71</v>
      </c>
      <c r="V551" s="56" t="s">
        <v>4028</v>
      </c>
      <c r="W551" s="86" t="s">
        <v>4029</v>
      </c>
      <c r="X551" s="41"/>
      <c r="Y551" s="41"/>
      <c r="Z551" s="41"/>
      <c r="AA551" s="68">
        <f>VLOOKUP(A551,'[1]DANH SÁCH'!$B$8:$AD$841,12,0)</f>
        <v>0</v>
      </c>
      <c r="AB551" s="49" t="str">
        <f>VLOOKUP(A551,'[1]DANH SÁCH'!$B$8:$H$841,6,0)</f>
        <v>TĐ024</v>
      </c>
      <c r="AC551" s="69" t="str">
        <f>VLOOKUP(A551,'[1]DANH SÁCH'!$B$8:$J$841,9,0)</f>
        <v>TCKT</v>
      </c>
      <c r="AD551" s="69" t="str">
        <f>VLOOKUP(A551,'[1]DANH SÁCH'!$B$8:$AC$841,9,0)</f>
        <v>TCKT</v>
      </c>
      <c r="AE551" s="69" t="str">
        <f>VLOOKUP(A551,'[1]DANH SÁCH'!$B$8:$AD$841,13,0)</f>
        <v>Viên chức</v>
      </c>
      <c r="AF551" s="41"/>
      <c r="AG551" s="42">
        <f>VLOOKUP(A551,'[1]DANH SÁCH'!$B$8:$H$841,7,0)</f>
        <v>0</v>
      </c>
      <c r="AH551" s="45" t="s">
        <v>3802</v>
      </c>
      <c r="AI551" s="42">
        <v>3</v>
      </c>
      <c r="AJ551" s="70"/>
      <c r="AK551" s="69">
        <v>45017</v>
      </c>
      <c r="AL551" s="42" t="s">
        <v>80</v>
      </c>
      <c r="AM551" s="53" t="str">
        <f>VLOOKUP(A551,'[1]DANH SÁCH'!$B$8:$F$841,5,0)</f>
        <v>Cử nhân QTKD</v>
      </c>
      <c r="AN551" s="53"/>
      <c r="AO551" s="53" t="s">
        <v>4030</v>
      </c>
      <c r="AP551" s="53">
        <v>2015</v>
      </c>
      <c r="AQ551" s="72" t="s">
        <v>113</v>
      </c>
      <c r="AR551" s="42"/>
      <c r="AS551" s="42"/>
      <c r="AT551" s="47"/>
      <c r="AU551" s="42" t="s">
        <v>86</v>
      </c>
      <c r="AV551" s="42"/>
      <c r="AW551" s="42" t="s">
        <v>86</v>
      </c>
      <c r="AX551" s="42" t="s">
        <v>4031</v>
      </c>
      <c r="AY551" s="57" t="s">
        <v>127</v>
      </c>
      <c r="AZ551" s="65">
        <v>42209</v>
      </c>
      <c r="BA551" s="74"/>
      <c r="BB551" s="74"/>
      <c r="BC551" s="7"/>
      <c r="BD551" s="6"/>
    </row>
    <row r="552" spans="1:56" ht="40.799999999999997" x14ac:dyDescent="0.3">
      <c r="A552" s="47" t="s">
        <v>4032</v>
      </c>
      <c r="B552" s="42">
        <f t="shared" si="187"/>
        <v>546</v>
      </c>
      <c r="C552" s="159" t="s">
        <v>4033</v>
      </c>
      <c r="D552" s="47" t="s">
        <v>4032</v>
      </c>
      <c r="E552" s="61" t="s">
        <v>4034</v>
      </c>
      <c r="F552" s="64"/>
      <c r="G552" s="49" t="s">
        <v>4035</v>
      </c>
      <c r="H552" s="46"/>
      <c r="I552" s="156" t="s">
        <v>4036</v>
      </c>
      <c r="J552" s="66">
        <f ca="1">INT(DATEDIF(I552,'[1]Bieu 1a'!$J$2,"d")/365)</f>
        <v>30</v>
      </c>
      <c r="K552" s="109" t="s">
        <v>4037</v>
      </c>
      <c r="L552" s="41" t="s">
        <v>4038</v>
      </c>
      <c r="M552" s="53" t="s">
        <v>67</v>
      </c>
      <c r="N552" s="52"/>
      <c r="O552" s="56"/>
      <c r="P552" s="47"/>
      <c r="Q552" s="47"/>
      <c r="R552" s="49"/>
      <c r="S552" s="47"/>
      <c r="T552" s="47"/>
      <c r="U552" s="47"/>
      <c r="V552" s="56" t="s">
        <v>4039</v>
      </c>
      <c r="W552" s="67" t="s">
        <v>4040</v>
      </c>
      <c r="X552" s="67" t="s">
        <v>4040</v>
      </c>
      <c r="Y552" s="46"/>
      <c r="Z552" s="46"/>
      <c r="AA552" s="68">
        <f>VLOOKUP(A552,'[1]DANH SÁCH'!$B$8:$AD$841,12,0)</f>
        <v>0</v>
      </c>
      <c r="AB552" s="49" t="str">
        <f>VLOOKUP(A552,'[1]DANH SÁCH'!$B$8:$H$841,6,0)</f>
        <v>TĐ024</v>
      </c>
      <c r="AC552" s="69" t="str">
        <f>VLOOKUP(A552,'[1]DANH SÁCH'!$B$8:$J$841,9,0)</f>
        <v>TCKT</v>
      </c>
      <c r="AD552" s="69" t="str">
        <f>VLOOKUP(A552,'[1]DANH SÁCH'!$B$8:$AC$841,9,0)</f>
        <v>TCKT</v>
      </c>
      <c r="AE552" s="69" t="str">
        <f>VLOOKUP(A552,'[1]DANH SÁCH'!$B$8:$AD$841,13,0)</f>
        <v>Viên chức</v>
      </c>
      <c r="AF552" s="41"/>
      <c r="AG552" s="42">
        <f>VLOOKUP(A552,'[1]DANH SÁCH'!$B$8:$H$841,7,0)</f>
        <v>0</v>
      </c>
      <c r="AH552" s="45" t="s">
        <v>3781</v>
      </c>
      <c r="AI552" s="42">
        <v>2</v>
      </c>
      <c r="AJ552" s="70"/>
      <c r="AK552" s="69">
        <v>44928</v>
      </c>
      <c r="AL552" s="47" t="s">
        <v>80</v>
      </c>
      <c r="AM552" s="53" t="str">
        <f>VLOOKUP(A552,'[1]DANH SÁCH'!$B$8:$F$841,5,0)</f>
        <v>Cử nhân QTKD</v>
      </c>
      <c r="AN552" s="53"/>
      <c r="AO552" s="53"/>
      <c r="AP552" s="53"/>
      <c r="AQ552" s="72" t="s">
        <v>113</v>
      </c>
      <c r="AR552" s="47"/>
      <c r="AS552" s="47"/>
      <c r="AT552" s="47"/>
      <c r="AU552" s="47"/>
      <c r="AV552" s="47"/>
      <c r="AW552" s="47"/>
      <c r="AX552" s="47"/>
      <c r="AY552" s="57" t="s">
        <v>87</v>
      </c>
      <c r="AZ552" s="65"/>
      <c r="BA552" s="74"/>
      <c r="BB552" s="74"/>
      <c r="BC552" s="7"/>
      <c r="BD552" s="6"/>
    </row>
    <row r="553" spans="1:56" ht="40.799999999999997" x14ac:dyDescent="0.3">
      <c r="A553" s="41" t="s">
        <v>4041</v>
      </c>
      <c r="B553" s="42">
        <f t="shared" si="187"/>
        <v>547</v>
      </c>
      <c r="C553" s="68" t="s">
        <v>4042</v>
      </c>
      <c r="D553" s="41" t="s">
        <v>4041</v>
      </c>
      <c r="E553" s="61">
        <v>2010000195</v>
      </c>
      <c r="F553" s="64"/>
      <c r="G553" s="49" t="s">
        <v>4043</v>
      </c>
      <c r="H553" s="76"/>
      <c r="I553" s="76">
        <v>31681</v>
      </c>
      <c r="J553" s="66">
        <f ca="1">INT(DATEDIF(I553,'[1]Bieu 1a'!$J$2,"d")/365)</f>
        <v>39</v>
      </c>
      <c r="K553" s="75" t="s">
        <v>4044</v>
      </c>
      <c r="L553" s="41" t="s">
        <v>2148</v>
      </c>
      <c r="M553" s="53" t="s">
        <v>67</v>
      </c>
      <c r="N553" s="66"/>
      <c r="O553" s="53"/>
      <c r="P553" s="49" t="s">
        <v>222</v>
      </c>
      <c r="Q553" s="49" t="s">
        <v>94</v>
      </c>
      <c r="R553" s="49"/>
      <c r="S553" s="49" t="s">
        <v>166</v>
      </c>
      <c r="T553" s="49" t="s">
        <v>97</v>
      </c>
      <c r="U553" s="49" t="s">
        <v>94</v>
      </c>
      <c r="V553" s="56" t="s">
        <v>4045</v>
      </c>
      <c r="W553" s="86" t="s">
        <v>4046</v>
      </c>
      <c r="X553" s="41"/>
      <c r="Y553" s="41"/>
      <c r="Z553" s="41"/>
      <c r="AA553" s="68">
        <f>VLOOKUP(A553,'[1]DANH SÁCH'!$B$8:$AD$841,12,0)</f>
        <v>0</v>
      </c>
      <c r="AB553" s="49" t="str">
        <f>VLOOKUP(A553,'[1]DANH SÁCH'!$B$8:$H$841,6,0)</f>
        <v>TĐ009</v>
      </c>
      <c r="AC553" s="69" t="str">
        <f>VLOOKUP(A553,'[1]DANH SÁCH'!$B$8:$J$841,9,0)</f>
        <v>Dược</v>
      </c>
      <c r="AD553" s="69" t="str">
        <f>VLOOKUP(A553,'[1]DANH SÁCH'!$B$8:$AC$841,9,0)</f>
        <v>Dược</v>
      </c>
      <c r="AE553" s="69" t="str">
        <f>VLOOKUP(A553,'[1]DANH SÁCH'!$B$8:$AD$841,13,0)</f>
        <v>Viên chức</v>
      </c>
      <c r="AF553" s="41"/>
      <c r="AG553" s="42">
        <f>VLOOKUP(A553,'[1]DANH SÁCH'!$B$8:$H$841,7,0)</f>
        <v>0</v>
      </c>
      <c r="AH553" s="45" t="s">
        <v>1841</v>
      </c>
      <c r="AI553" s="42">
        <v>3</v>
      </c>
      <c r="AJ553" s="70"/>
      <c r="AK553" s="127" t="s">
        <v>4047</v>
      </c>
      <c r="AL553" s="71" t="s">
        <v>158</v>
      </c>
      <c r="AM553" s="53" t="str">
        <f>VLOOKUP(A553,'[1]DANH SÁCH'!$B$8:$F$841,5,0)</f>
        <v>Dược sỹ CĐ</v>
      </c>
      <c r="AN553" s="53"/>
      <c r="AO553" s="53"/>
      <c r="AP553" s="53"/>
      <c r="AQ553" s="72"/>
      <c r="AR553" s="42"/>
      <c r="AS553" s="42"/>
      <c r="AT553" s="47"/>
      <c r="AU553" s="42"/>
      <c r="AV553" s="42"/>
      <c r="AW553" s="42" t="s">
        <v>57</v>
      </c>
      <c r="AX553" s="42"/>
      <c r="AY553" s="57" t="s">
        <v>127</v>
      </c>
      <c r="AZ553" s="65">
        <v>43010</v>
      </c>
      <c r="BA553" s="74"/>
      <c r="BB553" s="74"/>
      <c r="BC553" s="150"/>
      <c r="BD553" s="149"/>
    </row>
    <row r="554" spans="1:56" ht="40.799999999999997" x14ac:dyDescent="0.3">
      <c r="A554" s="47" t="s">
        <v>4048</v>
      </c>
      <c r="B554" s="42">
        <f t="shared" si="187"/>
        <v>548</v>
      </c>
      <c r="C554" s="63" t="s">
        <v>4049</v>
      </c>
      <c r="D554" s="47" t="s">
        <v>4048</v>
      </c>
      <c r="E554" s="61" t="s">
        <v>4050</v>
      </c>
      <c r="F554" s="64"/>
      <c r="G554" s="49" t="s">
        <v>4051</v>
      </c>
      <c r="H554" s="47"/>
      <c r="I554" s="46" t="s">
        <v>4052</v>
      </c>
      <c r="J554" s="66">
        <f ca="1">INT(DATEDIF(I554,'[1]Bieu 1a'!$J$2,"d")/365)</f>
        <v>28</v>
      </c>
      <c r="K554" s="46"/>
      <c r="L554" s="47"/>
      <c r="M554" s="56" t="s">
        <v>3778</v>
      </c>
      <c r="N554" s="52"/>
      <c r="O554" s="56"/>
      <c r="P554" s="47"/>
      <c r="Q554" s="47"/>
      <c r="R554" s="49"/>
      <c r="S554" s="47"/>
      <c r="T554" s="47"/>
      <c r="U554" s="47"/>
      <c r="V554" s="56" t="s">
        <v>542</v>
      </c>
      <c r="W554" s="67" t="s">
        <v>4053</v>
      </c>
      <c r="X554" s="46"/>
      <c r="Y554" s="46"/>
      <c r="Z554" s="46"/>
      <c r="AA554" s="68">
        <f>VLOOKUP(A554,'[1]DANH SÁCH'!$B$8:$AD$841,12,0)</f>
        <v>0</v>
      </c>
      <c r="AB554" s="49" t="str">
        <f>VLOOKUP(A554,'[1]DANH SÁCH'!$B$8:$H$841,6,0)</f>
        <v>TĐ009</v>
      </c>
      <c r="AC554" s="69" t="str">
        <f>VLOOKUP(A554,'[1]DANH SÁCH'!$B$8:$J$841,9,0)</f>
        <v>Dược</v>
      </c>
      <c r="AD554" s="69" t="str">
        <f>VLOOKUP(A554,'[1]DANH SÁCH'!$B$8:$AC$841,9,0)</f>
        <v>Dược</v>
      </c>
      <c r="AE554" s="69" t="str">
        <f>VLOOKUP(A554,'[1]DANH SÁCH'!$B$8:$AD$841,13,0)</f>
        <v>Viên chức</v>
      </c>
      <c r="AF554" s="41"/>
      <c r="AG554" s="42">
        <f>VLOOKUP(A554,'[1]DANH SÁCH'!$B$8:$H$841,7,0)</f>
        <v>0</v>
      </c>
      <c r="AH554" s="45" t="s">
        <v>4054</v>
      </c>
      <c r="AI554" s="42">
        <v>2</v>
      </c>
      <c r="AJ554" s="70"/>
      <c r="AK554" s="69">
        <v>45269</v>
      </c>
      <c r="AL554" s="71" t="s">
        <v>158</v>
      </c>
      <c r="AM554" s="53" t="str">
        <f>VLOOKUP(A554,'[1]DANH SÁCH'!$B$8:$F$841,5,0)</f>
        <v>Dược sỹ CĐ</v>
      </c>
      <c r="AN554" s="47"/>
      <c r="AO554" s="47" t="s">
        <v>4055</v>
      </c>
      <c r="AP554" s="47"/>
      <c r="AQ554" s="46" t="s">
        <v>113</v>
      </c>
      <c r="AR554" s="47"/>
      <c r="AS554" s="47"/>
      <c r="AT554" s="47"/>
      <c r="AU554" s="47"/>
      <c r="AV554" s="47"/>
      <c r="AW554" s="47"/>
      <c r="AX554" s="47"/>
      <c r="AY554" s="47" t="s">
        <v>87</v>
      </c>
      <c r="AZ554" s="65"/>
      <c r="BA554" s="47"/>
      <c r="BB554" s="47"/>
      <c r="BC554" s="150"/>
      <c r="BD554" s="149"/>
    </row>
    <row r="555" spans="1:56" ht="40.799999999999997" x14ac:dyDescent="0.3">
      <c r="A555" s="61" t="s">
        <v>4056</v>
      </c>
      <c r="B555" s="42">
        <f t="shared" si="187"/>
        <v>549</v>
      </c>
      <c r="C555" s="113" t="s">
        <v>4057</v>
      </c>
      <c r="D555" s="61" t="s">
        <v>4056</v>
      </c>
      <c r="E555" s="61" t="s">
        <v>4058</v>
      </c>
      <c r="F555" s="64"/>
      <c r="G555" s="49" t="s">
        <v>4059</v>
      </c>
      <c r="H555" s="65">
        <v>35465</v>
      </c>
      <c r="I555" s="47"/>
      <c r="J555" s="66">
        <f ca="1">INT(DATEDIF(H555,'[1]Bieu 1a'!$J$2,"d")/365)</f>
        <v>29</v>
      </c>
      <c r="K555" s="46" t="s">
        <v>4060</v>
      </c>
      <c r="L555" s="65">
        <v>42138</v>
      </c>
      <c r="M555" s="56"/>
      <c r="N555" s="52" t="s">
        <v>4061</v>
      </c>
      <c r="O555" s="56" t="s">
        <v>4062</v>
      </c>
      <c r="P555" s="47" t="s">
        <v>70</v>
      </c>
      <c r="Q555" s="47" t="s">
        <v>71</v>
      </c>
      <c r="R555" s="49"/>
      <c r="S555" s="56" t="s">
        <v>4062</v>
      </c>
      <c r="T555" s="47" t="s">
        <v>70</v>
      </c>
      <c r="U555" s="47" t="s">
        <v>71</v>
      </c>
      <c r="V555" s="56" t="s">
        <v>4061</v>
      </c>
      <c r="W555" s="67" t="s">
        <v>4063</v>
      </c>
      <c r="X555" s="46"/>
      <c r="Y555" s="46"/>
      <c r="Z555" s="46"/>
      <c r="AA555" s="68">
        <f>VLOOKUP(A555,'[1]DANH SÁCH'!$B$8:$AD$841,12,0)</f>
        <v>0</v>
      </c>
      <c r="AB555" s="47"/>
      <c r="AC555" s="69" t="str">
        <f>VLOOKUP(A555,'[1]DANH SÁCH'!$B$8:$J$841,9,0)</f>
        <v>Dược</v>
      </c>
      <c r="AD555" s="69" t="str">
        <f>VLOOKUP(A555,'[1]DANH SÁCH'!$B$8:$AC$841,9,0)</f>
        <v>Dược</v>
      </c>
      <c r="AE555" s="69" t="str">
        <f>VLOOKUP(A555,'[1]DANH SÁCH'!$B$8:$AD$841,13,0)</f>
        <v>HĐ có thời hạn</v>
      </c>
      <c r="AF555" s="41"/>
      <c r="AG555" s="42">
        <f>VLOOKUP(A555,'[1]DANH SÁCH'!$B$8:$H$841,7,0)</f>
        <v>0</v>
      </c>
      <c r="AH555" s="45" t="s">
        <v>4054</v>
      </c>
      <c r="AI555" s="42">
        <v>2</v>
      </c>
      <c r="AJ555" s="70"/>
      <c r="AK555" s="69">
        <v>45585</v>
      </c>
      <c r="AL555" s="71" t="s">
        <v>158</v>
      </c>
      <c r="AM555" s="53" t="str">
        <f>VLOOKUP(A555,'[1]DANH SÁCH'!$B$8:$F$841,5,0)</f>
        <v>Dược sỹ CĐ</v>
      </c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 t="s">
        <v>87</v>
      </c>
      <c r="AZ555" s="65"/>
      <c r="BA555" s="47"/>
      <c r="BB555" s="47"/>
      <c r="BC555" s="81"/>
      <c r="BD555" s="47"/>
    </row>
    <row r="556" spans="1:56" ht="40.799999999999997" x14ac:dyDescent="0.3">
      <c r="A556" s="41" t="s">
        <v>4064</v>
      </c>
      <c r="B556" s="42">
        <f t="shared" si="187"/>
        <v>550</v>
      </c>
      <c r="C556" s="68" t="s">
        <v>1573</v>
      </c>
      <c r="D556" s="41" t="s">
        <v>4064</v>
      </c>
      <c r="E556" s="61">
        <v>1504001248</v>
      </c>
      <c r="F556" s="64"/>
      <c r="G556" s="49" t="s">
        <v>4065</v>
      </c>
      <c r="H556" s="76"/>
      <c r="I556" s="76">
        <v>30553</v>
      </c>
      <c r="J556" s="66">
        <f ca="1">INT(DATEDIF(I556,'[1]Bieu 1a'!$J$2,"d")/365)</f>
        <v>42</v>
      </c>
      <c r="K556" s="75" t="s">
        <v>4066</v>
      </c>
      <c r="L556" s="41" t="s">
        <v>4067</v>
      </c>
      <c r="M556" s="53" t="s">
        <v>67</v>
      </c>
      <c r="N556" s="66"/>
      <c r="O556" s="53"/>
      <c r="P556" s="49" t="s">
        <v>2404</v>
      </c>
      <c r="Q556" s="49" t="s">
        <v>2405</v>
      </c>
      <c r="R556" s="49"/>
      <c r="S556" s="49" t="s">
        <v>136</v>
      </c>
      <c r="T556" s="49" t="s">
        <v>97</v>
      </c>
      <c r="U556" s="49" t="s">
        <v>94</v>
      </c>
      <c r="V556" s="56" t="s">
        <v>1059</v>
      </c>
      <c r="W556" s="55" t="s">
        <v>2480</v>
      </c>
      <c r="X556" s="41"/>
      <c r="Y556" s="41"/>
      <c r="Z556" s="41"/>
      <c r="AA556" s="68">
        <f>VLOOKUP(A556,'[1]DANH SÁCH'!$B$8:$AD$841,12,0)</f>
        <v>0</v>
      </c>
      <c r="AB556" s="49" t="str">
        <f>VLOOKUP(A556,'[1]DANH SÁCH'!$B$8:$H$841,6,0)</f>
        <v>TĐ009</v>
      </c>
      <c r="AC556" s="69" t="str">
        <f>VLOOKUP(A556,'[1]DANH SÁCH'!$B$8:$J$841,9,0)</f>
        <v>VT-TTBYT</v>
      </c>
      <c r="AD556" s="69" t="str">
        <f>VLOOKUP(A556,'[1]DANH SÁCH'!$B$8:$AC$841,9,0)</f>
        <v>VT-TTBYT</v>
      </c>
      <c r="AE556" s="69" t="str">
        <f>VLOOKUP(A556,'[1]DANH SÁCH'!$B$8:$AD$841,13,0)</f>
        <v>Viên chức</v>
      </c>
      <c r="AF556" s="41"/>
      <c r="AG556" s="42">
        <f>VLOOKUP(A556,'[1]DANH SÁCH'!$B$8:$H$841,7,0)</f>
        <v>0</v>
      </c>
      <c r="AH556" s="45" t="s">
        <v>1841</v>
      </c>
      <c r="AI556" s="42">
        <v>3</v>
      </c>
      <c r="AJ556" s="70"/>
      <c r="AK556" s="69">
        <v>45931</v>
      </c>
      <c r="AL556" s="71" t="s">
        <v>158</v>
      </c>
      <c r="AM556" s="53" t="str">
        <f>VLOOKUP(A556,'[1]DANH SÁCH'!$B$8:$F$841,5,0)</f>
        <v>Dược sỹ CĐ</v>
      </c>
      <c r="AN556" s="53"/>
      <c r="AO556" s="53"/>
      <c r="AP556" s="53"/>
      <c r="AQ556" s="72"/>
      <c r="AR556" s="42"/>
      <c r="AS556" s="42"/>
      <c r="AT556" s="47"/>
      <c r="AU556" s="42"/>
      <c r="AV556" s="42"/>
      <c r="AW556" s="42"/>
      <c r="AX556" s="42"/>
      <c r="AY556" s="57" t="s">
        <v>87</v>
      </c>
      <c r="AZ556" s="65"/>
      <c r="BA556" s="74"/>
      <c r="BB556" s="74"/>
      <c r="BC556" s="81"/>
      <c r="BD556" s="47"/>
    </row>
    <row r="557" spans="1:56" ht="40.799999999999997" x14ac:dyDescent="0.3">
      <c r="A557" s="47" t="s">
        <v>4068</v>
      </c>
      <c r="B557" s="42">
        <f t="shared" si="187"/>
        <v>551</v>
      </c>
      <c r="C557" s="63" t="s">
        <v>4069</v>
      </c>
      <c r="D557" s="47" t="s">
        <v>4068</v>
      </c>
      <c r="E557" s="61" t="s">
        <v>4070</v>
      </c>
      <c r="F557" s="64"/>
      <c r="G557" s="49" t="s">
        <v>4071</v>
      </c>
      <c r="H557" s="47"/>
      <c r="I557" s="46" t="s">
        <v>4072</v>
      </c>
      <c r="J557" s="66">
        <f ca="1">INT(DATEDIF(I557,'[1]Bieu 1a'!$J$2,"d")/365)</f>
        <v>33</v>
      </c>
      <c r="K557" s="46"/>
      <c r="L557" s="47"/>
      <c r="M557" s="56" t="s">
        <v>3778</v>
      </c>
      <c r="N557" s="52"/>
      <c r="O557" s="56"/>
      <c r="P557" s="47"/>
      <c r="Q557" s="47"/>
      <c r="R557" s="49"/>
      <c r="S557" s="47"/>
      <c r="T557" s="47"/>
      <c r="U557" s="47"/>
      <c r="V557" s="56" t="s">
        <v>4073</v>
      </c>
      <c r="W557" s="67" t="s">
        <v>4053</v>
      </c>
      <c r="X557" s="46"/>
      <c r="Y557" s="46"/>
      <c r="Z557" s="46"/>
      <c r="AA557" s="68">
        <f>VLOOKUP(A557,'[1]DANH SÁCH'!$B$8:$AD$841,12,0)</f>
        <v>0</v>
      </c>
      <c r="AB557" s="49" t="str">
        <f>VLOOKUP(A557,'[1]DANH SÁCH'!$B$8:$H$841,6,0)</f>
        <v>TĐ008</v>
      </c>
      <c r="AC557" s="69" t="str">
        <f>VLOOKUP(A557,'[1]DANH SÁCH'!$B$8:$J$841,9,0)</f>
        <v>Dược</v>
      </c>
      <c r="AD557" s="69" t="str">
        <f>VLOOKUP(A557,'[1]DANH SÁCH'!$B$8:$AC$841,9,0)</f>
        <v>Dược</v>
      </c>
      <c r="AE557" s="69" t="str">
        <f>VLOOKUP(A557,'[1]DANH SÁCH'!$B$8:$AD$841,13,0)</f>
        <v>Viên chức</v>
      </c>
      <c r="AF557" s="41"/>
      <c r="AG557" s="42">
        <f>VLOOKUP(A557,'[1]DANH SÁCH'!$B$8:$H$841,7,0)</f>
        <v>0</v>
      </c>
      <c r="AH557" s="45" t="s">
        <v>3781</v>
      </c>
      <c r="AI557" s="42">
        <v>2</v>
      </c>
      <c r="AJ557" s="70"/>
      <c r="AK557" s="69">
        <v>45360</v>
      </c>
      <c r="AL557" s="71" t="s">
        <v>80</v>
      </c>
      <c r="AM557" s="53" t="str">
        <f>VLOOKUP(A557,'[1]DANH SÁCH'!$B$8:$F$841,5,0)</f>
        <v>Dược sỹ ĐH</v>
      </c>
      <c r="AN557" s="47"/>
      <c r="AO557" s="47" t="s">
        <v>4074</v>
      </c>
      <c r="AP557" s="47"/>
      <c r="AQ557" s="46" t="s">
        <v>113</v>
      </c>
      <c r="AR557" s="47"/>
      <c r="AS557" s="47"/>
      <c r="AT557" s="47"/>
      <c r="AU557" s="47"/>
      <c r="AV557" s="47"/>
      <c r="AW557" s="47"/>
      <c r="AX557" s="47"/>
      <c r="AY557" s="47" t="s">
        <v>85</v>
      </c>
      <c r="AZ557" s="65"/>
      <c r="BA557" s="47"/>
      <c r="BB557" s="47"/>
      <c r="BC557" s="150"/>
      <c r="BD557" s="149"/>
    </row>
    <row r="558" spans="1:56" ht="40.799999999999997" x14ac:dyDescent="0.3">
      <c r="A558" s="47" t="s">
        <v>4075</v>
      </c>
      <c r="B558" s="42">
        <f t="shared" si="187"/>
        <v>552</v>
      </c>
      <c r="C558" s="63" t="s">
        <v>4076</v>
      </c>
      <c r="D558" s="47" t="s">
        <v>4075</v>
      </c>
      <c r="E558" s="61" t="s">
        <v>4077</v>
      </c>
      <c r="F558" s="64"/>
      <c r="G558" s="49" t="s">
        <v>4078</v>
      </c>
      <c r="H558" s="47"/>
      <c r="I558" s="46" t="s">
        <v>4079</v>
      </c>
      <c r="J558" s="66">
        <f ca="1">INT(DATEDIF(I558,'[1]Bieu 1a'!$J$2,"d")/365)</f>
        <v>33</v>
      </c>
      <c r="K558" s="46"/>
      <c r="L558" s="47"/>
      <c r="M558" s="56" t="s">
        <v>3778</v>
      </c>
      <c r="N558" s="52"/>
      <c r="O558" s="56"/>
      <c r="P558" s="47"/>
      <c r="Q558" s="47"/>
      <c r="R558" s="49"/>
      <c r="S558" s="47"/>
      <c r="T558" s="47"/>
      <c r="U558" s="47"/>
      <c r="V558" s="56" t="s">
        <v>4080</v>
      </c>
      <c r="W558" s="67" t="s">
        <v>4053</v>
      </c>
      <c r="X558" s="46"/>
      <c r="Y558" s="46"/>
      <c r="Z558" s="46"/>
      <c r="AA558" s="68">
        <f>VLOOKUP(A558,'[1]DANH SÁCH'!$B$8:$AD$841,12,0)</f>
        <v>0</v>
      </c>
      <c r="AB558" s="49" t="str">
        <f>VLOOKUP(A558,'[1]DANH SÁCH'!$B$8:$H$841,6,0)</f>
        <v>TĐ008</v>
      </c>
      <c r="AC558" s="69" t="str">
        <f>VLOOKUP(A558,'[1]DANH SÁCH'!$B$8:$J$841,9,0)</f>
        <v>Dược</v>
      </c>
      <c r="AD558" s="69" t="str">
        <f>VLOOKUP(A558,'[1]DANH SÁCH'!$B$8:$AC$841,9,0)</f>
        <v>Dược</v>
      </c>
      <c r="AE558" s="69" t="str">
        <f>VLOOKUP(A558,'[1]DANH SÁCH'!$B$8:$AD$841,13,0)</f>
        <v>Viên chức</v>
      </c>
      <c r="AF558" s="41"/>
      <c r="AG558" s="42">
        <f>VLOOKUP(A558,'[1]DANH SÁCH'!$B$8:$H$841,7,0)</f>
        <v>0</v>
      </c>
      <c r="AH558" s="45" t="s">
        <v>3781</v>
      </c>
      <c r="AI558" s="42">
        <v>2</v>
      </c>
      <c r="AJ558" s="70"/>
      <c r="AK558" s="69">
        <v>45360</v>
      </c>
      <c r="AL558" s="71" t="s">
        <v>80</v>
      </c>
      <c r="AM558" s="53" t="str">
        <f>VLOOKUP(A558,'[1]DANH SÁCH'!$B$8:$F$841,5,0)</f>
        <v>Dược sỹ ĐH</v>
      </c>
      <c r="AN558" s="47"/>
      <c r="AO558" s="47" t="s">
        <v>4081</v>
      </c>
      <c r="AP558" s="47"/>
      <c r="AQ558" s="46" t="s">
        <v>113</v>
      </c>
      <c r="AR558" s="47"/>
      <c r="AS558" s="47"/>
      <c r="AT558" s="47"/>
      <c r="AU558" s="47"/>
      <c r="AV558" s="47"/>
      <c r="AW558" s="47"/>
      <c r="AX558" s="47"/>
      <c r="AY558" s="47" t="s">
        <v>87</v>
      </c>
      <c r="AZ558" s="65"/>
      <c r="BA558" s="47"/>
      <c r="BB558" s="47"/>
      <c r="BC558" s="150"/>
      <c r="BD558" s="149"/>
    </row>
    <row r="559" spans="1:56" ht="40.799999999999997" x14ac:dyDescent="0.3">
      <c r="A559" s="46" t="s">
        <v>4082</v>
      </c>
      <c r="B559" s="42">
        <f t="shared" si="187"/>
        <v>553</v>
      </c>
      <c r="C559" s="109" t="s">
        <v>4083</v>
      </c>
      <c r="D559" s="46" t="s">
        <v>4082</v>
      </c>
      <c r="E559" s="61" t="s">
        <v>4084</v>
      </c>
      <c r="F559" s="64"/>
      <c r="G559" s="49" t="s">
        <v>4085</v>
      </c>
      <c r="H559" s="62"/>
      <c r="I559" s="160">
        <v>33678</v>
      </c>
      <c r="J559" s="66">
        <f ca="1">INT(DATEDIF(I559,'[1]Bieu 1a'!$J$2,"d")/365)</f>
        <v>34</v>
      </c>
      <c r="K559" s="155" t="s">
        <v>4086</v>
      </c>
      <c r="L559" s="156" t="s">
        <v>3045</v>
      </c>
      <c r="M559" s="53" t="s">
        <v>67</v>
      </c>
      <c r="N559" s="52"/>
      <c r="O559" s="56" t="s">
        <v>3106</v>
      </c>
      <c r="P559" s="47" t="s">
        <v>4087</v>
      </c>
      <c r="Q559" s="47" t="s">
        <v>71</v>
      </c>
      <c r="R559" s="49"/>
      <c r="S559" s="47"/>
      <c r="T559" s="47"/>
      <c r="U559" s="47" t="s">
        <v>71</v>
      </c>
      <c r="V559" s="56" t="s">
        <v>4088</v>
      </c>
      <c r="W559" s="67" t="s">
        <v>3547</v>
      </c>
      <c r="X559" s="67" t="s">
        <v>652</v>
      </c>
      <c r="Y559" s="46"/>
      <c r="Z559" s="46"/>
      <c r="AA559" s="68">
        <f>VLOOKUP(A559,'[1]DANH SÁCH'!$B$8:$AD$841,12,0)</f>
        <v>0</v>
      </c>
      <c r="AB559" s="49" t="str">
        <f>VLOOKUP(A559,'[1]DANH SÁCH'!$B$8:$H$841,6,0)</f>
        <v>TĐ012</v>
      </c>
      <c r="AC559" s="69" t="str">
        <f>VLOOKUP(A559,'[1]DANH SÁCH'!$B$8:$J$841,9,0)</f>
        <v>Cấp cứu</v>
      </c>
      <c r="AD559" s="69" t="str">
        <f>VLOOKUP(A559,'[1]DANH SÁCH'!$B$8:$AC$841,9,0)</f>
        <v>Cấp cứu</v>
      </c>
      <c r="AE559" s="69" t="str">
        <f>VLOOKUP(A559,'[1]DANH SÁCH'!$B$8:$AD$841,13,0)</f>
        <v>Viên chức</v>
      </c>
      <c r="AF559" s="41"/>
      <c r="AG559" s="42">
        <f>VLOOKUP(A559,'[1]DANH SÁCH'!$B$8:$H$841,7,0)</f>
        <v>0</v>
      </c>
      <c r="AH559" s="45" t="s">
        <v>1841</v>
      </c>
      <c r="AI559" s="42">
        <v>3</v>
      </c>
      <c r="AJ559" s="70"/>
      <c r="AK559" s="69">
        <v>45870</v>
      </c>
      <c r="AL559" s="71" t="s">
        <v>158</v>
      </c>
      <c r="AM559" s="53" t="str">
        <f>VLOOKUP(A559,'[1]DANH SÁCH'!$B$8:$F$841,5,0)</f>
        <v>Điều dưỡng CĐ</v>
      </c>
      <c r="AN559" s="53"/>
      <c r="AO559" s="53" t="s">
        <v>1093</v>
      </c>
      <c r="AP559" s="53">
        <v>2014</v>
      </c>
      <c r="AQ559" s="72" t="s">
        <v>113</v>
      </c>
      <c r="AR559" s="47"/>
      <c r="AS559" s="47"/>
      <c r="AT559" s="47"/>
      <c r="AU559" s="47"/>
      <c r="AV559" s="47"/>
      <c r="AW559" s="47"/>
      <c r="AX559" s="47"/>
      <c r="AY559" s="73" t="s">
        <v>127</v>
      </c>
      <c r="AZ559" s="65"/>
      <c r="BA559" s="74" t="e">
        <f>VLOOKUP(A559,#REF!,4,0)</f>
        <v>#REF!</v>
      </c>
      <c r="BB559" s="74" t="e">
        <f>VLOOKUP(A559,#REF!,5,0)</f>
        <v>#REF!</v>
      </c>
      <c r="BC559" s="41"/>
      <c r="BD559" s="64"/>
    </row>
    <row r="560" spans="1:56" ht="40.799999999999997" x14ac:dyDescent="0.3">
      <c r="A560" s="46" t="s">
        <v>4089</v>
      </c>
      <c r="B560" s="42">
        <f t="shared" si="187"/>
        <v>554</v>
      </c>
      <c r="C560" s="109" t="s">
        <v>4090</v>
      </c>
      <c r="D560" s="46" t="s">
        <v>4089</v>
      </c>
      <c r="E560" s="61" t="s">
        <v>4091</v>
      </c>
      <c r="F560" s="64"/>
      <c r="G560" s="49" t="s">
        <v>4092</v>
      </c>
      <c r="H560" s="62"/>
      <c r="I560" s="160">
        <v>34133</v>
      </c>
      <c r="J560" s="66">
        <f ca="1">INT(DATEDIF(I560,'[1]Bieu 1a'!$J$2,"d")/365)</f>
        <v>33</v>
      </c>
      <c r="K560" s="155" t="s">
        <v>4093</v>
      </c>
      <c r="L560" s="156" t="s">
        <v>4094</v>
      </c>
      <c r="M560" s="53" t="s">
        <v>67</v>
      </c>
      <c r="N560" s="52"/>
      <c r="O560" s="56" t="s">
        <v>660</v>
      </c>
      <c r="P560" s="47" t="s">
        <v>661</v>
      </c>
      <c r="Q560" s="47" t="s">
        <v>71</v>
      </c>
      <c r="R560" s="49"/>
      <c r="S560" s="47"/>
      <c r="T560" s="47"/>
      <c r="U560" s="47"/>
      <c r="V560" s="56" t="s">
        <v>4095</v>
      </c>
      <c r="W560" s="67" t="s">
        <v>652</v>
      </c>
      <c r="X560" s="67" t="s">
        <v>652</v>
      </c>
      <c r="Y560" s="46"/>
      <c r="Z560" s="46"/>
      <c r="AA560" s="68">
        <f>VLOOKUP(A560,'[1]DANH SÁCH'!$B$8:$AD$841,12,0)</f>
        <v>0</v>
      </c>
      <c r="AB560" s="49" t="str">
        <f>VLOOKUP(A560,'[1]DANH SÁCH'!$B$8:$H$841,6,0)</f>
        <v>TĐ012</v>
      </c>
      <c r="AC560" s="69" t="str">
        <f>VLOOKUP(A560,'[1]DANH SÁCH'!$B$8:$J$841,9,0)</f>
        <v>Cấp cứu</v>
      </c>
      <c r="AD560" s="69" t="str">
        <f>VLOOKUP(A560,'[1]DANH SÁCH'!$B$8:$AC$841,9,0)</f>
        <v>Cấp cứu</v>
      </c>
      <c r="AE560" s="69" t="str">
        <f>VLOOKUP(A560,'[1]DANH SÁCH'!$B$8:$AD$841,13,0)</f>
        <v>Viên chức</v>
      </c>
      <c r="AF560" s="41"/>
      <c r="AG560" s="42">
        <f>VLOOKUP(A560,'[1]DANH SÁCH'!$B$8:$H$841,7,0)</f>
        <v>0</v>
      </c>
      <c r="AH560" s="45" t="s">
        <v>1841</v>
      </c>
      <c r="AI560" s="42">
        <v>3</v>
      </c>
      <c r="AJ560" s="70"/>
      <c r="AK560" s="69">
        <v>45870</v>
      </c>
      <c r="AL560" s="71" t="s">
        <v>158</v>
      </c>
      <c r="AM560" s="53" t="str">
        <f>VLOOKUP(A560,'[1]DANH SÁCH'!$B$8:$F$841,5,0)</f>
        <v>Điều dưỡng CĐ</v>
      </c>
      <c r="AN560" s="53"/>
      <c r="AO560" s="53" t="s">
        <v>1093</v>
      </c>
      <c r="AP560" s="53">
        <v>2014</v>
      </c>
      <c r="AQ560" s="72" t="s">
        <v>113</v>
      </c>
      <c r="AR560" s="47"/>
      <c r="AS560" s="47"/>
      <c r="AT560" s="47"/>
      <c r="AU560" s="47"/>
      <c r="AV560" s="47"/>
      <c r="AW560" s="47"/>
      <c r="AX560" s="47"/>
      <c r="AY560" s="73" t="s">
        <v>127</v>
      </c>
      <c r="AZ560" s="65"/>
      <c r="BA560" s="74"/>
      <c r="BB560" s="74"/>
      <c r="BC560" s="81"/>
      <c r="BD560" s="47"/>
    </row>
    <row r="561" spans="1:56" ht="40.799999999999997" x14ac:dyDescent="0.3">
      <c r="A561" s="46" t="s">
        <v>4096</v>
      </c>
      <c r="B561" s="42">
        <f t="shared" si="187"/>
        <v>555</v>
      </c>
      <c r="C561" s="109" t="s">
        <v>4097</v>
      </c>
      <c r="D561" s="46" t="s">
        <v>4096</v>
      </c>
      <c r="E561" s="61" t="s">
        <v>4098</v>
      </c>
      <c r="F561" s="64"/>
      <c r="G561" s="49" t="s">
        <v>4099</v>
      </c>
      <c r="H561" s="62"/>
      <c r="I561" s="160">
        <v>33486</v>
      </c>
      <c r="J561" s="66">
        <f ca="1">INT(DATEDIF(I561,'[1]Bieu 1a'!$J$2,"d")/365)</f>
        <v>34</v>
      </c>
      <c r="K561" s="155" t="s">
        <v>4100</v>
      </c>
      <c r="L561" s="156" t="s">
        <v>4101</v>
      </c>
      <c r="M561" s="53" t="s">
        <v>67</v>
      </c>
      <c r="N561" s="52"/>
      <c r="O561" s="56" t="s">
        <v>757</v>
      </c>
      <c r="P561" s="49" t="s">
        <v>758</v>
      </c>
      <c r="Q561" s="47" t="s">
        <v>71</v>
      </c>
      <c r="R561" s="49"/>
      <c r="S561" s="47"/>
      <c r="T561" s="47"/>
      <c r="U561" s="47"/>
      <c r="V561" s="56" t="s">
        <v>4102</v>
      </c>
      <c r="W561" s="67" t="s">
        <v>652</v>
      </c>
      <c r="X561" s="67" t="s">
        <v>652</v>
      </c>
      <c r="Y561" s="46"/>
      <c r="Z561" s="46"/>
      <c r="AA561" s="68">
        <f>VLOOKUP(A561,'[1]DANH SÁCH'!$B$8:$AD$841,12,0)</f>
        <v>0</v>
      </c>
      <c r="AB561" s="49" t="str">
        <f>VLOOKUP(A561,'[1]DANH SÁCH'!$B$8:$H$841,6,0)</f>
        <v>TĐ012</v>
      </c>
      <c r="AC561" s="69" t="str">
        <f>VLOOKUP(A561,'[1]DANH SÁCH'!$B$8:$J$841,9,0)</f>
        <v>Cấp cứu</v>
      </c>
      <c r="AD561" s="69" t="str">
        <f>VLOOKUP(A561,'[1]DANH SÁCH'!$B$8:$AC$841,9,0)</f>
        <v>Cấp cứu</v>
      </c>
      <c r="AE561" s="69" t="str">
        <f>VLOOKUP(A561,'[1]DANH SÁCH'!$B$8:$AD$841,13,0)</f>
        <v>Viên chức</v>
      </c>
      <c r="AF561" s="41"/>
      <c r="AG561" s="42">
        <f>VLOOKUP(A561,'[1]DANH SÁCH'!$B$8:$H$841,7,0)</f>
        <v>0</v>
      </c>
      <c r="AH561" s="45" t="s">
        <v>1841</v>
      </c>
      <c r="AI561" s="42">
        <v>3</v>
      </c>
      <c r="AJ561" s="70"/>
      <c r="AK561" s="69">
        <v>45870</v>
      </c>
      <c r="AL561" s="71" t="s">
        <v>158</v>
      </c>
      <c r="AM561" s="53" t="str">
        <f>VLOOKUP(A561,'[1]DANH SÁCH'!$B$8:$F$841,5,0)</f>
        <v>Điều dưỡng CĐ</v>
      </c>
      <c r="AN561" s="53"/>
      <c r="AO561" s="53" t="s">
        <v>1093</v>
      </c>
      <c r="AP561" s="53">
        <v>2013</v>
      </c>
      <c r="AQ561" s="72" t="s">
        <v>113</v>
      </c>
      <c r="AR561" s="47"/>
      <c r="AS561" s="47"/>
      <c r="AT561" s="47"/>
      <c r="AU561" s="48" t="s">
        <v>86</v>
      </c>
      <c r="AV561" s="47"/>
      <c r="AW561" s="47" t="s">
        <v>86</v>
      </c>
      <c r="AX561" s="47"/>
      <c r="AY561" s="73" t="s">
        <v>85</v>
      </c>
      <c r="AZ561" s="65"/>
      <c r="BA561" s="74"/>
      <c r="BB561" s="74"/>
      <c r="BC561" s="81"/>
      <c r="BD561" s="47"/>
    </row>
    <row r="562" spans="1:56" ht="40.799999999999997" x14ac:dyDescent="0.3">
      <c r="A562" s="46" t="s">
        <v>4103</v>
      </c>
      <c r="B562" s="42">
        <f t="shared" si="187"/>
        <v>556</v>
      </c>
      <c r="C562" s="116" t="s">
        <v>4104</v>
      </c>
      <c r="D562" s="46" t="s">
        <v>4103</v>
      </c>
      <c r="E562" s="67">
        <v>2020195617</v>
      </c>
      <c r="F562" s="64">
        <v>2099972196</v>
      </c>
      <c r="G562" s="49" t="s">
        <v>4105</v>
      </c>
      <c r="H562" s="118" t="s">
        <v>4106</v>
      </c>
      <c r="I562" s="76"/>
      <c r="J562" s="66">
        <f ca="1">INT(DATEDIF(H562,'[1]Bieu 1a'!$J$2,"d")/365)</f>
        <v>35</v>
      </c>
      <c r="K562" s="75" t="s">
        <v>4107</v>
      </c>
      <c r="L562" s="83" t="s">
        <v>4108</v>
      </c>
      <c r="M562" s="53" t="s">
        <v>67</v>
      </c>
      <c r="N562" s="66"/>
      <c r="O562" s="53" t="s">
        <v>4109</v>
      </c>
      <c r="P562" s="49" t="s">
        <v>661</v>
      </c>
      <c r="Q562" s="49" t="s">
        <v>71</v>
      </c>
      <c r="R562" s="49"/>
      <c r="S562" s="49" t="s">
        <v>4109</v>
      </c>
      <c r="T562" s="49" t="s">
        <v>661</v>
      </c>
      <c r="U562" s="49" t="s">
        <v>71</v>
      </c>
      <c r="V562" s="56" t="s">
        <v>4110</v>
      </c>
      <c r="W562" s="86" t="s">
        <v>4111</v>
      </c>
      <c r="X562" s="41"/>
      <c r="Y562" s="41"/>
      <c r="Z562" s="41"/>
      <c r="AA562" s="68">
        <f>VLOOKUP(A562,'[1]DANH SÁCH'!$B$8:$AD$841,12,0)</f>
        <v>0</v>
      </c>
      <c r="AB562" s="49" t="str">
        <f>VLOOKUP(A562,'[1]DANH SÁCH'!$B$8:$H$841,6,0)</f>
        <v>TĐ012</v>
      </c>
      <c r="AC562" s="69" t="str">
        <f>VLOOKUP(A562,'[1]DANH SÁCH'!$B$8:$J$841,9,0)</f>
        <v>Cấp cứu</v>
      </c>
      <c r="AD562" s="69" t="str">
        <f>VLOOKUP(A562,'[1]DANH SÁCH'!$B$8:$AC$841,9,0)</f>
        <v>Cấp cứu</v>
      </c>
      <c r="AE562" s="69" t="str">
        <f>VLOOKUP(A562,'[1]DANH SÁCH'!$B$8:$AD$841,13,0)</f>
        <v>Viên chức</v>
      </c>
      <c r="AF562" s="41"/>
      <c r="AG562" s="42">
        <f>VLOOKUP(A562,'[1]DANH SÁCH'!$B$8:$H$841,7,0)</f>
        <v>0</v>
      </c>
      <c r="AH562" s="45" t="s">
        <v>1841</v>
      </c>
      <c r="AI562" s="42">
        <v>3</v>
      </c>
      <c r="AJ562" s="70"/>
      <c r="AK562" s="69">
        <v>45075</v>
      </c>
      <c r="AL562" s="71" t="s">
        <v>158</v>
      </c>
      <c r="AM562" s="53" t="str">
        <f>VLOOKUP(A562,'[1]DANH SÁCH'!$B$8:$F$841,5,0)</f>
        <v>Điều dưỡng CĐ</v>
      </c>
      <c r="AN562" s="53"/>
      <c r="AO562" s="53" t="s">
        <v>1093</v>
      </c>
      <c r="AP562" s="53">
        <v>2012</v>
      </c>
      <c r="AQ562" s="72" t="s">
        <v>113</v>
      </c>
      <c r="AR562" s="42"/>
      <c r="AS562" s="42"/>
      <c r="AT562" s="47" t="s">
        <v>139</v>
      </c>
      <c r="AU562" s="42"/>
      <c r="AV562" s="42"/>
      <c r="AW562" s="42"/>
      <c r="AX562" s="42"/>
      <c r="AY562" s="57" t="s">
        <v>127</v>
      </c>
      <c r="AZ562" s="65"/>
      <c r="BA562" s="74" t="e">
        <f>VLOOKUP(A562,#REF!,4,0)</f>
        <v>#REF!</v>
      </c>
      <c r="BB562" s="74" t="e">
        <f>VLOOKUP(A562,#REF!,5,0)</f>
        <v>#REF!</v>
      </c>
      <c r="BC562" s="61" t="s">
        <v>61</v>
      </c>
      <c r="BD562" s="62"/>
    </row>
    <row r="563" spans="1:56" ht="40.799999999999997" x14ac:dyDescent="0.3">
      <c r="A563" s="47" t="s">
        <v>4112</v>
      </c>
      <c r="B563" s="42">
        <f t="shared" si="187"/>
        <v>557</v>
      </c>
      <c r="C563" s="161" t="s">
        <v>4113</v>
      </c>
      <c r="D563" s="47" t="s">
        <v>4112</v>
      </c>
      <c r="E563" s="61" t="s">
        <v>4114</v>
      </c>
      <c r="F563" s="64"/>
      <c r="G563" s="49" t="s">
        <v>4115</v>
      </c>
      <c r="H563" s="41"/>
      <c r="I563" s="154" t="s">
        <v>4116</v>
      </c>
      <c r="J563" s="66">
        <f ca="1">INT(DATEDIF(I563,'[1]Bieu 1a'!$J$2,"d")/365)</f>
        <v>28</v>
      </c>
      <c r="K563" s="155" t="s">
        <v>4117</v>
      </c>
      <c r="L563" s="98" t="s">
        <v>4118</v>
      </c>
      <c r="M563" s="53" t="s">
        <v>67</v>
      </c>
      <c r="N563" s="66"/>
      <c r="O563" s="162" t="s">
        <v>4119</v>
      </c>
      <c r="P563" s="151"/>
      <c r="Q563" s="151"/>
      <c r="R563" s="49"/>
      <c r="S563" s="162" t="s">
        <v>4119</v>
      </c>
      <c r="T563" s="76"/>
      <c r="U563" s="76"/>
      <c r="V563" s="56" t="s">
        <v>4119</v>
      </c>
      <c r="W563" s="67" t="s">
        <v>4120</v>
      </c>
      <c r="X563" s="41"/>
      <c r="Y563" s="41"/>
      <c r="Z563" s="41"/>
      <c r="AA563" s="68">
        <f>VLOOKUP(A563,'[1]DANH SÁCH'!$B$8:$AD$841,12,0)</f>
        <v>0</v>
      </c>
      <c r="AB563" s="49" t="str">
        <f>VLOOKUP(A563,'[1]DANH SÁCH'!$B$8:$H$841,6,0)</f>
        <v>TĐ012</v>
      </c>
      <c r="AC563" s="69" t="str">
        <f>VLOOKUP(A563,'[1]DANH SÁCH'!$B$8:$J$841,9,0)</f>
        <v>Cấp cứu</v>
      </c>
      <c r="AD563" s="69" t="str">
        <f>VLOOKUP(A563,'[1]DANH SÁCH'!$B$8:$AC$841,9,0)</f>
        <v>Cấp cứu</v>
      </c>
      <c r="AE563" s="69" t="str">
        <f>VLOOKUP(A563,'[1]DANH SÁCH'!$B$8:$AD$841,13,0)</f>
        <v>Viên chức</v>
      </c>
      <c r="AF563" s="41"/>
      <c r="AG563" s="42">
        <f>VLOOKUP(A563,'[1]DANH SÁCH'!$B$8:$H$841,7,0)</f>
        <v>0</v>
      </c>
      <c r="AH563" s="45" t="s">
        <v>4054</v>
      </c>
      <c r="AI563" s="42">
        <v>2</v>
      </c>
      <c r="AJ563" s="70"/>
      <c r="AK563" s="69">
        <v>44943</v>
      </c>
      <c r="AL563" s="71" t="s">
        <v>158</v>
      </c>
      <c r="AM563" s="53" t="str">
        <f>VLOOKUP(A563,'[1]DANH SÁCH'!$B$8:$F$841,5,0)</f>
        <v>Điều dưỡng CĐ</v>
      </c>
      <c r="AN563" s="163"/>
      <c r="AO563" s="53" t="s">
        <v>4121</v>
      </c>
      <c r="AP563" s="53"/>
      <c r="AQ563" s="72" t="s">
        <v>113</v>
      </c>
      <c r="AR563" s="42"/>
      <c r="AS563" s="42"/>
      <c r="AT563" s="47"/>
      <c r="AU563" s="42"/>
      <c r="AV563" s="42"/>
      <c r="AW563" s="42"/>
      <c r="AX563" s="42"/>
      <c r="AY563" s="98" t="s">
        <v>85</v>
      </c>
      <c r="AZ563" s="65"/>
      <c r="BA563" s="74"/>
      <c r="BB563" s="74"/>
      <c r="BC563" s="61" t="s">
        <v>128</v>
      </c>
      <c r="BD563" s="62"/>
    </row>
    <row r="564" spans="1:56" ht="40.799999999999997" x14ac:dyDescent="0.3">
      <c r="A564" s="46" t="s">
        <v>4122</v>
      </c>
      <c r="B564" s="42">
        <f t="shared" si="187"/>
        <v>558</v>
      </c>
      <c r="C564" s="53" t="s">
        <v>4123</v>
      </c>
      <c r="D564" s="46" t="s">
        <v>4122</v>
      </c>
      <c r="E564" s="61" t="s">
        <v>4124</v>
      </c>
      <c r="F564" s="10"/>
      <c r="G564" s="49" t="s">
        <v>4125</v>
      </c>
      <c r="H564" s="47"/>
      <c r="I564" s="41" t="s">
        <v>4126</v>
      </c>
      <c r="J564" s="66">
        <f ca="1">INT(DATEDIF(I564,'[1]Bieu 1a'!$J$2,"d")/365)</f>
        <v>30</v>
      </c>
      <c r="K564" s="72" t="s">
        <v>4127</v>
      </c>
      <c r="L564" s="41" t="s">
        <v>4128</v>
      </c>
      <c r="M564" s="158" t="s">
        <v>4129</v>
      </c>
      <c r="N564" s="95"/>
      <c r="O564" s="96"/>
      <c r="P564" s="6"/>
      <c r="Q564" s="6"/>
      <c r="R564" s="49"/>
      <c r="S564" s="6"/>
      <c r="T564" s="6"/>
      <c r="U564" s="6"/>
      <c r="V564" s="56" t="s">
        <v>4130</v>
      </c>
      <c r="W564" s="67" t="s">
        <v>3841</v>
      </c>
      <c r="X564" s="97"/>
      <c r="Y564" s="97"/>
      <c r="Z564" s="97"/>
      <c r="AA564" s="68">
        <f>VLOOKUP(A564,'[1]DANH SÁCH'!$B$8:$AD$841,12,0)</f>
        <v>0</v>
      </c>
      <c r="AB564" s="49" t="str">
        <f>VLOOKUP(A564,'[1]DANH SÁCH'!$B$8:$H$841,6,0)</f>
        <v>TĐ012</v>
      </c>
      <c r="AC564" s="69" t="str">
        <f>VLOOKUP(A564,'[1]DANH SÁCH'!$B$8:$J$841,9,0)</f>
        <v>Cấp cứu</v>
      </c>
      <c r="AD564" s="69" t="str">
        <f>VLOOKUP(A564,'[1]DANH SÁCH'!$B$8:$AC$841,9,0)</f>
        <v>Cấp cứu</v>
      </c>
      <c r="AE564" s="69" t="str">
        <f>VLOOKUP(A564,'[1]DANH SÁCH'!$B$8:$AD$841,13,0)</f>
        <v>Viên chức</v>
      </c>
      <c r="AF564" s="41"/>
      <c r="AG564" s="42">
        <f>VLOOKUP(A564,'[1]DANH SÁCH'!$B$8:$H$841,7,0)</f>
        <v>0</v>
      </c>
      <c r="AH564" s="45" t="s">
        <v>4054</v>
      </c>
      <c r="AI564" s="42">
        <v>2</v>
      </c>
      <c r="AJ564" s="70"/>
      <c r="AK564" s="69">
        <v>45395</v>
      </c>
      <c r="AL564" s="71" t="s">
        <v>158</v>
      </c>
      <c r="AM564" s="53" t="str">
        <f>VLOOKUP(A564,'[1]DANH SÁCH'!$B$8:$F$841,5,0)</f>
        <v>Điều dưỡng CĐ</v>
      </c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47" t="s">
        <v>85</v>
      </c>
      <c r="AZ564" s="65"/>
      <c r="BA564" s="6"/>
      <c r="BB564" s="6"/>
      <c r="BC564" s="61" t="s">
        <v>4131</v>
      </c>
      <c r="BD564" s="62"/>
    </row>
    <row r="565" spans="1:56" ht="40.799999999999997" x14ac:dyDescent="0.3">
      <c r="A565" s="46" t="s">
        <v>4132</v>
      </c>
      <c r="B565" s="42">
        <f t="shared" si="187"/>
        <v>559</v>
      </c>
      <c r="C565" s="53" t="s">
        <v>4133</v>
      </c>
      <c r="D565" s="46" t="s">
        <v>4132</v>
      </c>
      <c r="E565" s="61" t="s">
        <v>4134</v>
      </c>
      <c r="F565" s="10"/>
      <c r="G565" s="49" t="s">
        <v>4135</v>
      </c>
      <c r="H565" s="47"/>
      <c r="I565" s="41" t="s">
        <v>4136</v>
      </c>
      <c r="J565" s="66">
        <f ca="1">INT(DATEDIF(I565,'[1]Bieu 1a'!$J$2,"d")/365)</f>
        <v>28</v>
      </c>
      <c r="K565" s="72" t="s">
        <v>4137</v>
      </c>
      <c r="L565" s="41" t="s">
        <v>4138</v>
      </c>
      <c r="M565" s="158" t="s">
        <v>4139</v>
      </c>
      <c r="N565" s="95"/>
      <c r="O565" s="96"/>
      <c r="P565" s="6"/>
      <c r="Q565" s="6"/>
      <c r="R565" s="49"/>
      <c r="S565" s="6"/>
      <c r="T565" s="6"/>
      <c r="U565" s="6"/>
      <c r="V565" s="56" t="s">
        <v>4140</v>
      </c>
      <c r="W565" s="67" t="s">
        <v>3841</v>
      </c>
      <c r="X565" s="97"/>
      <c r="Y565" s="97"/>
      <c r="Z565" s="97"/>
      <c r="AA565" s="68">
        <f>VLOOKUP(A565,'[1]DANH SÁCH'!$B$8:$AD$841,12,0)</f>
        <v>0</v>
      </c>
      <c r="AB565" s="49" t="str">
        <f>VLOOKUP(A565,'[1]DANH SÁCH'!$B$8:$H$841,6,0)</f>
        <v>TĐ012</v>
      </c>
      <c r="AC565" s="69" t="str">
        <f>VLOOKUP(A565,'[1]DANH SÁCH'!$B$8:$J$841,9,0)</f>
        <v>Cấp cứu</v>
      </c>
      <c r="AD565" s="69" t="str">
        <f>VLOOKUP(A565,'[1]DANH SÁCH'!$B$8:$AC$841,9,0)</f>
        <v>Cấp cứu</v>
      </c>
      <c r="AE565" s="69" t="str">
        <f>VLOOKUP(A565,'[1]DANH SÁCH'!$B$8:$AD$841,13,0)</f>
        <v>Viên chức</v>
      </c>
      <c r="AF565" s="41"/>
      <c r="AG565" s="42">
        <f>VLOOKUP(A565,'[1]DANH SÁCH'!$B$8:$H$841,7,0)</f>
        <v>0</v>
      </c>
      <c r="AH565" s="45" t="s">
        <v>4054</v>
      </c>
      <c r="AI565" s="42">
        <v>2</v>
      </c>
      <c r="AJ565" s="70"/>
      <c r="AK565" s="69">
        <v>45395</v>
      </c>
      <c r="AL565" s="71" t="s">
        <v>158</v>
      </c>
      <c r="AM565" s="53" t="str">
        <f>VLOOKUP(A565,'[1]DANH SÁCH'!$B$8:$F$841,5,0)</f>
        <v>Điều dưỡng CĐ</v>
      </c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73" t="s">
        <v>85</v>
      </c>
      <c r="AZ565" s="65"/>
      <c r="BA565" s="6"/>
      <c r="BB565" s="6"/>
      <c r="BC565" s="41"/>
      <c r="BD565" s="64"/>
    </row>
    <row r="566" spans="1:56" ht="40.799999999999997" x14ac:dyDescent="0.3">
      <c r="A566" s="47" t="s">
        <v>4141</v>
      </c>
      <c r="B566" s="42">
        <f t="shared" si="187"/>
        <v>560</v>
      </c>
      <c r="C566" s="49" t="s">
        <v>4142</v>
      </c>
      <c r="D566" s="47" t="s">
        <v>4141</v>
      </c>
      <c r="E566" s="61" t="s">
        <v>4143</v>
      </c>
      <c r="F566" s="64"/>
      <c r="G566" s="49" t="s">
        <v>4144</v>
      </c>
      <c r="H566" s="41" t="s">
        <v>4145</v>
      </c>
      <c r="I566" s="64"/>
      <c r="J566" s="66">
        <f ca="1">INT(DATEDIF(H566,'[1]Bieu 1a'!$J$2,"d")/365)</f>
        <v>26</v>
      </c>
      <c r="K566" s="72" t="s">
        <v>4146</v>
      </c>
      <c r="L566" s="41" t="s">
        <v>4147</v>
      </c>
      <c r="M566" s="56"/>
      <c r="N566" s="52"/>
      <c r="O566" s="56"/>
      <c r="P566" s="47"/>
      <c r="Q566" s="47"/>
      <c r="R566" s="49"/>
      <c r="S566" s="47"/>
      <c r="T566" s="47"/>
      <c r="U566" s="47"/>
      <c r="V566" s="56" t="s">
        <v>4148</v>
      </c>
      <c r="W566" s="41" t="s">
        <v>4149</v>
      </c>
      <c r="X566" s="46"/>
      <c r="Y566" s="46"/>
      <c r="Z566" s="46"/>
      <c r="AA566" s="68">
        <f>VLOOKUP(A566,'[1]DANH SÁCH'!$B$8:$AD$841,12,0)</f>
        <v>0</v>
      </c>
      <c r="AB566" s="49" t="str">
        <f>VLOOKUP(A566,'[1]DANH SÁCH'!$B$8:$H$841,6,0)</f>
        <v>TĐ012</v>
      </c>
      <c r="AC566" s="69" t="str">
        <f>VLOOKUP(A566,'[1]DANH SÁCH'!$B$8:$J$841,9,0)</f>
        <v>Cấp cứu</v>
      </c>
      <c r="AD566" s="69" t="str">
        <f>VLOOKUP(A566,'[1]DANH SÁCH'!$B$8:$AC$841,9,0)</f>
        <v>Cấp cứu</v>
      </c>
      <c r="AE566" s="69" t="str">
        <f>VLOOKUP(A566,'[1]DANH SÁCH'!$B$8:$AD$841,13,0)</f>
        <v>Viên chức</v>
      </c>
      <c r="AF566" s="41"/>
      <c r="AG566" s="42">
        <f>VLOOKUP(A566,'[1]DANH SÁCH'!$B$8:$H$841,7,0)</f>
        <v>0</v>
      </c>
      <c r="AH566" s="45" t="s">
        <v>4054</v>
      </c>
      <c r="AI566" s="42">
        <v>2</v>
      </c>
      <c r="AJ566" s="70"/>
      <c r="AK566" s="69">
        <v>45507</v>
      </c>
      <c r="AL566" s="71" t="s">
        <v>158</v>
      </c>
      <c r="AM566" s="53" t="str">
        <f>VLOOKUP(A566,'[1]DANH SÁCH'!$B$8:$F$841,5,0)</f>
        <v>Điều dưỡng CĐ</v>
      </c>
      <c r="AN566" s="47"/>
      <c r="AO566" s="53" t="s">
        <v>1938</v>
      </c>
      <c r="AP566" s="42">
        <v>2020</v>
      </c>
      <c r="AQ566" s="47"/>
      <c r="AR566" s="47"/>
      <c r="AS566" s="47"/>
      <c r="AT566" s="47"/>
      <c r="AU566" s="47"/>
      <c r="AV566" s="47"/>
      <c r="AW566" s="47"/>
      <c r="AX566" s="47"/>
      <c r="AY566" s="47" t="s">
        <v>127</v>
      </c>
      <c r="AZ566" s="65"/>
      <c r="BA566" s="47"/>
      <c r="BB566" s="47"/>
      <c r="BC566" s="41"/>
      <c r="BD566" s="64"/>
    </row>
    <row r="567" spans="1:56" ht="40.799999999999997" x14ac:dyDescent="0.3">
      <c r="A567" s="47" t="s">
        <v>4150</v>
      </c>
      <c r="B567" s="42">
        <f t="shared" si="187"/>
        <v>561</v>
      </c>
      <c r="C567" s="49" t="s">
        <v>4151</v>
      </c>
      <c r="D567" s="47" t="s">
        <v>4150</v>
      </c>
      <c r="E567" s="61" t="s">
        <v>4152</v>
      </c>
      <c r="F567" s="64"/>
      <c r="G567" s="49" t="s">
        <v>4153</v>
      </c>
      <c r="H567" s="47"/>
      <c r="I567" s="41" t="s">
        <v>4154</v>
      </c>
      <c r="J567" s="66">
        <f ca="1">INT(DATEDIF(I567,'[1]Bieu 1a'!$J$2,"d")/365)</f>
        <v>27</v>
      </c>
      <c r="K567" s="72" t="s">
        <v>4155</v>
      </c>
      <c r="L567" s="41" t="s">
        <v>4156</v>
      </c>
      <c r="M567" s="56"/>
      <c r="N567" s="52"/>
      <c r="O567" s="56"/>
      <c r="P567" s="47"/>
      <c r="Q567" s="47"/>
      <c r="R567" s="49"/>
      <c r="S567" s="47"/>
      <c r="T567" s="47"/>
      <c r="U567" s="47"/>
      <c r="V567" s="56" t="s">
        <v>438</v>
      </c>
      <c r="W567" s="41" t="s">
        <v>4149</v>
      </c>
      <c r="X567" s="46"/>
      <c r="Y567" s="46"/>
      <c r="Z567" s="46"/>
      <c r="AA567" s="68">
        <f>VLOOKUP(A567,'[1]DANH SÁCH'!$B$8:$AD$841,12,0)</f>
        <v>0</v>
      </c>
      <c r="AB567" s="49" t="str">
        <f>VLOOKUP(A567,'[1]DANH SÁCH'!$B$8:$H$841,6,0)</f>
        <v>TĐ012</v>
      </c>
      <c r="AC567" s="69" t="str">
        <f>VLOOKUP(A567,'[1]DANH SÁCH'!$B$8:$J$841,9,0)</f>
        <v>Cấp cứu</v>
      </c>
      <c r="AD567" s="69" t="str">
        <f>VLOOKUP(A567,'[1]DANH SÁCH'!$B$8:$AC$841,9,0)</f>
        <v>Cấp cứu</v>
      </c>
      <c r="AE567" s="69" t="str">
        <f>VLOOKUP(A567,'[1]DANH SÁCH'!$B$8:$AD$841,13,0)</f>
        <v>HĐ có thời hạn</v>
      </c>
      <c r="AF567" s="41"/>
      <c r="AG567" s="42">
        <f>VLOOKUP(A567,'[1]DANH SÁCH'!$B$8:$H$841,7,0)</f>
        <v>0</v>
      </c>
      <c r="AH567" s="45" t="s">
        <v>4054</v>
      </c>
      <c r="AI567" s="42">
        <v>2</v>
      </c>
      <c r="AJ567" s="70"/>
      <c r="AK567" s="69">
        <v>45507</v>
      </c>
      <c r="AL567" s="71" t="s">
        <v>158</v>
      </c>
      <c r="AM567" s="53" t="str">
        <f>VLOOKUP(A567,'[1]DANH SÁCH'!$B$8:$F$841,5,0)</f>
        <v>Điều dưỡng CĐ</v>
      </c>
      <c r="AN567" s="47"/>
      <c r="AO567" s="53" t="s">
        <v>1938</v>
      </c>
      <c r="AP567" s="42">
        <v>2020</v>
      </c>
      <c r="AQ567" s="47"/>
      <c r="AR567" s="47"/>
      <c r="AS567" s="47"/>
      <c r="AT567" s="47"/>
      <c r="AU567" s="47"/>
      <c r="AV567" s="47"/>
      <c r="AW567" s="47"/>
      <c r="AX567" s="47"/>
      <c r="AY567" s="47" t="s">
        <v>85</v>
      </c>
      <c r="AZ567" s="65"/>
      <c r="BA567" s="47"/>
      <c r="BB567" s="47"/>
      <c r="BC567" s="46"/>
      <c r="BD567" s="47"/>
    </row>
    <row r="568" spans="1:56" ht="40.799999999999997" x14ac:dyDescent="0.3">
      <c r="A568" s="47" t="s">
        <v>4157</v>
      </c>
      <c r="B568" s="42">
        <f t="shared" si="187"/>
        <v>562</v>
      </c>
      <c r="C568" s="49" t="s">
        <v>4158</v>
      </c>
      <c r="D568" s="47" t="s">
        <v>4157</v>
      </c>
      <c r="E568" s="61" t="s">
        <v>4159</v>
      </c>
      <c r="F568" s="64"/>
      <c r="G568" s="49" t="s">
        <v>4160</v>
      </c>
      <c r="H568" s="41" t="s">
        <v>4161</v>
      </c>
      <c r="I568" s="64"/>
      <c r="J568" s="66">
        <f ca="1">INT(DATEDIF(H568,'[1]Bieu 1a'!$J$2,"d")/365)</f>
        <v>27</v>
      </c>
      <c r="K568" s="72" t="s">
        <v>4162</v>
      </c>
      <c r="L568" s="41" t="s">
        <v>4163</v>
      </c>
      <c r="M568" s="56"/>
      <c r="N568" s="52"/>
      <c r="O568" s="56"/>
      <c r="P568" s="47"/>
      <c r="Q568" s="47"/>
      <c r="R568" s="49"/>
      <c r="S568" s="47"/>
      <c r="T568" s="47"/>
      <c r="U568" s="47"/>
      <c r="V568" s="56" t="s">
        <v>4164</v>
      </c>
      <c r="W568" s="41" t="s">
        <v>4149</v>
      </c>
      <c r="X568" s="46"/>
      <c r="Y568" s="46"/>
      <c r="Z568" s="46"/>
      <c r="AA568" s="68">
        <f>VLOOKUP(A568,'[1]DANH SÁCH'!$B$8:$AD$841,12,0)</f>
        <v>0</v>
      </c>
      <c r="AB568" s="49" t="str">
        <f>VLOOKUP(A568,'[1]DANH SÁCH'!$B$8:$H$841,6,0)</f>
        <v>TĐ012</v>
      </c>
      <c r="AC568" s="69" t="str">
        <f>VLOOKUP(A568,'[1]DANH SÁCH'!$B$8:$J$841,9,0)</f>
        <v>Cấp cứu</v>
      </c>
      <c r="AD568" s="69" t="str">
        <f>VLOOKUP(A568,'[1]DANH SÁCH'!$B$8:$AC$841,9,0)</f>
        <v>Cấp cứu</v>
      </c>
      <c r="AE568" s="69" t="str">
        <f>VLOOKUP(A568,'[1]DANH SÁCH'!$B$8:$AD$841,13,0)</f>
        <v>HĐ có thời hạn</v>
      </c>
      <c r="AF568" s="41"/>
      <c r="AG568" s="42">
        <f>VLOOKUP(A568,'[1]DANH SÁCH'!$B$8:$H$841,7,0)</f>
        <v>0</v>
      </c>
      <c r="AH568" s="45" t="s">
        <v>4054</v>
      </c>
      <c r="AI568" s="42">
        <v>2</v>
      </c>
      <c r="AJ568" s="70"/>
      <c r="AK568" s="69">
        <v>45507</v>
      </c>
      <c r="AL568" s="71" t="s">
        <v>158</v>
      </c>
      <c r="AM568" s="53" t="str">
        <f>VLOOKUP(A568,'[1]DANH SÁCH'!$B$8:$F$841,5,0)</f>
        <v>Điều dưỡng CĐ</v>
      </c>
      <c r="AN568" s="47"/>
      <c r="AO568" s="53" t="s">
        <v>1938</v>
      </c>
      <c r="AP568" s="42">
        <v>2020</v>
      </c>
      <c r="AQ568" s="47"/>
      <c r="AR568" s="47"/>
      <c r="AS568" s="47"/>
      <c r="AT568" s="47"/>
      <c r="AU568" s="47"/>
      <c r="AV568" s="47"/>
      <c r="AW568" s="47"/>
      <c r="AX568" s="47"/>
      <c r="AY568" s="47" t="s">
        <v>127</v>
      </c>
      <c r="AZ568" s="65"/>
      <c r="BA568" s="47"/>
      <c r="BB568" s="47"/>
      <c r="BC568" s="61" t="s">
        <v>128</v>
      </c>
      <c r="BD568" s="62"/>
    </row>
    <row r="569" spans="1:56" ht="51" x14ac:dyDescent="0.3">
      <c r="A569" s="46" t="s">
        <v>4165</v>
      </c>
      <c r="B569" s="42">
        <f t="shared" si="187"/>
        <v>563</v>
      </c>
      <c r="C569" s="116" t="s">
        <v>4166</v>
      </c>
      <c r="D569" s="46" t="s">
        <v>4165</v>
      </c>
      <c r="E569" s="67">
        <v>2020289288</v>
      </c>
      <c r="F569" s="64">
        <v>2099872902</v>
      </c>
      <c r="G569" s="49" t="s">
        <v>4167</v>
      </c>
      <c r="H569" s="76"/>
      <c r="I569" s="118" t="s">
        <v>4168</v>
      </c>
      <c r="J569" s="66">
        <f ca="1">INT(DATEDIF(I569,'[1]Bieu 1a'!$J$2,"d")/365)</f>
        <v>31</v>
      </c>
      <c r="K569" s="75" t="s">
        <v>4169</v>
      </c>
      <c r="L569" s="83" t="s">
        <v>4170</v>
      </c>
      <c r="M569" s="53" t="s">
        <v>67</v>
      </c>
      <c r="N569" s="66"/>
      <c r="O569" s="53" t="s">
        <v>1116</v>
      </c>
      <c r="P569" s="49" t="s">
        <v>1116</v>
      </c>
      <c r="Q569" s="49" t="s">
        <v>71</v>
      </c>
      <c r="R569" s="49"/>
      <c r="S569" s="49" t="s">
        <v>1116</v>
      </c>
      <c r="T569" s="49" t="s">
        <v>2015</v>
      </c>
      <c r="U569" s="49" t="s">
        <v>71</v>
      </c>
      <c r="V569" s="56" t="s">
        <v>4171</v>
      </c>
      <c r="W569" s="86" t="s">
        <v>4111</v>
      </c>
      <c r="X569" s="41"/>
      <c r="Y569" s="41"/>
      <c r="Z569" s="41"/>
      <c r="AA569" s="68">
        <f>VLOOKUP(A569,'[1]DANH SÁCH'!$B$8:$AD$841,12,0)</f>
        <v>0</v>
      </c>
      <c r="AB569" s="49" t="str">
        <f>VLOOKUP(A569,'[1]DANH SÁCH'!$B$8:$H$841,6,0)</f>
        <v>TĐ012</v>
      </c>
      <c r="AC569" s="69" t="str">
        <f>VLOOKUP(A569,'[1]DANH SÁCH'!$B$8:$J$841,9,0)</f>
        <v>HSTC-CĐ</v>
      </c>
      <c r="AD569" s="69" t="str">
        <f>VLOOKUP(A569,'[1]DANH SÁCH'!$B$8:$AC$841,9,0)</f>
        <v>HSTC-CĐ</v>
      </c>
      <c r="AE569" s="69" t="str">
        <f>VLOOKUP(A569,'[1]DANH SÁCH'!$B$8:$AD$841,13,0)</f>
        <v>Viên chức</v>
      </c>
      <c r="AF569" s="41"/>
      <c r="AG569" s="42">
        <f>VLOOKUP(A569,'[1]DANH SÁCH'!$B$8:$H$841,7,0)</f>
        <v>0</v>
      </c>
      <c r="AH569" s="45" t="s">
        <v>1591</v>
      </c>
      <c r="AI569" s="42">
        <v>4</v>
      </c>
      <c r="AJ569" s="70"/>
      <c r="AK569" s="69">
        <v>45990</v>
      </c>
      <c r="AL569" s="71" t="s">
        <v>158</v>
      </c>
      <c r="AM569" s="53" t="str">
        <f>VLOOKUP(A569,'[1]DANH SÁCH'!$B$8:$F$841,5,0)</f>
        <v>Điều dưỡng CĐ</v>
      </c>
      <c r="AN569" s="53"/>
      <c r="AO569" s="53" t="s">
        <v>1093</v>
      </c>
      <c r="AP569" s="53">
        <v>2015</v>
      </c>
      <c r="AQ569" s="72" t="s">
        <v>113</v>
      </c>
      <c r="AR569" s="42"/>
      <c r="AS569" s="42"/>
      <c r="AT569" s="47" t="s">
        <v>139</v>
      </c>
      <c r="AU569" s="42" t="s">
        <v>84</v>
      </c>
      <c r="AV569" s="42"/>
      <c r="AW569" s="42" t="s">
        <v>86</v>
      </c>
      <c r="AX569" s="42"/>
      <c r="AY569" s="57" t="s">
        <v>85</v>
      </c>
      <c r="AZ569" s="65"/>
      <c r="BA569" s="74" t="e">
        <f t="shared" ref="BA569:BA571" si="188">VLOOKUP(A569,#REF!,4,0)</f>
        <v>#REF!</v>
      </c>
      <c r="BB569" s="74" t="e">
        <f t="shared" ref="BB569:BB571" si="189">VLOOKUP(A569,#REF!,5,0)</f>
        <v>#REF!</v>
      </c>
      <c r="BC569" s="41"/>
      <c r="BD569" s="6"/>
    </row>
    <row r="570" spans="1:56" ht="40.799999999999997" x14ac:dyDescent="0.3">
      <c r="A570" s="46" t="s">
        <v>4172</v>
      </c>
      <c r="B570" s="42">
        <f t="shared" si="187"/>
        <v>564</v>
      </c>
      <c r="C570" s="116" t="s">
        <v>4173</v>
      </c>
      <c r="D570" s="46" t="s">
        <v>4172</v>
      </c>
      <c r="E570" s="67">
        <v>2020014024</v>
      </c>
      <c r="F570" s="64">
        <v>2099890271</v>
      </c>
      <c r="G570" s="49" t="s">
        <v>4174</v>
      </c>
      <c r="H570" s="76"/>
      <c r="I570" s="118" t="s">
        <v>4175</v>
      </c>
      <c r="J570" s="66">
        <f ca="1">INT(DATEDIF(I570,'[1]Bieu 1a'!$J$2,"d")/365)</f>
        <v>37</v>
      </c>
      <c r="K570" s="75" t="s">
        <v>4176</v>
      </c>
      <c r="L570" s="83" t="s">
        <v>4177</v>
      </c>
      <c r="M570" s="53" t="s">
        <v>67</v>
      </c>
      <c r="N570" s="66"/>
      <c r="O570" s="53" t="s">
        <v>4178</v>
      </c>
      <c r="P570" s="49" t="s">
        <v>71</v>
      </c>
      <c r="Q570" s="49" t="s">
        <v>71</v>
      </c>
      <c r="R570" s="49"/>
      <c r="S570" s="49" t="s">
        <v>4178</v>
      </c>
      <c r="T570" s="49" t="s">
        <v>71</v>
      </c>
      <c r="U570" s="49" t="s">
        <v>71</v>
      </c>
      <c r="V570" s="56" t="s">
        <v>4179</v>
      </c>
      <c r="W570" s="86" t="s">
        <v>4111</v>
      </c>
      <c r="X570" s="41"/>
      <c r="Y570" s="41"/>
      <c r="Z570" s="41"/>
      <c r="AA570" s="68">
        <f>VLOOKUP(A570,'[1]DANH SÁCH'!$B$8:$AD$841,12,0)</f>
        <v>0</v>
      </c>
      <c r="AB570" s="49" t="str">
        <f>VLOOKUP(A570,'[1]DANH SÁCH'!$B$8:$H$841,6,0)</f>
        <v>TĐ012</v>
      </c>
      <c r="AC570" s="69" t="str">
        <f>VLOOKUP(A570,'[1]DANH SÁCH'!$B$8:$J$841,9,0)</f>
        <v>HSTC-CĐ</v>
      </c>
      <c r="AD570" s="69" t="str">
        <f>VLOOKUP(A570,'[1]DANH SÁCH'!$B$8:$AC$841,9,0)</f>
        <v>HSTC-CĐ</v>
      </c>
      <c r="AE570" s="69" t="str">
        <f>VLOOKUP(A570,'[1]DANH SÁCH'!$B$8:$AD$841,13,0)</f>
        <v>Viên chức</v>
      </c>
      <c r="AF570" s="41"/>
      <c r="AG570" s="42">
        <f>VLOOKUP(A570,'[1]DANH SÁCH'!$B$8:$H$841,7,0)</f>
        <v>0</v>
      </c>
      <c r="AH570" s="45" t="s">
        <v>1841</v>
      </c>
      <c r="AI570" s="42">
        <v>3</v>
      </c>
      <c r="AJ570" s="70"/>
      <c r="AK570" s="69">
        <v>45075</v>
      </c>
      <c r="AL570" s="71" t="s">
        <v>158</v>
      </c>
      <c r="AM570" s="53" t="str">
        <f>VLOOKUP(A570,'[1]DANH SÁCH'!$B$8:$F$841,5,0)</f>
        <v>Điều dưỡng CĐ</v>
      </c>
      <c r="AN570" s="53"/>
      <c r="AO570" s="53" t="s">
        <v>1093</v>
      </c>
      <c r="AP570" s="53">
        <v>2010</v>
      </c>
      <c r="AQ570" s="72" t="s">
        <v>113</v>
      </c>
      <c r="AR570" s="42"/>
      <c r="AS570" s="42"/>
      <c r="AT570" s="47"/>
      <c r="AU570" s="42" t="s">
        <v>1230</v>
      </c>
      <c r="AV570" s="42"/>
      <c r="AW570" s="42" t="s">
        <v>86</v>
      </c>
      <c r="AX570" s="42"/>
      <c r="AY570" s="57" t="s">
        <v>85</v>
      </c>
      <c r="AZ570" s="65"/>
      <c r="BA570" s="74" t="e">
        <f t="shared" si="188"/>
        <v>#REF!</v>
      </c>
      <c r="BB570" s="74" t="e">
        <f t="shared" si="189"/>
        <v>#REF!</v>
      </c>
      <c r="BC570" s="41"/>
      <c r="BD570" s="47"/>
    </row>
    <row r="571" spans="1:56" ht="40.799999999999997" x14ac:dyDescent="0.3">
      <c r="A571" s="46" t="s">
        <v>4180</v>
      </c>
      <c r="B571" s="42">
        <f t="shared" si="187"/>
        <v>565</v>
      </c>
      <c r="C571" s="44" t="s">
        <v>4181</v>
      </c>
      <c r="D571" s="46" t="s">
        <v>4180</v>
      </c>
      <c r="E571" s="67">
        <v>2020073160</v>
      </c>
      <c r="F571" s="64">
        <v>2099911135</v>
      </c>
      <c r="G571" s="49" t="s">
        <v>4182</v>
      </c>
      <c r="H571" s="118" t="s">
        <v>4183</v>
      </c>
      <c r="I571" s="76"/>
      <c r="J571" s="66">
        <f ca="1">INT(DATEDIF(H571,'[1]Bieu 1a'!$J$2,"d")/365)</f>
        <v>33</v>
      </c>
      <c r="K571" s="75" t="s">
        <v>4184</v>
      </c>
      <c r="L571" s="83" t="s">
        <v>4185</v>
      </c>
      <c r="M571" s="53" t="s">
        <v>67</v>
      </c>
      <c r="N571" s="66"/>
      <c r="O571" s="53"/>
      <c r="P571" s="49"/>
      <c r="Q571" s="49" t="s">
        <v>71</v>
      </c>
      <c r="R571" s="49"/>
      <c r="S571" s="49" t="s">
        <v>1276</v>
      </c>
      <c r="T571" s="49" t="s">
        <v>74</v>
      </c>
      <c r="U571" s="49" t="s">
        <v>71</v>
      </c>
      <c r="V571" s="56" t="s">
        <v>4186</v>
      </c>
      <c r="W571" s="86" t="s">
        <v>4111</v>
      </c>
      <c r="X571" s="41"/>
      <c r="Y571" s="41"/>
      <c r="Z571" s="41"/>
      <c r="AA571" s="68">
        <f>VLOOKUP(A571,'[1]DANH SÁCH'!$B$8:$AD$841,12,0)</f>
        <v>0</v>
      </c>
      <c r="AB571" s="49" t="str">
        <f>VLOOKUP(A571,'[1]DANH SÁCH'!$B$8:$H$841,6,0)</f>
        <v>TĐ012</v>
      </c>
      <c r="AC571" s="69" t="str">
        <f>VLOOKUP(A571,'[1]DANH SÁCH'!$B$8:$J$841,9,0)</f>
        <v>HSTC-CĐ</v>
      </c>
      <c r="AD571" s="69" t="str">
        <f>VLOOKUP(A571,'[1]DANH SÁCH'!$B$8:$AC$841,9,0)</f>
        <v>HSTC-CĐ</v>
      </c>
      <c r="AE571" s="69" t="str">
        <f>VLOOKUP(A571,'[1]DANH SÁCH'!$B$8:$AD$841,13,0)</f>
        <v>Viên chức</v>
      </c>
      <c r="AF571" s="41"/>
      <c r="AG571" s="42">
        <f>VLOOKUP(A571,'[1]DANH SÁCH'!$B$8:$H$841,7,0)</f>
        <v>0</v>
      </c>
      <c r="AH571" s="45" t="s">
        <v>1591</v>
      </c>
      <c r="AI571" s="42">
        <v>4</v>
      </c>
      <c r="AJ571" s="70"/>
      <c r="AK571" s="69">
        <v>45806</v>
      </c>
      <c r="AL571" s="71" t="s">
        <v>158</v>
      </c>
      <c r="AM571" s="53" t="str">
        <f>VLOOKUP(A571,'[1]DANH SÁCH'!$B$8:$F$841,5,0)</f>
        <v>Điều dưỡng CĐ</v>
      </c>
      <c r="AN571" s="53"/>
      <c r="AO571" s="53" t="s">
        <v>1093</v>
      </c>
      <c r="AP571" s="53">
        <v>2015</v>
      </c>
      <c r="AQ571" s="72" t="s">
        <v>113</v>
      </c>
      <c r="AR571" s="42"/>
      <c r="AS571" s="42"/>
      <c r="AT571" s="47" t="s">
        <v>139</v>
      </c>
      <c r="AU571" s="42" t="s">
        <v>1230</v>
      </c>
      <c r="AV571" s="42"/>
      <c r="AW571" s="42" t="s">
        <v>86</v>
      </c>
      <c r="AX571" s="42"/>
      <c r="AY571" s="57" t="s">
        <v>85</v>
      </c>
      <c r="AZ571" s="65"/>
      <c r="BA571" s="74" t="e">
        <f t="shared" si="188"/>
        <v>#REF!</v>
      </c>
      <c r="BB571" s="74" t="e">
        <f t="shared" si="189"/>
        <v>#REF!</v>
      </c>
      <c r="BC571" s="41"/>
      <c r="BD571" s="6"/>
    </row>
    <row r="572" spans="1:56" ht="40.799999999999997" x14ac:dyDescent="0.3">
      <c r="A572" s="46" t="s">
        <v>4187</v>
      </c>
      <c r="B572" s="42">
        <f t="shared" si="187"/>
        <v>566</v>
      </c>
      <c r="C572" s="109" t="s">
        <v>4188</v>
      </c>
      <c r="D572" s="46" t="s">
        <v>4187</v>
      </c>
      <c r="E572" s="61" t="s">
        <v>4189</v>
      </c>
      <c r="F572" s="64"/>
      <c r="G572" s="49" t="s">
        <v>4190</v>
      </c>
      <c r="H572" s="62"/>
      <c r="I572" s="160">
        <v>34490</v>
      </c>
      <c r="J572" s="66">
        <f ca="1">INT(DATEDIF(I572,'[1]Bieu 1a'!$J$2,"d")/365)</f>
        <v>32</v>
      </c>
      <c r="K572" s="155" t="s">
        <v>4191</v>
      </c>
      <c r="L572" s="156" t="s">
        <v>4192</v>
      </c>
      <c r="M572" s="53" t="s">
        <v>67</v>
      </c>
      <c r="N572" s="52"/>
      <c r="O572" s="56" t="s">
        <v>4193</v>
      </c>
      <c r="P572" s="47" t="s">
        <v>2624</v>
      </c>
      <c r="Q572" s="49" t="s">
        <v>71</v>
      </c>
      <c r="R572" s="49"/>
      <c r="S572" s="47"/>
      <c r="T572" s="47"/>
      <c r="U572" s="47"/>
      <c r="V572" s="56" t="s">
        <v>4194</v>
      </c>
      <c r="W572" s="67" t="s">
        <v>652</v>
      </c>
      <c r="X572" s="67" t="s">
        <v>652</v>
      </c>
      <c r="Y572" s="46"/>
      <c r="Z572" s="46"/>
      <c r="AA572" s="68">
        <f>VLOOKUP(A572,'[1]DANH SÁCH'!$B$8:$AD$841,12,0)</f>
        <v>0</v>
      </c>
      <c r="AB572" s="49" t="str">
        <f>VLOOKUP(A572,'[1]DANH SÁCH'!$B$8:$H$841,6,0)</f>
        <v>TĐ012</v>
      </c>
      <c r="AC572" s="69" t="str">
        <f>VLOOKUP(A572,'[1]DANH SÁCH'!$B$8:$J$841,9,0)</f>
        <v>HSTC-CĐ</v>
      </c>
      <c r="AD572" s="69" t="str">
        <f>VLOOKUP(A572,'[1]DANH SÁCH'!$B$8:$AC$841,9,0)</f>
        <v>HSTC-CĐ</v>
      </c>
      <c r="AE572" s="69" t="str">
        <f>VLOOKUP(A572,'[1]DANH SÁCH'!$B$8:$AD$841,13,0)</f>
        <v>Viên chức</v>
      </c>
      <c r="AF572" s="41"/>
      <c r="AG572" s="42">
        <f>VLOOKUP(A572,'[1]DANH SÁCH'!$B$8:$H$841,7,0)</f>
        <v>0</v>
      </c>
      <c r="AH572" s="45" t="s">
        <v>1841</v>
      </c>
      <c r="AI572" s="42">
        <v>3</v>
      </c>
      <c r="AJ572" s="70"/>
      <c r="AK572" s="69">
        <v>45870</v>
      </c>
      <c r="AL572" s="71" t="s">
        <v>158</v>
      </c>
      <c r="AM572" s="53" t="str">
        <f>VLOOKUP(A572,'[1]DANH SÁCH'!$B$8:$F$841,5,0)</f>
        <v>Điều dưỡng CĐ</v>
      </c>
      <c r="AN572" s="53"/>
      <c r="AO572" s="53" t="s">
        <v>2069</v>
      </c>
      <c r="AP572" s="53">
        <v>2015</v>
      </c>
      <c r="AQ572" s="72" t="s">
        <v>113</v>
      </c>
      <c r="AR572" s="47"/>
      <c r="AS572" s="47"/>
      <c r="AT572" s="47"/>
      <c r="AU572" s="47" t="s">
        <v>86</v>
      </c>
      <c r="AV572" s="47"/>
      <c r="AW572" s="47" t="s">
        <v>86</v>
      </c>
      <c r="AX572" s="47"/>
      <c r="AY572" s="73" t="s">
        <v>85</v>
      </c>
      <c r="AZ572" s="65"/>
      <c r="BA572" s="74"/>
      <c r="BB572" s="74"/>
      <c r="BC572" s="41"/>
      <c r="BD572" s="42"/>
    </row>
    <row r="573" spans="1:56" ht="40.799999999999997" x14ac:dyDescent="0.3">
      <c r="A573" s="46" t="s">
        <v>4195</v>
      </c>
      <c r="B573" s="42">
        <f t="shared" si="187"/>
        <v>567</v>
      </c>
      <c r="C573" s="109" t="s">
        <v>4196</v>
      </c>
      <c r="D573" s="46" t="s">
        <v>4195</v>
      </c>
      <c r="E573" s="61" t="s">
        <v>4197</v>
      </c>
      <c r="F573" s="64"/>
      <c r="G573" s="49" t="s">
        <v>4198</v>
      </c>
      <c r="H573" s="160">
        <v>33449</v>
      </c>
      <c r="I573" s="65"/>
      <c r="J573" s="66">
        <f ca="1">INT(DATEDIF(H573,'[1]Bieu 1a'!$J$2,"d")/365)</f>
        <v>35</v>
      </c>
      <c r="K573" s="155" t="s">
        <v>4199</v>
      </c>
      <c r="L573" s="156" t="s">
        <v>2569</v>
      </c>
      <c r="M573" s="53" t="s">
        <v>67</v>
      </c>
      <c r="N573" s="52" t="s">
        <v>4200</v>
      </c>
      <c r="O573" s="56"/>
      <c r="P573" s="47" t="s">
        <v>4087</v>
      </c>
      <c r="Q573" s="49" t="s">
        <v>71</v>
      </c>
      <c r="R573" s="49"/>
      <c r="S573" s="47"/>
      <c r="T573" s="47"/>
      <c r="U573" s="47"/>
      <c r="V573" s="56" t="s">
        <v>4201</v>
      </c>
      <c r="W573" s="67" t="s">
        <v>652</v>
      </c>
      <c r="X573" s="67" t="s">
        <v>652</v>
      </c>
      <c r="Y573" s="46"/>
      <c r="Z573" s="46"/>
      <c r="AA573" s="68">
        <f>VLOOKUP(A573,'[1]DANH SÁCH'!$B$8:$AD$841,12,0)</f>
        <v>0</v>
      </c>
      <c r="AB573" s="49" t="str">
        <f>VLOOKUP(A573,'[1]DANH SÁCH'!$B$8:$H$841,6,0)</f>
        <v>TĐ012</v>
      </c>
      <c r="AC573" s="69" t="str">
        <f>VLOOKUP(A573,'[1]DANH SÁCH'!$B$8:$J$841,9,0)</f>
        <v>HSTC-CĐ</v>
      </c>
      <c r="AD573" s="69" t="str">
        <f>VLOOKUP(A573,'[1]DANH SÁCH'!$B$8:$AC$841,9,0)</f>
        <v>HSTC-CĐ</v>
      </c>
      <c r="AE573" s="69" t="str">
        <f>VLOOKUP(A573,'[1]DANH SÁCH'!$B$8:$AD$841,13,0)</f>
        <v>Viên chức</v>
      </c>
      <c r="AF573" s="41"/>
      <c r="AG573" s="42">
        <f>VLOOKUP(A573,'[1]DANH SÁCH'!$B$8:$H$841,7,0)</f>
        <v>0</v>
      </c>
      <c r="AH573" s="45" t="s">
        <v>1841</v>
      </c>
      <c r="AI573" s="42">
        <v>3</v>
      </c>
      <c r="AJ573" s="70"/>
      <c r="AK573" s="69">
        <v>45870</v>
      </c>
      <c r="AL573" s="71" t="s">
        <v>158</v>
      </c>
      <c r="AM573" s="53" t="str">
        <f>VLOOKUP(A573,'[1]DANH SÁCH'!$B$8:$F$841,5,0)</f>
        <v>Điều dưỡng CĐ</v>
      </c>
      <c r="AN573" s="53"/>
      <c r="AO573" s="53" t="s">
        <v>1093</v>
      </c>
      <c r="AP573" s="53">
        <v>2015</v>
      </c>
      <c r="AQ573" s="72" t="s">
        <v>113</v>
      </c>
      <c r="AR573" s="47"/>
      <c r="AS573" s="47"/>
      <c r="AT573" s="47" t="s">
        <v>139</v>
      </c>
      <c r="AU573" s="47"/>
      <c r="AV573" s="47"/>
      <c r="AW573" s="164" t="s">
        <v>4202</v>
      </c>
      <c r="AX573" s="47" t="s">
        <v>4203</v>
      </c>
      <c r="AY573" s="73" t="s">
        <v>85</v>
      </c>
      <c r="AZ573" s="65"/>
      <c r="BA573" s="74" t="e">
        <f>VLOOKUP(A573,#REF!,4,0)</f>
        <v>#REF!</v>
      </c>
      <c r="BB573" s="74" t="e">
        <f>VLOOKUP(A573,#REF!,5,0)</f>
        <v>#REF!</v>
      </c>
      <c r="BC573" s="41"/>
      <c r="BD573" s="42"/>
    </row>
    <row r="574" spans="1:56" ht="40.799999999999997" x14ac:dyDescent="0.3">
      <c r="A574" s="46" t="s">
        <v>4204</v>
      </c>
      <c r="B574" s="42">
        <f t="shared" si="187"/>
        <v>568</v>
      </c>
      <c r="C574" s="116" t="s">
        <v>4205</v>
      </c>
      <c r="D574" s="46" t="s">
        <v>4204</v>
      </c>
      <c r="E574" s="61" t="s">
        <v>4206</v>
      </c>
      <c r="F574" s="64"/>
      <c r="G574" s="49" t="s">
        <v>4207</v>
      </c>
      <c r="H574" s="61" t="s">
        <v>4208</v>
      </c>
      <c r="I574" s="149"/>
      <c r="J574" s="66">
        <f ca="1">INT(DATEDIF(H574,'[1]Bieu 1a'!$J$2,"d")/365)</f>
        <v>29</v>
      </c>
      <c r="K574" s="46" t="s">
        <v>4209</v>
      </c>
      <c r="L574" s="47" t="s">
        <v>4210</v>
      </c>
      <c r="M574" s="56" t="s">
        <v>3778</v>
      </c>
      <c r="N574" s="52"/>
      <c r="O574" s="61" t="s">
        <v>4211</v>
      </c>
      <c r="P574" s="47"/>
      <c r="Q574" s="47"/>
      <c r="R574" s="49"/>
      <c r="S574" s="47"/>
      <c r="T574" s="47"/>
      <c r="U574" s="47"/>
      <c r="V574" s="56" t="s">
        <v>165</v>
      </c>
      <c r="W574" s="61" t="s">
        <v>3823</v>
      </c>
      <c r="X574" s="46"/>
      <c r="Y574" s="46"/>
      <c r="Z574" s="46"/>
      <c r="AA574" s="68">
        <f>VLOOKUP(A574,'[1]DANH SÁCH'!$B$8:$AD$841,12,0)</f>
        <v>0</v>
      </c>
      <c r="AB574" s="49" t="str">
        <f>VLOOKUP(A574,'[1]DANH SÁCH'!$B$8:$H$841,6,0)</f>
        <v>TĐ012</v>
      </c>
      <c r="AC574" s="69" t="str">
        <f>VLOOKUP(A574,'[1]DANH SÁCH'!$B$8:$J$841,9,0)</f>
        <v>HSTC-CĐ</v>
      </c>
      <c r="AD574" s="69" t="str">
        <f>VLOOKUP(A574,'[1]DANH SÁCH'!$B$8:$AC$841,9,0)</f>
        <v>HSTC-CĐ</v>
      </c>
      <c r="AE574" s="69" t="str">
        <f>VLOOKUP(A574,'[1]DANH SÁCH'!$B$8:$AD$841,13,0)</f>
        <v>Viên chức</v>
      </c>
      <c r="AF574" s="41"/>
      <c r="AG574" s="42">
        <f>VLOOKUP(A574,'[1]DANH SÁCH'!$B$8:$H$841,7,0)</f>
        <v>0</v>
      </c>
      <c r="AH574" s="45" t="s">
        <v>4054</v>
      </c>
      <c r="AI574" s="42">
        <v>2</v>
      </c>
      <c r="AJ574" s="70"/>
      <c r="AK574" s="69">
        <v>45171</v>
      </c>
      <c r="AL574" s="71" t="s">
        <v>158</v>
      </c>
      <c r="AM574" s="53" t="str">
        <f>VLOOKUP(A574,'[1]DANH SÁCH'!$B$8:$F$841,5,0)</f>
        <v>Điều dưỡng CĐ</v>
      </c>
      <c r="AN574" s="47" t="s">
        <v>4212</v>
      </c>
      <c r="AO574" s="61"/>
      <c r="AP574" s="61"/>
      <c r="AQ574" s="47"/>
      <c r="AR574" s="47"/>
      <c r="AS574" s="47"/>
      <c r="AT574" s="47"/>
      <c r="AU574" s="47"/>
      <c r="AV574" s="47"/>
      <c r="AW574" s="47"/>
      <c r="AX574" s="47"/>
      <c r="AY574" s="46" t="s">
        <v>127</v>
      </c>
      <c r="AZ574" s="65"/>
      <c r="BA574" s="47"/>
      <c r="BB574" s="47"/>
      <c r="BC574" s="41"/>
      <c r="BD574" s="64"/>
    </row>
    <row r="575" spans="1:56" ht="40.799999999999997" x14ac:dyDescent="0.3">
      <c r="A575" s="46" t="s">
        <v>4213</v>
      </c>
      <c r="B575" s="42">
        <f t="shared" si="187"/>
        <v>569</v>
      </c>
      <c r="C575" s="53" t="s">
        <v>4214</v>
      </c>
      <c r="D575" s="46" t="s">
        <v>4213</v>
      </c>
      <c r="E575" s="61" t="s">
        <v>4215</v>
      </c>
      <c r="F575" s="10"/>
      <c r="G575" s="49" t="s">
        <v>4216</v>
      </c>
      <c r="H575" s="47"/>
      <c r="I575" s="41" t="s">
        <v>4217</v>
      </c>
      <c r="J575" s="66">
        <f ca="1">INT(DATEDIF(I575,'[1]Bieu 1a'!$J$2,"d")/365)</f>
        <v>29</v>
      </c>
      <c r="K575" s="72" t="s">
        <v>4218</v>
      </c>
      <c r="L575" s="41" t="s">
        <v>3810</v>
      </c>
      <c r="M575" s="158" t="s">
        <v>4219</v>
      </c>
      <c r="N575" s="95"/>
      <c r="O575" s="96"/>
      <c r="P575" s="6"/>
      <c r="Q575" s="6"/>
      <c r="R575" s="49"/>
      <c r="S575" s="6"/>
      <c r="T575" s="6"/>
      <c r="U575" s="6"/>
      <c r="V575" s="56" t="s">
        <v>933</v>
      </c>
      <c r="W575" s="67" t="s">
        <v>3841</v>
      </c>
      <c r="X575" s="97"/>
      <c r="Y575" s="97"/>
      <c r="Z575" s="97"/>
      <c r="AA575" s="68">
        <f>VLOOKUP(A575,'[1]DANH SÁCH'!$B$8:$AD$841,12,0)</f>
        <v>0</v>
      </c>
      <c r="AB575" s="49" t="str">
        <f>VLOOKUP(A575,'[1]DANH SÁCH'!$B$8:$H$841,6,0)</f>
        <v>TĐ012</v>
      </c>
      <c r="AC575" s="69" t="str">
        <f>VLOOKUP(A575,'[1]DANH SÁCH'!$B$8:$J$841,9,0)</f>
        <v>HSTC-CĐ</v>
      </c>
      <c r="AD575" s="69" t="str">
        <f>VLOOKUP(A575,'[1]DANH SÁCH'!$B$8:$AC$841,9,0)</f>
        <v>HSTC-CĐ</v>
      </c>
      <c r="AE575" s="69" t="str">
        <f>VLOOKUP(A575,'[1]DANH SÁCH'!$B$8:$AD$841,13,0)</f>
        <v>Viên chức</v>
      </c>
      <c r="AF575" s="41"/>
      <c r="AG575" s="42">
        <f>VLOOKUP(A575,'[1]DANH SÁCH'!$B$8:$H$841,7,0)</f>
        <v>0</v>
      </c>
      <c r="AH575" s="45" t="s">
        <v>4054</v>
      </c>
      <c r="AI575" s="42">
        <v>2</v>
      </c>
      <c r="AJ575" s="70"/>
      <c r="AK575" s="69">
        <v>45402</v>
      </c>
      <c r="AL575" s="71" t="s">
        <v>158</v>
      </c>
      <c r="AM575" s="53" t="str">
        <f>VLOOKUP(A575,'[1]DANH SÁCH'!$B$8:$F$841,5,0)</f>
        <v>Điều dưỡng CĐ</v>
      </c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73" t="s">
        <v>127</v>
      </c>
      <c r="AZ575" s="65"/>
      <c r="BA575" s="6"/>
      <c r="BB575" s="6"/>
      <c r="BC575" s="41"/>
      <c r="BD575" s="64"/>
    </row>
    <row r="576" spans="1:56" ht="40.799999999999997" x14ac:dyDescent="0.3">
      <c r="A576" s="46" t="s">
        <v>4220</v>
      </c>
      <c r="B576" s="42">
        <f t="shared" si="187"/>
        <v>570</v>
      </c>
      <c r="C576" s="53" t="s">
        <v>4221</v>
      </c>
      <c r="D576" s="46" t="s">
        <v>4220</v>
      </c>
      <c r="E576" s="61" t="s">
        <v>4222</v>
      </c>
      <c r="F576" s="10"/>
      <c r="G576" s="49" t="s">
        <v>4223</v>
      </c>
      <c r="H576" s="47"/>
      <c r="I576" s="41" t="s">
        <v>4224</v>
      </c>
      <c r="J576" s="66">
        <f ca="1">INT(DATEDIF(I576,'[1]Bieu 1a'!$J$2,"d")/365)</f>
        <v>31</v>
      </c>
      <c r="K576" s="72" t="s">
        <v>4225</v>
      </c>
      <c r="L576" s="41" t="s">
        <v>4226</v>
      </c>
      <c r="M576" s="158" t="s">
        <v>4227</v>
      </c>
      <c r="N576" s="95"/>
      <c r="O576" s="96"/>
      <c r="P576" s="6"/>
      <c r="Q576" s="6"/>
      <c r="R576" s="49"/>
      <c r="S576" s="6"/>
      <c r="T576" s="6"/>
      <c r="U576" s="6"/>
      <c r="V576" s="56" t="s">
        <v>75</v>
      </c>
      <c r="W576" s="67" t="s">
        <v>3841</v>
      </c>
      <c r="X576" s="97"/>
      <c r="Y576" s="97"/>
      <c r="Z576" s="97"/>
      <c r="AA576" s="68">
        <f>VLOOKUP(A576,'[1]DANH SÁCH'!$B$8:$AD$841,12,0)</f>
        <v>0</v>
      </c>
      <c r="AB576" s="49" t="str">
        <f>VLOOKUP(A576,'[1]DANH SÁCH'!$B$8:$H$841,6,0)</f>
        <v>TĐ012</v>
      </c>
      <c r="AC576" s="69" t="str">
        <f>VLOOKUP(A576,'[1]DANH SÁCH'!$B$8:$J$841,9,0)</f>
        <v>HSTC-CĐ</v>
      </c>
      <c r="AD576" s="69" t="str">
        <f>VLOOKUP(A576,'[1]DANH SÁCH'!$B$8:$AC$841,9,0)</f>
        <v>HSTC-CĐ</v>
      </c>
      <c r="AE576" s="69" t="str">
        <f>VLOOKUP(A576,'[1]DANH SÁCH'!$B$8:$AD$841,13,0)</f>
        <v>Viên chức</v>
      </c>
      <c r="AF576" s="41"/>
      <c r="AG576" s="42">
        <f>VLOOKUP(A576,'[1]DANH SÁCH'!$B$8:$H$841,7,0)</f>
        <v>0</v>
      </c>
      <c r="AH576" s="45" t="s">
        <v>4054</v>
      </c>
      <c r="AI576" s="42">
        <v>2</v>
      </c>
      <c r="AJ576" s="70"/>
      <c r="AK576" s="69">
        <v>45395</v>
      </c>
      <c r="AL576" s="71" t="s">
        <v>158</v>
      </c>
      <c r="AM576" s="53" t="str">
        <f>VLOOKUP(A576,'[1]DANH SÁCH'!$B$8:$F$841,5,0)</f>
        <v>Điều dưỡng CĐ</v>
      </c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73" t="s">
        <v>87</v>
      </c>
      <c r="AZ576" s="65"/>
      <c r="BA576" s="6"/>
      <c r="BB576" s="6"/>
      <c r="BC576" s="41"/>
      <c r="BD576" s="64"/>
    </row>
    <row r="577" spans="1:56" ht="40.799999999999997" x14ac:dyDescent="0.3">
      <c r="A577" s="47" t="s">
        <v>4228</v>
      </c>
      <c r="B577" s="42">
        <f t="shared" si="187"/>
        <v>571</v>
      </c>
      <c r="C577" s="49" t="s">
        <v>4229</v>
      </c>
      <c r="D577" s="47" t="s">
        <v>4228</v>
      </c>
      <c r="E577" s="61" t="s">
        <v>4230</v>
      </c>
      <c r="F577" s="64"/>
      <c r="G577" s="49" t="s">
        <v>4231</v>
      </c>
      <c r="H577" s="47"/>
      <c r="I577" s="41" t="s">
        <v>4232</v>
      </c>
      <c r="J577" s="66">
        <f ca="1">INT(DATEDIF(I577,'[1]Bieu 1a'!$J$2,"d")/365)</f>
        <v>26</v>
      </c>
      <c r="K577" s="72" t="s">
        <v>4233</v>
      </c>
      <c r="L577" s="41" t="s">
        <v>1092</v>
      </c>
      <c r="M577" s="56"/>
      <c r="N577" s="52"/>
      <c r="O577" s="56"/>
      <c r="P577" s="47"/>
      <c r="Q577" s="47"/>
      <c r="R577" s="49"/>
      <c r="S577" s="47"/>
      <c r="T577" s="47"/>
      <c r="U577" s="47"/>
      <c r="V577" s="56" t="s">
        <v>4234</v>
      </c>
      <c r="W577" s="41" t="s">
        <v>4149</v>
      </c>
      <c r="X577" s="46"/>
      <c r="Y577" s="46"/>
      <c r="Z577" s="46"/>
      <c r="AA577" s="68">
        <f>VLOOKUP(A577,'[1]DANH SÁCH'!$B$8:$AD$841,12,0)</f>
        <v>0</v>
      </c>
      <c r="AB577" s="49" t="str">
        <f>VLOOKUP(A577,'[1]DANH SÁCH'!$B$8:$H$841,6,0)</f>
        <v>TĐ012</v>
      </c>
      <c r="AC577" s="69" t="str">
        <f>VLOOKUP(A577,'[1]DANH SÁCH'!$B$8:$J$841,9,0)</f>
        <v>HSTC-CĐ</v>
      </c>
      <c r="AD577" s="69" t="str">
        <f>VLOOKUP(A577,'[1]DANH SÁCH'!$B$8:$AC$841,9,0)</f>
        <v>HSTC-CĐ</v>
      </c>
      <c r="AE577" s="69" t="str">
        <f>VLOOKUP(A577,'[1]DANH SÁCH'!$B$8:$AD$841,13,0)</f>
        <v>Viên chức</v>
      </c>
      <c r="AF577" s="41"/>
      <c r="AG577" s="42">
        <f>VLOOKUP(A577,'[1]DANH SÁCH'!$B$8:$H$841,7,0)</f>
        <v>0</v>
      </c>
      <c r="AH577" s="45" t="s">
        <v>4054</v>
      </c>
      <c r="AI577" s="42">
        <v>2</v>
      </c>
      <c r="AJ577" s="70"/>
      <c r="AK577" s="69">
        <v>45507</v>
      </c>
      <c r="AL577" s="71" t="s">
        <v>158</v>
      </c>
      <c r="AM577" s="53" t="str">
        <f>VLOOKUP(A577,'[1]DANH SÁCH'!$B$8:$F$841,5,0)</f>
        <v>Điều dưỡng CĐ</v>
      </c>
      <c r="AN577" s="47"/>
      <c r="AO577" s="53" t="s">
        <v>1938</v>
      </c>
      <c r="AP577" s="42">
        <v>2020</v>
      </c>
      <c r="AQ577" s="47"/>
      <c r="AR577" s="47"/>
      <c r="AS577" s="47"/>
      <c r="AT577" s="47"/>
      <c r="AU577" s="47"/>
      <c r="AV577" s="47"/>
      <c r="AW577" s="47"/>
      <c r="AX577" s="47"/>
      <c r="AY577" s="47" t="s">
        <v>85</v>
      </c>
      <c r="AZ577" s="65"/>
      <c r="BA577" s="47"/>
      <c r="BB577" s="47"/>
      <c r="BC577" s="41"/>
      <c r="BD577" s="64"/>
    </row>
    <row r="578" spans="1:56" ht="40.799999999999997" x14ac:dyDescent="0.3">
      <c r="A578" s="46" t="s">
        <v>4235</v>
      </c>
      <c r="B578" s="42">
        <f t="shared" si="187"/>
        <v>572</v>
      </c>
      <c r="C578" s="44" t="s">
        <v>4236</v>
      </c>
      <c r="D578" s="46" t="s">
        <v>4235</v>
      </c>
      <c r="E578" s="67">
        <v>2020586332</v>
      </c>
      <c r="F578" s="64">
        <v>2099897686</v>
      </c>
      <c r="G578" s="49" t="s">
        <v>4237</v>
      </c>
      <c r="H578" s="118" t="s">
        <v>4238</v>
      </c>
      <c r="I578" s="76"/>
      <c r="J578" s="66">
        <f ca="1">INT(DATEDIF(H578,'[1]Bieu 1a'!$J$2,"d")/365)</f>
        <v>32</v>
      </c>
      <c r="K578" s="75" t="s">
        <v>4239</v>
      </c>
      <c r="L578" s="83" t="s">
        <v>4240</v>
      </c>
      <c r="M578" s="53" t="s">
        <v>67</v>
      </c>
      <c r="N578" s="66"/>
      <c r="O578" s="53" t="s">
        <v>3576</v>
      </c>
      <c r="P578" s="49" t="s">
        <v>221</v>
      </c>
      <c r="Q578" s="49" t="s">
        <v>71</v>
      </c>
      <c r="R578" s="49"/>
      <c r="S578" s="49" t="s">
        <v>3576</v>
      </c>
      <c r="T578" s="49" t="s">
        <v>221</v>
      </c>
      <c r="U578" s="49" t="s">
        <v>71</v>
      </c>
      <c r="V578" s="56" t="s">
        <v>4241</v>
      </c>
      <c r="W578" s="86" t="s">
        <v>4111</v>
      </c>
      <c r="X578" s="41"/>
      <c r="Y578" s="41"/>
      <c r="Z578" s="41"/>
      <c r="AA578" s="68">
        <f>VLOOKUP(A578,'[1]DANH SÁCH'!$B$8:$AD$841,12,0)</f>
        <v>0</v>
      </c>
      <c r="AB578" s="49" t="str">
        <f>VLOOKUP(A578,'[1]DANH SÁCH'!$B$8:$H$841,6,0)</f>
        <v>TĐ012</v>
      </c>
      <c r="AC578" s="69" t="str">
        <f>VLOOKUP(A578,'[1]DANH SÁCH'!$B$8:$J$841,9,0)</f>
        <v>KSNK</v>
      </c>
      <c r="AD578" s="69" t="str">
        <f>VLOOKUP(A578,'[1]DANH SÁCH'!$B$8:$AC$841,9,0)</f>
        <v>KSNK</v>
      </c>
      <c r="AE578" s="69" t="str">
        <f>VLOOKUP(A578,'[1]DANH SÁCH'!$B$8:$AD$841,13,0)</f>
        <v>Viên chức</v>
      </c>
      <c r="AF578" s="41"/>
      <c r="AG578" s="42">
        <f>VLOOKUP(A578,'[1]DANH SÁCH'!$B$8:$H$841,7,0)</f>
        <v>0</v>
      </c>
      <c r="AH578" s="45" t="s">
        <v>1591</v>
      </c>
      <c r="AI578" s="42">
        <v>4</v>
      </c>
      <c r="AJ578" s="70"/>
      <c r="AK578" s="69">
        <v>45990</v>
      </c>
      <c r="AL578" s="71" t="s">
        <v>158</v>
      </c>
      <c r="AM578" s="53" t="str">
        <f>VLOOKUP(A578,'[1]DANH SÁCH'!$B$8:$F$841,5,0)</f>
        <v>Điều dưỡng CĐ</v>
      </c>
      <c r="AN578" s="53"/>
      <c r="AO578" s="53" t="s">
        <v>4121</v>
      </c>
      <c r="AP578" s="53">
        <v>2015</v>
      </c>
      <c r="AQ578" s="72" t="s">
        <v>113</v>
      </c>
      <c r="AR578" s="42"/>
      <c r="AS578" s="42"/>
      <c r="AT578" s="47"/>
      <c r="AU578" s="42" t="s">
        <v>1230</v>
      </c>
      <c r="AV578" s="42"/>
      <c r="AW578" s="42" t="s">
        <v>86</v>
      </c>
      <c r="AX578" s="42"/>
      <c r="AY578" s="57" t="s">
        <v>127</v>
      </c>
      <c r="AZ578" s="65"/>
      <c r="BA578" s="74" t="e">
        <f t="shared" ref="BA578:BA579" si="190">VLOOKUP(A578,#REF!,4,0)</f>
        <v>#REF!</v>
      </c>
      <c r="BB578" s="74" t="e">
        <f t="shared" ref="BB578:BB579" si="191">VLOOKUP(A578,#REF!,5,0)</f>
        <v>#REF!</v>
      </c>
      <c r="BC578" s="81"/>
      <c r="BD578" s="47"/>
    </row>
    <row r="579" spans="1:56" ht="40.799999999999997" x14ac:dyDescent="0.3">
      <c r="A579" s="46" t="s">
        <v>4242</v>
      </c>
      <c r="B579" s="42">
        <f t="shared" si="187"/>
        <v>573</v>
      </c>
      <c r="C579" s="109" t="s">
        <v>4243</v>
      </c>
      <c r="D579" s="46" t="s">
        <v>4242</v>
      </c>
      <c r="E579" s="61" t="s">
        <v>4244</v>
      </c>
      <c r="F579" s="64"/>
      <c r="G579" s="49" t="s">
        <v>4245</v>
      </c>
      <c r="H579" s="62"/>
      <c r="I579" s="160">
        <v>34873</v>
      </c>
      <c r="J579" s="66">
        <f ca="1">INT(DATEDIF(I579,'[1]Bieu 1a'!$J$2,"d")/365)</f>
        <v>31</v>
      </c>
      <c r="K579" s="155" t="s">
        <v>4246</v>
      </c>
      <c r="L579" s="156" t="s">
        <v>4247</v>
      </c>
      <c r="M579" s="53" t="s">
        <v>67</v>
      </c>
      <c r="N579" s="52"/>
      <c r="O579" s="56" t="s">
        <v>4248</v>
      </c>
      <c r="P579" s="47" t="s">
        <v>221</v>
      </c>
      <c r="Q579" s="47" t="s">
        <v>71</v>
      </c>
      <c r="R579" s="49"/>
      <c r="S579" s="47"/>
      <c r="T579" s="47"/>
      <c r="U579" s="47"/>
      <c r="V579" s="56" t="s">
        <v>4249</v>
      </c>
      <c r="W579" s="67" t="s">
        <v>3547</v>
      </c>
      <c r="X579" s="67" t="s">
        <v>652</v>
      </c>
      <c r="Y579" s="46"/>
      <c r="Z579" s="46"/>
      <c r="AA579" s="68">
        <f>VLOOKUP(A579,'[1]DANH SÁCH'!$B$8:$AD$841,12,0)</f>
        <v>0</v>
      </c>
      <c r="AB579" s="49" t="str">
        <f>VLOOKUP(A579,'[1]DANH SÁCH'!$B$8:$H$841,6,0)</f>
        <v>TĐ012</v>
      </c>
      <c r="AC579" s="69" t="str">
        <f>VLOOKUP(A579,'[1]DANH SÁCH'!$B$8:$J$841,9,0)</f>
        <v>Khám bệnh</v>
      </c>
      <c r="AD579" s="69" t="str">
        <f>VLOOKUP(A579,'[1]DANH SÁCH'!$B$8:$AC$841,9,0)</f>
        <v>Khám bệnh</v>
      </c>
      <c r="AE579" s="69" t="str">
        <f>VLOOKUP(A579,'[1]DANH SÁCH'!$B$8:$AD$841,13,0)</f>
        <v>Viên chức</v>
      </c>
      <c r="AF579" s="41"/>
      <c r="AG579" s="42">
        <f>VLOOKUP(A579,'[1]DANH SÁCH'!$B$8:$H$841,7,0)</f>
        <v>0</v>
      </c>
      <c r="AH579" s="45" t="s">
        <v>1841</v>
      </c>
      <c r="AI579" s="42">
        <v>3</v>
      </c>
      <c r="AJ579" s="70"/>
      <c r="AK579" s="69">
        <v>45871</v>
      </c>
      <c r="AL579" s="71" t="s">
        <v>158</v>
      </c>
      <c r="AM579" s="53" t="str">
        <f>VLOOKUP(A579,'[1]DANH SÁCH'!$B$8:$F$841,5,0)</f>
        <v>Điều dưỡng CĐ</v>
      </c>
      <c r="AN579" s="53"/>
      <c r="AO579" s="53" t="s">
        <v>1093</v>
      </c>
      <c r="AP579" s="53">
        <v>2016</v>
      </c>
      <c r="AQ579" s="72" t="s">
        <v>113</v>
      </c>
      <c r="AR579" s="47"/>
      <c r="AS579" s="47"/>
      <c r="AT579" s="47"/>
      <c r="AU579" s="47"/>
      <c r="AV579" s="47"/>
      <c r="AW579" s="47"/>
      <c r="AX579" s="42" t="s">
        <v>4203</v>
      </c>
      <c r="AY579" s="73" t="s">
        <v>85</v>
      </c>
      <c r="AZ579" s="65"/>
      <c r="BA579" s="74" t="e">
        <f t="shared" si="190"/>
        <v>#REF!</v>
      </c>
      <c r="BB579" s="74" t="e">
        <f t="shared" si="191"/>
        <v>#REF!</v>
      </c>
      <c r="BC579" s="61" t="s">
        <v>128</v>
      </c>
      <c r="BD579" s="62"/>
    </row>
    <row r="580" spans="1:56" ht="40.799999999999997" x14ac:dyDescent="0.3">
      <c r="A580" s="47" t="s">
        <v>4250</v>
      </c>
      <c r="B580" s="42">
        <f t="shared" si="187"/>
        <v>574</v>
      </c>
      <c r="C580" s="161" t="s">
        <v>4251</v>
      </c>
      <c r="D580" s="47" t="s">
        <v>4250</v>
      </c>
      <c r="E580" s="61" t="s">
        <v>4252</v>
      </c>
      <c r="F580" s="10"/>
      <c r="G580" s="49" t="s">
        <v>4253</v>
      </c>
      <c r="H580" s="47"/>
      <c r="I580" s="154" t="s">
        <v>4254</v>
      </c>
      <c r="J580" s="66">
        <f ca="1">INT(DATEDIF(I580,'[1]Bieu 1a'!$J$2,"d")/365)</f>
        <v>30</v>
      </c>
      <c r="K580" s="155" t="s">
        <v>4255</v>
      </c>
      <c r="L580" s="98" t="s">
        <v>4256</v>
      </c>
      <c r="M580" s="53" t="s">
        <v>67</v>
      </c>
      <c r="N580" s="95"/>
      <c r="O580" s="162" t="s">
        <v>349</v>
      </c>
      <c r="P580" s="165"/>
      <c r="Q580" s="165"/>
      <c r="R580" s="49"/>
      <c r="S580" s="162" t="s">
        <v>349</v>
      </c>
      <c r="T580" s="49"/>
      <c r="U580" s="49"/>
      <c r="V580" s="56" t="s">
        <v>349</v>
      </c>
      <c r="W580" s="67" t="s">
        <v>4120</v>
      </c>
      <c r="X580" s="97"/>
      <c r="Y580" s="97"/>
      <c r="Z580" s="97"/>
      <c r="AA580" s="68">
        <f>VLOOKUP(A580,'[1]DANH SÁCH'!$B$8:$AD$841,12,0)</f>
        <v>0</v>
      </c>
      <c r="AB580" s="49" t="str">
        <f>VLOOKUP(A580,'[1]DANH SÁCH'!$B$8:$H$841,6,0)</f>
        <v>TĐ012</v>
      </c>
      <c r="AC580" s="69" t="str">
        <f>VLOOKUP(A580,'[1]DANH SÁCH'!$B$8:$J$841,9,0)</f>
        <v>Khám bệnh</v>
      </c>
      <c r="AD580" s="69" t="str">
        <f>VLOOKUP(A580,'[1]DANH SÁCH'!$B$8:$AC$841,9,0)</f>
        <v>Khám bệnh</v>
      </c>
      <c r="AE580" s="69" t="str">
        <f>VLOOKUP(A580,'[1]DANH SÁCH'!$B$8:$AD$841,13,0)</f>
        <v>Viên chức</v>
      </c>
      <c r="AF580" s="41"/>
      <c r="AG580" s="42">
        <f>VLOOKUP(A580,'[1]DANH SÁCH'!$B$8:$H$841,7,0)</f>
        <v>0</v>
      </c>
      <c r="AH580" s="45" t="s">
        <v>4054</v>
      </c>
      <c r="AI580" s="42">
        <v>2</v>
      </c>
      <c r="AJ580" s="70"/>
      <c r="AK580" s="69">
        <v>44943</v>
      </c>
      <c r="AL580" s="71" t="s">
        <v>158</v>
      </c>
      <c r="AM580" s="53" t="str">
        <f>VLOOKUP(A580,'[1]DANH SÁCH'!$B$8:$F$841,5,0)</f>
        <v>Điều dưỡng CĐ</v>
      </c>
      <c r="AN580" s="163"/>
      <c r="AO580" s="53" t="s">
        <v>4121</v>
      </c>
      <c r="AP580" s="6"/>
      <c r="AQ580" s="72" t="s">
        <v>113</v>
      </c>
      <c r="AR580" s="6"/>
      <c r="AS580" s="6"/>
      <c r="AT580" s="47"/>
      <c r="AU580" s="6"/>
      <c r="AV580" s="6"/>
      <c r="AW580" s="6"/>
      <c r="AX580" s="6"/>
      <c r="AY580" s="98" t="s">
        <v>85</v>
      </c>
      <c r="AZ580" s="65"/>
      <c r="BA580" s="74"/>
      <c r="BB580" s="74"/>
      <c r="BC580" s="81"/>
      <c r="BD580" s="47"/>
    </row>
    <row r="581" spans="1:56" ht="40.799999999999997" x14ac:dyDescent="0.3">
      <c r="A581" s="47" t="s">
        <v>4257</v>
      </c>
      <c r="B581" s="42">
        <f t="shared" si="187"/>
        <v>575</v>
      </c>
      <c r="C581" s="49" t="s">
        <v>4258</v>
      </c>
      <c r="D581" s="47" t="s">
        <v>4257</v>
      </c>
      <c r="E581" s="61" t="s">
        <v>4259</v>
      </c>
      <c r="F581" s="64"/>
      <c r="G581" s="49" t="s">
        <v>4260</v>
      </c>
      <c r="H581" s="47"/>
      <c r="I581" s="41" t="s">
        <v>4261</v>
      </c>
      <c r="J581" s="66">
        <f ca="1">INT(DATEDIF(I581,'[1]Bieu 1a'!$J$2,"d")/365)</f>
        <v>29</v>
      </c>
      <c r="K581" s="72" t="s">
        <v>4262</v>
      </c>
      <c r="L581" s="41" t="s">
        <v>4263</v>
      </c>
      <c r="M581" s="56"/>
      <c r="N581" s="52"/>
      <c r="O581" s="56"/>
      <c r="P581" s="47"/>
      <c r="Q581" s="47"/>
      <c r="R581" s="49"/>
      <c r="S581" s="47"/>
      <c r="T581" s="47"/>
      <c r="U581" s="47"/>
      <c r="V581" s="56" t="s">
        <v>4264</v>
      </c>
      <c r="W581" s="41" t="s">
        <v>4149</v>
      </c>
      <c r="X581" s="46"/>
      <c r="Y581" s="46"/>
      <c r="Z581" s="46"/>
      <c r="AA581" s="68">
        <f>VLOOKUP(A581,'[1]DANH SÁCH'!$B$8:$AD$841,12,0)</f>
        <v>0</v>
      </c>
      <c r="AB581" s="49" t="str">
        <f>VLOOKUP(A581,'[1]DANH SÁCH'!$B$8:$H$841,6,0)</f>
        <v>TĐ012</v>
      </c>
      <c r="AC581" s="69" t="str">
        <f>VLOOKUP(A581,'[1]DANH SÁCH'!$B$8:$J$841,9,0)</f>
        <v>Khám bệnh</v>
      </c>
      <c r="AD581" s="69" t="str">
        <f>VLOOKUP(A581,'[1]DANH SÁCH'!$B$8:$AC$841,9,0)</f>
        <v>Khám bệnh</v>
      </c>
      <c r="AE581" s="69" t="str">
        <f>VLOOKUP(A581,'[1]DANH SÁCH'!$B$8:$AD$841,13,0)</f>
        <v>Viên chức</v>
      </c>
      <c r="AF581" s="41"/>
      <c r="AG581" s="42">
        <f>VLOOKUP(A581,'[1]DANH SÁCH'!$B$8:$H$841,7,0)</f>
        <v>0</v>
      </c>
      <c r="AH581" s="45" t="s">
        <v>4054</v>
      </c>
      <c r="AI581" s="42">
        <v>2</v>
      </c>
      <c r="AJ581" s="70"/>
      <c r="AK581" s="69">
        <v>45507</v>
      </c>
      <c r="AL581" s="71" t="s">
        <v>158</v>
      </c>
      <c r="AM581" s="53" t="str">
        <f>VLOOKUP(A581,'[1]DANH SÁCH'!$B$8:$F$841,5,0)</f>
        <v>Điều dưỡng CĐ</v>
      </c>
      <c r="AN581" s="47"/>
      <c r="AO581" s="53" t="s">
        <v>1938</v>
      </c>
      <c r="AP581" s="42">
        <v>2019</v>
      </c>
      <c r="AQ581" s="47"/>
      <c r="AR581" s="47"/>
      <c r="AS581" s="47"/>
      <c r="AT581" s="47"/>
      <c r="AU581" s="47"/>
      <c r="AV581" s="47"/>
      <c r="AW581" s="47"/>
      <c r="AX581" s="47"/>
      <c r="AY581" s="47" t="s">
        <v>127</v>
      </c>
      <c r="AZ581" s="65"/>
      <c r="BA581" s="47"/>
      <c r="BB581" s="47"/>
      <c r="BC581" s="61" t="s">
        <v>128</v>
      </c>
      <c r="BD581" s="62"/>
    </row>
    <row r="582" spans="1:56" ht="40.799999999999997" x14ac:dyDescent="0.3">
      <c r="A582" s="46" t="s">
        <v>4265</v>
      </c>
      <c r="B582" s="42">
        <f t="shared" si="187"/>
        <v>576</v>
      </c>
      <c r="C582" s="116" t="s">
        <v>4266</v>
      </c>
      <c r="D582" s="46" t="s">
        <v>4265</v>
      </c>
      <c r="E582" s="67">
        <v>2020181761</v>
      </c>
      <c r="F582" s="64">
        <v>2099974296</v>
      </c>
      <c r="G582" s="49" t="s">
        <v>4267</v>
      </c>
      <c r="H582" s="76"/>
      <c r="I582" s="118" t="s">
        <v>4268</v>
      </c>
      <c r="J582" s="66">
        <f ca="1">INT(DATEDIF(I582,'[1]Bieu 1a'!$J$2,"d")/365)</f>
        <v>33</v>
      </c>
      <c r="K582" s="75" t="s">
        <v>4269</v>
      </c>
      <c r="L582" s="83" t="s">
        <v>4270</v>
      </c>
      <c r="M582" s="53" t="s">
        <v>67</v>
      </c>
      <c r="N582" s="64"/>
      <c r="O582" s="53" t="s">
        <v>2723</v>
      </c>
      <c r="P582" s="49" t="s">
        <v>1116</v>
      </c>
      <c r="Q582" s="49" t="s">
        <v>71</v>
      </c>
      <c r="R582" s="49"/>
      <c r="S582" s="49" t="s">
        <v>2723</v>
      </c>
      <c r="T582" s="49" t="s">
        <v>4271</v>
      </c>
      <c r="U582" s="49" t="s">
        <v>71</v>
      </c>
      <c r="V582" s="56" t="s">
        <v>4272</v>
      </c>
      <c r="W582" s="86" t="s">
        <v>4111</v>
      </c>
      <c r="X582" s="41"/>
      <c r="Y582" s="41"/>
      <c r="Z582" s="41"/>
      <c r="AA582" s="68">
        <f>VLOOKUP(A582,'[1]DANH SÁCH'!$B$8:$AD$841,12,0)</f>
        <v>0</v>
      </c>
      <c r="AB582" s="49" t="str">
        <f>VLOOKUP(A582,'[1]DANH SÁCH'!$B$8:$H$841,6,0)</f>
        <v>TĐ012</v>
      </c>
      <c r="AC582" s="69" t="str">
        <f>VLOOKUP(A582,'[1]DANH SÁCH'!$B$8:$J$841,9,0)</f>
        <v>Lão - CXK</v>
      </c>
      <c r="AD582" s="69" t="str">
        <f>VLOOKUP(A582,'[1]DANH SÁCH'!$B$8:$AC$841,9,0)</f>
        <v>Lão - CXK</v>
      </c>
      <c r="AE582" s="69" t="str">
        <f>VLOOKUP(A582,'[1]DANH SÁCH'!$B$8:$AD$841,13,0)</f>
        <v>Viên chức</v>
      </c>
      <c r="AF582" s="41"/>
      <c r="AG582" s="42">
        <f>VLOOKUP(A582,'[1]DANH SÁCH'!$B$8:$H$841,7,0)</f>
        <v>0</v>
      </c>
      <c r="AH582" s="45" t="s">
        <v>1841</v>
      </c>
      <c r="AI582" s="42">
        <v>3</v>
      </c>
      <c r="AJ582" s="70"/>
      <c r="AK582" s="69">
        <v>45075</v>
      </c>
      <c r="AL582" s="71" t="s">
        <v>158</v>
      </c>
      <c r="AM582" s="53" t="str">
        <f>VLOOKUP(A582,'[1]DANH SÁCH'!$B$8:$F$841,5,0)</f>
        <v>Điều dưỡng CĐ</v>
      </c>
      <c r="AN582" s="53"/>
      <c r="AO582" s="53" t="s">
        <v>1093</v>
      </c>
      <c r="AP582" s="53">
        <v>2015</v>
      </c>
      <c r="AQ582" s="72" t="s">
        <v>113</v>
      </c>
      <c r="AR582" s="42"/>
      <c r="AS582" s="42"/>
      <c r="AT582" s="47"/>
      <c r="AU582" s="42" t="s">
        <v>1230</v>
      </c>
      <c r="AV582" s="42"/>
      <c r="AW582" s="42" t="s">
        <v>86</v>
      </c>
      <c r="AX582" s="42"/>
      <c r="AY582" s="57" t="s">
        <v>85</v>
      </c>
      <c r="AZ582" s="65"/>
      <c r="BA582" s="74"/>
      <c r="BB582" s="74"/>
      <c r="BC582" s="41"/>
      <c r="BD582" s="64"/>
    </row>
    <row r="583" spans="1:56" ht="40.799999999999997" x14ac:dyDescent="0.3">
      <c r="A583" s="46" t="s">
        <v>4273</v>
      </c>
      <c r="B583" s="42">
        <f t="shared" si="187"/>
        <v>577</v>
      </c>
      <c r="C583" s="116" t="s">
        <v>4274</v>
      </c>
      <c r="D583" s="46" t="s">
        <v>4273</v>
      </c>
      <c r="E583" s="61" t="s">
        <v>4275</v>
      </c>
      <c r="F583" s="64"/>
      <c r="G583" s="49" t="s">
        <v>4276</v>
      </c>
      <c r="H583" s="61" t="s">
        <v>4277</v>
      </c>
      <c r="I583" s="149"/>
      <c r="J583" s="66">
        <f ca="1">INT(DATEDIF(H583,'[1]Bieu 1a'!$J$2,"d")/365)</f>
        <v>30</v>
      </c>
      <c r="K583" s="46" t="s">
        <v>4278</v>
      </c>
      <c r="L583" s="47" t="s">
        <v>4279</v>
      </c>
      <c r="M583" s="56" t="s">
        <v>3778</v>
      </c>
      <c r="N583" s="52"/>
      <c r="O583" s="61" t="s">
        <v>4280</v>
      </c>
      <c r="P583" s="47"/>
      <c r="Q583" s="47"/>
      <c r="R583" s="49"/>
      <c r="S583" s="47"/>
      <c r="T583" s="47"/>
      <c r="U583" s="47"/>
      <c r="V583" s="56" t="s">
        <v>4281</v>
      </c>
      <c r="W583" s="61" t="s">
        <v>3823</v>
      </c>
      <c r="X583" s="46"/>
      <c r="Y583" s="46"/>
      <c r="Z583" s="46"/>
      <c r="AA583" s="68">
        <f>VLOOKUP(A583,'[1]DANH SÁCH'!$B$8:$AD$841,12,0)</f>
        <v>0</v>
      </c>
      <c r="AB583" s="49" t="str">
        <f>VLOOKUP(A583,'[1]DANH SÁCH'!$B$8:$H$841,6,0)</f>
        <v>TĐ012</v>
      </c>
      <c r="AC583" s="69" t="str">
        <f>VLOOKUP(A583,'[1]DANH SÁCH'!$B$8:$J$841,9,0)</f>
        <v>Chấn thương - Bỏng</v>
      </c>
      <c r="AD583" s="69" t="str">
        <f>VLOOKUP(A583,'[1]DANH SÁCH'!$B$8:$AC$841,9,0)</f>
        <v>Chấn thương - Bỏng</v>
      </c>
      <c r="AE583" s="69" t="str">
        <f>VLOOKUP(A583,'[1]DANH SÁCH'!$B$8:$AD$841,13,0)</f>
        <v>Viên chức</v>
      </c>
      <c r="AF583" s="41"/>
      <c r="AG583" s="42">
        <f>VLOOKUP(A583,'[1]DANH SÁCH'!$B$8:$H$841,7,0)</f>
        <v>0</v>
      </c>
      <c r="AH583" s="45" t="s">
        <v>1841</v>
      </c>
      <c r="AI583" s="42">
        <v>3</v>
      </c>
      <c r="AJ583" s="70"/>
      <c r="AK583" s="69">
        <v>45902</v>
      </c>
      <c r="AL583" s="71" t="s">
        <v>158</v>
      </c>
      <c r="AM583" s="53" t="str">
        <f>VLOOKUP(A583,'[1]DANH SÁCH'!$B$8:$F$841,5,0)</f>
        <v>Điều dưỡng CĐ</v>
      </c>
      <c r="AN583" s="47" t="s">
        <v>4212</v>
      </c>
      <c r="AO583" s="61"/>
      <c r="AP583" s="61"/>
      <c r="AQ583" s="47"/>
      <c r="AR583" s="47"/>
      <c r="AS583" s="47"/>
      <c r="AT583" s="47"/>
      <c r="AU583" s="47"/>
      <c r="AV583" s="47"/>
      <c r="AW583" s="47"/>
      <c r="AX583" s="47"/>
      <c r="AY583" s="46" t="s">
        <v>127</v>
      </c>
      <c r="AZ583" s="65"/>
      <c r="BA583" s="47"/>
      <c r="BB583" s="47"/>
      <c r="BC583" s="41"/>
      <c r="BD583" s="64"/>
    </row>
    <row r="584" spans="1:56" ht="40.799999999999997" x14ac:dyDescent="0.3">
      <c r="A584" s="46" t="s">
        <v>4282</v>
      </c>
      <c r="B584" s="42">
        <f t="shared" si="187"/>
        <v>578</v>
      </c>
      <c r="C584" s="116" t="s">
        <v>4283</v>
      </c>
      <c r="D584" s="46" t="s">
        <v>4282</v>
      </c>
      <c r="E584" s="67">
        <v>2020625024</v>
      </c>
      <c r="F584" s="64">
        <v>2099983646</v>
      </c>
      <c r="G584" s="49" t="s">
        <v>4284</v>
      </c>
      <c r="H584" s="76"/>
      <c r="I584" s="118" t="s">
        <v>4285</v>
      </c>
      <c r="J584" s="66">
        <f ca="1">INT(DATEDIF(I584,'[1]Bieu 1a'!$J$2,"d")/365)</f>
        <v>32</v>
      </c>
      <c r="K584" s="75" t="s">
        <v>4286</v>
      </c>
      <c r="L584" s="83" t="s">
        <v>4287</v>
      </c>
      <c r="M584" s="53" t="s">
        <v>67</v>
      </c>
      <c r="N584" s="66"/>
      <c r="O584" s="53" t="s">
        <v>4288</v>
      </c>
      <c r="P584" s="49" t="s">
        <v>221</v>
      </c>
      <c r="Q584" s="49" t="s">
        <v>71</v>
      </c>
      <c r="R584" s="49"/>
      <c r="S584" s="49" t="s">
        <v>4288</v>
      </c>
      <c r="T584" s="49" t="s">
        <v>221</v>
      </c>
      <c r="U584" s="49" t="s">
        <v>71</v>
      </c>
      <c r="V584" s="56" t="s">
        <v>4289</v>
      </c>
      <c r="W584" s="86" t="s">
        <v>4111</v>
      </c>
      <c r="X584" s="41"/>
      <c r="Y584" s="41"/>
      <c r="Z584" s="41"/>
      <c r="AA584" s="68">
        <f>VLOOKUP(A584,'[1]DANH SÁCH'!$B$8:$AD$841,12,0)</f>
        <v>0</v>
      </c>
      <c r="AB584" s="49" t="str">
        <f>VLOOKUP(A584,'[1]DANH SÁCH'!$B$8:$H$841,6,0)</f>
        <v>TĐ012</v>
      </c>
      <c r="AC584" s="69" t="str">
        <f>VLOOKUP(A584,'[1]DANH SÁCH'!$B$8:$J$841,9,0)</f>
        <v>Nội Tiêu hóa</v>
      </c>
      <c r="AD584" s="69" t="str">
        <f>VLOOKUP(A584,'[1]DANH SÁCH'!$B$8:$AC$841,9,0)</f>
        <v>Nội Tiêu hóa</v>
      </c>
      <c r="AE584" s="69" t="str">
        <f>VLOOKUP(A584,'[1]DANH SÁCH'!$B$8:$AD$841,13,0)</f>
        <v>Viên chức</v>
      </c>
      <c r="AF584" s="41"/>
      <c r="AG584" s="42">
        <f>VLOOKUP(A584,'[1]DANH SÁCH'!$B$8:$H$841,7,0)</f>
        <v>0</v>
      </c>
      <c r="AH584" s="45" t="s">
        <v>1841</v>
      </c>
      <c r="AI584" s="42">
        <v>3</v>
      </c>
      <c r="AJ584" s="70"/>
      <c r="AK584" s="69">
        <v>45075</v>
      </c>
      <c r="AL584" s="71" t="s">
        <v>158</v>
      </c>
      <c r="AM584" s="53" t="str">
        <f>VLOOKUP(A584,'[1]DANH SÁCH'!$B$8:$F$841,5,0)</f>
        <v>Điều dưỡng CĐ</v>
      </c>
      <c r="AN584" s="53"/>
      <c r="AO584" s="53" t="s">
        <v>1093</v>
      </c>
      <c r="AP584" s="53">
        <v>2015</v>
      </c>
      <c r="AQ584" s="72" t="s">
        <v>113</v>
      </c>
      <c r="AR584" s="42"/>
      <c r="AS584" s="42"/>
      <c r="AT584" s="47"/>
      <c r="AU584" s="42"/>
      <c r="AV584" s="42"/>
      <c r="AW584" s="42"/>
      <c r="AX584" s="42"/>
      <c r="AY584" s="57" t="s">
        <v>127</v>
      </c>
      <c r="AZ584" s="65"/>
      <c r="BA584" s="74"/>
      <c r="BB584" s="74"/>
      <c r="BC584" s="41"/>
      <c r="BD584" s="64"/>
    </row>
    <row r="585" spans="1:56" ht="51" x14ac:dyDescent="0.3">
      <c r="A585" s="46" t="s">
        <v>4290</v>
      </c>
      <c r="B585" s="42">
        <f t="shared" si="187"/>
        <v>579</v>
      </c>
      <c r="C585" s="63" t="s">
        <v>4291</v>
      </c>
      <c r="D585" s="46" t="s">
        <v>4290</v>
      </c>
      <c r="E585" s="67">
        <v>2020692244</v>
      </c>
      <c r="F585" s="64">
        <v>2099865375</v>
      </c>
      <c r="G585" s="49" t="s">
        <v>4292</v>
      </c>
      <c r="H585" s="160"/>
      <c r="I585" s="160" t="s">
        <v>4293</v>
      </c>
      <c r="J585" s="66">
        <f ca="1">INT(DATEDIF(I585,'[1]Bieu 1a'!$J$2,"d")/365)</f>
        <v>31</v>
      </c>
      <c r="K585" s="75" t="s">
        <v>4294</v>
      </c>
      <c r="L585" s="41" t="s">
        <v>4295</v>
      </c>
      <c r="M585" s="53" t="s">
        <v>67</v>
      </c>
      <c r="N585" s="66"/>
      <c r="O585" s="166" t="s">
        <v>4296</v>
      </c>
      <c r="P585" s="160" t="s">
        <v>1193</v>
      </c>
      <c r="Q585" s="160" t="s">
        <v>71</v>
      </c>
      <c r="R585" s="49"/>
      <c r="S585" s="160" t="s">
        <v>2471</v>
      </c>
      <c r="T585" s="160" t="s">
        <v>1193</v>
      </c>
      <c r="U585" s="160" t="s">
        <v>71</v>
      </c>
      <c r="V585" s="56" t="s">
        <v>4297</v>
      </c>
      <c r="W585" s="55" t="s">
        <v>3949</v>
      </c>
      <c r="X585" s="41"/>
      <c r="Y585" s="41"/>
      <c r="Z585" s="41"/>
      <c r="AA585" s="68">
        <f>VLOOKUP(A585,'[1]DANH SÁCH'!$B$8:$AD$841,12,0)</f>
        <v>0</v>
      </c>
      <c r="AB585" s="49" t="str">
        <f>VLOOKUP(A585,'[1]DANH SÁCH'!$B$8:$H$841,6,0)</f>
        <v>TĐ012</v>
      </c>
      <c r="AC585" s="69" t="str">
        <f>VLOOKUP(A585,'[1]DANH SÁCH'!$B$8:$J$841,9,0)</f>
        <v>Nội Tổng hợp</v>
      </c>
      <c r="AD585" s="69" t="str">
        <f>VLOOKUP(A585,'[1]DANH SÁCH'!$B$8:$AC$841,9,0)</f>
        <v>Nội Tổng hợp</v>
      </c>
      <c r="AE585" s="69" t="str">
        <f>VLOOKUP(A585,'[1]DANH SÁCH'!$B$8:$AD$841,13,0)</f>
        <v>Viên chức</v>
      </c>
      <c r="AF585" s="41"/>
      <c r="AG585" s="42">
        <f>VLOOKUP(A585,'[1]DANH SÁCH'!$B$8:$H$841,7,0)</f>
        <v>0</v>
      </c>
      <c r="AH585" s="45" t="s">
        <v>1841</v>
      </c>
      <c r="AI585" s="42">
        <v>3</v>
      </c>
      <c r="AJ585" s="70"/>
      <c r="AK585" s="69">
        <v>45475</v>
      </c>
      <c r="AL585" s="71" t="s">
        <v>158</v>
      </c>
      <c r="AM585" s="53" t="str">
        <f>VLOOKUP(A585,'[1]DANH SÁCH'!$B$8:$F$841,5,0)</f>
        <v>Điều dưỡng CĐ</v>
      </c>
      <c r="AN585" s="53"/>
      <c r="AO585" s="53" t="s">
        <v>1093</v>
      </c>
      <c r="AP585" s="53">
        <v>2015</v>
      </c>
      <c r="AQ585" s="72" t="s">
        <v>113</v>
      </c>
      <c r="AR585" s="42"/>
      <c r="AS585" s="42"/>
      <c r="AT585" s="47"/>
      <c r="AU585" s="42" t="s">
        <v>4298</v>
      </c>
      <c r="AV585" s="42"/>
      <c r="AW585" s="42"/>
      <c r="AX585" s="42"/>
      <c r="AY585" s="57" t="s">
        <v>85</v>
      </c>
      <c r="AZ585" s="65"/>
      <c r="BA585" s="74" t="s">
        <v>4299</v>
      </c>
      <c r="BB585" s="74" t="s">
        <v>4300</v>
      </c>
      <c r="BC585" s="41"/>
      <c r="BD585" s="64"/>
    </row>
    <row r="586" spans="1:56" ht="40.799999999999997" x14ac:dyDescent="0.3">
      <c r="A586" s="46" t="s">
        <v>4301</v>
      </c>
      <c r="B586" s="42">
        <f t="shared" si="187"/>
        <v>580</v>
      </c>
      <c r="C586" s="63" t="s">
        <v>4302</v>
      </c>
      <c r="D586" s="46" t="s">
        <v>4301</v>
      </c>
      <c r="E586" s="67">
        <v>2020135977</v>
      </c>
      <c r="F586" s="64">
        <v>2099958518</v>
      </c>
      <c r="G586" s="49" t="s">
        <v>4303</v>
      </c>
      <c r="H586" s="47"/>
      <c r="I586" s="47" t="s">
        <v>2717</v>
      </c>
      <c r="J586" s="66">
        <f ca="1">INT(DATEDIF(I586,'[1]Bieu 1a'!$J$2,"d")/365)</f>
        <v>34</v>
      </c>
      <c r="K586" s="75" t="s">
        <v>4304</v>
      </c>
      <c r="L586" s="46" t="s">
        <v>4305</v>
      </c>
      <c r="M586" s="53" t="s">
        <v>67</v>
      </c>
      <c r="N586" s="66"/>
      <c r="O586" s="56" t="s">
        <v>4306</v>
      </c>
      <c r="P586" s="47" t="s">
        <v>70</v>
      </c>
      <c r="Q586" s="47" t="s">
        <v>71</v>
      </c>
      <c r="R586" s="49"/>
      <c r="S586" s="47" t="s">
        <v>4306</v>
      </c>
      <c r="T586" s="47" t="s">
        <v>70</v>
      </c>
      <c r="U586" s="47" t="s">
        <v>71</v>
      </c>
      <c r="V586" s="56" t="s">
        <v>1273</v>
      </c>
      <c r="W586" s="55" t="s">
        <v>3949</v>
      </c>
      <c r="X586" s="46"/>
      <c r="Y586" s="46"/>
      <c r="Z586" s="46"/>
      <c r="AA586" s="68">
        <f>VLOOKUP(A586,'[1]DANH SÁCH'!$B$8:$AD$841,12,0)</f>
        <v>0</v>
      </c>
      <c r="AB586" s="49" t="str">
        <f>VLOOKUP(A586,'[1]DANH SÁCH'!$B$8:$H$841,6,0)</f>
        <v>TĐ012</v>
      </c>
      <c r="AC586" s="69" t="str">
        <f>VLOOKUP(A586,'[1]DANH SÁCH'!$B$8:$J$841,9,0)</f>
        <v>Ngoại Tiêu hóa</v>
      </c>
      <c r="AD586" s="69" t="str">
        <f>VLOOKUP(A586,'[1]DANH SÁCH'!$B$8:$AC$841,9,0)</f>
        <v>Ngoại Tiêu hóa</v>
      </c>
      <c r="AE586" s="69" t="str">
        <f>VLOOKUP(A586,'[1]DANH SÁCH'!$B$8:$AD$841,13,0)</f>
        <v>Viên chức</v>
      </c>
      <c r="AF586" s="41"/>
      <c r="AG586" s="42">
        <f>VLOOKUP(A586,'[1]DANH SÁCH'!$B$8:$H$841,7,0)</f>
        <v>0</v>
      </c>
      <c r="AH586" s="45" t="e">
        <v>#N/A</v>
      </c>
      <c r="AI586" s="42" t="e">
        <v>#N/A</v>
      </c>
      <c r="AJ586" s="70"/>
      <c r="AK586" s="69" t="e">
        <v>#N/A</v>
      </c>
      <c r="AL586" s="71" t="s">
        <v>158</v>
      </c>
      <c r="AM586" s="53" t="str">
        <f>VLOOKUP(A586,'[1]DANH SÁCH'!$B$8:$F$841,5,0)</f>
        <v>Điều dưỡng CĐ</v>
      </c>
      <c r="AN586" s="53"/>
      <c r="AO586" s="53" t="s">
        <v>1093</v>
      </c>
      <c r="AP586" s="53">
        <v>2014</v>
      </c>
      <c r="AQ586" s="72" t="s">
        <v>113</v>
      </c>
      <c r="AR586" s="47"/>
      <c r="AS586" s="47"/>
      <c r="AT586" s="47"/>
      <c r="AU586" s="47"/>
      <c r="AV586" s="47"/>
      <c r="AW586" s="47"/>
      <c r="AX586" s="47"/>
      <c r="AY586" s="73" t="s">
        <v>127</v>
      </c>
      <c r="AZ586" s="65"/>
      <c r="BA586" s="74"/>
      <c r="BB586" s="74"/>
      <c r="BC586" s="41"/>
      <c r="BD586" s="64"/>
    </row>
    <row r="587" spans="1:56" ht="30.6" x14ac:dyDescent="0.3">
      <c r="A587" s="47" t="s">
        <v>4307</v>
      </c>
      <c r="B587" s="42">
        <f t="shared" si="187"/>
        <v>581</v>
      </c>
      <c r="C587" s="161" t="s">
        <v>4308</v>
      </c>
      <c r="D587" s="47" t="s">
        <v>4307</v>
      </c>
      <c r="E587" s="61" t="s">
        <v>4309</v>
      </c>
      <c r="F587" s="64"/>
      <c r="G587" s="49" t="s">
        <v>4310</v>
      </c>
      <c r="H587" s="76"/>
      <c r="I587" s="154" t="s">
        <v>4311</v>
      </c>
      <c r="J587" s="66">
        <f ca="1">INT(DATEDIF(I587,'[1]Bieu 1a'!$J$2,"d")/365)</f>
        <v>32</v>
      </c>
      <c r="K587" s="155" t="s">
        <v>4312</v>
      </c>
      <c r="L587" s="98" t="s">
        <v>4313</v>
      </c>
      <c r="M587" s="53" t="s">
        <v>67</v>
      </c>
      <c r="N587" s="66"/>
      <c r="O587" s="162" t="s">
        <v>4314</v>
      </c>
      <c r="P587" s="167"/>
      <c r="Q587" s="167"/>
      <c r="R587" s="49"/>
      <c r="S587" s="162" t="s">
        <v>4314</v>
      </c>
      <c r="T587" s="47"/>
      <c r="U587" s="47"/>
      <c r="V587" s="56" t="s">
        <v>480</v>
      </c>
      <c r="W587" s="67" t="s">
        <v>4120</v>
      </c>
      <c r="X587" s="41"/>
      <c r="Y587" s="41"/>
      <c r="Z587" s="41"/>
      <c r="AA587" s="68">
        <f>VLOOKUP(A587,'[1]DANH SÁCH'!$B$8:$AD$841,12,0)</f>
        <v>0</v>
      </c>
      <c r="AB587" s="49" t="str">
        <f>VLOOKUP(A587,'[1]DANH SÁCH'!$B$8:$H$841,6,0)</f>
        <v>TĐ012</v>
      </c>
      <c r="AC587" s="69" t="str">
        <f>VLOOKUP(A587,'[1]DANH SÁCH'!$B$8:$J$841,9,0)</f>
        <v>Nội Tiêu hóa</v>
      </c>
      <c r="AD587" s="69" t="str">
        <f>VLOOKUP(A587,'[1]DANH SÁCH'!$B$8:$AC$841,9,0)</f>
        <v>Nội Tiêu hóa</v>
      </c>
      <c r="AE587" s="69" t="str">
        <f>VLOOKUP(A587,'[1]DANH SÁCH'!$B$8:$AD$841,13,0)</f>
        <v>Viên chức</v>
      </c>
      <c r="AF587" s="41"/>
      <c r="AG587" s="42">
        <f>VLOOKUP(A587,'[1]DANH SÁCH'!$B$8:$H$841,7,0)</f>
        <v>0</v>
      </c>
      <c r="AH587" s="45" t="s">
        <v>4054</v>
      </c>
      <c r="AI587" s="42">
        <v>2</v>
      </c>
      <c r="AJ587" s="70"/>
      <c r="AK587" s="69">
        <v>44943</v>
      </c>
      <c r="AL587" s="71" t="s">
        <v>158</v>
      </c>
      <c r="AM587" s="53" t="str">
        <f>VLOOKUP(A587,'[1]DANH SÁCH'!$B$8:$F$841,5,0)</f>
        <v>Điều dưỡng CĐ</v>
      </c>
      <c r="AN587" s="163"/>
      <c r="AO587" s="53" t="s">
        <v>4121</v>
      </c>
      <c r="AP587" s="53"/>
      <c r="AQ587" s="72" t="s">
        <v>113</v>
      </c>
      <c r="AR587" s="42"/>
      <c r="AS587" s="42"/>
      <c r="AT587" s="47"/>
      <c r="AU587" s="42"/>
      <c r="AV587" s="42"/>
      <c r="AW587" s="42"/>
      <c r="AX587" s="42"/>
      <c r="AY587" s="98" t="s">
        <v>85</v>
      </c>
      <c r="AZ587" s="65">
        <v>42533</v>
      </c>
      <c r="BA587" s="74"/>
      <c r="BB587" s="74"/>
      <c r="BC587" s="41"/>
      <c r="BD587" s="64"/>
    </row>
    <row r="588" spans="1:56" ht="40.799999999999997" x14ac:dyDescent="0.3">
      <c r="A588" s="47" t="s">
        <v>4315</v>
      </c>
      <c r="B588" s="42">
        <f t="shared" si="187"/>
        <v>582</v>
      </c>
      <c r="C588" s="161" t="s">
        <v>4316</v>
      </c>
      <c r="D588" s="47" t="s">
        <v>4315</v>
      </c>
      <c r="E588" s="61" t="s">
        <v>4317</v>
      </c>
      <c r="F588" s="64"/>
      <c r="G588" s="49" t="s">
        <v>4318</v>
      </c>
      <c r="H588" s="154" t="s">
        <v>4319</v>
      </c>
      <c r="I588" s="64"/>
      <c r="J588" s="66">
        <f ca="1">INT(DATEDIF(H588,'[1]Bieu 1a'!$J$2,"d")/365)</f>
        <v>30</v>
      </c>
      <c r="K588" s="155" t="s">
        <v>4320</v>
      </c>
      <c r="L588" s="98" t="s">
        <v>4321</v>
      </c>
      <c r="M588" s="53" t="s">
        <v>67</v>
      </c>
      <c r="N588" s="52"/>
      <c r="O588" s="162" t="s">
        <v>4322</v>
      </c>
      <c r="P588" s="165"/>
      <c r="Q588" s="165"/>
      <c r="R588" s="49"/>
      <c r="S588" s="162" t="s">
        <v>4322</v>
      </c>
      <c r="T588" s="47"/>
      <c r="U588" s="47"/>
      <c r="V588" s="56" t="s">
        <v>4322</v>
      </c>
      <c r="W588" s="67" t="s">
        <v>4120</v>
      </c>
      <c r="X588" s="46"/>
      <c r="Y588" s="46"/>
      <c r="Z588" s="46"/>
      <c r="AA588" s="68">
        <f>VLOOKUP(A588,'[1]DANH SÁCH'!$B$8:$AD$841,12,0)</f>
        <v>0</v>
      </c>
      <c r="AB588" s="49" t="str">
        <f>VLOOKUP(A588,'[1]DANH SÁCH'!$B$8:$H$841,6,0)</f>
        <v>TĐ012</v>
      </c>
      <c r="AC588" s="69" t="str">
        <f>VLOOKUP(A588,'[1]DANH SÁCH'!$B$8:$J$841,9,0)</f>
        <v>Nội Tiêu hóa</v>
      </c>
      <c r="AD588" s="69" t="str">
        <f>VLOOKUP(A588,'[1]DANH SÁCH'!$B$8:$AC$841,9,0)</f>
        <v>Nội Tiêu hóa</v>
      </c>
      <c r="AE588" s="69" t="str">
        <f>VLOOKUP(A588,'[1]DANH SÁCH'!$B$8:$AD$841,13,0)</f>
        <v>Viên chức</v>
      </c>
      <c r="AF588" s="41"/>
      <c r="AG588" s="42">
        <f>VLOOKUP(A588,'[1]DANH SÁCH'!$B$8:$H$841,7,0)</f>
        <v>0</v>
      </c>
      <c r="AH588" s="45" t="s">
        <v>1841</v>
      </c>
      <c r="AI588" s="42">
        <v>3</v>
      </c>
      <c r="AJ588" s="70"/>
      <c r="AK588" s="69">
        <v>45674</v>
      </c>
      <c r="AL588" s="71" t="s">
        <v>158</v>
      </c>
      <c r="AM588" s="53" t="str">
        <f>VLOOKUP(A588,'[1]DANH SÁCH'!$B$8:$F$841,5,0)</f>
        <v>Điều dưỡng CĐ</v>
      </c>
      <c r="AN588" s="163"/>
      <c r="AO588" s="53" t="s">
        <v>4121</v>
      </c>
      <c r="AP588" s="53"/>
      <c r="AQ588" s="72" t="s">
        <v>113</v>
      </c>
      <c r="AR588" s="47"/>
      <c r="AS588" s="47"/>
      <c r="AT588" s="47"/>
      <c r="AU588" s="47"/>
      <c r="AV588" s="47"/>
      <c r="AW588" s="47"/>
      <c r="AX588" s="47"/>
      <c r="AY588" s="98" t="s">
        <v>85</v>
      </c>
      <c r="AZ588" s="65"/>
      <c r="BA588" s="74"/>
      <c r="BB588" s="74"/>
      <c r="BC588" s="41"/>
      <c r="BD588" s="64"/>
    </row>
    <row r="589" spans="1:56" ht="40.799999999999997" x14ac:dyDescent="0.3">
      <c r="A589" s="47" t="s">
        <v>4323</v>
      </c>
      <c r="B589" s="42">
        <f t="shared" si="187"/>
        <v>583</v>
      </c>
      <c r="C589" s="161" t="s">
        <v>4324</v>
      </c>
      <c r="D589" s="47" t="s">
        <v>4323</v>
      </c>
      <c r="E589" s="61" t="s">
        <v>4325</v>
      </c>
      <c r="F589" s="64"/>
      <c r="G589" s="49" t="s">
        <v>4326</v>
      </c>
      <c r="H589" s="46"/>
      <c r="I589" s="154" t="s">
        <v>4327</v>
      </c>
      <c r="J589" s="66">
        <f ca="1">INT(DATEDIF(I589,'[1]Bieu 1a'!$J$2,"d")/365)</f>
        <v>29</v>
      </c>
      <c r="K589" s="155" t="s">
        <v>4328</v>
      </c>
      <c r="L589" s="98" t="s">
        <v>4329</v>
      </c>
      <c r="M589" s="53" t="s">
        <v>67</v>
      </c>
      <c r="N589" s="52"/>
      <c r="O589" s="162" t="s">
        <v>4330</v>
      </c>
      <c r="P589" s="165"/>
      <c r="Q589" s="165"/>
      <c r="R589" s="49"/>
      <c r="S589" s="162" t="s">
        <v>4330</v>
      </c>
      <c r="T589" s="47"/>
      <c r="U589" s="47"/>
      <c r="V589" s="56" t="s">
        <v>4331</v>
      </c>
      <c r="W589" s="67" t="s">
        <v>4120</v>
      </c>
      <c r="X589" s="46"/>
      <c r="Y589" s="46"/>
      <c r="Z589" s="46"/>
      <c r="AA589" s="68">
        <f>VLOOKUP(A589,'[1]DANH SÁCH'!$B$8:$AD$841,12,0)</f>
        <v>0</v>
      </c>
      <c r="AB589" s="49" t="str">
        <f>VLOOKUP(A589,'[1]DANH SÁCH'!$B$8:$H$841,6,0)</f>
        <v>TĐ012</v>
      </c>
      <c r="AC589" s="69" t="str">
        <f>VLOOKUP(A589,'[1]DANH SÁCH'!$B$8:$J$841,9,0)</f>
        <v>Nội Tiêu hóa</v>
      </c>
      <c r="AD589" s="69" t="str">
        <f>VLOOKUP(A589,'[1]DANH SÁCH'!$B$8:$AC$841,9,0)</f>
        <v>Nội Tiêu hóa</v>
      </c>
      <c r="AE589" s="69" t="str">
        <f>VLOOKUP(A589,'[1]DANH SÁCH'!$B$8:$AD$841,13,0)</f>
        <v>Viên chức</v>
      </c>
      <c r="AF589" s="41"/>
      <c r="AG589" s="42">
        <f>VLOOKUP(A589,'[1]DANH SÁCH'!$B$8:$H$841,7,0)</f>
        <v>0</v>
      </c>
      <c r="AH589" s="45" t="s">
        <v>4054</v>
      </c>
      <c r="AI589" s="42">
        <v>2</v>
      </c>
      <c r="AJ589" s="70"/>
      <c r="AK589" s="69">
        <v>45002</v>
      </c>
      <c r="AL589" s="71" t="s">
        <v>158</v>
      </c>
      <c r="AM589" s="53" t="str">
        <f>VLOOKUP(A589,'[1]DANH SÁCH'!$B$8:$F$841,5,0)</f>
        <v>Điều dưỡng CĐ</v>
      </c>
      <c r="AN589" s="163"/>
      <c r="AO589" s="53" t="s">
        <v>4121</v>
      </c>
      <c r="AP589" s="53"/>
      <c r="AQ589" s="72" t="s">
        <v>113</v>
      </c>
      <c r="AR589" s="47"/>
      <c r="AS589" s="47"/>
      <c r="AT589" s="47"/>
      <c r="AU589" s="47"/>
      <c r="AV589" s="47"/>
      <c r="AW589" s="47"/>
      <c r="AX589" s="47"/>
      <c r="AY589" s="98" t="s">
        <v>85</v>
      </c>
      <c r="AZ589" s="65"/>
      <c r="BA589" s="74"/>
      <c r="BB589" s="74"/>
      <c r="BC589" s="41"/>
      <c r="BD589" s="64"/>
    </row>
    <row r="590" spans="1:56" ht="40.799999999999997" x14ac:dyDescent="0.3">
      <c r="A590" s="47" t="s">
        <v>4332</v>
      </c>
      <c r="B590" s="42">
        <f t="shared" si="187"/>
        <v>584</v>
      </c>
      <c r="C590" s="161" t="s">
        <v>4333</v>
      </c>
      <c r="D590" s="47" t="s">
        <v>4332</v>
      </c>
      <c r="E590" s="61" t="s">
        <v>4334</v>
      </c>
      <c r="F590" s="64"/>
      <c r="G590" s="49" t="s">
        <v>4335</v>
      </c>
      <c r="H590" s="154" t="s">
        <v>4336</v>
      </c>
      <c r="I590" s="64"/>
      <c r="J590" s="66">
        <f ca="1">INT(DATEDIF(H590,'[1]Bieu 1a'!$J$2,"d")/365)</f>
        <v>36</v>
      </c>
      <c r="K590" s="155" t="s">
        <v>4337</v>
      </c>
      <c r="L590" s="98" t="s">
        <v>4338</v>
      </c>
      <c r="M590" s="53" t="s">
        <v>67</v>
      </c>
      <c r="N590" s="52"/>
      <c r="O590" s="162" t="s">
        <v>3791</v>
      </c>
      <c r="P590" s="165"/>
      <c r="Q590" s="165"/>
      <c r="R590" s="49"/>
      <c r="S590" s="162" t="s">
        <v>3791</v>
      </c>
      <c r="T590" s="6"/>
      <c r="U590" s="6"/>
      <c r="V590" s="56" t="s">
        <v>3791</v>
      </c>
      <c r="W590" s="67" t="s">
        <v>4120</v>
      </c>
      <c r="X590" s="46"/>
      <c r="Y590" s="46"/>
      <c r="Z590" s="46"/>
      <c r="AA590" s="68">
        <f>VLOOKUP(A590,'[1]DANH SÁCH'!$B$8:$AD$841,12,0)</f>
        <v>0</v>
      </c>
      <c r="AB590" s="49" t="str">
        <f>VLOOKUP(A590,'[1]DANH SÁCH'!$B$8:$H$841,6,0)</f>
        <v>TĐ012</v>
      </c>
      <c r="AC590" s="69" t="str">
        <f>VLOOKUP(A590,'[1]DANH SÁCH'!$B$8:$J$841,9,0)</f>
        <v>Ngoại Tiêu hóa</v>
      </c>
      <c r="AD590" s="69" t="str">
        <f>VLOOKUP(A590,'[1]DANH SÁCH'!$B$8:$AC$841,9,0)</f>
        <v>Ngoại Tiêu hóa</v>
      </c>
      <c r="AE590" s="69" t="str">
        <f>VLOOKUP(A590,'[1]DANH SÁCH'!$B$8:$AD$841,13,0)</f>
        <v>Viên chức</v>
      </c>
      <c r="AF590" s="41"/>
      <c r="AG590" s="42">
        <f>VLOOKUP(A590,'[1]DANH SÁCH'!$B$8:$H$841,7,0)</f>
        <v>0</v>
      </c>
      <c r="AH590" s="45" t="s">
        <v>4054</v>
      </c>
      <c r="AI590" s="42">
        <v>2</v>
      </c>
      <c r="AJ590" s="70"/>
      <c r="AK590" s="69">
        <v>44943</v>
      </c>
      <c r="AL590" s="71" t="s">
        <v>158</v>
      </c>
      <c r="AM590" s="53" t="str">
        <f>VLOOKUP(A590,'[1]DANH SÁCH'!$B$8:$F$841,5,0)</f>
        <v>Điều dưỡng CĐ</v>
      </c>
      <c r="AN590" s="163"/>
      <c r="AO590" s="53" t="s">
        <v>4121</v>
      </c>
      <c r="AP590" s="53"/>
      <c r="AQ590" s="72" t="s">
        <v>113</v>
      </c>
      <c r="AR590" s="47"/>
      <c r="AS590" s="47"/>
      <c r="AT590" s="47"/>
      <c r="AU590" s="47"/>
      <c r="AV590" s="47"/>
      <c r="AW590" s="47"/>
      <c r="AX590" s="47"/>
      <c r="AY590" s="98" t="s">
        <v>85</v>
      </c>
      <c r="AZ590" s="65"/>
      <c r="BA590" s="74"/>
      <c r="BB590" s="74"/>
      <c r="BC590" s="41"/>
      <c r="BD590" s="64"/>
    </row>
    <row r="591" spans="1:56" ht="40.799999999999997" x14ac:dyDescent="0.3">
      <c r="A591" s="46" t="s">
        <v>4339</v>
      </c>
      <c r="B591" s="42">
        <f t="shared" si="187"/>
        <v>585</v>
      </c>
      <c r="C591" s="116" t="s">
        <v>4340</v>
      </c>
      <c r="D591" s="46" t="s">
        <v>4339</v>
      </c>
      <c r="E591" s="61" t="s">
        <v>4341</v>
      </c>
      <c r="F591" s="64"/>
      <c r="G591" s="49" t="s">
        <v>4342</v>
      </c>
      <c r="H591" s="61" t="s">
        <v>4343</v>
      </c>
      <c r="I591" s="61"/>
      <c r="J591" s="66">
        <f ca="1">INT(DATEDIF(H591,'[1]Bieu 1a'!$J$2,"d")/365)</f>
        <v>29</v>
      </c>
      <c r="K591" s="46" t="s">
        <v>4344</v>
      </c>
      <c r="L591" s="47" t="s">
        <v>4345</v>
      </c>
      <c r="M591" s="56" t="s">
        <v>3778</v>
      </c>
      <c r="N591" s="52"/>
      <c r="O591" s="61" t="s">
        <v>4346</v>
      </c>
      <c r="P591" s="47"/>
      <c r="Q591" s="47"/>
      <c r="R591" s="49"/>
      <c r="S591" s="47"/>
      <c r="T591" s="47"/>
      <c r="U591" s="47"/>
      <c r="V591" s="56" t="s">
        <v>3822</v>
      </c>
      <c r="W591" s="61" t="s">
        <v>3823</v>
      </c>
      <c r="X591" s="46"/>
      <c r="Y591" s="46"/>
      <c r="Z591" s="46"/>
      <c r="AA591" s="68">
        <f>VLOOKUP(A591,'[1]DANH SÁCH'!$B$8:$AD$841,12,0)</f>
        <v>0</v>
      </c>
      <c r="AB591" s="49" t="str">
        <f>VLOOKUP(A591,'[1]DANH SÁCH'!$B$8:$H$841,6,0)</f>
        <v>TĐ012</v>
      </c>
      <c r="AC591" s="69" t="str">
        <f>VLOOKUP(A591,'[1]DANH SÁCH'!$B$8:$J$841,9,0)</f>
        <v>Nội Tổng hợp</v>
      </c>
      <c r="AD591" s="69" t="str">
        <f>VLOOKUP(A591,'[1]DANH SÁCH'!$B$8:$AC$841,9,0)</f>
        <v>Nội Tổng hợp</v>
      </c>
      <c r="AE591" s="69" t="str">
        <f>VLOOKUP(A591,'[1]DANH SÁCH'!$B$8:$AD$841,13,0)</f>
        <v>Viên chức</v>
      </c>
      <c r="AF591" s="41"/>
      <c r="AG591" s="42">
        <f>VLOOKUP(A591,'[1]DANH SÁCH'!$B$8:$H$841,7,0)</f>
        <v>0</v>
      </c>
      <c r="AH591" s="45" t="s">
        <v>4054</v>
      </c>
      <c r="AI591" s="42">
        <v>2</v>
      </c>
      <c r="AJ591" s="70"/>
      <c r="AK591" s="69">
        <v>45171</v>
      </c>
      <c r="AL591" s="71" t="s">
        <v>158</v>
      </c>
      <c r="AM591" s="53" t="str">
        <f>VLOOKUP(A591,'[1]DANH SÁCH'!$B$8:$F$841,5,0)</f>
        <v>Điều dưỡng CĐ</v>
      </c>
      <c r="AN591" s="47" t="s">
        <v>4212</v>
      </c>
      <c r="AO591" s="61" t="s">
        <v>159</v>
      </c>
      <c r="AP591" s="61" t="s">
        <v>4347</v>
      </c>
      <c r="AQ591" s="47"/>
      <c r="AR591" s="47"/>
      <c r="AS591" s="47"/>
      <c r="AT591" s="47"/>
      <c r="AU591" s="47"/>
      <c r="AV591" s="47"/>
      <c r="AW591" s="47"/>
      <c r="AX591" s="47"/>
      <c r="AY591" s="46" t="s">
        <v>127</v>
      </c>
      <c r="AZ591" s="65"/>
      <c r="BA591" s="47"/>
      <c r="BB591" s="47"/>
      <c r="BC591" s="41"/>
      <c r="BD591" s="64"/>
    </row>
    <row r="592" spans="1:56" ht="30.6" x14ac:dyDescent="0.3">
      <c r="A592" s="46" t="s">
        <v>4348</v>
      </c>
      <c r="B592" s="42">
        <f t="shared" si="187"/>
        <v>586</v>
      </c>
      <c r="C592" s="63" t="s">
        <v>4349</v>
      </c>
      <c r="D592" s="46" t="s">
        <v>4348</v>
      </c>
      <c r="E592" s="67">
        <v>1914826143</v>
      </c>
      <c r="F592" s="64">
        <v>2099889309</v>
      </c>
      <c r="G592" s="49" t="s">
        <v>4350</v>
      </c>
      <c r="H592" s="47"/>
      <c r="I592" s="47" t="s">
        <v>4351</v>
      </c>
      <c r="J592" s="66">
        <f ca="1">INT(DATEDIF(I592,'[1]Bieu 1a'!$J$2,"d")/365)</f>
        <v>32</v>
      </c>
      <c r="K592" s="75" t="s">
        <v>4352</v>
      </c>
      <c r="L592" s="46" t="s">
        <v>4353</v>
      </c>
      <c r="M592" s="53" t="s">
        <v>67</v>
      </c>
      <c r="N592" s="66"/>
      <c r="O592" s="56" t="s">
        <v>221</v>
      </c>
      <c r="P592" s="47" t="s">
        <v>221</v>
      </c>
      <c r="Q592" s="47" t="s">
        <v>71</v>
      </c>
      <c r="R592" s="49"/>
      <c r="S592" s="47" t="s">
        <v>221</v>
      </c>
      <c r="T592" s="47" t="s">
        <v>221</v>
      </c>
      <c r="U592" s="47" t="s">
        <v>71</v>
      </c>
      <c r="V592" s="56" t="s">
        <v>4354</v>
      </c>
      <c r="W592" s="55" t="s">
        <v>3949</v>
      </c>
      <c r="X592" s="46"/>
      <c r="Y592" s="46"/>
      <c r="Z592" s="46"/>
      <c r="AA592" s="68">
        <f>VLOOKUP(A592,'[1]DANH SÁCH'!$B$8:$AD$841,12,0)</f>
        <v>0</v>
      </c>
      <c r="AB592" s="49" t="str">
        <f>VLOOKUP(A592,'[1]DANH SÁCH'!$B$8:$H$841,6,0)</f>
        <v>TĐ012</v>
      </c>
      <c r="AC592" s="69" t="str">
        <f>VLOOKUP(A592,'[1]DANH SÁCH'!$B$8:$J$841,9,0)</f>
        <v>Nội TM</v>
      </c>
      <c r="AD592" s="69" t="str">
        <f>VLOOKUP(A592,'[1]DANH SÁCH'!$B$8:$AC$841,9,0)</f>
        <v>Nội TM</v>
      </c>
      <c r="AE592" s="69" t="str">
        <f>VLOOKUP(A592,'[1]DANH SÁCH'!$B$8:$AD$841,13,0)</f>
        <v>Viên chức</v>
      </c>
      <c r="AF592" s="41"/>
      <c r="AG592" s="42">
        <f>VLOOKUP(A592,'[1]DANH SÁCH'!$B$8:$H$841,7,0)</f>
        <v>0</v>
      </c>
      <c r="AH592" s="45" t="s">
        <v>1841</v>
      </c>
      <c r="AI592" s="42">
        <v>3</v>
      </c>
      <c r="AJ592" s="70"/>
      <c r="AK592" s="69">
        <v>45475</v>
      </c>
      <c r="AL592" s="71" t="s">
        <v>158</v>
      </c>
      <c r="AM592" s="53" t="str">
        <f>VLOOKUP(A592,'[1]DANH SÁCH'!$B$8:$F$841,5,0)</f>
        <v>Điều dưỡng CĐ</v>
      </c>
      <c r="AN592" s="53"/>
      <c r="AO592" s="53" t="s">
        <v>1843</v>
      </c>
      <c r="AP592" s="53">
        <v>2014</v>
      </c>
      <c r="AQ592" s="72" t="s">
        <v>113</v>
      </c>
      <c r="AR592" s="47"/>
      <c r="AS592" s="47"/>
      <c r="AT592" s="47"/>
      <c r="AU592" s="47"/>
      <c r="AV592" s="47"/>
      <c r="AW592" s="47"/>
      <c r="AX592" s="47"/>
      <c r="AY592" s="73" t="s">
        <v>87</v>
      </c>
      <c r="AZ592" s="65"/>
      <c r="BA592" s="74" t="e">
        <f>VLOOKUP(A592,#REF!,4,0)</f>
        <v>#REF!</v>
      </c>
      <c r="BB592" s="74" t="e">
        <f>VLOOKUP(A592,#REF!,5,0)</f>
        <v>#REF!</v>
      </c>
      <c r="BC592" s="41"/>
      <c r="BD592" s="64"/>
    </row>
    <row r="593" spans="1:56" ht="30.6" x14ac:dyDescent="0.3">
      <c r="A593" s="46" t="s">
        <v>4355</v>
      </c>
      <c r="B593" s="42">
        <f t="shared" si="187"/>
        <v>587</v>
      </c>
      <c r="C593" s="109" t="s">
        <v>4356</v>
      </c>
      <c r="D593" s="46" t="s">
        <v>4355</v>
      </c>
      <c r="E593" s="61" t="s">
        <v>4357</v>
      </c>
      <c r="F593" s="64"/>
      <c r="G593" s="49" t="s">
        <v>4358</v>
      </c>
      <c r="H593" s="62"/>
      <c r="I593" s="160">
        <v>35765</v>
      </c>
      <c r="J593" s="66">
        <f ca="1">INT(DATEDIF(I593,'[1]Bieu 1a'!$J$2,"d")/365)</f>
        <v>28</v>
      </c>
      <c r="K593" s="155" t="s">
        <v>4359</v>
      </c>
      <c r="L593" s="156" t="s">
        <v>4360</v>
      </c>
      <c r="M593" s="53" t="s">
        <v>67</v>
      </c>
      <c r="N593" s="52"/>
      <c r="O593" s="56" t="s">
        <v>4361</v>
      </c>
      <c r="P593" s="47" t="s">
        <v>70</v>
      </c>
      <c r="Q593" s="47" t="s">
        <v>71</v>
      </c>
      <c r="R593" s="49"/>
      <c r="S593" s="47"/>
      <c r="T593" s="47"/>
      <c r="U593" s="47"/>
      <c r="V593" s="56" t="s">
        <v>4362</v>
      </c>
      <c r="W593" s="67" t="s">
        <v>652</v>
      </c>
      <c r="X593" s="67" t="s">
        <v>652</v>
      </c>
      <c r="Y593" s="46"/>
      <c r="Z593" s="46"/>
      <c r="AA593" s="68">
        <f>VLOOKUP(A593,'[1]DANH SÁCH'!$B$8:$AD$841,12,0)</f>
        <v>0</v>
      </c>
      <c r="AB593" s="49" t="str">
        <f>VLOOKUP(A593,'[1]DANH SÁCH'!$B$8:$H$841,6,0)</f>
        <v>TĐ012</v>
      </c>
      <c r="AC593" s="69" t="str">
        <f>VLOOKUP(A593,'[1]DANH SÁCH'!$B$8:$J$841,9,0)</f>
        <v>Nội TM</v>
      </c>
      <c r="AD593" s="69" t="str">
        <f>VLOOKUP(A593,'[1]DANH SÁCH'!$B$8:$AC$841,9,0)</f>
        <v>Nội TM</v>
      </c>
      <c r="AE593" s="69" t="str">
        <f>VLOOKUP(A593,'[1]DANH SÁCH'!$B$8:$AD$841,13,0)</f>
        <v>Viên chức</v>
      </c>
      <c r="AF593" s="41"/>
      <c r="AG593" s="42">
        <f>VLOOKUP(A593,'[1]DANH SÁCH'!$B$8:$H$841,7,0)</f>
        <v>0</v>
      </c>
      <c r="AH593" s="45" t="s">
        <v>1841</v>
      </c>
      <c r="AI593" s="42">
        <v>3</v>
      </c>
      <c r="AJ593" s="70"/>
      <c r="AK593" s="69">
        <v>45870</v>
      </c>
      <c r="AL593" s="71" t="s">
        <v>158</v>
      </c>
      <c r="AM593" s="53" t="str">
        <f>VLOOKUP(A593,'[1]DANH SÁCH'!$B$8:$F$841,5,0)</f>
        <v>Điều dưỡng CĐ</v>
      </c>
      <c r="AN593" s="53"/>
      <c r="AO593" s="53" t="s">
        <v>1093</v>
      </c>
      <c r="AP593" s="53">
        <v>2018</v>
      </c>
      <c r="AQ593" s="72" t="s">
        <v>113</v>
      </c>
      <c r="AR593" s="47"/>
      <c r="AS593" s="47"/>
      <c r="AT593" s="47"/>
      <c r="AU593" s="47"/>
      <c r="AV593" s="47"/>
      <c r="AW593" s="47"/>
      <c r="AX593" s="47"/>
      <c r="AY593" s="73" t="s">
        <v>4363</v>
      </c>
      <c r="AZ593" s="65"/>
      <c r="BA593" s="74"/>
      <c r="BB593" s="74"/>
      <c r="BC593" s="41"/>
      <c r="BD593" s="64"/>
    </row>
    <row r="594" spans="1:56" ht="30.6" x14ac:dyDescent="0.3">
      <c r="A594" s="46" t="s">
        <v>4364</v>
      </c>
      <c r="B594" s="42">
        <f t="shared" si="187"/>
        <v>588</v>
      </c>
      <c r="C594" s="116" t="s">
        <v>4365</v>
      </c>
      <c r="D594" s="46" t="s">
        <v>4364</v>
      </c>
      <c r="E594" s="67">
        <v>2020812941</v>
      </c>
      <c r="F594" s="64">
        <v>2099793688</v>
      </c>
      <c r="G594" s="49" t="s">
        <v>4366</v>
      </c>
      <c r="H594" s="76"/>
      <c r="I594" s="118" t="s">
        <v>4367</v>
      </c>
      <c r="J594" s="66">
        <f ca="1">INT(DATEDIF(I594,'[1]Bieu 1a'!$J$2,"d")/365)</f>
        <v>33</v>
      </c>
      <c r="K594" s="75" t="s">
        <v>4368</v>
      </c>
      <c r="L594" s="83" t="s">
        <v>4369</v>
      </c>
      <c r="M594" s="53" t="s">
        <v>67</v>
      </c>
      <c r="N594" s="66"/>
      <c r="O594" s="53" t="s">
        <v>3470</v>
      </c>
      <c r="P594" s="49" t="s">
        <v>221</v>
      </c>
      <c r="Q594" s="49" t="s">
        <v>71</v>
      </c>
      <c r="R594" s="49"/>
      <c r="S594" s="49" t="s">
        <v>221</v>
      </c>
      <c r="T594" s="49" t="s">
        <v>221</v>
      </c>
      <c r="U594" s="49" t="s">
        <v>71</v>
      </c>
      <c r="V594" s="56" t="s">
        <v>4370</v>
      </c>
      <c r="W594" s="86" t="s">
        <v>4111</v>
      </c>
      <c r="X594" s="41"/>
      <c r="Y594" s="41"/>
      <c r="Z594" s="41"/>
      <c r="AA594" s="68">
        <f>VLOOKUP(A594,'[1]DANH SÁCH'!$B$8:$AD$841,12,0)</f>
        <v>0</v>
      </c>
      <c r="AB594" s="49" t="str">
        <f>VLOOKUP(A594,'[1]DANH SÁCH'!$B$8:$H$841,6,0)</f>
        <v>TĐ012</v>
      </c>
      <c r="AC594" s="69" t="str">
        <f>VLOOKUP(A594,'[1]DANH SÁCH'!$B$8:$J$841,9,0)</f>
        <v>Nội TM</v>
      </c>
      <c r="AD594" s="69" t="str">
        <f>VLOOKUP(A594,'[1]DANH SÁCH'!$B$8:$AC$841,9,0)</f>
        <v>Nội TM</v>
      </c>
      <c r="AE594" s="69" t="str">
        <f>VLOOKUP(A594,'[1]DANH SÁCH'!$B$8:$AD$841,13,0)</f>
        <v>Viên chức</v>
      </c>
      <c r="AF594" s="41"/>
      <c r="AG594" s="42">
        <f>VLOOKUP(A594,'[1]DANH SÁCH'!$B$8:$H$841,7,0)</f>
        <v>0</v>
      </c>
      <c r="AH594" s="45" t="s">
        <v>1841</v>
      </c>
      <c r="AI594" s="42">
        <v>3</v>
      </c>
      <c r="AJ594" s="70"/>
      <c r="AK594" s="69">
        <v>45075</v>
      </c>
      <c r="AL594" s="71" t="s">
        <v>158</v>
      </c>
      <c r="AM594" s="53" t="str">
        <f>VLOOKUP(A594,'[1]DANH SÁCH'!$B$8:$F$841,5,0)</f>
        <v>Điều dưỡng CĐ</v>
      </c>
      <c r="AN594" s="53"/>
      <c r="AO594" s="53" t="s">
        <v>1843</v>
      </c>
      <c r="AP594" s="53">
        <v>2014</v>
      </c>
      <c r="AQ594" s="72" t="s">
        <v>113</v>
      </c>
      <c r="AR594" s="42"/>
      <c r="AS594" s="42"/>
      <c r="AT594" s="47"/>
      <c r="AU594" s="42" t="s">
        <v>1230</v>
      </c>
      <c r="AV594" s="42"/>
      <c r="AW594" s="42" t="s">
        <v>86</v>
      </c>
      <c r="AX594" s="42"/>
      <c r="AY594" s="57" t="s">
        <v>127</v>
      </c>
      <c r="AZ594" s="65"/>
      <c r="BA594" s="74" t="e">
        <f>VLOOKUP(A594,#REF!,4,0)</f>
        <v>#REF!</v>
      </c>
      <c r="BB594" s="74" t="e">
        <f>VLOOKUP(A594,#REF!,5,0)</f>
        <v>#REF!</v>
      </c>
      <c r="BC594" s="41"/>
      <c r="BD594" s="64"/>
    </row>
    <row r="595" spans="1:56" ht="30.6" x14ac:dyDescent="0.3">
      <c r="A595" s="47" t="s">
        <v>4371</v>
      </c>
      <c r="B595" s="42">
        <f t="shared" si="187"/>
        <v>589</v>
      </c>
      <c r="C595" s="161" t="s">
        <v>4372</v>
      </c>
      <c r="D595" s="47" t="s">
        <v>4371</v>
      </c>
      <c r="E595" s="61" t="s">
        <v>4373</v>
      </c>
      <c r="F595" s="10"/>
      <c r="G595" s="49" t="s">
        <v>4374</v>
      </c>
      <c r="H595" s="47"/>
      <c r="I595" s="154" t="s">
        <v>4375</v>
      </c>
      <c r="J595" s="66">
        <f ca="1">INT(DATEDIF(I595,'[1]Bieu 1a'!$J$2,"d")/365)</f>
        <v>29</v>
      </c>
      <c r="K595" s="155" t="s">
        <v>4376</v>
      </c>
      <c r="L595" s="98" t="s">
        <v>4279</v>
      </c>
      <c r="M595" s="53" t="s">
        <v>67</v>
      </c>
      <c r="N595" s="95"/>
      <c r="O595" s="162" t="s">
        <v>4377</v>
      </c>
      <c r="P595" s="165"/>
      <c r="Q595" s="165"/>
      <c r="R595" s="49"/>
      <c r="S595" s="162" t="s">
        <v>4377</v>
      </c>
      <c r="T595" s="6"/>
      <c r="U595" s="6"/>
      <c r="V595" s="56" t="s">
        <v>4378</v>
      </c>
      <c r="W595" s="67" t="s">
        <v>4120</v>
      </c>
      <c r="X595" s="97"/>
      <c r="Y595" s="97"/>
      <c r="Z595" s="97"/>
      <c r="AA595" s="68">
        <f>VLOOKUP(A595,'[1]DANH SÁCH'!$B$8:$AD$841,12,0)</f>
        <v>0</v>
      </c>
      <c r="AB595" s="49" t="str">
        <f>VLOOKUP(A595,'[1]DANH SÁCH'!$B$8:$H$841,6,0)</f>
        <v>TĐ012</v>
      </c>
      <c r="AC595" s="69" t="str">
        <f>VLOOKUP(A595,'[1]DANH SÁCH'!$B$8:$J$841,9,0)</f>
        <v>Nội TM</v>
      </c>
      <c r="AD595" s="69" t="str">
        <f>VLOOKUP(A595,'[1]DANH SÁCH'!$B$8:$AC$841,9,0)</f>
        <v>Nội TM</v>
      </c>
      <c r="AE595" s="69" t="str">
        <f>VLOOKUP(A595,'[1]DANH SÁCH'!$B$8:$AD$841,13,0)</f>
        <v>Viên chức</v>
      </c>
      <c r="AF595" s="41"/>
      <c r="AG595" s="42">
        <f>VLOOKUP(A595,'[1]DANH SÁCH'!$B$8:$H$841,7,0)</f>
        <v>0</v>
      </c>
      <c r="AH595" s="45" t="s">
        <v>4054</v>
      </c>
      <c r="AI595" s="42">
        <v>2</v>
      </c>
      <c r="AJ595" s="70"/>
      <c r="AK595" s="69">
        <v>44943</v>
      </c>
      <c r="AL595" s="71" t="s">
        <v>158</v>
      </c>
      <c r="AM595" s="53" t="str">
        <f>VLOOKUP(A595,'[1]DANH SÁCH'!$B$8:$F$841,5,0)</f>
        <v>Điều dưỡng CĐ</v>
      </c>
      <c r="AN595" s="163"/>
      <c r="AO595" s="53" t="s">
        <v>4121</v>
      </c>
      <c r="AP595" s="6"/>
      <c r="AQ595" s="72" t="s">
        <v>113</v>
      </c>
      <c r="AR595" s="6"/>
      <c r="AS595" s="6"/>
      <c r="AT595" s="47"/>
      <c r="AU595" s="6"/>
      <c r="AV595" s="6"/>
      <c r="AW595" s="6"/>
      <c r="AX595" s="6"/>
      <c r="AY595" s="98" t="s">
        <v>85</v>
      </c>
      <c r="AZ595" s="65"/>
      <c r="BA595" s="74"/>
      <c r="BB595" s="74"/>
      <c r="BC595" s="41"/>
      <c r="BD595" s="64"/>
    </row>
    <row r="596" spans="1:56" ht="30.6" x14ac:dyDescent="0.3">
      <c r="A596" s="47" t="s">
        <v>4379</v>
      </c>
      <c r="B596" s="42">
        <f t="shared" si="187"/>
        <v>590</v>
      </c>
      <c r="C596" s="161" t="s">
        <v>4380</v>
      </c>
      <c r="D596" s="47" t="s">
        <v>4379</v>
      </c>
      <c r="E596" s="61" t="s">
        <v>4381</v>
      </c>
      <c r="F596" s="10"/>
      <c r="G596" s="49" t="s">
        <v>4382</v>
      </c>
      <c r="H596" s="154" t="s">
        <v>4383</v>
      </c>
      <c r="I596" s="64"/>
      <c r="J596" s="66">
        <f ca="1">INT(DATEDIF(H596,'[1]Bieu 1a'!$J$2,"d")/365)</f>
        <v>34</v>
      </c>
      <c r="K596" s="155" t="s">
        <v>4384</v>
      </c>
      <c r="L596" s="98" t="s">
        <v>4385</v>
      </c>
      <c r="M596" s="53" t="s">
        <v>67</v>
      </c>
      <c r="N596" s="95"/>
      <c r="O596" s="162" t="s">
        <v>4386</v>
      </c>
      <c r="P596" s="165"/>
      <c r="Q596" s="165"/>
      <c r="R596" s="49"/>
      <c r="S596" s="162" t="s">
        <v>4386</v>
      </c>
      <c r="T596" s="6"/>
      <c r="U596" s="6"/>
      <c r="V596" s="56" t="s">
        <v>4386</v>
      </c>
      <c r="W596" s="67" t="s">
        <v>4120</v>
      </c>
      <c r="X596" s="97"/>
      <c r="Y596" s="97"/>
      <c r="Z596" s="97"/>
      <c r="AA596" s="68">
        <f>VLOOKUP(A596,'[1]DANH SÁCH'!$B$8:$AD$841,12,0)</f>
        <v>0</v>
      </c>
      <c r="AB596" s="49" t="str">
        <f>VLOOKUP(A596,'[1]DANH SÁCH'!$B$8:$H$841,6,0)</f>
        <v>TĐ012</v>
      </c>
      <c r="AC596" s="69" t="str">
        <f>VLOOKUP(A596,'[1]DANH SÁCH'!$B$8:$J$841,9,0)</f>
        <v>Nội TM</v>
      </c>
      <c r="AD596" s="69" t="str">
        <f>VLOOKUP(A596,'[1]DANH SÁCH'!$B$8:$AC$841,9,0)</f>
        <v>Nội TM</v>
      </c>
      <c r="AE596" s="69" t="str">
        <f>VLOOKUP(A596,'[1]DANH SÁCH'!$B$8:$AD$841,13,0)</f>
        <v>Viên chức</v>
      </c>
      <c r="AF596" s="41"/>
      <c r="AG596" s="42">
        <f>VLOOKUP(A596,'[1]DANH SÁCH'!$B$8:$H$841,7,0)</f>
        <v>0</v>
      </c>
      <c r="AH596" s="45" t="s">
        <v>1841</v>
      </c>
      <c r="AI596" s="42">
        <v>3</v>
      </c>
      <c r="AJ596" s="70"/>
      <c r="AK596" s="69">
        <v>45674</v>
      </c>
      <c r="AL596" s="71" t="s">
        <v>158</v>
      </c>
      <c r="AM596" s="53" t="str">
        <f>VLOOKUP(A596,'[1]DANH SÁCH'!$B$8:$F$841,5,0)</f>
        <v>Điều dưỡng CĐ</v>
      </c>
      <c r="AN596" s="163"/>
      <c r="AO596" s="53" t="s">
        <v>4121</v>
      </c>
      <c r="AP596" s="6"/>
      <c r="AQ596" s="72" t="s">
        <v>113</v>
      </c>
      <c r="AR596" s="6"/>
      <c r="AS596" s="6"/>
      <c r="AT596" s="47"/>
      <c r="AU596" s="6"/>
      <c r="AV596" s="6"/>
      <c r="AW596" s="6"/>
      <c r="AX596" s="6"/>
      <c r="AY596" s="98" t="s">
        <v>85</v>
      </c>
      <c r="AZ596" s="65"/>
      <c r="BA596" s="74"/>
      <c r="BB596" s="74"/>
      <c r="BC596" s="41"/>
      <c r="BD596" s="64"/>
    </row>
    <row r="597" spans="1:56" ht="30.6" x14ac:dyDescent="0.3">
      <c r="A597" s="46" t="s">
        <v>4387</v>
      </c>
      <c r="B597" s="42">
        <f t="shared" si="187"/>
        <v>591</v>
      </c>
      <c r="C597" s="116" t="s">
        <v>4388</v>
      </c>
      <c r="D597" s="46" t="s">
        <v>4387</v>
      </c>
      <c r="E597" s="61" t="s">
        <v>4389</v>
      </c>
      <c r="F597" s="64"/>
      <c r="G597" s="49" t="s">
        <v>4390</v>
      </c>
      <c r="H597" s="47"/>
      <c r="I597" s="61" t="s">
        <v>4391</v>
      </c>
      <c r="J597" s="66">
        <f ca="1">INT(DATEDIF(I597,'[1]Bieu 1a'!$J$2,"d")/365)</f>
        <v>27</v>
      </c>
      <c r="K597" s="46" t="s">
        <v>4392</v>
      </c>
      <c r="L597" s="47" t="s">
        <v>4393</v>
      </c>
      <c r="M597" s="56" t="s">
        <v>3778</v>
      </c>
      <c r="N597" s="52"/>
      <c r="O597" s="61" t="s">
        <v>4394</v>
      </c>
      <c r="P597" s="47"/>
      <c r="Q597" s="47"/>
      <c r="R597" s="49"/>
      <c r="S597" s="47"/>
      <c r="T597" s="47"/>
      <c r="U597" s="47"/>
      <c r="V597" s="56" t="s">
        <v>4395</v>
      </c>
      <c r="W597" s="61" t="s">
        <v>3823</v>
      </c>
      <c r="X597" s="46"/>
      <c r="Y597" s="46"/>
      <c r="Z597" s="46"/>
      <c r="AA597" s="68">
        <f>VLOOKUP(A597,'[1]DANH SÁCH'!$B$8:$AD$841,12,0)</f>
        <v>0</v>
      </c>
      <c r="AB597" s="49" t="str">
        <f>VLOOKUP(A597,'[1]DANH SÁCH'!$B$8:$H$841,6,0)</f>
        <v>TĐ012</v>
      </c>
      <c r="AC597" s="69" t="str">
        <f>VLOOKUP(A597,'[1]DANH SÁCH'!$B$8:$J$841,9,0)</f>
        <v>Nội TM</v>
      </c>
      <c r="AD597" s="69" t="str">
        <f>VLOOKUP(A597,'[1]DANH SÁCH'!$B$8:$AC$841,9,0)</f>
        <v>Nội TM</v>
      </c>
      <c r="AE597" s="69" t="str">
        <f>VLOOKUP(A597,'[1]DANH SÁCH'!$B$8:$AD$841,13,0)</f>
        <v>Viên chức</v>
      </c>
      <c r="AF597" s="41"/>
      <c r="AG597" s="42">
        <f>VLOOKUP(A597,'[1]DANH SÁCH'!$B$8:$H$841,7,0)</f>
        <v>0</v>
      </c>
      <c r="AH597" s="45" t="s">
        <v>4054</v>
      </c>
      <c r="AI597" s="42">
        <v>2</v>
      </c>
      <c r="AJ597" s="70"/>
      <c r="AK597" s="69">
        <v>45171</v>
      </c>
      <c r="AL597" s="71" t="s">
        <v>158</v>
      </c>
      <c r="AM597" s="53" t="str">
        <f>VLOOKUP(A597,'[1]DANH SÁCH'!$B$8:$F$841,5,0)</f>
        <v>Điều dưỡng CĐ</v>
      </c>
      <c r="AN597" s="47" t="s">
        <v>4212</v>
      </c>
      <c r="AO597" s="61" t="s">
        <v>159</v>
      </c>
      <c r="AP597" s="61" t="s">
        <v>4396</v>
      </c>
      <c r="AQ597" s="47"/>
      <c r="AR597" s="47"/>
      <c r="AS597" s="47"/>
      <c r="AT597" s="47"/>
      <c r="AU597" s="47"/>
      <c r="AV597" s="47"/>
      <c r="AW597" s="47"/>
      <c r="AX597" s="47"/>
      <c r="AY597" s="46" t="s">
        <v>85</v>
      </c>
      <c r="AZ597" s="65"/>
      <c r="BA597" s="47"/>
      <c r="BB597" s="47"/>
      <c r="BC597" s="41"/>
      <c r="BD597" s="64"/>
    </row>
    <row r="598" spans="1:56" ht="30.6" x14ac:dyDescent="0.3">
      <c r="A598" s="47" t="s">
        <v>4397</v>
      </c>
      <c r="B598" s="42">
        <f t="shared" si="187"/>
        <v>592</v>
      </c>
      <c r="C598" s="49" t="s">
        <v>4398</v>
      </c>
      <c r="D598" s="47" t="s">
        <v>4397</v>
      </c>
      <c r="E598" s="61" t="s">
        <v>4399</v>
      </c>
      <c r="F598" s="64"/>
      <c r="G598" s="49" t="s">
        <v>4400</v>
      </c>
      <c r="H598" s="47"/>
      <c r="I598" s="41" t="s">
        <v>4401</v>
      </c>
      <c r="J598" s="66">
        <f ca="1">INT(DATEDIF(I598,'[1]Bieu 1a'!$J$2,"d")/365)</f>
        <v>34</v>
      </c>
      <c r="K598" s="72" t="s">
        <v>4402</v>
      </c>
      <c r="L598" s="41" t="s">
        <v>4403</v>
      </c>
      <c r="M598" s="56"/>
      <c r="N598" s="52"/>
      <c r="O598" s="56"/>
      <c r="P598" s="47"/>
      <c r="Q598" s="47"/>
      <c r="R598" s="49"/>
      <c r="S598" s="47"/>
      <c r="T598" s="47"/>
      <c r="U598" s="47"/>
      <c r="V598" s="56" t="s">
        <v>4404</v>
      </c>
      <c r="W598" s="41" t="s">
        <v>4149</v>
      </c>
      <c r="X598" s="46"/>
      <c r="Y598" s="46"/>
      <c r="Z598" s="46"/>
      <c r="AA598" s="68">
        <f>VLOOKUP(A598,'[1]DANH SÁCH'!$B$8:$AD$841,12,0)</f>
        <v>0</v>
      </c>
      <c r="AB598" s="49" t="str">
        <f>VLOOKUP(A598,'[1]DANH SÁCH'!$B$8:$H$841,6,0)</f>
        <v>TĐ012</v>
      </c>
      <c r="AC598" s="69" t="str">
        <f>VLOOKUP(A598,'[1]DANH SÁCH'!$B$8:$J$841,9,0)</f>
        <v>Nội TM</v>
      </c>
      <c r="AD598" s="69" t="str">
        <f>VLOOKUP(A598,'[1]DANH SÁCH'!$B$8:$AC$841,9,0)</f>
        <v>Nội TM</v>
      </c>
      <c r="AE598" s="69" t="str">
        <f>VLOOKUP(A598,'[1]DANH SÁCH'!$B$8:$AD$841,13,0)</f>
        <v>Viên chức</v>
      </c>
      <c r="AF598" s="41"/>
      <c r="AG598" s="42">
        <f>VLOOKUP(A598,'[1]DANH SÁCH'!$B$8:$H$841,7,0)</f>
        <v>0</v>
      </c>
      <c r="AH598" s="45" t="s">
        <v>4054</v>
      </c>
      <c r="AI598" s="42">
        <v>2</v>
      </c>
      <c r="AJ598" s="70"/>
      <c r="AK598" s="69">
        <v>45507</v>
      </c>
      <c r="AL598" s="71" t="s">
        <v>158</v>
      </c>
      <c r="AM598" s="53" t="str">
        <f>VLOOKUP(A598,'[1]DANH SÁCH'!$B$8:$F$841,5,0)</f>
        <v>Điều dưỡng CĐ</v>
      </c>
      <c r="AN598" s="47"/>
      <c r="AO598" s="53" t="s">
        <v>1938</v>
      </c>
      <c r="AP598" s="42">
        <v>2020</v>
      </c>
      <c r="AQ598" s="47"/>
      <c r="AR598" s="47"/>
      <c r="AS598" s="47"/>
      <c r="AT598" s="47"/>
      <c r="AU598" s="47"/>
      <c r="AV598" s="47"/>
      <c r="AW598" s="47"/>
      <c r="AX598" s="47"/>
      <c r="AY598" s="47" t="s">
        <v>127</v>
      </c>
      <c r="AZ598" s="65"/>
      <c r="BA598" s="47"/>
      <c r="BB598" s="47"/>
      <c r="BC598" s="41"/>
      <c r="BD598" s="64"/>
    </row>
    <row r="599" spans="1:56" ht="40.799999999999997" x14ac:dyDescent="0.3">
      <c r="A599" s="46" t="s">
        <v>4405</v>
      </c>
      <c r="B599" s="42">
        <f t="shared" si="187"/>
        <v>593</v>
      </c>
      <c r="C599" s="116" t="s">
        <v>4406</v>
      </c>
      <c r="D599" s="46" t="s">
        <v>4405</v>
      </c>
      <c r="E599" s="61" t="s">
        <v>4407</v>
      </c>
      <c r="F599" s="64"/>
      <c r="G599" s="49" t="s">
        <v>4408</v>
      </c>
      <c r="H599" s="47"/>
      <c r="I599" s="61" t="s">
        <v>4409</v>
      </c>
      <c r="J599" s="66">
        <f ca="1">INT(DATEDIF(I599,'[1]Bieu 1a'!$J$2,"d")/365)</f>
        <v>28</v>
      </c>
      <c r="K599" s="46" t="s">
        <v>4410</v>
      </c>
      <c r="L599" s="47" t="s">
        <v>4411</v>
      </c>
      <c r="M599" s="56" t="s">
        <v>3778</v>
      </c>
      <c r="N599" s="52"/>
      <c r="O599" s="61" t="s">
        <v>4412</v>
      </c>
      <c r="P599" s="47"/>
      <c r="Q599" s="47"/>
      <c r="R599" s="49"/>
      <c r="S599" s="47"/>
      <c r="T599" s="47"/>
      <c r="U599" s="47"/>
      <c r="V599" s="56" t="s">
        <v>4413</v>
      </c>
      <c r="W599" s="61" t="s">
        <v>3823</v>
      </c>
      <c r="X599" s="46"/>
      <c r="Y599" s="46"/>
      <c r="Z599" s="46"/>
      <c r="AA599" s="68">
        <f>VLOOKUP(A599,'[1]DANH SÁCH'!$B$8:$AD$841,12,0)</f>
        <v>0</v>
      </c>
      <c r="AB599" s="49" t="str">
        <f>VLOOKUP(A599,'[1]DANH SÁCH'!$B$8:$H$841,6,0)</f>
        <v>TĐ012</v>
      </c>
      <c r="AC599" s="69" t="str">
        <f>VLOOKUP(A599,'[1]DANH SÁCH'!$B$8:$J$841,9,0)</f>
        <v>Nội Tổng hợp</v>
      </c>
      <c r="AD599" s="69" t="str">
        <f>VLOOKUP(A599,'[1]DANH SÁCH'!$B$8:$AC$841,9,0)</f>
        <v>Nội Tổng hợp</v>
      </c>
      <c r="AE599" s="69" t="str">
        <f>VLOOKUP(A599,'[1]DANH SÁCH'!$B$8:$AD$841,13,0)</f>
        <v>HĐ có thời hạn</v>
      </c>
      <c r="AF599" s="41"/>
      <c r="AG599" s="42">
        <f>VLOOKUP(A599,'[1]DANH SÁCH'!$B$8:$H$841,7,0)</f>
        <v>0</v>
      </c>
      <c r="AH599" s="45" t="s">
        <v>4054</v>
      </c>
      <c r="AI599" s="42">
        <v>2</v>
      </c>
      <c r="AJ599" s="70"/>
      <c r="AK599" s="69">
        <v>45171</v>
      </c>
      <c r="AL599" s="71" t="s">
        <v>158</v>
      </c>
      <c r="AM599" s="53" t="str">
        <f>VLOOKUP(A599,'[1]DANH SÁCH'!$B$8:$F$841,5,0)</f>
        <v>Điều dưỡng CĐ</v>
      </c>
      <c r="AN599" s="47" t="s">
        <v>4212</v>
      </c>
      <c r="AO599" s="61" t="s">
        <v>159</v>
      </c>
      <c r="AP599" s="61" t="s">
        <v>4396</v>
      </c>
      <c r="AQ599" s="47"/>
      <c r="AR599" s="47"/>
      <c r="AS599" s="47"/>
      <c r="AT599" s="47"/>
      <c r="AU599" s="47"/>
      <c r="AV599" s="47"/>
      <c r="AW599" s="47"/>
      <c r="AX599" s="47"/>
      <c r="AY599" s="46" t="s">
        <v>127</v>
      </c>
      <c r="AZ599" s="65"/>
      <c r="BA599" s="47"/>
      <c r="BB599" s="47"/>
      <c r="BC599" s="41"/>
      <c r="BD599" s="64"/>
    </row>
    <row r="600" spans="1:56" ht="51" x14ac:dyDescent="0.3">
      <c r="A600" s="46" t="s">
        <v>4414</v>
      </c>
      <c r="B600" s="42">
        <f t="shared" si="187"/>
        <v>594</v>
      </c>
      <c r="C600" s="63" t="s">
        <v>4415</v>
      </c>
      <c r="D600" s="46" t="s">
        <v>4414</v>
      </c>
      <c r="E600" s="67">
        <v>2020391985</v>
      </c>
      <c r="F600" s="64">
        <v>2099964976</v>
      </c>
      <c r="G600" s="49" t="s">
        <v>4416</v>
      </c>
      <c r="H600" s="168"/>
      <c r="I600" s="168" t="s">
        <v>4417</v>
      </c>
      <c r="J600" s="66">
        <f ca="1">INT(DATEDIF(I600,'[1]Bieu 1a'!$J$2,"d")/365)</f>
        <v>32</v>
      </c>
      <c r="K600" s="75" t="s">
        <v>4418</v>
      </c>
      <c r="L600" s="43" t="s">
        <v>4419</v>
      </c>
      <c r="M600" s="53" t="s">
        <v>67</v>
      </c>
      <c r="N600" s="66"/>
      <c r="O600" s="60" t="s">
        <v>4420</v>
      </c>
      <c r="P600" s="68" t="s">
        <v>758</v>
      </c>
      <c r="Q600" s="68" t="s">
        <v>71</v>
      </c>
      <c r="R600" s="49"/>
      <c r="S600" s="68" t="s">
        <v>4420</v>
      </c>
      <c r="T600" s="68" t="s">
        <v>758</v>
      </c>
      <c r="U600" s="68" t="s">
        <v>71</v>
      </c>
      <c r="V600" s="56" t="s">
        <v>4421</v>
      </c>
      <c r="W600" s="55" t="s">
        <v>3949</v>
      </c>
      <c r="X600" s="43"/>
      <c r="Y600" s="43"/>
      <c r="Z600" s="43"/>
      <c r="AA600" s="68">
        <f>VLOOKUP(A600,'[1]DANH SÁCH'!$B$8:$AD$841,12,0)</f>
        <v>0</v>
      </c>
      <c r="AB600" s="49" t="str">
        <f>VLOOKUP(A600,'[1]DANH SÁCH'!$B$8:$H$841,6,0)</f>
        <v>TĐ012</v>
      </c>
      <c r="AC600" s="69" t="str">
        <f>VLOOKUP(A600,'[1]DANH SÁCH'!$B$8:$J$841,9,0)</f>
        <v>Nội Thận-TN-LM</v>
      </c>
      <c r="AD600" s="69" t="str">
        <f>VLOOKUP(A600,'[1]DANH SÁCH'!$B$8:$AC$841,9,0)</f>
        <v>Nội Thận-TN-LM</v>
      </c>
      <c r="AE600" s="69" t="str">
        <f>VLOOKUP(A600,'[1]DANH SÁCH'!$B$8:$AD$841,13,0)</f>
        <v>Viên chức</v>
      </c>
      <c r="AF600" s="41"/>
      <c r="AG600" s="42">
        <f>VLOOKUP(A600,'[1]DANH SÁCH'!$B$8:$H$841,7,0)</f>
        <v>0</v>
      </c>
      <c r="AH600" s="45" t="s">
        <v>1841</v>
      </c>
      <c r="AI600" s="42">
        <v>3</v>
      </c>
      <c r="AJ600" s="70"/>
      <c r="AK600" s="69">
        <v>45413</v>
      </c>
      <c r="AL600" s="71" t="s">
        <v>158</v>
      </c>
      <c r="AM600" s="53" t="str">
        <f>VLOOKUP(A600,'[1]DANH SÁCH'!$B$8:$F$841,5,0)</f>
        <v>Điều dưỡng CĐ</v>
      </c>
      <c r="AN600" s="53"/>
      <c r="AO600" s="53" t="s">
        <v>1093</v>
      </c>
      <c r="AP600" s="53">
        <v>2014</v>
      </c>
      <c r="AQ600" s="72" t="s">
        <v>113</v>
      </c>
      <c r="AR600" s="125"/>
      <c r="AS600" s="125"/>
      <c r="AT600" s="47"/>
      <c r="AU600" s="125"/>
      <c r="AV600" s="125"/>
      <c r="AW600" s="125"/>
      <c r="AX600" s="125" t="s">
        <v>4422</v>
      </c>
      <c r="AY600" s="73" t="s">
        <v>87</v>
      </c>
      <c r="AZ600" s="65"/>
      <c r="BA600" s="74" t="e">
        <f>VLOOKUP(A600,#REF!,4,0)</f>
        <v>#REF!</v>
      </c>
      <c r="BB600" s="74" t="e">
        <f>VLOOKUP(A600,#REF!,5,0)</f>
        <v>#REF!</v>
      </c>
      <c r="BC600" s="41"/>
      <c r="BD600" s="64"/>
    </row>
    <row r="601" spans="1:56" ht="40.799999999999997" x14ac:dyDescent="0.3">
      <c r="A601" s="47" t="s">
        <v>4423</v>
      </c>
      <c r="B601" s="42">
        <f t="shared" si="187"/>
        <v>595</v>
      </c>
      <c r="C601" s="44" t="s">
        <v>4424</v>
      </c>
      <c r="D601" s="47" t="s">
        <v>4423</v>
      </c>
      <c r="E601" s="61" t="s">
        <v>4425</v>
      </c>
      <c r="F601" s="10"/>
      <c r="G601" s="49" t="s">
        <v>4426</v>
      </c>
      <c r="H601" s="117" t="s">
        <v>4427</v>
      </c>
      <c r="I601" s="64"/>
      <c r="J601" s="66">
        <f ca="1">INT(DATEDIF(H601,'[1]Bieu 1a'!$J$2,"d")/365)</f>
        <v>33</v>
      </c>
      <c r="K601" s="155" t="s">
        <v>4428</v>
      </c>
      <c r="L601" s="98" t="s">
        <v>4429</v>
      </c>
      <c r="M601" s="53" t="s">
        <v>67</v>
      </c>
      <c r="N601" s="95"/>
      <c r="O601" s="169" t="s">
        <v>4430</v>
      </c>
      <c r="P601" s="165"/>
      <c r="Q601" s="165"/>
      <c r="R601" s="49"/>
      <c r="S601" s="169" t="s">
        <v>4430</v>
      </c>
      <c r="T601" s="6"/>
      <c r="U601" s="6"/>
      <c r="V601" s="56" t="s">
        <v>3822</v>
      </c>
      <c r="W601" s="67" t="s">
        <v>4120</v>
      </c>
      <c r="X601" s="97"/>
      <c r="Y601" s="97"/>
      <c r="Z601" s="97"/>
      <c r="AA601" s="68">
        <f>VLOOKUP(A601,'[1]DANH SÁCH'!$B$8:$AD$841,12,0)</f>
        <v>0</v>
      </c>
      <c r="AB601" s="49" t="str">
        <f>VLOOKUP(A601,'[1]DANH SÁCH'!$B$8:$H$841,6,0)</f>
        <v>TĐ012</v>
      </c>
      <c r="AC601" s="69" t="str">
        <f>VLOOKUP(A601,'[1]DANH SÁCH'!$B$8:$J$841,9,0)</f>
        <v>Nội Thận-TN-LM</v>
      </c>
      <c r="AD601" s="69" t="str">
        <f>VLOOKUP(A601,'[1]DANH SÁCH'!$B$8:$AC$841,9,0)</f>
        <v>Nội Thận-TN-LM</v>
      </c>
      <c r="AE601" s="69" t="str">
        <f>VLOOKUP(A601,'[1]DANH SÁCH'!$B$8:$AD$841,13,0)</f>
        <v>HĐ có thời hạn</v>
      </c>
      <c r="AF601" s="41"/>
      <c r="AG601" s="42">
        <f>VLOOKUP(A601,'[1]DANH SÁCH'!$B$8:$H$841,7,0)</f>
        <v>0</v>
      </c>
      <c r="AH601" s="45" t="s">
        <v>4054</v>
      </c>
      <c r="AI601" s="42">
        <v>2</v>
      </c>
      <c r="AJ601" s="70"/>
      <c r="AK601" s="69">
        <v>44943</v>
      </c>
      <c r="AL601" s="71" t="s">
        <v>158</v>
      </c>
      <c r="AM601" s="53" t="str">
        <f>VLOOKUP(A601,'[1]DANH SÁCH'!$B$8:$F$841,5,0)</f>
        <v>Điều dưỡng CĐ</v>
      </c>
      <c r="AN601" s="163"/>
      <c r="AO601" s="53" t="s">
        <v>4121</v>
      </c>
      <c r="AP601" s="6"/>
      <c r="AQ601" s="72" t="s">
        <v>113</v>
      </c>
      <c r="AR601" s="6"/>
      <c r="AS601" s="6"/>
      <c r="AT601" s="47"/>
      <c r="AU601" s="6"/>
      <c r="AV601" s="6"/>
      <c r="AW601" s="6"/>
      <c r="AX601" s="6"/>
      <c r="AY601" s="98" t="s">
        <v>85</v>
      </c>
      <c r="AZ601" s="65"/>
      <c r="BA601" s="74"/>
      <c r="BB601" s="74"/>
      <c r="BC601" s="41"/>
      <c r="BD601" s="64"/>
    </row>
    <row r="602" spans="1:56" ht="40.799999999999997" x14ac:dyDescent="0.3">
      <c r="A602" s="47" t="s">
        <v>4431</v>
      </c>
      <c r="B602" s="42">
        <f t="shared" si="187"/>
        <v>596</v>
      </c>
      <c r="C602" s="161" t="s">
        <v>4432</v>
      </c>
      <c r="D602" s="47" t="s">
        <v>4431</v>
      </c>
      <c r="E602" s="61" t="s">
        <v>4433</v>
      </c>
      <c r="F602" s="10"/>
      <c r="G602" s="49" t="s">
        <v>4434</v>
      </c>
      <c r="H602" s="154" t="s">
        <v>4435</v>
      </c>
      <c r="I602" s="64"/>
      <c r="J602" s="66">
        <f ca="1">INT(DATEDIF(H602,'[1]Bieu 1a'!$J$2,"d")/365)</f>
        <v>31</v>
      </c>
      <c r="K602" s="155" t="s">
        <v>4436</v>
      </c>
      <c r="L602" s="98" t="s">
        <v>4437</v>
      </c>
      <c r="M602" s="53" t="s">
        <v>67</v>
      </c>
      <c r="N602" s="95"/>
      <c r="O602" s="162" t="s">
        <v>4438</v>
      </c>
      <c r="P602" s="165"/>
      <c r="Q602" s="165"/>
      <c r="R602" s="49"/>
      <c r="S602" s="162" t="s">
        <v>4438</v>
      </c>
      <c r="T602" s="6"/>
      <c r="U602" s="6"/>
      <c r="V602" s="56" t="s">
        <v>4439</v>
      </c>
      <c r="W602" s="67" t="s">
        <v>4120</v>
      </c>
      <c r="X602" s="97"/>
      <c r="Y602" s="97"/>
      <c r="Z602" s="97"/>
      <c r="AA602" s="68">
        <f>VLOOKUP(A602,'[1]DANH SÁCH'!$B$8:$AD$841,12,0)</f>
        <v>0</v>
      </c>
      <c r="AB602" s="49" t="str">
        <f>VLOOKUP(A602,'[1]DANH SÁCH'!$B$8:$H$841,6,0)</f>
        <v>TĐ012</v>
      </c>
      <c r="AC602" s="69" t="str">
        <f>VLOOKUP(A602,'[1]DANH SÁCH'!$B$8:$J$841,9,0)</f>
        <v>Nội Thận-TN-LM</v>
      </c>
      <c r="AD602" s="69" t="str">
        <f>VLOOKUP(A602,'[1]DANH SÁCH'!$B$8:$AC$841,9,0)</f>
        <v>Nội Thận-TN-LM</v>
      </c>
      <c r="AE602" s="69" t="str">
        <f>VLOOKUP(A602,'[1]DANH SÁCH'!$B$8:$AD$841,13,0)</f>
        <v>Viên chức</v>
      </c>
      <c r="AF602" s="41"/>
      <c r="AG602" s="42">
        <f>VLOOKUP(A602,'[1]DANH SÁCH'!$B$8:$H$841,7,0)</f>
        <v>0</v>
      </c>
      <c r="AH602" s="45" t="s">
        <v>1841</v>
      </c>
      <c r="AI602" s="42">
        <v>3</v>
      </c>
      <c r="AJ602" s="70"/>
      <c r="AK602" s="69">
        <v>45674</v>
      </c>
      <c r="AL602" s="71" t="s">
        <v>158</v>
      </c>
      <c r="AM602" s="53" t="str">
        <f>VLOOKUP(A602,'[1]DANH SÁCH'!$B$8:$F$841,5,0)</f>
        <v>Điều dưỡng CĐ</v>
      </c>
      <c r="AN602" s="163"/>
      <c r="AO602" s="53" t="s">
        <v>4121</v>
      </c>
      <c r="AP602" s="6"/>
      <c r="AQ602" s="72" t="s">
        <v>113</v>
      </c>
      <c r="AR602" s="6"/>
      <c r="AS602" s="6"/>
      <c r="AT602" s="47"/>
      <c r="AU602" s="6"/>
      <c r="AV602" s="6"/>
      <c r="AW602" s="6"/>
      <c r="AX602" s="6"/>
      <c r="AY602" s="98" t="s">
        <v>85</v>
      </c>
      <c r="AZ602" s="65"/>
      <c r="BA602" s="74"/>
      <c r="BB602" s="74"/>
      <c r="BC602" s="41"/>
      <c r="BD602" s="64"/>
    </row>
    <row r="603" spans="1:56" ht="30.6" x14ac:dyDescent="0.3">
      <c r="A603" s="46" t="s">
        <v>4440</v>
      </c>
      <c r="B603" s="42">
        <f t="shared" si="187"/>
        <v>597</v>
      </c>
      <c r="C603" s="116" t="s">
        <v>4441</v>
      </c>
      <c r="D603" s="46" t="s">
        <v>4440</v>
      </c>
      <c r="E603" s="61" t="s">
        <v>4442</v>
      </c>
      <c r="F603" s="64"/>
      <c r="G603" s="49" t="s">
        <v>4443</v>
      </c>
      <c r="H603" s="47"/>
      <c r="I603" s="61" t="s">
        <v>4444</v>
      </c>
      <c r="J603" s="66">
        <f ca="1">INT(DATEDIF(I603,'[1]Bieu 1a'!$J$2,"d")/365)</f>
        <v>28</v>
      </c>
      <c r="K603" s="46" t="s">
        <v>4445</v>
      </c>
      <c r="L603" s="47" t="s">
        <v>4446</v>
      </c>
      <c r="M603" s="56" t="s">
        <v>3778</v>
      </c>
      <c r="N603" s="52"/>
      <c r="O603" s="61" t="s">
        <v>4447</v>
      </c>
      <c r="P603" s="47"/>
      <c r="Q603" s="47"/>
      <c r="R603" s="49"/>
      <c r="S603" s="47"/>
      <c r="T603" s="47"/>
      <c r="U603" s="47"/>
      <c r="V603" s="56" t="s">
        <v>4448</v>
      </c>
      <c r="W603" s="61" t="s">
        <v>3823</v>
      </c>
      <c r="X603" s="46"/>
      <c r="Y603" s="46"/>
      <c r="Z603" s="46"/>
      <c r="AA603" s="68">
        <f>VLOOKUP(A603,'[1]DANH SÁCH'!$B$8:$AD$841,12,0)</f>
        <v>0</v>
      </c>
      <c r="AB603" s="49" t="str">
        <f>VLOOKUP(A603,'[1]DANH SÁCH'!$B$8:$H$841,6,0)</f>
        <v>TĐ012</v>
      </c>
      <c r="AC603" s="69" t="str">
        <f>VLOOKUP(A603,'[1]DANH SÁCH'!$B$8:$J$841,9,0)</f>
        <v>Nội Thận-TN-LM</v>
      </c>
      <c r="AD603" s="69" t="str">
        <f>VLOOKUP(A603,'[1]DANH SÁCH'!$B$8:$AC$841,9,0)</f>
        <v>Nội Thận-TN-LM</v>
      </c>
      <c r="AE603" s="69" t="str">
        <f>VLOOKUP(A603,'[1]DANH SÁCH'!$B$8:$AD$841,13,0)</f>
        <v>HĐ có thời hạn</v>
      </c>
      <c r="AF603" s="41"/>
      <c r="AG603" s="42">
        <f>VLOOKUP(A603,'[1]DANH SÁCH'!$B$8:$H$841,7,0)</f>
        <v>0</v>
      </c>
      <c r="AH603" s="45" t="s">
        <v>4054</v>
      </c>
      <c r="AI603" s="42">
        <v>2</v>
      </c>
      <c r="AJ603" s="70"/>
      <c r="AK603" s="69">
        <v>45171</v>
      </c>
      <c r="AL603" s="71" t="s">
        <v>158</v>
      </c>
      <c r="AM603" s="53" t="str">
        <f>VLOOKUP(A603,'[1]DANH SÁCH'!$B$8:$F$841,5,0)</f>
        <v>Điều dưỡng CĐ</v>
      </c>
      <c r="AN603" s="47" t="s">
        <v>4212</v>
      </c>
      <c r="AO603" s="61" t="s">
        <v>159</v>
      </c>
      <c r="AP603" s="61" t="s">
        <v>4347</v>
      </c>
      <c r="AQ603" s="47"/>
      <c r="AR603" s="47"/>
      <c r="AS603" s="47"/>
      <c r="AT603" s="47"/>
      <c r="AU603" s="47"/>
      <c r="AV603" s="47"/>
      <c r="AW603" s="47"/>
      <c r="AX603" s="47"/>
      <c r="AY603" s="46" t="s">
        <v>127</v>
      </c>
      <c r="AZ603" s="65"/>
      <c r="BA603" s="47"/>
      <c r="BB603" s="47"/>
      <c r="BC603" s="41"/>
      <c r="BD603" s="64"/>
    </row>
    <row r="604" spans="1:56" ht="40.799999999999997" x14ac:dyDescent="0.3">
      <c r="A604" s="46" t="s">
        <v>4449</v>
      </c>
      <c r="B604" s="42">
        <f t="shared" si="187"/>
        <v>598</v>
      </c>
      <c r="C604" s="56" t="s">
        <v>4450</v>
      </c>
      <c r="D604" s="46" t="s">
        <v>4449</v>
      </c>
      <c r="E604" s="61" t="s">
        <v>4451</v>
      </c>
      <c r="F604" s="10"/>
      <c r="G604" s="49" t="s">
        <v>4452</v>
      </c>
      <c r="H604" s="47"/>
      <c r="I604" s="46" t="s">
        <v>4453</v>
      </c>
      <c r="J604" s="66">
        <f ca="1">INT(DATEDIF(I604,'[1]Bieu 1a'!$J$2,"d")/365)</f>
        <v>30</v>
      </c>
      <c r="K604" s="94" t="s">
        <v>4454</v>
      </c>
      <c r="L604" s="46" t="s">
        <v>4455</v>
      </c>
      <c r="M604" s="170" t="s">
        <v>4456</v>
      </c>
      <c r="N604" s="95"/>
      <c r="O604" s="96"/>
      <c r="P604" s="6"/>
      <c r="Q604" s="6"/>
      <c r="R604" s="49"/>
      <c r="S604" s="6"/>
      <c r="T604" s="6"/>
      <c r="U604" s="6"/>
      <c r="V604" s="56" t="s">
        <v>4457</v>
      </c>
      <c r="W604" s="67" t="s">
        <v>3841</v>
      </c>
      <c r="X604" s="97"/>
      <c r="Y604" s="97"/>
      <c r="Z604" s="97"/>
      <c r="AA604" s="68">
        <f>VLOOKUP(A604,'[1]DANH SÁCH'!$B$8:$AD$841,12,0)</f>
        <v>0</v>
      </c>
      <c r="AB604" s="49" t="str">
        <f>VLOOKUP(A604,'[1]DANH SÁCH'!$B$8:$H$841,6,0)</f>
        <v>TĐ012</v>
      </c>
      <c r="AC604" s="69" t="str">
        <f>VLOOKUP(A604,'[1]DANH SÁCH'!$B$8:$J$841,9,0)</f>
        <v>Nội Thận-TN-LM</v>
      </c>
      <c r="AD604" s="69" t="str">
        <f>VLOOKUP(A604,'[1]DANH SÁCH'!$B$8:$AC$841,9,0)</f>
        <v>Nội Thận-TN-LM</v>
      </c>
      <c r="AE604" s="69" t="str">
        <f>VLOOKUP(A604,'[1]DANH SÁCH'!$B$8:$AD$841,13,0)</f>
        <v>HĐ có thời hạn</v>
      </c>
      <c r="AF604" s="41"/>
      <c r="AG604" s="42">
        <f>VLOOKUP(A604,'[1]DANH SÁCH'!$B$8:$H$841,7,0)</f>
        <v>0</v>
      </c>
      <c r="AH604" s="45" t="s">
        <v>4054</v>
      </c>
      <c r="AI604" s="42">
        <v>2</v>
      </c>
      <c r="AJ604" s="70"/>
      <c r="AK604" s="69">
        <v>45395</v>
      </c>
      <c r="AL604" s="71" t="s">
        <v>158</v>
      </c>
      <c r="AM604" s="53" t="str">
        <f>VLOOKUP(A604,'[1]DANH SÁCH'!$B$8:$F$841,5,0)</f>
        <v>Điều dưỡng CĐ</v>
      </c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73" t="s">
        <v>127</v>
      </c>
      <c r="AZ604" s="65"/>
      <c r="BA604" s="6"/>
      <c r="BB604" s="6"/>
      <c r="BC604" s="41"/>
      <c r="BD604" s="64"/>
    </row>
    <row r="605" spans="1:56" ht="40.799999999999997" x14ac:dyDescent="0.3">
      <c r="A605" s="47" t="s">
        <v>4458</v>
      </c>
      <c r="B605" s="42">
        <f t="shared" si="187"/>
        <v>599</v>
      </c>
      <c r="C605" s="49" t="s">
        <v>4459</v>
      </c>
      <c r="D605" s="47" t="s">
        <v>4458</v>
      </c>
      <c r="E605" s="61" t="s">
        <v>4460</v>
      </c>
      <c r="F605" s="64"/>
      <c r="G605" s="49" t="s">
        <v>4461</v>
      </c>
      <c r="H605" s="47"/>
      <c r="I605" s="41" t="s">
        <v>4462</v>
      </c>
      <c r="J605" s="66">
        <f ca="1">INT(DATEDIF(I605,'[1]Bieu 1a'!$J$2,"d")/365)</f>
        <v>31</v>
      </c>
      <c r="K605" s="72" t="s">
        <v>4463</v>
      </c>
      <c r="L605" s="41" t="s">
        <v>4464</v>
      </c>
      <c r="M605" s="56"/>
      <c r="N605" s="52"/>
      <c r="O605" s="56"/>
      <c r="P605" s="47"/>
      <c r="Q605" s="47"/>
      <c r="R605" s="49"/>
      <c r="S605" s="47"/>
      <c r="T605" s="47"/>
      <c r="U605" s="47"/>
      <c r="V605" s="56" t="s">
        <v>4465</v>
      </c>
      <c r="W605" s="43" t="s">
        <v>4466</v>
      </c>
      <c r="X605" s="46"/>
      <c r="Y605" s="46"/>
      <c r="Z605" s="46"/>
      <c r="AA605" s="68">
        <f>VLOOKUP(A605,'[1]DANH SÁCH'!$B$8:$AD$841,12,0)</f>
        <v>0</v>
      </c>
      <c r="AB605" s="49" t="str">
        <f>VLOOKUP(A605,'[1]DANH SÁCH'!$B$8:$H$841,6,0)</f>
        <v>TĐ012</v>
      </c>
      <c r="AC605" s="69" t="str">
        <f>VLOOKUP(A605,'[1]DANH SÁCH'!$B$8:$J$841,9,0)</f>
        <v>Nội Tiêu hóa</v>
      </c>
      <c r="AD605" s="69" t="str">
        <f>VLOOKUP(A605,'[1]DANH SÁCH'!$B$8:$AC$841,9,0)</f>
        <v>Nội Tiêu hóa</v>
      </c>
      <c r="AE605" s="69" t="str">
        <f>VLOOKUP(A605,'[1]DANH SÁCH'!$B$8:$AD$841,13,0)</f>
        <v>Viên chức</v>
      </c>
      <c r="AF605" s="41"/>
      <c r="AG605" s="42">
        <f>VLOOKUP(A605,'[1]DANH SÁCH'!$B$8:$H$841,7,0)</f>
        <v>0</v>
      </c>
      <c r="AH605" s="45" t="s">
        <v>4054</v>
      </c>
      <c r="AI605" s="42">
        <v>2</v>
      </c>
      <c r="AJ605" s="70"/>
      <c r="AK605" s="69">
        <v>45507</v>
      </c>
      <c r="AL605" s="71" t="s">
        <v>158</v>
      </c>
      <c r="AM605" s="53" t="str">
        <f>VLOOKUP(A605,'[1]DANH SÁCH'!$B$8:$F$841,5,0)</f>
        <v>Điều dưỡng CĐ</v>
      </c>
      <c r="AN605" s="47"/>
      <c r="AO605" s="53" t="s">
        <v>1938</v>
      </c>
      <c r="AP605" s="42">
        <v>2015</v>
      </c>
      <c r="AQ605" s="47"/>
      <c r="AR605" s="47"/>
      <c r="AS605" s="47"/>
      <c r="AT605" s="47"/>
      <c r="AU605" s="47"/>
      <c r="AV605" s="47"/>
      <c r="AW605" s="47"/>
      <c r="AX605" s="47"/>
      <c r="AY605" s="47" t="s">
        <v>85</v>
      </c>
      <c r="AZ605" s="65"/>
      <c r="BA605" s="47"/>
      <c r="BB605" s="47"/>
      <c r="BC605" s="41"/>
      <c r="BD605" s="64"/>
    </row>
    <row r="606" spans="1:56" ht="40.799999999999997" x14ac:dyDescent="0.3">
      <c r="A606" s="47" t="s">
        <v>4467</v>
      </c>
      <c r="B606" s="42">
        <f t="shared" si="187"/>
        <v>600</v>
      </c>
      <c r="C606" s="49" t="s">
        <v>4468</v>
      </c>
      <c r="D606" s="47" t="s">
        <v>4467</v>
      </c>
      <c r="E606" s="61" t="s">
        <v>4469</v>
      </c>
      <c r="F606" s="64"/>
      <c r="G606" s="49" t="s">
        <v>4470</v>
      </c>
      <c r="H606" s="47"/>
      <c r="I606" s="41" t="s">
        <v>1065</v>
      </c>
      <c r="J606" s="66">
        <f ca="1">INT(DATEDIF(I606,'[1]Bieu 1a'!$J$2,"d")/365)</f>
        <v>33</v>
      </c>
      <c r="K606" s="72" t="s">
        <v>4471</v>
      </c>
      <c r="L606" s="41" t="s">
        <v>4472</v>
      </c>
      <c r="M606" s="56"/>
      <c r="N606" s="52"/>
      <c r="O606" s="56"/>
      <c r="P606" s="47"/>
      <c r="Q606" s="47"/>
      <c r="R606" s="49"/>
      <c r="S606" s="47"/>
      <c r="T606" s="47"/>
      <c r="U606" s="47"/>
      <c r="V606" s="56" t="s">
        <v>4473</v>
      </c>
      <c r="W606" s="41" t="s">
        <v>4149</v>
      </c>
      <c r="X606" s="46"/>
      <c r="Y606" s="46"/>
      <c r="Z606" s="46"/>
      <c r="AA606" s="68">
        <f>VLOOKUP(A606,'[1]DANH SÁCH'!$B$8:$AD$841,12,0)</f>
        <v>0</v>
      </c>
      <c r="AB606" s="49" t="str">
        <f>VLOOKUP(A606,'[1]DANH SÁCH'!$B$8:$H$841,6,0)</f>
        <v>TĐ012</v>
      </c>
      <c r="AC606" s="69" t="str">
        <f>VLOOKUP(A606,'[1]DANH SÁCH'!$B$8:$J$841,9,0)</f>
        <v>Nội Thận-TN-LM</v>
      </c>
      <c r="AD606" s="69" t="str">
        <f>VLOOKUP(A606,'[1]DANH SÁCH'!$B$8:$AC$841,9,0)</f>
        <v>Nội Thận-TN-LM</v>
      </c>
      <c r="AE606" s="69" t="str">
        <f>VLOOKUP(A606,'[1]DANH SÁCH'!$B$8:$AD$841,13,0)</f>
        <v>Viên chức</v>
      </c>
      <c r="AF606" s="41"/>
      <c r="AG606" s="42">
        <f>VLOOKUP(A606,'[1]DANH SÁCH'!$B$8:$H$841,7,0)</f>
        <v>0</v>
      </c>
      <c r="AH606" s="45" t="s">
        <v>4054</v>
      </c>
      <c r="AI606" s="42">
        <v>2</v>
      </c>
      <c r="AJ606" s="70"/>
      <c r="AK606" s="69">
        <v>45507</v>
      </c>
      <c r="AL606" s="71" t="s">
        <v>158</v>
      </c>
      <c r="AM606" s="53" t="str">
        <f>VLOOKUP(A606,'[1]DANH SÁCH'!$B$8:$F$841,5,0)</f>
        <v>Điều dưỡng CĐ</v>
      </c>
      <c r="AN606" s="47"/>
      <c r="AO606" s="53" t="s">
        <v>4474</v>
      </c>
      <c r="AP606" s="42">
        <v>2014</v>
      </c>
      <c r="AQ606" s="47"/>
      <c r="AR606" s="47"/>
      <c r="AS606" s="47"/>
      <c r="AT606" s="47"/>
      <c r="AU606" s="47"/>
      <c r="AV606" s="47"/>
      <c r="AW606" s="47"/>
      <c r="AX606" s="47"/>
      <c r="AY606" s="47" t="s">
        <v>127</v>
      </c>
      <c r="AZ606" s="65"/>
      <c r="BA606" s="47"/>
      <c r="BB606" s="47"/>
      <c r="BC606" s="41"/>
      <c r="BD606" s="64"/>
    </row>
    <row r="607" spans="1:56" ht="31.2" x14ac:dyDescent="0.3">
      <c r="A607" s="46" t="s">
        <v>4475</v>
      </c>
      <c r="B607" s="42">
        <f t="shared" si="187"/>
        <v>601</v>
      </c>
      <c r="C607" s="53" t="s">
        <v>4476</v>
      </c>
      <c r="D607" s="46" t="s">
        <v>4475</v>
      </c>
      <c r="E607" s="171" t="s">
        <v>4477</v>
      </c>
      <c r="F607" s="10"/>
      <c r="G607" s="49"/>
      <c r="H607" s="47"/>
      <c r="I607" s="41" t="s">
        <v>4478</v>
      </c>
      <c r="J607" s="66">
        <f ca="1">INT(DATEDIF(I607,'[1]Bieu 1a'!$J$2,"d")/365)</f>
        <v>31</v>
      </c>
      <c r="K607" s="72" t="s">
        <v>4479</v>
      </c>
      <c r="L607" s="41" t="s">
        <v>1192</v>
      </c>
      <c r="M607" s="158" t="s">
        <v>4480</v>
      </c>
      <c r="N607" s="95"/>
      <c r="O607" s="96"/>
      <c r="P607" s="6"/>
      <c r="Q607" s="6"/>
      <c r="R607" s="49"/>
      <c r="S607" s="6"/>
      <c r="T607" s="6"/>
      <c r="U607" s="6"/>
      <c r="V607" s="56" t="s">
        <v>4140</v>
      </c>
      <c r="W607" s="67" t="s">
        <v>3841</v>
      </c>
      <c r="X607" s="97"/>
      <c r="Y607" s="97"/>
      <c r="Z607" s="97"/>
      <c r="AA607" s="68">
        <f>VLOOKUP(A607,'[1]DANH SÁCH'!$B$8:$AD$841,12,0)</f>
        <v>0</v>
      </c>
      <c r="AB607" s="49" t="str">
        <f>VLOOKUP(A607,'[1]DANH SÁCH'!$B$8:$H$841,6,0)</f>
        <v>TĐ012</v>
      </c>
      <c r="AC607" s="69" t="str">
        <f>VLOOKUP(A607,'[1]DANH SÁCH'!$B$8:$J$841,9,0)</f>
        <v>Chấn thương - Bỏng</v>
      </c>
      <c r="AD607" s="69" t="str">
        <f>VLOOKUP(A607,'[1]DANH SÁCH'!$B$8:$AC$841,9,0)</f>
        <v>Chấn thương - Bỏng</v>
      </c>
      <c r="AE607" s="69" t="str">
        <f>VLOOKUP(A607,'[1]DANH SÁCH'!$B$8:$AD$841,13,0)</f>
        <v>Viên chức</v>
      </c>
      <c r="AF607" s="41"/>
      <c r="AG607" s="42">
        <f>VLOOKUP(A607,'[1]DANH SÁCH'!$B$8:$H$841,7,0)</f>
        <v>0</v>
      </c>
      <c r="AH607" s="45">
        <v>1.65</v>
      </c>
      <c r="AI607" s="42">
        <v>1</v>
      </c>
      <c r="AJ607" s="70"/>
      <c r="AK607" s="69">
        <v>45689</v>
      </c>
      <c r="AL607" s="71" t="s">
        <v>158</v>
      </c>
      <c r="AM607" s="53" t="str">
        <f>VLOOKUP(A607,'[1]DANH SÁCH'!$B$8:$F$841,5,0)</f>
        <v>Điều dưỡng CĐ</v>
      </c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73" t="s">
        <v>85</v>
      </c>
      <c r="AZ607" s="65"/>
      <c r="BA607" s="6"/>
      <c r="BB607" s="6"/>
      <c r="BC607" s="41"/>
      <c r="BD607" s="64"/>
    </row>
    <row r="608" spans="1:56" ht="40.799999999999997" x14ac:dyDescent="0.3">
      <c r="A608" s="46" t="s">
        <v>4481</v>
      </c>
      <c r="B608" s="42">
        <f t="shared" si="187"/>
        <v>602</v>
      </c>
      <c r="C608" s="161" t="s">
        <v>4482</v>
      </c>
      <c r="D608" s="46" t="s">
        <v>4481</v>
      </c>
      <c r="E608" s="61" t="s">
        <v>4483</v>
      </c>
      <c r="F608" s="64"/>
      <c r="G608" s="49" t="s">
        <v>4484</v>
      </c>
      <c r="H608" s="160">
        <v>35610</v>
      </c>
      <c r="I608" s="65"/>
      <c r="J608" s="66">
        <f ca="1">INT(DATEDIF(H608,'[1]Bieu 1a'!$J$2,"d")/365)</f>
        <v>29</v>
      </c>
      <c r="K608" s="155" t="s">
        <v>4485</v>
      </c>
      <c r="L608" s="156" t="s">
        <v>4486</v>
      </c>
      <c r="M608" s="53" t="s">
        <v>67</v>
      </c>
      <c r="N608" s="52"/>
      <c r="O608" s="56" t="s">
        <v>760</v>
      </c>
      <c r="P608" s="47" t="s">
        <v>74</v>
      </c>
      <c r="Q608" s="47" t="s">
        <v>71</v>
      </c>
      <c r="R608" s="49"/>
      <c r="S608" s="47"/>
      <c r="T608" s="47"/>
      <c r="U608" s="47"/>
      <c r="V608" s="56" t="s">
        <v>4487</v>
      </c>
      <c r="W608" s="67" t="s">
        <v>652</v>
      </c>
      <c r="X608" s="67" t="s">
        <v>652</v>
      </c>
      <c r="Y608" s="46"/>
      <c r="Z608" s="46"/>
      <c r="AA608" s="68">
        <f>VLOOKUP(A608,'[1]DANH SÁCH'!$B$8:$AD$841,12,0)</f>
        <v>0</v>
      </c>
      <c r="AB608" s="49" t="str">
        <f>VLOOKUP(A608,'[1]DANH SÁCH'!$B$8:$H$841,6,0)</f>
        <v>TĐ012</v>
      </c>
      <c r="AC608" s="69" t="str">
        <f>VLOOKUP(A608,'[1]DANH SÁCH'!$B$8:$J$841,9,0)</f>
        <v>Chấn thương - Bỏng</v>
      </c>
      <c r="AD608" s="69" t="str">
        <f>VLOOKUP(A608,'[1]DANH SÁCH'!$B$8:$AC$841,9,0)</f>
        <v>Chấn thương - Bỏng</v>
      </c>
      <c r="AE608" s="69" t="str">
        <f>VLOOKUP(A608,'[1]DANH SÁCH'!$B$8:$AD$841,13,0)</f>
        <v>HĐ có thời hạn</v>
      </c>
      <c r="AF608" s="41"/>
      <c r="AG608" s="42">
        <f>VLOOKUP(A608,'[1]DANH SÁCH'!$B$8:$H$841,7,0)</f>
        <v>0</v>
      </c>
      <c r="AH608" s="45" t="s">
        <v>1841</v>
      </c>
      <c r="AI608" s="42">
        <v>3</v>
      </c>
      <c r="AJ608" s="70"/>
      <c r="AK608" s="69">
        <v>45870</v>
      </c>
      <c r="AL608" s="71" t="s">
        <v>158</v>
      </c>
      <c r="AM608" s="53" t="str">
        <f>VLOOKUP(A608,'[1]DANH SÁCH'!$B$8:$F$841,5,0)</f>
        <v>Điều dưỡng CĐ</v>
      </c>
      <c r="AN608" s="53"/>
      <c r="AO608" s="53" t="s">
        <v>1093</v>
      </c>
      <c r="AP608" s="53">
        <v>2018</v>
      </c>
      <c r="AQ608" s="72" t="s">
        <v>113</v>
      </c>
      <c r="AR608" s="47"/>
      <c r="AS608" s="47"/>
      <c r="AT608" s="47"/>
      <c r="AU608" s="47"/>
      <c r="AV608" s="47"/>
      <c r="AW608" s="47"/>
      <c r="AX608" s="47"/>
      <c r="AY608" s="73" t="s">
        <v>85</v>
      </c>
      <c r="AZ608" s="65"/>
      <c r="BA608" s="74"/>
      <c r="BB608" s="74"/>
      <c r="BC608" s="41"/>
      <c r="BD608" s="64"/>
    </row>
    <row r="609" spans="1:56" ht="40.799999999999997" x14ac:dyDescent="0.3">
      <c r="A609" s="46" t="s">
        <v>4488</v>
      </c>
      <c r="B609" s="42">
        <f t="shared" si="187"/>
        <v>603</v>
      </c>
      <c r="C609" s="116" t="s">
        <v>4489</v>
      </c>
      <c r="D609" s="46" t="s">
        <v>4488</v>
      </c>
      <c r="E609" s="67">
        <v>2020530331</v>
      </c>
      <c r="F609" s="64">
        <v>2099848026</v>
      </c>
      <c r="G609" s="49" t="s">
        <v>4490</v>
      </c>
      <c r="H609" s="76"/>
      <c r="I609" s="118" t="s">
        <v>4491</v>
      </c>
      <c r="J609" s="66">
        <f ca="1">INT(DATEDIF(I609,'[1]Bieu 1a'!$J$2,"d")/365)</f>
        <v>32</v>
      </c>
      <c r="K609" s="75" t="s">
        <v>4492</v>
      </c>
      <c r="L609" s="83" t="s">
        <v>4493</v>
      </c>
      <c r="M609" s="53" t="s">
        <v>67</v>
      </c>
      <c r="N609" s="66"/>
      <c r="O609" s="53" t="s">
        <v>4494</v>
      </c>
      <c r="P609" s="49" t="s">
        <v>605</v>
      </c>
      <c r="Q609" s="49" t="s">
        <v>71</v>
      </c>
      <c r="R609" s="49"/>
      <c r="S609" s="49" t="s">
        <v>4494</v>
      </c>
      <c r="T609" s="49" t="s">
        <v>605</v>
      </c>
      <c r="U609" s="49" t="s">
        <v>71</v>
      </c>
      <c r="V609" s="56" t="s">
        <v>4495</v>
      </c>
      <c r="W609" s="86" t="s">
        <v>4111</v>
      </c>
      <c r="X609" s="41"/>
      <c r="Y609" s="41"/>
      <c r="Z609" s="41"/>
      <c r="AA609" s="68">
        <f>VLOOKUP(A609,'[1]DANH SÁCH'!$B$8:$AD$841,12,0)</f>
        <v>0</v>
      </c>
      <c r="AB609" s="49" t="str">
        <f>VLOOKUP(A609,'[1]DANH SÁCH'!$B$8:$H$841,6,0)</f>
        <v>TĐ012</v>
      </c>
      <c r="AC609" s="69" t="str">
        <f>VLOOKUP(A609,'[1]DANH SÁCH'!$B$8:$J$841,9,0)</f>
        <v>Chấn thương - Bỏng</v>
      </c>
      <c r="AD609" s="69" t="str">
        <f>VLOOKUP(A609,'[1]DANH SÁCH'!$B$8:$AC$841,9,0)</f>
        <v>Chấn thương - Bỏng</v>
      </c>
      <c r="AE609" s="69" t="str">
        <f>VLOOKUP(A609,'[1]DANH SÁCH'!$B$8:$AD$841,13,0)</f>
        <v>Viên chức</v>
      </c>
      <c r="AF609" s="41"/>
      <c r="AG609" s="42">
        <f>VLOOKUP(A609,'[1]DANH SÁCH'!$B$8:$H$841,7,0)</f>
        <v>0</v>
      </c>
      <c r="AH609" s="45" t="s">
        <v>1841</v>
      </c>
      <c r="AI609" s="42">
        <v>3</v>
      </c>
      <c r="AJ609" s="70"/>
      <c r="AK609" s="69">
        <v>45075</v>
      </c>
      <c r="AL609" s="71" t="s">
        <v>158</v>
      </c>
      <c r="AM609" s="53" t="str">
        <f>VLOOKUP(A609,'[1]DANH SÁCH'!$B$8:$F$841,5,0)</f>
        <v>Điều dưỡng CĐ</v>
      </c>
      <c r="AN609" s="53"/>
      <c r="AO609" s="53" t="s">
        <v>1093</v>
      </c>
      <c r="AP609" s="53">
        <v>2015</v>
      </c>
      <c r="AQ609" s="72" t="s">
        <v>113</v>
      </c>
      <c r="AR609" s="42"/>
      <c r="AS609" s="42"/>
      <c r="AT609" s="47" t="s">
        <v>139</v>
      </c>
      <c r="AU609" s="42" t="s">
        <v>1230</v>
      </c>
      <c r="AV609" s="42"/>
      <c r="AW609" s="42" t="s">
        <v>86</v>
      </c>
      <c r="AX609" s="42"/>
      <c r="AY609" s="57" t="s">
        <v>127</v>
      </c>
      <c r="AZ609" s="65"/>
      <c r="BA609" s="74" t="e">
        <f t="shared" ref="BA609:BA610" si="192">VLOOKUP(A609,#REF!,4,0)</f>
        <v>#REF!</v>
      </c>
      <c r="BB609" s="74" t="e">
        <f t="shared" ref="BB609:BB610" si="193">VLOOKUP(A609,#REF!,5,0)</f>
        <v>#REF!</v>
      </c>
      <c r="BC609" s="41"/>
      <c r="BD609" s="64"/>
    </row>
    <row r="610" spans="1:56" ht="20.399999999999999" x14ac:dyDescent="0.3">
      <c r="A610" s="46" t="s">
        <v>4496</v>
      </c>
      <c r="B610" s="42">
        <f t="shared" si="187"/>
        <v>604</v>
      </c>
      <c r="C610" s="116" t="s">
        <v>4497</v>
      </c>
      <c r="D610" s="46" t="s">
        <v>4496</v>
      </c>
      <c r="E610" s="67">
        <v>2020746455</v>
      </c>
      <c r="F610" s="64">
        <v>2099924397</v>
      </c>
      <c r="G610" s="49"/>
      <c r="H610" s="118" t="s">
        <v>4498</v>
      </c>
      <c r="I610" s="76"/>
      <c r="J610" s="66">
        <f ca="1">INT(DATEDIF(H610,'[1]Bieu 1a'!$J$2,"d")/365)</f>
        <v>35</v>
      </c>
      <c r="K610" s="75" t="s">
        <v>4499</v>
      </c>
      <c r="L610" s="83" t="s">
        <v>4500</v>
      </c>
      <c r="M610" s="53" t="s">
        <v>67</v>
      </c>
      <c r="N610" s="66"/>
      <c r="O610" s="53" t="s">
        <v>2624</v>
      </c>
      <c r="P610" s="49" t="s">
        <v>2624</v>
      </c>
      <c r="Q610" s="49" t="s">
        <v>71</v>
      </c>
      <c r="R610" s="49"/>
      <c r="S610" s="49" t="s">
        <v>2624</v>
      </c>
      <c r="T610" s="49" t="s">
        <v>2624</v>
      </c>
      <c r="U610" s="49" t="s">
        <v>71</v>
      </c>
      <c r="V610" s="56" t="s">
        <v>4501</v>
      </c>
      <c r="W610" s="86" t="s">
        <v>4111</v>
      </c>
      <c r="X610" s="41"/>
      <c r="Y610" s="41"/>
      <c r="Z610" s="41"/>
      <c r="AA610" s="68">
        <f>VLOOKUP(A610,'[1]DANH SÁCH'!$B$8:$AD$841,12,0)</f>
        <v>0</v>
      </c>
      <c r="AB610" s="49" t="str">
        <f>VLOOKUP(A610,'[1]DANH SÁCH'!$B$8:$H$841,6,0)</f>
        <v>TĐ012</v>
      </c>
      <c r="AC610" s="69" t="str">
        <f>VLOOKUP(A610,'[1]DANH SÁCH'!$B$8:$J$841,9,0)</f>
        <v>Chấn thương - Bỏng</v>
      </c>
      <c r="AD610" s="69" t="str">
        <f>VLOOKUP(A610,'[1]DANH SÁCH'!$B$8:$AC$841,9,0)</f>
        <v>Chấn thương - Bỏng</v>
      </c>
      <c r="AE610" s="69" t="str">
        <f>VLOOKUP(A610,'[1]DANH SÁCH'!$B$8:$AD$841,13,0)</f>
        <v>Viên chức</v>
      </c>
      <c r="AF610" s="41"/>
      <c r="AG610" s="42">
        <f>VLOOKUP(A610,'[1]DANH SÁCH'!$B$8:$H$841,7,0)</f>
        <v>0</v>
      </c>
      <c r="AH610" s="45" t="s">
        <v>1591</v>
      </c>
      <c r="AI610" s="42">
        <v>4</v>
      </c>
      <c r="AJ610" s="70"/>
      <c r="AK610" s="69">
        <v>45806</v>
      </c>
      <c r="AL610" s="71" t="s">
        <v>158</v>
      </c>
      <c r="AM610" s="53" t="str">
        <f>VLOOKUP(A610,'[1]DANH SÁCH'!$B$8:$F$841,5,0)</f>
        <v>Điều dưỡng CĐ</v>
      </c>
      <c r="AN610" s="53"/>
      <c r="AO610" s="53" t="s">
        <v>1093</v>
      </c>
      <c r="AP610" s="53">
        <v>2013</v>
      </c>
      <c r="AQ610" s="72" t="s">
        <v>113</v>
      </c>
      <c r="AR610" s="42"/>
      <c r="AS610" s="42"/>
      <c r="AT610" s="47" t="s">
        <v>139</v>
      </c>
      <c r="AU610" s="42"/>
      <c r="AV610" s="42"/>
      <c r="AW610" s="42" t="s">
        <v>57</v>
      </c>
      <c r="AX610" s="42"/>
      <c r="AY610" s="57" t="s">
        <v>85</v>
      </c>
      <c r="AZ610" s="65"/>
      <c r="BA610" s="74" t="e">
        <f t="shared" si="192"/>
        <v>#REF!</v>
      </c>
      <c r="BB610" s="74" t="e">
        <f t="shared" si="193"/>
        <v>#REF!</v>
      </c>
      <c r="BC610" s="41"/>
      <c r="BD610" s="64"/>
    </row>
    <row r="611" spans="1:56" ht="30.6" x14ac:dyDescent="0.3">
      <c r="A611" s="46" t="s">
        <v>4502</v>
      </c>
      <c r="B611" s="42">
        <f t="shared" si="187"/>
        <v>605</v>
      </c>
      <c r="C611" s="63" t="s">
        <v>4503</v>
      </c>
      <c r="D611" s="46" t="s">
        <v>4502</v>
      </c>
      <c r="E611" s="67">
        <v>2020216456</v>
      </c>
      <c r="F611" s="64">
        <v>2099832825</v>
      </c>
      <c r="G611" s="49" t="s">
        <v>4504</v>
      </c>
      <c r="H611" s="47"/>
      <c r="I611" s="65" t="s">
        <v>4505</v>
      </c>
      <c r="J611" s="66">
        <f ca="1">INT(DATEDIF(I611,'[1]Bieu 1a'!$J$2,"d")/365)</f>
        <v>30</v>
      </c>
      <c r="K611" s="75" t="s">
        <v>4506</v>
      </c>
      <c r="L611" s="46" t="s">
        <v>4507</v>
      </c>
      <c r="M611" s="53" t="s">
        <v>67</v>
      </c>
      <c r="N611" s="66"/>
      <c r="O611" s="56" t="s">
        <v>4508</v>
      </c>
      <c r="P611" s="47" t="s">
        <v>4509</v>
      </c>
      <c r="Q611" s="47" t="s">
        <v>4510</v>
      </c>
      <c r="R611" s="49"/>
      <c r="S611" s="47" t="s">
        <v>4511</v>
      </c>
      <c r="T611" s="47" t="s">
        <v>661</v>
      </c>
      <c r="U611" s="47" t="s">
        <v>71</v>
      </c>
      <c r="V611" s="56" t="s">
        <v>4512</v>
      </c>
      <c r="W611" s="55" t="s">
        <v>3949</v>
      </c>
      <c r="X611" s="46"/>
      <c r="Y611" s="46"/>
      <c r="Z611" s="46"/>
      <c r="AA611" s="68">
        <f>VLOOKUP(A611,'[1]DANH SÁCH'!$B$8:$AD$841,12,0)</f>
        <v>0</v>
      </c>
      <c r="AB611" s="49" t="str">
        <f>VLOOKUP(A611,'[1]DANH SÁCH'!$B$8:$H$841,6,0)</f>
        <v>TĐ012</v>
      </c>
      <c r="AC611" s="69" t="str">
        <f>VLOOKUP(A611,'[1]DANH SÁCH'!$B$8:$J$841,9,0)</f>
        <v>Chấn thương - Bỏng</v>
      </c>
      <c r="AD611" s="69" t="str">
        <f>VLOOKUP(A611,'[1]DANH SÁCH'!$B$8:$AC$841,9,0)</f>
        <v>Chấn thương - Bỏng</v>
      </c>
      <c r="AE611" s="69" t="str">
        <f>VLOOKUP(A611,'[1]DANH SÁCH'!$B$8:$AD$841,13,0)</f>
        <v>Viên chức</v>
      </c>
      <c r="AF611" s="41"/>
      <c r="AG611" s="42">
        <f>VLOOKUP(A611,'[1]DANH SÁCH'!$B$8:$H$841,7,0)</f>
        <v>0</v>
      </c>
      <c r="AH611" s="45" t="s">
        <v>1841</v>
      </c>
      <c r="AI611" s="42">
        <v>3</v>
      </c>
      <c r="AJ611" s="70"/>
      <c r="AK611" s="69">
        <v>45440</v>
      </c>
      <c r="AL611" s="71" t="s">
        <v>158</v>
      </c>
      <c r="AM611" s="53" t="str">
        <f>VLOOKUP(A611,'[1]DANH SÁCH'!$B$8:$F$841,5,0)</f>
        <v>Điều dưỡng CĐ</v>
      </c>
      <c r="AN611" s="53"/>
      <c r="AO611" s="53" t="s">
        <v>1093</v>
      </c>
      <c r="AP611" s="53">
        <v>2016</v>
      </c>
      <c r="AQ611" s="72" t="s">
        <v>113</v>
      </c>
      <c r="AR611" s="47"/>
      <c r="AS611" s="47"/>
      <c r="AT611" s="47" t="s">
        <v>139</v>
      </c>
      <c r="AU611" s="47" t="s">
        <v>4513</v>
      </c>
      <c r="AV611" s="47"/>
      <c r="AW611" s="47" t="s">
        <v>57</v>
      </c>
      <c r="AX611" s="47"/>
      <c r="AY611" s="73" t="s">
        <v>87</v>
      </c>
      <c r="AZ611" s="65"/>
      <c r="BA611" s="74"/>
      <c r="BB611" s="74"/>
      <c r="BC611" s="41" t="s">
        <v>890</v>
      </c>
      <c r="BD611" s="64"/>
    </row>
    <row r="612" spans="1:56" ht="40.799999999999997" x14ac:dyDescent="0.3">
      <c r="A612" s="46" t="s">
        <v>4514</v>
      </c>
      <c r="B612" s="42">
        <f t="shared" si="187"/>
        <v>606</v>
      </c>
      <c r="C612" s="109" t="s">
        <v>4515</v>
      </c>
      <c r="D612" s="46" t="s">
        <v>4514</v>
      </c>
      <c r="E612" s="61" t="s">
        <v>4516</v>
      </c>
      <c r="F612" s="64"/>
      <c r="G612" s="49" t="s">
        <v>4517</v>
      </c>
      <c r="H612" s="160">
        <v>35500</v>
      </c>
      <c r="I612" s="65"/>
      <c r="J612" s="66">
        <f ca="1">INT(DATEDIF(H612,'[1]Bieu 1a'!$J$2,"d")/365)</f>
        <v>29</v>
      </c>
      <c r="K612" s="155" t="s">
        <v>4518</v>
      </c>
      <c r="L612" s="156" t="s">
        <v>4519</v>
      </c>
      <c r="M612" s="53" t="s">
        <v>67</v>
      </c>
      <c r="N612" s="52"/>
      <c r="O612" s="56" t="s">
        <v>4520</v>
      </c>
      <c r="P612" s="47" t="s">
        <v>1902</v>
      </c>
      <c r="Q612" s="47" t="s">
        <v>71</v>
      </c>
      <c r="R612" s="49"/>
      <c r="S612" s="47"/>
      <c r="T612" s="47"/>
      <c r="U612" s="47"/>
      <c r="V612" s="56" t="s">
        <v>4521</v>
      </c>
      <c r="W612" s="67" t="s">
        <v>652</v>
      </c>
      <c r="X612" s="67" t="s">
        <v>652</v>
      </c>
      <c r="Y612" s="46"/>
      <c r="Z612" s="46"/>
      <c r="AA612" s="68">
        <f>VLOOKUP(A612,'[1]DANH SÁCH'!$B$8:$AD$841,12,0)</f>
        <v>0</v>
      </c>
      <c r="AB612" s="49" t="str">
        <f>VLOOKUP(A612,'[1]DANH SÁCH'!$B$8:$H$841,6,0)</f>
        <v>TĐ012</v>
      </c>
      <c r="AC612" s="69" t="str">
        <f>VLOOKUP(A612,'[1]DANH SÁCH'!$B$8:$J$841,9,0)</f>
        <v>Chấn thương - Bỏng</v>
      </c>
      <c r="AD612" s="69" t="str">
        <f>VLOOKUP(A612,'[1]DANH SÁCH'!$B$8:$AC$841,9,0)</f>
        <v>Chấn thương - Bỏng</v>
      </c>
      <c r="AE612" s="69" t="str">
        <f>VLOOKUP(A612,'[1]DANH SÁCH'!$B$8:$AD$841,13,0)</f>
        <v>Viên chức</v>
      </c>
      <c r="AF612" s="41"/>
      <c r="AG612" s="42">
        <f>VLOOKUP(A612,'[1]DANH SÁCH'!$B$8:$H$841,7,0)</f>
        <v>0</v>
      </c>
      <c r="AH612" s="45" t="s">
        <v>1841</v>
      </c>
      <c r="AI612" s="42">
        <v>3</v>
      </c>
      <c r="AJ612" s="70"/>
      <c r="AK612" s="69">
        <v>45870</v>
      </c>
      <c r="AL612" s="71" t="s">
        <v>158</v>
      </c>
      <c r="AM612" s="53" t="str">
        <f>VLOOKUP(A612,'[1]DANH SÁCH'!$B$8:$F$841,5,0)</f>
        <v>Điều dưỡng CĐ</v>
      </c>
      <c r="AN612" s="53"/>
      <c r="AO612" s="53" t="s">
        <v>1093</v>
      </c>
      <c r="AP612" s="53">
        <v>2018</v>
      </c>
      <c r="AQ612" s="72" t="s">
        <v>113</v>
      </c>
      <c r="AR612" s="47"/>
      <c r="AS612" s="47"/>
      <c r="AT612" s="47"/>
      <c r="AU612" s="47" t="s">
        <v>4522</v>
      </c>
      <c r="AV612" s="47"/>
      <c r="AW612" s="42" t="s">
        <v>3950</v>
      </c>
      <c r="AX612" s="47"/>
      <c r="AY612" s="73" t="s">
        <v>127</v>
      </c>
      <c r="AZ612" s="65"/>
      <c r="BA612" s="74"/>
      <c r="BB612" s="74"/>
      <c r="BC612" s="41" t="s">
        <v>890</v>
      </c>
      <c r="BD612" s="64"/>
    </row>
    <row r="613" spans="1:56" ht="40.799999999999997" x14ac:dyDescent="0.3">
      <c r="A613" s="47" t="s">
        <v>4523</v>
      </c>
      <c r="B613" s="42">
        <f t="shared" si="187"/>
        <v>607</v>
      </c>
      <c r="C613" s="161" t="s">
        <v>4524</v>
      </c>
      <c r="D613" s="47" t="s">
        <v>4523</v>
      </c>
      <c r="E613" s="61" t="s">
        <v>4525</v>
      </c>
      <c r="F613" s="64"/>
      <c r="G613" s="49" t="s">
        <v>4526</v>
      </c>
      <c r="H613" s="47"/>
      <c r="I613" s="154" t="s">
        <v>4527</v>
      </c>
      <c r="J613" s="66">
        <f ca="1">INT(DATEDIF(I613,'[1]Bieu 1a'!$J$2,"d")/365)</f>
        <v>28</v>
      </c>
      <c r="K613" s="155" t="s">
        <v>4528</v>
      </c>
      <c r="L613" s="98" t="s">
        <v>4529</v>
      </c>
      <c r="M613" s="53" t="s">
        <v>67</v>
      </c>
      <c r="N613" s="52"/>
      <c r="O613" s="162" t="s">
        <v>438</v>
      </c>
      <c r="P613" s="165"/>
      <c r="Q613" s="165"/>
      <c r="R613" s="49"/>
      <c r="S613" s="162" t="s">
        <v>438</v>
      </c>
      <c r="T613" s="47"/>
      <c r="U613" s="47"/>
      <c r="V613" s="56" t="s">
        <v>438</v>
      </c>
      <c r="W613" s="67" t="s">
        <v>4120</v>
      </c>
      <c r="X613" s="46"/>
      <c r="Y613" s="46"/>
      <c r="Z613" s="46"/>
      <c r="AA613" s="68">
        <f>VLOOKUP(A613,'[1]DANH SÁCH'!$B$8:$AD$841,12,0)</f>
        <v>0</v>
      </c>
      <c r="AB613" s="49" t="str">
        <f>VLOOKUP(A613,'[1]DANH SÁCH'!$B$8:$H$841,6,0)</f>
        <v>TĐ012</v>
      </c>
      <c r="AC613" s="69" t="str">
        <f>VLOOKUP(A613,'[1]DANH SÁCH'!$B$8:$J$841,9,0)</f>
        <v>Chấn thương - Bỏng</v>
      </c>
      <c r="AD613" s="69" t="str">
        <f>VLOOKUP(A613,'[1]DANH SÁCH'!$B$8:$AC$841,9,0)</f>
        <v>Chấn thương - Bỏng</v>
      </c>
      <c r="AE613" s="69" t="str">
        <f>VLOOKUP(A613,'[1]DANH SÁCH'!$B$8:$AD$841,13,0)</f>
        <v>Viên chức</v>
      </c>
      <c r="AF613" s="41"/>
      <c r="AG613" s="42">
        <f>VLOOKUP(A613,'[1]DANH SÁCH'!$B$8:$H$841,7,0)</f>
        <v>0</v>
      </c>
      <c r="AH613" s="45" t="s">
        <v>4054</v>
      </c>
      <c r="AI613" s="42">
        <v>2</v>
      </c>
      <c r="AJ613" s="70"/>
      <c r="AK613" s="69">
        <v>44943</v>
      </c>
      <c r="AL613" s="71" t="s">
        <v>158</v>
      </c>
      <c r="AM613" s="53" t="str">
        <f>VLOOKUP(A613,'[1]DANH SÁCH'!$B$8:$F$841,5,0)</f>
        <v>Điều dưỡng CĐ</v>
      </c>
      <c r="AN613" s="163"/>
      <c r="AO613" s="53" t="s">
        <v>4121</v>
      </c>
      <c r="AP613" s="53"/>
      <c r="AQ613" s="72" t="s">
        <v>113</v>
      </c>
      <c r="AR613" s="47"/>
      <c r="AS613" s="47"/>
      <c r="AT613" s="47"/>
      <c r="AU613" s="47"/>
      <c r="AV613" s="47"/>
      <c r="AW613" s="47"/>
      <c r="AX613" s="47"/>
      <c r="AY613" s="98" t="s">
        <v>85</v>
      </c>
      <c r="AZ613" s="65"/>
      <c r="BA613" s="74"/>
      <c r="BB613" s="74"/>
      <c r="BC613" s="41" t="s">
        <v>128</v>
      </c>
      <c r="BD613" s="64"/>
    </row>
    <row r="614" spans="1:56" ht="40.799999999999997" x14ac:dyDescent="0.3">
      <c r="A614" s="46" t="s">
        <v>4530</v>
      </c>
      <c r="B614" s="42">
        <f t="shared" si="187"/>
        <v>608</v>
      </c>
      <c r="C614" s="116" t="s">
        <v>4531</v>
      </c>
      <c r="D614" s="46" t="s">
        <v>4530</v>
      </c>
      <c r="E614" s="61" t="s">
        <v>4532</v>
      </c>
      <c r="F614" s="64"/>
      <c r="G614" s="49" t="s">
        <v>4533</v>
      </c>
      <c r="H614" s="47"/>
      <c r="I614" s="61" t="s">
        <v>4534</v>
      </c>
      <c r="J614" s="66">
        <f ca="1">INT(DATEDIF(I614,'[1]Bieu 1a'!$J$2,"d")/365)</f>
        <v>28</v>
      </c>
      <c r="K614" s="46" t="s">
        <v>4535</v>
      </c>
      <c r="L614" s="47" t="s">
        <v>4536</v>
      </c>
      <c r="M614" s="56" t="s">
        <v>3778</v>
      </c>
      <c r="N614" s="52"/>
      <c r="O614" s="61" t="s">
        <v>4537</v>
      </c>
      <c r="P614" s="47"/>
      <c r="Q614" s="47"/>
      <c r="R614" s="49"/>
      <c r="S614" s="47"/>
      <c r="T614" s="47"/>
      <c r="U614" s="47"/>
      <c r="V614" s="56" t="s">
        <v>4538</v>
      </c>
      <c r="W614" s="61" t="s">
        <v>3823</v>
      </c>
      <c r="X614" s="46"/>
      <c r="Y614" s="46"/>
      <c r="Z614" s="46"/>
      <c r="AA614" s="68">
        <f>VLOOKUP(A614,'[1]DANH SÁCH'!$B$8:$AD$841,12,0)</f>
        <v>0</v>
      </c>
      <c r="AB614" s="49" t="str">
        <f>VLOOKUP(A614,'[1]DANH SÁCH'!$B$8:$H$841,6,0)</f>
        <v>TĐ012</v>
      </c>
      <c r="AC614" s="69" t="str">
        <f>VLOOKUP(A614,'[1]DANH SÁCH'!$B$8:$J$841,9,0)</f>
        <v>Chấn thương - Bỏng</v>
      </c>
      <c r="AD614" s="69" t="str">
        <f>VLOOKUP(A614,'[1]DANH SÁCH'!$B$8:$AC$841,9,0)</f>
        <v>Chấn thương - Bỏng</v>
      </c>
      <c r="AE614" s="69" t="str">
        <f>VLOOKUP(A614,'[1]DANH SÁCH'!$B$8:$AD$841,13,0)</f>
        <v>Viên chức</v>
      </c>
      <c r="AF614" s="41"/>
      <c r="AG614" s="42">
        <f>VLOOKUP(A614,'[1]DANH SÁCH'!$B$8:$H$841,7,0)</f>
        <v>0</v>
      </c>
      <c r="AH614" s="45" t="s">
        <v>4054</v>
      </c>
      <c r="AI614" s="42">
        <v>2</v>
      </c>
      <c r="AJ614" s="70"/>
      <c r="AK614" s="69">
        <v>45171</v>
      </c>
      <c r="AL614" s="71" t="s">
        <v>158</v>
      </c>
      <c r="AM614" s="53" t="str">
        <f>VLOOKUP(A614,'[1]DANH SÁCH'!$B$8:$F$841,5,0)</f>
        <v>Điều dưỡng CĐ</v>
      </c>
      <c r="AN614" s="47" t="s">
        <v>4212</v>
      </c>
      <c r="AO614" s="61"/>
      <c r="AP614" s="61"/>
      <c r="AQ614" s="47"/>
      <c r="AR614" s="47"/>
      <c r="AS614" s="47"/>
      <c r="AT614" s="47"/>
      <c r="AU614" s="47"/>
      <c r="AV614" s="47"/>
      <c r="AW614" s="47"/>
      <c r="AX614" s="47"/>
      <c r="AY614" s="46" t="s">
        <v>85</v>
      </c>
      <c r="AZ614" s="65"/>
      <c r="BA614" s="47"/>
      <c r="BB614" s="47"/>
      <c r="BC614" s="41"/>
      <c r="BD614" s="64"/>
    </row>
    <row r="615" spans="1:56" ht="40.799999999999997" x14ac:dyDescent="0.3">
      <c r="A615" s="47" t="s">
        <v>4539</v>
      </c>
      <c r="B615" s="42">
        <f t="shared" si="187"/>
        <v>609</v>
      </c>
      <c r="C615" s="49" t="s">
        <v>4540</v>
      </c>
      <c r="D615" s="47" t="s">
        <v>4539</v>
      </c>
      <c r="E615" s="61" t="s">
        <v>4541</v>
      </c>
      <c r="F615" s="64"/>
      <c r="G615" s="49" t="s">
        <v>4542</v>
      </c>
      <c r="H615" s="47"/>
      <c r="I615" s="41" t="s">
        <v>4543</v>
      </c>
      <c r="J615" s="66">
        <f ca="1">INT(DATEDIF(I615,'[1]Bieu 1a'!$J$2,"d")/365)</f>
        <v>28</v>
      </c>
      <c r="K615" s="72" t="s">
        <v>4544</v>
      </c>
      <c r="L615" s="41" t="s">
        <v>4545</v>
      </c>
      <c r="M615" s="56"/>
      <c r="N615" s="52"/>
      <c r="O615" s="56"/>
      <c r="P615" s="47"/>
      <c r="Q615" s="47"/>
      <c r="R615" s="49"/>
      <c r="S615" s="47"/>
      <c r="T615" s="47"/>
      <c r="U615" s="47"/>
      <c r="V615" s="56" t="s">
        <v>862</v>
      </c>
      <c r="W615" s="41" t="s">
        <v>4149</v>
      </c>
      <c r="X615" s="46"/>
      <c r="Y615" s="46"/>
      <c r="Z615" s="46"/>
      <c r="AA615" s="68">
        <f>VLOOKUP(A615,'[1]DANH SÁCH'!$B$8:$AD$841,12,0)</f>
        <v>0</v>
      </c>
      <c r="AB615" s="49" t="str">
        <f>VLOOKUP(A615,'[1]DANH SÁCH'!$B$8:$H$841,6,0)</f>
        <v>TĐ012</v>
      </c>
      <c r="AC615" s="69" t="str">
        <f>VLOOKUP(A615,'[1]DANH SÁCH'!$B$8:$J$841,9,0)</f>
        <v>Chấn thương - Bỏng</v>
      </c>
      <c r="AD615" s="69" t="str">
        <f>VLOOKUP(A615,'[1]DANH SÁCH'!$B$8:$AC$841,9,0)</f>
        <v>Chấn thương - Bỏng</v>
      </c>
      <c r="AE615" s="69" t="str">
        <f>VLOOKUP(A615,'[1]DANH SÁCH'!$B$8:$AD$841,13,0)</f>
        <v>Viên chức</v>
      </c>
      <c r="AF615" s="41"/>
      <c r="AG615" s="42">
        <f>VLOOKUP(A615,'[1]DANH SÁCH'!$B$8:$H$841,7,0)</f>
        <v>0</v>
      </c>
      <c r="AH615" s="45" t="s">
        <v>4054</v>
      </c>
      <c r="AI615" s="42">
        <v>2</v>
      </c>
      <c r="AJ615" s="70"/>
      <c r="AK615" s="69">
        <v>45507</v>
      </c>
      <c r="AL615" s="71" t="s">
        <v>158</v>
      </c>
      <c r="AM615" s="53" t="str">
        <f>VLOOKUP(A615,'[1]DANH SÁCH'!$B$8:$F$841,5,0)</f>
        <v>Điều dưỡng CĐ</v>
      </c>
      <c r="AN615" s="47"/>
      <c r="AO615" s="53" t="s">
        <v>1938</v>
      </c>
      <c r="AP615" s="42">
        <v>2020</v>
      </c>
      <c r="AQ615" s="47"/>
      <c r="AR615" s="47"/>
      <c r="AS615" s="47"/>
      <c r="AT615" s="47"/>
      <c r="AU615" s="47"/>
      <c r="AV615" s="47"/>
      <c r="AW615" s="47"/>
      <c r="AX615" s="47"/>
      <c r="AY615" s="47" t="s">
        <v>127</v>
      </c>
      <c r="AZ615" s="65"/>
      <c r="BA615" s="47"/>
      <c r="BB615" s="47"/>
      <c r="BC615" s="41"/>
      <c r="BD615" s="64"/>
    </row>
    <row r="616" spans="1:56" ht="40.799999999999997" x14ac:dyDescent="0.3">
      <c r="A616" s="46" t="s">
        <v>4546</v>
      </c>
      <c r="B616" s="42">
        <f t="shared" si="187"/>
        <v>610</v>
      </c>
      <c r="C616" s="64" t="s">
        <v>2728</v>
      </c>
      <c r="D616" s="46" t="s">
        <v>4546</v>
      </c>
      <c r="E616" s="61" t="s">
        <v>4547</v>
      </c>
      <c r="F616" s="64"/>
      <c r="G616" s="49" t="s">
        <v>4548</v>
      </c>
      <c r="H616" s="65"/>
      <c r="I616" s="65" t="s">
        <v>4549</v>
      </c>
      <c r="J616" s="66">
        <f ca="1">INT(DATEDIF(I616,'[1]Bieu 1a'!$J$2,"d")/365)</f>
        <v>29</v>
      </c>
      <c r="K616" s="46" t="s">
        <v>4550</v>
      </c>
      <c r="L616" s="46" t="s">
        <v>3750</v>
      </c>
      <c r="M616" s="53" t="s">
        <v>67</v>
      </c>
      <c r="N616" s="52" t="s">
        <v>4551</v>
      </c>
      <c r="O616" s="56"/>
      <c r="P616" s="47" t="s">
        <v>758</v>
      </c>
      <c r="Q616" s="47" t="s">
        <v>71</v>
      </c>
      <c r="R616" s="49"/>
      <c r="S616" s="47" t="s">
        <v>619</v>
      </c>
      <c r="T616" s="47" t="s">
        <v>2015</v>
      </c>
      <c r="U616" s="47" t="s">
        <v>71</v>
      </c>
      <c r="V616" s="56" t="s">
        <v>4552</v>
      </c>
      <c r="W616" s="67" t="s">
        <v>652</v>
      </c>
      <c r="X616" s="67" t="s">
        <v>652</v>
      </c>
      <c r="Y616" s="46"/>
      <c r="Z616" s="46"/>
      <c r="AA616" s="68">
        <f>VLOOKUP(A616,'[1]DANH SÁCH'!$B$8:$AD$841,12,0)</f>
        <v>0</v>
      </c>
      <c r="AB616" s="49" t="str">
        <f>VLOOKUP(A616,'[1]DANH SÁCH'!$B$8:$H$841,6,0)</f>
        <v>TĐ012</v>
      </c>
      <c r="AC616" s="69" t="str">
        <f>VLOOKUP(A616,'[1]DANH SÁCH'!$B$8:$J$841,9,0)</f>
        <v>UB-YHHN</v>
      </c>
      <c r="AD616" s="69" t="str">
        <f>VLOOKUP(A616,'[1]DANH SÁCH'!$B$8:$AC$841,9,0)</f>
        <v>UB-YHHN</v>
      </c>
      <c r="AE616" s="69" t="str">
        <f>VLOOKUP(A616,'[1]DANH SÁCH'!$B$8:$AD$841,13,0)</f>
        <v>Viên chức</v>
      </c>
      <c r="AF616" s="41"/>
      <c r="AG616" s="42">
        <f>VLOOKUP(A616,'[1]DANH SÁCH'!$B$8:$H$841,7,0)</f>
        <v>0</v>
      </c>
      <c r="AH616" s="45" t="e">
        <v>#N/A</v>
      </c>
      <c r="AI616" s="42" t="e">
        <v>#N/A</v>
      </c>
      <c r="AJ616" s="70"/>
      <c r="AK616" s="69" t="e">
        <v>#N/A</v>
      </c>
      <c r="AL616" s="71" t="s">
        <v>158</v>
      </c>
      <c r="AM616" s="53" t="str">
        <f>VLOOKUP(A616,'[1]DANH SÁCH'!$B$8:$F$841,5,0)</f>
        <v>Điều dưỡng CĐ</v>
      </c>
      <c r="AN616" s="53"/>
      <c r="AO616" s="53" t="s">
        <v>1093</v>
      </c>
      <c r="AP616" s="53">
        <v>2017</v>
      </c>
      <c r="AQ616" s="72" t="s">
        <v>113</v>
      </c>
      <c r="AR616" s="47"/>
      <c r="AS616" s="47"/>
      <c r="AT616" s="47"/>
      <c r="AU616" s="47"/>
      <c r="AV616" s="47"/>
      <c r="AW616" s="47"/>
      <c r="AX616" s="47" t="s">
        <v>4553</v>
      </c>
      <c r="AY616" s="73" t="s">
        <v>85</v>
      </c>
      <c r="AZ616" s="65"/>
      <c r="BA616" s="74"/>
      <c r="BB616" s="74"/>
      <c r="BC616" s="61" t="s">
        <v>4131</v>
      </c>
      <c r="BD616" s="62"/>
    </row>
    <row r="617" spans="1:56" ht="40.799999999999997" x14ac:dyDescent="0.3">
      <c r="A617" s="47" t="s">
        <v>4554</v>
      </c>
      <c r="B617" s="42">
        <f t="shared" si="187"/>
        <v>611</v>
      </c>
      <c r="C617" s="49" t="s">
        <v>3300</v>
      </c>
      <c r="D617" s="47" t="s">
        <v>4554</v>
      </c>
      <c r="E617" s="61" t="s">
        <v>4555</v>
      </c>
      <c r="F617" s="64"/>
      <c r="G617" s="49" t="s">
        <v>4556</v>
      </c>
      <c r="H617" s="47"/>
      <c r="I617" s="41" t="s">
        <v>4145</v>
      </c>
      <c r="J617" s="66">
        <f ca="1">INT(DATEDIF(I617,'[1]Bieu 1a'!$J$2,"d")/365)</f>
        <v>26</v>
      </c>
      <c r="K617" s="72" t="s">
        <v>4557</v>
      </c>
      <c r="L617" s="41" t="s">
        <v>4558</v>
      </c>
      <c r="M617" s="56"/>
      <c r="N617" s="52"/>
      <c r="O617" s="56"/>
      <c r="P617" s="47"/>
      <c r="Q617" s="47"/>
      <c r="R617" s="49"/>
      <c r="S617" s="47"/>
      <c r="T617" s="47"/>
      <c r="U617" s="47"/>
      <c r="V617" s="56" t="s">
        <v>4559</v>
      </c>
      <c r="W617" s="41" t="s">
        <v>4149</v>
      </c>
      <c r="X617" s="46"/>
      <c r="Y617" s="46"/>
      <c r="Z617" s="46"/>
      <c r="AA617" s="68">
        <f>VLOOKUP(A617,'[1]DANH SÁCH'!$B$8:$AD$841,12,0)</f>
        <v>0</v>
      </c>
      <c r="AB617" s="49" t="str">
        <f>VLOOKUP(A617,'[1]DANH SÁCH'!$B$8:$H$841,6,0)</f>
        <v>TĐ012</v>
      </c>
      <c r="AC617" s="69" t="str">
        <f>VLOOKUP(A617,'[1]DANH SÁCH'!$B$8:$J$841,9,0)</f>
        <v>Ngoại Thận - Tiết niệu</v>
      </c>
      <c r="AD617" s="69" t="str">
        <f>VLOOKUP(A617,'[1]DANH SÁCH'!$B$8:$AC$841,9,0)</f>
        <v>Ngoại Thận - Tiết niệu</v>
      </c>
      <c r="AE617" s="69" t="str">
        <f>VLOOKUP(A617,'[1]DANH SÁCH'!$B$8:$AD$841,13,0)</f>
        <v>Viên chức</v>
      </c>
      <c r="AF617" s="41"/>
      <c r="AG617" s="42">
        <f>VLOOKUP(A617,'[1]DANH SÁCH'!$B$8:$H$841,7,0)</f>
        <v>0</v>
      </c>
      <c r="AH617" s="45" t="s">
        <v>4054</v>
      </c>
      <c r="AI617" s="42">
        <v>2</v>
      </c>
      <c r="AJ617" s="70"/>
      <c r="AK617" s="69">
        <v>45507</v>
      </c>
      <c r="AL617" s="71" t="s">
        <v>158</v>
      </c>
      <c r="AM617" s="53" t="str">
        <f>VLOOKUP(A617,'[1]DANH SÁCH'!$B$8:$F$841,5,0)</f>
        <v>Điều dưỡng CĐ</v>
      </c>
      <c r="AN617" s="47"/>
      <c r="AO617" s="53" t="s">
        <v>1938</v>
      </c>
      <c r="AP617" s="42">
        <v>2020</v>
      </c>
      <c r="AQ617" s="47"/>
      <c r="AR617" s="47"/>
      <c r="AS617" s="47"/>
      <c r="AT617" s="47"/>
      <c r="AU617" s="47"/>
      <c r="AV617" s="47"/>
      <c r="AW617" s="47"/>
      <c r="AX617" s="47"/>
      <c r="AY617" s="47" t="s">
        <v>87</v>
      </c>
      <c r="AZ617" s="65"/>
      <c r="BA617" s="47"/>
      <c r="BB617" s="47"/>
      <c r="BC617" s="41" t="s">
        <v>4560</v>
      </c>
      <c r="BD617" s="64"/>
    </row>
    <row r="618" spans="1:56" ht="40.799999999999997" x14ac:dyDescent="0.3">
      <c r="A618" s="47" t="s">
        <v>4561</v>
      </c>
      <c r="B618" s="42">
        <f t="shared" si="187"/>
        <v>612</v>
      </c>
      <c r="C618" s="44" t="s">
        <v>4562</v>
      </c>
      <c r="D618" s="47" t="s">
        <v>4561</v>
      </c>
      <c r="E618" s="61" t="s">
        <v>4563</v>
      </c>
      <c r="F618" s="10"/>
      <c r="G618" s="49" t="s">
        <v>4564</v>
      </c>
      <c r="H618" s="47"/>
      <c r="I618" s="154" t="s">
        <v>4565</v>
      </c>
      <c r="J618" s="66">
        <f ca="1">INT(DATEDIF(I618,'[1]Bieu 1a'!$J$2,"d")/365)</f>
        <v>31</v>
      </c>
      <c r="K618" s="155" t="s">
        <v>4566</v>
      </c>
      <c r="L618" s="98" t="s">
        <v>4464</v>
      </c>
      <c r="M618" s="53" t="s">
        <v>67</v>
      </c>
      <c r="N618" s="95"/>
      <c r="O618" s="162" t="s">
        <v>787</v>
      </c>
      <c r="P618" s="165"/>
      <c r="Q618" s="165"/>
      <c r="R618" s="49"/>
      <c r="S618" s="162" t="s">
        <v>787</v>
      </c>
      <c r="T618" s="6"/>
      <c r="U618" s="6"/>
      <c r="V618" s="56" t="s">
        <v>787</v>
      </c>
      <c r="W618" s="67" t="s">
        <v>4120</v>
      </c>
      <c r="X618" s="97"/>
      <c r="Y618" s="97"/>
      <c r="Z618" s="97"/>
      <c r="AA618" s="68">
        <f>VLOOKUP(A618,'[1]DANH SÁCH'!$B$8:$AD$841,12,0)</f>
        <v>0</v>
      </c>
      <c r="AB618" s="49" t="str">
        <f>VLOOKUP(A618,'[1]DANH SÁCH'!$B$8:$H$841,6,0)</f>
        <v>TĐ012</v>
      </c>
      <c r="AC618" s="69" t="str">
        <f>VLOOKUP(A618,'[1]DANH SÁCH'!$B$8:$J$841,9,0)</f>
        <v>Ngoại Thận - Tiết niệu</v>
      </c>
      <c r="AD618" s="69" t="str">
        <f>VLOOKUP(A618,'[1]DANH SÁCH'!$B$8:$AC$841,9,0)</f>
        <v>Ngoại Thận - Tiết niệu</v>
      </c>
      <c r="AE618" s="69" t="str">
        <f>VLOOKUP(A618,'[1]DANH SÁCH'!$B$8:$AD$841,13,0)</f>
        <v>Viên chức</v>
      </c>
      <c r="AF618" s="41"/>
      <c r="AG618" s="42">
        <f>VLOOKUP(A618,'[1]DANH SÁCH'!$B$8:$H$841,7,0)</f>
        <v>0</v>
      </c>
      <c r="AH618" s="45" t="s">
        <v>4054</v>
      </c>
      <c r="AI618" s="42">
        <v>2</v>
      </c>
      <c r="AJ618" s="70"/>
      <c r="AK618" s="69">
        <v>44943</v>
      </c>
      <c r="AL618" s="71" t="s">
        <v>158</v>
      </c>
      <c r="AM618" s="53" t="str">
        <f>VLOOKUP(A618,'[1]DANH SÁCH'!$B$8:$F$841,5,0)</f>
        <v>Điều dưỡng CĐ</v>
      </c>
      <c r="AN618" s="163"/>
      <c r="AO618" s="53" t="s">
        <v>4121</v>
      </c>
      <c r="AP618" s="6"/>
      <c r="AQ618" s="72" t="s">
        <v>113</v>
      </c>
      <c r="AR618" s="6"/>
      <c r="AS618" s="6"/>
      <c r="AT618" s="47"/>
      <c r="AU618" s="6"/>
      <c r="AV618" s="6"/>
      <c r="AW618" s="6"/>
      <c r="AX618" s="6"/>
      <c r="AY618" s="73" t="s">
        <v>127</v>
      </c>
      <c r="AZ618" s="65"/>
      <c r="BA618" s="74"/>
      <c r="BB618" s="74"/>
      <c r="BC618" s="61"/>
      <c r="BD618" s="64"/>
    </row>
    <row r="619" spans="1:56" ht="40.799999999999997" x14ac:dyDescent="0.3">
      <c r="A619" s="46" t="s">
        <v>4567</v>
      </c>
      <c r="B619" s="42">
        <f t="shared" si="187"/>
        <v>613</v>
      </c>
      <c r="C619" s="109" t="s">
        <v>4568</v>
      </c>
      <c r="D619" s="46" t="s">
        <v>4567</v>
      </c>
      <c r="E619" s="61" t="s">
        <v>4569</v>
      </c>
      <c r="F619" s="64"/>
      <c r="G619" s="49" t="s">
        <v>4570</v>
      </c>
      <c r="H619" s="62"/>
      <c r="I619" s="160">
        <v>33315</v>
      </c>
      <c r="J619" s="66">
        <f ca="1">INT(DATEDIF(I619,'[1]Bieu 1a'!$J$2,"d")/365)</f>
        <v>35</v>
      </c>
      <c r="K619" s="155" t="s">
        <v>4571</v>
      </c>
      <c r="L619" s="156" t="s">
        <v>1358</v>
      </c>
      <c r="M619" s="53" t="s">
        <v>67</v>
      </c>
      <c r="N619" s="52"/>
      <c r="O619" s="56" t="s">
        <v>4572</v>
      </c>
      <c r="P619" s="47" t="s">
        <v>1116</v>
      </c>
      <c r="Q619" s="47" t="s">
        <v>71</v>
      </c>
      <c r="R619" s="49"/>
      <c r="S619" s="47"/>
      <c r="T619" s="47"/>
      <c r="U619" s="47"/>
      <c r="V619" s="56" t="s">
        <v>4573</v>
      </c>
      <c r="W619" s="67" t="s">
        <v>652</v>
      </c>
      <c r="X619" s="67" t="s">
        <v>652</v>
      </c>
      <c r="Y619" s="46"/>
      <c r="Z619" s="46"/>
      <c r="AA619" s="68">
        <f>VLOOKUP(A619,'[1]DANH SÁCH'!$B$8:$AD$841,12,0)</f>
        <v>0</v>
      </c>
      <c r="AB619" s="49" t="str">
        <f>VLOOKUP(A619,'[1]DANH SÁCH'!$B$8:$H$841,6,0)</f>
        <v>TĐ012</v>
      </c>
      <c r="AC619" s="69" t="str">
        <f>VLOOKUP(A619,'[1]DANH SÁCH'!$B$8:$J$841,9,0)</f>
        <v>Ngoại TK-LN</v>
      </c>
      <c r="AD619" s="69" t="str">
        <f>VLOOKUP(A619,'[1]DANH SÁCH'!$B$8:$AC$841,9,0)</f>
        <v>Ngoại TK-LN</v>
      </c>
      <c r="AE619" s="69" t="str">
        <f>VLOOKUP(A619,'[1]DANH SÁCH'!$B$8:$AD$841,13,0)</f>
        <v>Viên chức</v>
      </c>
      <c r="AF619" s="41"/>
      <c r="AG619" s="42">
        <f>VLOOKUP(A619,'[1]DANH SÁCH'!$B$8:$H$841,7,0)</f>
        <v>0</v>
      </c>
      <c r="AH619" s="45" t="s">
        <v>1841</v>
      </c>
      <c r="AI619" s="42">
        <v>3</v>
      </c>
      <c r="AJ619" s="70"/>
      <c r="AK619" s="69">
        <v>45870</v>
      </c>
      <c r="AL619" s="71" t="s">
        <v>158</v>
      </c>
      <c r="AM619" s="53" t="str">
        <f>VLOOKUP(A619,'[1]DANH SÁCH'!$B$8:$F$841,5,0)</f>
        <v>Điều dưỡng CĐ</v>
      </c>
      <c r="AN619" s="53"/>
      <c r="AO619" s="53" t="s">
        <v>1093</v>
      </c>
      <c r="AP619" s="53">
        <v>2012</v>
      </c>
      <c r="AQ619" s="72" t="s">
        <v>113</v>
      </c>
      <c r="AR619" s="47"/>
      <c r="AS619" s="47"/>
      <c r="AT619" s="47"/>
      <c r="AU619" s="47"/>
      <c r="AV619" s="47"/>
      <c r="AW619" s="47"/>
      <c r="AX619" s="47"/>
      <c r="AY619" s="47" t="s">
        <v>85</v>
      </c>
      <c r="AZ619" s="65"/>
      <c r="BA619" s="74"/>
      <c r="BB619" s="74"/>
      <c r="BC619" s="41"/>
      <c r="BD619" s="64"/>
    </row>
    <row r="620" spans="1:56" ht="30.6" x14ac:dyDescent="0.3">
      <c r="A620" s="46" t="s">
        <v>4574</v>
      </c>
      <c r="B620" s="42">
        <f t="shared" si="187"/>
        <v>614</v>
      </c>
      <c r="C620" s="116" t="s">
        <v>4575</v>
      </c>
      <c r="D620" s="46" t="s">
        <v>4574</v>
      </c>
      <c r="E620" s="61" t="s">
        <v>4576</v>
      </c>
      <c r="F620" s="64"/>
      <c r="G620" s="49" t="s">
        <v>4577</v>
      </c>
      <c r="H620" s="47"/>
      <c r="I620" s="61" t="s">
        <v>4578</v>
      </c>
      <c r="J620" s="66">
        <f ca="1">INT(DATEDIF(I620,'[1]Bieu 1a'!$J$2,"d")/365)</f>
        <v>27</v>
      </c>
      <c r="K620" s="46" t="s">
        <v>4579</v>
      </c>
      <c r="L620" s="47" t="s">
        <v>4580</v>
      </c>
      <c r="M620" s="56" t="s">
        <v>3778</v>
      </c>
      <c r="N620" s="52"/>
      <c r="O620" s="61" t="s">
        <v>4581</v>
      </c>
      <c r="P620" s="47"/>
      <c r="Q620" s="47"/>
      <c r="R620" s="49"/>
      <c r="S620" s="47"/>
      <c r="T620" s="47"/>
      <c r="U620" s="47"/>
      <c r="V620" s="56" t="s">
        <v>4582</v>
      </c>
      <c r="W620" s="61" t="s">
        <v>3823</v>
      </c>
      <c r="X620" s="46"/>
      <c r="Y620" s="46"/>
      <c r="Z620" s="46"/>
      <c r="AA620" s="68">
        <f>VLOOKUP(A620,'[1]DANH SÁCH'!$B$8:$AD$841,12,0)</f>
        <v>0</v>
      </c>
      <c r="AB620" s="49" t="str">
        <f>VLOOKUP(A620,'[1]DANH SÁCH'!$B$8:$H$841,6,0)</f>
        <v>TĐ012</v>
      </c>
      <c r="AC620" s="69" t="str">
        <f>VLOOKUP(A620,'[1]DANH SÁCH'!$B$8:$J$841,9,0)</f>
        <v>Ngoại Tiêu hóa</v>
      </c>
      <c r="AD620" s="69" t="str">
        <f>VLOOKUP(A620,'[1]DANH SÁCH'!$B$8:$AC$841,9,0)</f>
        <v>Ngoại Tiêu hóa</v>
      </c>
      <c r="AE620" s="69" t="str">
        <f>VLOOKUP(A620,'[1]DANH SÁCH'!$B$8:$AD$841,13,0)</f>
        <v>Viên chức</v>
      </c>
      <c r="AF620" s="41"/>
      <c r="AG620" s="42">
        <f>VLOOKUP(A620,'[1]DANH SÁCH'!$B$8:$H$841,7,0)</f>
        <v>0</v>
      </c>
      <c r="AH620" s="45" t="s">
        <v>1841</v>
      </c>
      <c r="AI620" s="42">
        <v>3</v>
      </c>
      <c r="AJ620" s="70"/>
      <c r="AK620" s="69">
        <v>46083</v>
      </c>
      <c r="AL620" s="71" t="s">
        <v>158</v>
      </c>
      <c r="AM620" s="53" t="str">
        <f>VLOOKUP(A620,'[1]DANH SÁCH'!$B$8:$F$841,5,0)</f>
        <v>Điều dưỡng CĐ</v>
      </c>
      <c r="AN620" s="47" t="s">
        <v>4212</v>
      </c>
      <c r="AO620" s="61" t="s">
        <v>159</v>
      </c>
      <c r="AP620" s="61" t="s">
        <v>4396</v>
      </c>
      <c r="AQ620" s="47"/>
      <c r="AR620" s="47"/>
      <c r="AS620" s="47"/>
      <c r="AT620" s="47"/>
      <c r="AU620" s="47"/>
      <c r="AV620" s="47"/>
      <c r="AW620" s="47"/>
      <c r="AX620" s="47"/>
      <c r="AY620" s="46" t="s">
        <v>85</v>
      </c>
      <c r="AZ620" s="65"/>
      <c r="BA620" s="47"/>
      <c r="BB620" s="47"/>
      <c r="BC620" s="61"/>
      <c r="BD620" s="64"/>
    </row>
    <row r="621" spans="1:56" ht="40.799999999999997" x14ac:dyDescent="0.3">
      <c r="A621" s="46" t="s">
        <v>4583</v>
      </c>
      <c r="B621" s="42">
        <f t="shared" si="187"/>
        <v>615</v>
      </c>
      <c r="C621" s="63" t="s">
        <v>4584</v>
      </c>
      <c r="D621" s="46" t="s">
        <v>4583</v>
      </c>
      <c r="E621" s="61" t="s">
        <v>4585</v>
      </c>
      <c r="F621" s="64"/>
      <c r="G621" s="49" t="s">
        <v>4586</v>
      </c>
      <c r="H621" s="61" t="s">
        <v>4587</v>
      </c>
      <c r="I621" s="149"/>
      <c r="J621" s="66">
        <f ca="1">INT(DATEDIF(H621,'[1]Bieu 1a'!$J$2,"d")/365)</f>
        <v>30</v>
      </c>
      <c r="K621" s="46" t="s">
        <v>4588</v>
      </c>
      <c r="L621" s="47" t="s">
        <v>4589</v>
      </c>
      <c r="M621" s="56" t="s">
        <v>3778</v>
      </c>
      <c r="N621" s="52"/>
      <c r="O621" s="61" t="s">
        <v>705</v>
      </c>
      <c r="P621" s="47"/>
      <c r="Q621" s="47"/>
      <c r="R621" s="49"/>
      <c r="S621" s="47"/>
      <c r="T621" s="47"/>
      <c r="U621" s="47"/>
      <c r="V621" s="56" t="s">
        <v>4590</v>
      </c>
      <c r="W621" s="61" t="s">
        <v>3823</v>
      </c>
      <c r="X621" s="46"/>
      <c r="Y621" s="46"/>
      <c r="Z621" s="46"/>
      <c r="AA621" s="68">
        <f>VLOOKUP(A621,'[1]DANH SÁCH'!$B$8:$AD$841,12,0)</f>
        <v>0</v>
      </c>
      <c r="AB621" s="49" t="str">
        <f>VLOOKUP(A621,'[1]DANH SÁCH'!$B$8:$H$841,6,0)</f>
        <v>TĐ012</v>
      </c>
      <c r="AC621" s="69" t="str">
        <f>VLOOKUP(A621,'[1]DANH SÁCH'!$B$8:$J$841,9,0)</f>
        <v>Ngoại Tiêu hóa</v>
      </c>
      <c r="AD621" s="69" t="str">
        <f>VLOOKUP(A621,'[1]DANH SÁCH'!$B$8:$AC$841,9,0)</f>
        <v>Ngoại Tiêu hóa</v>
      </c>
      <c r="AE621" s="69" t="str">
        <f>VLOOKUP(A621,'[1]DANH SÁCH'!$B$8:$AD$841,13,0)</f>
        <v>HĐ có thời hạn</v>
      </c>
      <c r="AF621" s="41"/>
      <c r="AG621" s="42">
        <f>VLOOKUP(A621,'[1]DANH SÁCH'!$B$8:$H$841,7,0)</f>
        <v>0</v>
      </c>
      <c r="AH621" s="45" t="s">
        <v>4054</v>
      </c>
      <c r="AI621" s="42">
        <v>2</v>
      </c>
      <c r="AJ621" s="70"/>
      <c r="AK621" s="69">
        <v>45171</v>
      </c>
      <c r="AL621" s="71" t="s">
        <v>158</v>
      </c>
      <c r="AM621" s="53" t="str">
        <f>VLOOKUP(A621,'[1]DANH SÁCH'!$B$8:$F$841,5,0)</f>
        <v>Điều dưỡng CĐ</v>
      </c>
      <c r="AN621" s="47" t="s">
        <v>4212</v>
      </c>
      <c r="AO621" s="61"/>
      <c r="AP621" s="61"/>
      <c r="AQ621" s="47"/>
      <c r="AR621" s="47"/>
      <c r="AS621" s="47"/>
      <c r="AT621" s="47"/>
      <c r="AU621" s="47"/>
      <c r="AV621" s="47"/>
      <c r="AW621" s="47"/>
      <c r="AX621" s="47"/>
      <c r="AY621" s="46" t="s">
        <v>127</v>
      </c>
      <c r="AZ621" s="65"/>
      <c r="BA621" s="47"/>
      <c r="BB621" s="47"/>
      <c r="BC621" s="41" t="s">
        <v>351</v>
      </c>
      <c r="BD621" s="64"/>
    </row>
    <row r="622" spans="1:56" ht="40.799999999999997" x14ac:dyDescent="0.3">
      <c r="A622" s="46" t="s">
        <v>4591</v>
      </c>
      <c r="B622" s="42">
        <f t="shared" si="187"/>
        <v>616</v>
      </c>
      <c r="C622" s="53" t="s">
        <v>4592</v>
      </c>
      <c r="D622" s="46" t="s">
        <v>4591</v>
      </c>
      <c r="E622" s="61" t="s">
        <v>4593</v>
      </c>
      <c r="F622" s="10"/>
      <c r="G622" s="49" t="s">
        <v>4594</v>
      </c>
      <c r="H622" s="41" t="s">
        <v>4595</v>
      </c>
      <c r="I622" s="47"/>
      <c r="J622" s="66">
        <f ca="1">INT(DATEDIF(H622,'[1]Bieu 1a'!$J$2,"d")/365)</f>
        <v>33</v>
      </c>
      <c r="K622" s="72" t="s">
        <v>4596</v>
      </c>
      <c r="L622" s="41" t="s">
        <v>4597</v>
      </c>
      <c r="M622" s="158" t="s">
        <v>4598</v>
      </c>
      <c r="N622" s="95"/>
      <c r="O622" s="96"/>
      <c r="P622" s="6"/>
      <c r="Q622" s="6"/>
      <c r="R622" s="49"/>
      <c r="S622" s="6"/>
      <c r="T622" s="6"/>
      <c r="U622" s="6"/>
      <c r="V622" s="56" t="s">
        <v>3917</v>
      </c>
      <c r="W622" s="67" t="s">
        <v>3841</v>
      </c>
      <c r="X622" s="97"/>
      <c r="Y622" s="97"/>
      <c r="Z622" s="97"/>
      <c r="AA622" s="68">
        <f>VLOOKUP(A622,'[1]DANH SÁCH'!$B$8:$AD$841,12,0)</f>
        <v>0</v>
      </c>
      <c r="AB622" s="49" t="str">
        <f>VLOOKUP(A622,'[1]DANH SÁCH'!$B$8:$H$841,6,0)</f>
        <v>TĐ012</v>
      </c>
      <c r="AC622" s="69" t="str">
        <f>VLOOKUP(A622,'[1]DANH SÁCH'!$B$8:$J$841,9,0)</f>
        <v>Ngoại Tiêu hóa</v>
      </c>
      <c r="AD622" s="69" t="str">
        <f>VLOOKUP(A622,'[1]DANH SÁCH'!$B$8:$AC$841,9,0)</f>
        <v>Ngoại Tiêu hóa</v>
      </c>
      <c r="AE622" s="69" t="str">
        <f>VLOOKUP(A622,'[1]DANH SÁCH'!$B$8:$AD$841,13,0)</f>
        <v>Viên chức</v>
      </c>
      <c r="AF622" s="41"/>
      <c r="AG622" s="42">
        <f>VLOOKUP(A622,'[1]DANH SÁCH'!$B$8:$H$841,7,0)</f>
        <v>0</v>
      </c>
      <c r="AH622" s="45" t="s">
        <v>4054</v>
      </c>
      <c r="AI622" s="42">
        <v>2</v>
      </c>
      <c r="AJ622" s="70"/>
      <c r="AK622" s="69">
        <v>45395</v>
      </c>
      <c r="AL622" s="71" t="s">
        <v>158</v>
      </c>
      <c r="AM622" s="53" t="str">
        <f>VLOOKUP(A622,'[1]DANH SÁCH'!$B$8:$F$841,5,0)</f>
        <v>Điều dưỡng CĐ</v>
      </c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73" t="s">
        <v>85</v>
      </c>
      <c r="AZ622" s="65"/>
      <c r="BA622" s="6"/>
      <c r="BB622" s="6"/>
      <c r="BC622" s="41"/>
      <c r="BD622" s="64"/>
    </row>
    <row r="623" spans="1:56" ht="40.799999999999997" x14ac:dyDescent="0.3">
      <c r="A623" s="46" t="s">
        <v>4599</v>
      </c>
      <c r="B623" s="42">
        <f t="shared" si="187"/>
        <v>617</v>
      </c>
      <c r="C623" s="56" t="s">
        <v>4600</v>
      </c>
      <c r="D623" s="46" t="s">
        <v>4599</v>
      </c>
      <c r="E623" s="61" t="s">
        <v>4601</v>
      </c>
      <c r="F623" s="10"/>
      <c r="G623" s="49" t="s">
        <v>4602</v>
      </c>
      <c r="H623" s="47"/>
      <c r="I623" s="46" t="s">
        <v>4603</v>
      </c>
      <c r="J623" s="66">
        <f ca="1">INT(DATEDIF(I623,'[1]Bieu 1a'!$J$2,"d")/365)</f>
        <v>28</v>
      </c>
      <c r="K623" s="94" t="s">
        <v>4604</v>
      </c>
      <c r="L623" s="46" t="s">
        <v>4605</v>
      </c>
      <c r="M623" s="170" t="s">
        <v>4606</v>
      </c>
      <c r="N623" s="95"/>
      <c r="O623" s="96"/>
      <c r="P623" s="6"/>
      <c r="Q623" s="6"/>
      <c r="R623" s="49"/>
      <c r="S623" s="6"/>
      <c r="T623" s="6"/>
      <c r="U623" s="6"/>
      <c r="V623" s="56" t="s">
        <v>4607</v>
      </c>
      <c r="W623" s="67" t="s">
        <v>3841</v>
      </c>
      <c r="X623" s="97"/>
      <c r="Y623" s="97"/>
      <c r="Z623" s="97"/>
      <c r="AA623" s="68">
        <f>VLOOKUP(A623,'[1]DANH SÁCH'!$B$8:$AD$841,12,0)</f>
        <v>0</v>
      </c>
      <c r="AB623" s="49" t="str">
        <f>VLOOKUP(A623,'[1]DANH SÁCH'!$B$8:$H$841,6,0)</f>
        <v>TĐ012</v>
      </c>
      <c r="AC623" s="69" t="str">
        <f>VLOOKUP(A623,'[1]DANH SÁCH'!$B$8:$J$841,9,0)</f>
        <v>Ngoại Tiêu hóa</v>
      </c>
      <c r="AD623" s="69" t="str">
        <f>VLOOKUP(A623,'[1]DANH SÁCH'!$B$8:$AC$841,9,0)</f>
        <v>Ngoại Tiêu hóa</v>
      </c>
      <c r="AE623" s="69" t="str">
        <f>VLOOKUP(A623,'[1]DANH SÁCH'!$B$8:$AD$841,13,0)</f>
        <v>Viên chức</v>
      </c>
      <c r="AF623" s="41"/>
      <c r="AG623" s="42">
        <f>VLOOKUP(A623,'[1]DANH SÁCH'!$B$8:$H$841,7,0)</f>
        <v>0</v>
      </c>
      <c r="AH623" s="45" t="s">
        <v>4054</v>
      </c>
      <c r="AI623" s="42">
        <v>2</v>
      </c>
      <c r="AJ623" s="70"/>
      <c r="AK623" s="69">
        <v>45395</v>
      </c>
      <c r="AL623" s="71" t="s">
        <v>158</v>
      </c>
      <c r="AM623" s="53" t="str">
        <f>VLOOKUP(A623,'[1]DANH SÁCH'!$B$8:$F$841,5,0)</f>
        <v>Điều dưỡng CĐ</v>
      </c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73" t="s">
        <v>85</v>
      </c>
      <c r="AZ623" s="65"/>
      <c r="BA623" s="6"/>
      <c r="BB623" s="6"/>
      <c r="BC623" s="41" t="s">
        <v>890</v>
      </c>
      <c r="BD623" s="64"/>
    </row>
    <row r="624" spans="1:56" ht="40.799999999999997" x14ac:dyDescent="0.3">
      <c r="A624" s="47" t="s">
        <v>4608</v>
      </c>
      <c r="B624" s="42">
        <f t="shared" si="187"/>
        <v>618</v>
      </c>
      <c r="C624" s="49" t="s">
        <v>4609</v>
      </c>
      <c r="D624" s="47" t="s">
        <v>4608</v>
      </c>
      <c r="E624" s="61" t="s">
        <v>4610</v>
      </c>
      <c r="F624" s="64"/>
      <c r="G624" s="49" t="s">
        <v>4611</v>
      </c>
      <c r="H624" s="47"/>
      <c r="I624" s="41" t="s">
        <v>4612</v>
      </c>
      <c r="J624" s="66">
        <f ca="1">INT(DATEDIF(I624,'[1]Bieu 1a'!$J$2,"d")/365)</f>
        <v>28</v>
      </c>
      <c r="K624" s="72" t="s">
        <v>4613</v>
      </c>
      <c r="L624" s="41" t="s">
        <v>4614</v>
      </c>
      <c r="M624" s="56"/>
      <c r="N624" s="52"/>
      <c r="O624" s="56"/>
      <c r="P624" s="47"/>
      <c r="Q624" s="47"/>
      <c r="R624" s="49"/>
      <c r="S624" s="47"/>
      <c r="T624" s="47"/>
      <c r="U624" s="47"/>
      <c r="V624" s="56" t="s">
        <v>4615</v>
      </c>
      <c r="W624" s="41" t="s">
        <v>4149</v>
      </c>
      <c r="X624" s="46"/>
      <c r="Y624" s="46"/>
      <c r="Z624" s="46"/>
      <c r="AA624" s="68">
        <f>VLOOKUP(A624,'[1]DANH SÁCH'!$B$8:$AD$841,12,0)</f>
        <v>0</v>
      </c>
      <c r="AB624" s="49" t="str">
        <f>VLOOKUP(A624,'[1]DANH SÁCH'!$B$8:$H$841,6,0)</f>
        <v>TĐ012</v>
      </c>
      <c r="AC624" s="69" t="str">
        <f>VLOOKUP(A624,'[1]DANH SÁCH'!$B$8:$J$841,9,0)</f>
        <v>Ngoại Tiêu hóa</v>
      </c>
      <c r="AD624" s="69" t="str">
        <f>VLOOKUP(A624,'[1]DANH SÁCH'!$B$8:$AC$841,9,0)</f>
        <v>Ngoại Tiêu hóa</v>
      </c>
      <c r="AE624" s="69" t="str">
        <f>VLOOKUP(A624,'[1]DANH SÁCH'!$B$8:$AD$841,13,0)</f>
        <v>Viên chức</v>
      </c>
      <c r="AF624" s="41"/>
      <c r="AG624" s="42">
        <f>VLOOKUP(A624,'[1]DANH SÁCH'!$B$8:$H$841,7,0)</f>
        <v>0</v>
      </c>
      <c r="AH624" s="45" t="s">
        <v>4054</v>
      </c>
      <c r="AI624" s="42">
        <v>2</v>
      </c>
      <c r="AJ624" s="70"/>
      <c r="AK624" s="69">
        <v>45507</v>
      </c>
      <c r="AL624" s="71" t="s">
        <v>158</v>
      </c>
      <c r="AM624" s="53" t="str">
        <f>VLOOKUP(A624,'[1]DANH SÁCH'!$B$8:$F$841,5,0)</f>
        <v>Điều dưỡng CĐ</v>
      </c>
      <c r="AN624" s="47"/>
      <c r="AO624" s="53" t="s">
        <v>1938</v>
      </c>
      <c r="AP624" s="42">
        <v>2019</v>
      </c>
      <c r="AQ624" s="47"/>
      <c r="AR624" s="47"/>
      <c r="AS624" s="47"/>
      <c r="AT624" s="47"/>
      <c r="AU624" s="47"/>
      <c r="AV624" s="47"/>
      <c r="AW624" s="47"/>
      <c r="AX624" s="47"/>
      <c r="AY624" s="47" t="s">
        <v>85</v>
      </c>
      <c r="AZ624" s="65"/>
      <c r="BA624" s="47"/>
      <c r="BB624" s="47"/>
      <c r="BC624" s="41"/>
      <c r="BD624" s="64"/>
    </row>
    <row r="625" spans="1:56" ht="30.6" x14ac:dyDescent="0.3">
      <c r="A625" s="46" t="s">
        <v>4616</v>
      </c>
      <c r="B625" s="42">
        <f t="shared" si="187"/>
        <v>619</v>
      </c>
      <c r="C625" s="116" t="s">
        <v>4617</v>
      </c>
      <c r="D625" s="46" t="s">
        <v>4616</v>
      </c>
      <c r="E625" s="67">
        <v>2020743056</v>
      </c>
      <c r="F625" s="64">
        <v>2099855583</v>
      </c>
      <c r="G625" s="49" t="s">
        <v>4618</v>
      </c>
      <c r="H625" s="118" t="s">
        <v>4619</v>
      </c>
      <c r="I625" s="76"/>
      <c r="J625" s="66">
        <f ca="1">INT(DATEDIF(H625,'[1]Bieu 1a'!$J$2,"d")/365)</f>
        <v>33</v>
      </c>
      <c r="K625" s="75" t="s">
        <v>4620</v>
      </c>
      <c r="L625" s="83" t="s">
        <v>4621</v>
      </c>
      <c r="M625" s="53" t="s">
        <v>67</v>
      </c>
      <c r="N625" s="66"/>
      <c r="O625" s="53" t="s">
        <v>4193</v>
      </c>
      <c r="P625" s="49" t="s">
        <v>2624</v>
      </c>
      <c r="Q625" s="49" t="s">
        <v>71</v>
      </c>
      <c r="R625" s="49"/>
      <c r="S625" s="49" t="s">
        <v>4193</v>
      </c>
      <c r="T625" s="49" t="s">
        <v>2624</v>
      </c>
      <c r="U625" s="49" t="s">
        <v>71</v>
      </c>
      <c r="V625" s="56" t="s">
        <v>4622</v>
      </c>
      <c r="W625" s="86" t="s">
        <v>4111</v>
      </c>
      <c r="X625" s="41"/>
      <c r="Y625" s="41"/>
      <c r="Z625" s="41"/>
      <c r="AA625" s="68">
        <f>VLOOKUP(A625,'[1]DANH SÁCH'!$B$8:$AD$841,12,0)</f>
        <v>0</v>
      </c>
      <c r="AB625" s="49" t="str">
        <f>VLOOKUP(A625,'[1]DANH SÁCH'!$B$8:$H$841,6,0)</f>
        <v>TĐ012</v>
      </c>
      <c r="AC625" s="69" t="str">
        <f>VLOOKUP(A625,'[1]DANH SÁCH'!$B$8:$J$841,9,0)</f>
        <v>Ngoại TK-LN</v>
      </c>
      <c r="AD625" s="69" t="str">
        <f>VLOOKUP(A625,'[1]DANH SÁCH'!$B$8:$AC$841,9,0)</f>
        <v>Ngoại TK-LN</v>
      </c>
      <c r="AE625" s="69" t="str">
        <f>VLOOKUP(A625,'[1]DANH SÁCH'!$B$8:$AD$841,13,0)</f>
        <v>Viên chức</v>
      </c>
      <c r="AF625" s="41"/>
      <c r="AG625" s="42">
        <f>VLOOKUP(A625,'[1]DANH SÁCH'!$B$8:$H$841,7,0)</f>
        <v>0</v>
      </c>
      <c r="AH625" s="45" t="s">
        <v>1841</v>
      </c>
      <c r="AI625" s="42">
        <v>3</v>
      </c>
      <c r="AJ625" s="70"/>
      <c r="AK625" s="69">
        <v>45075</v>
      </c>
      <c r="AL625" s="71" t="s">
        <v>158</v>
      </c>
      <c r="AM625" s="53" t="str">
        <f>VLOOKUP(A625,'[1]DANH SÁCH'!$B$8:$F$841,5,0)</f>
        <v>Điều dưỡng CĐ</v>
      </c>
      <c r="AN625" s="53"/>
      <c r="AO625" s="53" t="s">
        <v>1093</v>
      </c>
      <c r="AP625" s="53">
        <v>2014</v>
      </c>
      <c r="AQ625" s="72" t="s">
        <v>113</v>
      </c>
      <c r="AR625" s="42"/>
      <c r="AS625" s="42"/>
      <c r="AT625" s="47" t="s">
        <v>139</v>
      </c>
      <c r="AU625" s="42" t="s">
        <v>1230</v>
      </c>
      <c r="AV625" s="42"/>
      <c r="AW625" s="42" t="s">
        <v>86</v>
      </c>
      <c r="AX625" s="42"/>
      <c r="AY625" s="57" t="s">
        <v>85</v>
      </c>
      <c r="AZ625" s="65"/>
      <c r="BA625" s="74" t="e">
        <f>VLOOKUP(A625,#REF!,4,0)</f>
        <v>#REF!</v>
      </c>
      <c r="BB625" s="74" t="e">
        <f>VLOOKUP(A625,#REF!,5,0)</f>
        <v>#REF!</v>
      </c>
      <c r="BC625" s="41"/>
      <c r="BD625" s="64"/>
    </row>
    <row r="626" spans="1:56" ht="30.6" x14ac:dyDescent="0.3">
      <c r="A626" s="46" t="s">
        <v>4623</v>
      </c>
      <c r="B626" s="42">
        <f t="shared" si="187"/>
        <v>620</v>
      </c>
      <c r="C626" s="3" t="s">
        <v>4624</v>
      </c>
      <c r="D626" s="46" t="s">
        <v>4623</v>
      </c>
      <c r="E626" s="61" t="s">
        <v>4625</v>
      </c>
      <c r="F626" s="64"/>
      <c r="G626" s="49" t="s">
        <v>4626</v>
      </c>
      <c r="H626" s="47"/>
      <c r="I626" s="61" t="s">
        <v>4627</v>
      </c>
      <c r="J626" s="66">
        <f ca="1">INT(DATEDIF(I626,'[1]Bieu 1a'!$J$2,"d")/365)</f>
        <v>29</v>
      </c>
      <c r="K626" s="46" t="s">
        <v>4628</v>
      </c>
      <c r="L626" s="47" t="s">
        <v>4629</v>
      </c>
      <c r="M626" s="56" t="s">
        <v>3778</v>
      </c>
      <c r="N626" s="52"/>
      <c r="O626" s="61" t="s">
        <v>4630</v>
      </c>
      <c r="P626" s="47"/>
      <c r="Q626" s="47"/>
      <c r="R626" s="49"/>
      <c r="S626" s="47"/>
      <c r="T626" s="47"/>
      <c r="U626" s="47"/>
      <c r="V626" s="56" t="s">
        <v>4631</v>
      </c>
      <c r="W626" s="61" t="s">
        <v>3823</v>
      </c>
      <c r="X626" s="46"/>
      <c r="Y626" s="46"/>
      <c r="Z626" s="46"/>
      <c r="AA626" s="68">
        <f>VLOOKUP(A626,'[1]DANH SÁCH'!$B$8:$AD$841,12,0)</f>
        <v>0</v>
      </c>
      <c r="AB626" s="49" t="str">
        <f>VLOOKUP(A626,'[1]DANH SÁCH'!$B$8:$H$841,6,0)</f>
        <v>TĐ012</v>
      </c>
      <c r="AC626" s="69" t="str">
        <f>VLOOKUP(A626,'[1]DANH SÁCH'!$B$8:$J$841,9,0)</f>
        <v>Ngoại TK-LN</v>
      </c>
      <c r="AD626" s="69" t="str">
        <f>VLOOKUP(A626,'[1]DANH SÁCH'!$B$8:$AC$841,9,0)</f>
        <v>Ngoại TK-LN</v>
      </c>
      <c r="AE626" s="69" t="str">
        <f>VLOOKUP(A626,'[1]DANH SÁCH'!$B$8:$AD$841,13,0)</f>
        <v>Viên chức</v>
      </c>
      <c r="AF626" s="41"/>
      <c r="AG626" s="42">
        <f>VLOOKUP(A626,'[1]DANH SÁCH'!$B$8:$H$841,7,0)</f>
        <v>0</v>
      </c>
      <c r="AH626" s="45" t="s">
        <v>4054</v>
      </c>
      <c r="AI626" s="42">
        <v>2</v>
      </c>
      <c r="AJ626" s="70"/>
      <c r="AK626" s="69">
        <v>45171</v>
      </c>
      <c r="AL626" s="71" t="s">
        <v>158</v>
      </c>
      <c r="AM626" s="53" t="str">
        <f>VLOOKUP(A626,'[1]DANH SÁCH'!$B$8:$F$841,5,0)</f>
        <v>Điều dưỡng CĐ</v>
      </c>
      <c r="AN626" s="47" t="s">
        <v>4212</v>
      </c>
      <c r="AO626" s="61"/>
      <c r="AP626" s="61"/>
      <c r="AQ626" s="47"/>
      <c r="AR626" s="47"/>
      <c r="AS626" s="47"/>
      <c r="AT626" s="47"/>
      <c r="AU626" s="47"/>
      <c r="AV626" s="47"/>
      <c r="AW626" s="47"/>
      <c r="AX626" s="47"/>
      <c r="AY626" s="46" t="s">
        <v>127</v>
      </c>
      <c r="AZ626" s="65"/>
      <c r="BA626" s="47"/>
      <c r="BB626" s="47"/>
      <c r="BC626" s="41"/>
      <c r="BD626" s="64"/>
    </row>
    <row r="627" spans="1:56" ht="40.799999999999997" x14ac:dyDescent="0.3">
      <c r="A627" s="46" t="s">
        <v>4632</v>
      </c>
      <c r="B627" s="42">
        <f t="shared" si="187"/>
        <v>621</v>
      </c>
      <c r="C627" s="44" t="s">
        <v>4633</v>
      </c>
      <c r="D627" s="46" t="s">
        <v>4632</v>
      </c>
      <c r="E627" s="67">
        <v>2020019517</v>
      </c>
      <c r="F627" s="64">
        <v>2099892390</v>
      </c>
      <c r="G627" s="49" t="s">
        <v>4634</v>
      </c>
      <c r="H627" s="76"/>
      <c r="I627" s="118" t="s">
        <v>4635</v>
      </c>
      <c r="J627" s="66">
        <f ca="1">INT(DATEDIF(I627,'[1]Bieu 1a'!$J$2,"d")/365)</f>
        <v>33</v>
      </c>
      <c r="K627" s="75" t="s">
        <v>4636</v>
      </c>
      <c r="L627" s="83" t="s">
        <v>4637</v>
      </c>
      <c r="M627" s="53" t="s">
        <v>67</v>
      </c>
      <c r="N627" s="66"/>
      <c r="O627" s="53" t="s">
        <v>2579</v>
      </c>
      <c r="P627" s="49" t="s">
        <v>4638</v>
      </c>
      <c r="Q627" s="49" t="s">
        <v>71</v>
      </c>
      <c r="R627" s="49"/>
      <c r="S627" s="49" t="s">
        <v>4639</v>
      </c>
      <c r="T627" s="49" t="s">
        <v>2015</v>
      </c>
      <c r="U627" s="49" t="s">
        <v>71</v>
      </c>
      <c r="V627" s="56" t="s">
        <v>4640</v>
      </c>
      <c r="W627" s="86" t="s">
        <v>4111</v>
      </c>
      <c r="X627" s="41"/>
      <c r="Y627" s="41"/>
      <c r="Z627" s="41"/>
      <c r="AA627" s="68">
        <f>VLOOKUP(A627,'[1]DANH SÁCH'!$B$8:$AD$841,12,0)</f>
        <v>0</v>
      </c>
      <c r="AB627" s="49" t="str">
        <f>VLOOKUP(A627,'[1]DANH SÁCH'!$B$8:$H$841,6,0)</f>
        <v>TĐ012</v>
      </c>
      <c r="AC627" s="69" t="str">
        <f>VLOOKUP(A627,'[1]DANH SÁCH'!$B$8:$J$841,9,0)</f>
        <v>Nhi</v>
      </c>
      <c r="AD627" s="69" t="str">
        <f>VLOOKUP(A627,'[1]DANH SÁCH'!$B$8:$AC$841,9,0)</f>
        <v>Nhi</v>
      </c>
      <c r="AE627" s="69" t="str">
        <f>VLOOKUP(A627,'[1]DANH SÁCH'!$B$8:$AD$841,13,0)</f>
        <v>Viên chức</v>
      </c>
      <c r="AF627" s="41"/>
      <c r="AG627" s="42">
        <f>VLOOKUP(A627,'[1]DANH SÁCH'!$B$8:$H$841,7,0)</f>
        <v>0</v>
      </c>
      <c r="AH627" s="45" t="s">
        <v>1841</v>
      </c>
      <c r="AI627" s="42">
        <v>3</v>
      </c>
      <c r="AJ627" s="70"/>
      <c r="AK627" s="69">
        <v>45075</v>
      </c>
      <c r="AL627" s="71" t="s">
        <v>158</v>
      </c>
      <c r="AM627" s="53" t="str">
        <f>VLOOKUP(A627,'[1]DANH SÁCH'!$B$8:$F$841,5,0)</f>
        <v>Điều dưỡng CĐ</v>
      </c>
      <c r="AN627" s="53"/>
      <c r="AO627" s="53" t="s">
        <v>1093</v>
      </c>
      <c r="AP627" s="53">
        <v>2013</v>
      </c>
      <c r="AQ627" s="72" t="s">
        <v>113</v>
      </c>
      <c r="AR627" s="42"/>
      <c r="AS627" s="42"/>
      <c r="AT627" s="47"/>
      <c r="AU627" s="42" t="s">
        <v>1230</v>
      </c>
      <c r="AV627" s="42"/>
      <c r="AW627" s="42" t="s">
        <v>86</v>
      </c>
      <c r="AX627" s="42"/>
      <c r="AY627" s="57" t="s">
        <v>85</v>
      </c>
      <c r="AZ627" s="65"/>
      <c r="BA627" s="74" t="e">
        <f t="shared" ref="BA627:BA630" si="194">VLOOKUP(A627,#REF!,4,0)</f>
        <v>#REF!</v>
      </c>
      <c r="BB627" s="74" t="e">
        <f t="shared" ref="BB627:BB630" si="195">VLOOKUP(A627,#REF!,5,0)</f>
        <v>#REF!</v>
      </c>
      <c r="BC627" s="41"/>
      <c r="BD627" s="64"/>
    </row>
    <row r="628" spans="1:56" ht="40.799999999999997" x14ac:dyDescent="0.3">
      <c r="A628" s="46" t="s">
        <v>4641</v>
      </c>
      <c r="B628" s="42">
        <f t="shared" si="187"/>
        <v>622</v>
      </c>
      <c r="C628" s="44" t="s">
        <v>4642</v>
      </c>
      <c r="D628" s="46" t="s">
        <v>4641</v>
      </c>
      <c r="E628" s="67">
        <v>2020078872</v>
      </c>
      <c r="F628" s="64">
        <v>2099813023</v>
      </c>
      <c r="G628" s="49" t="s">
        <v>4643</v>
      </c>
      <c r="H628" s="76"/>
      <c r="I628" s="118" t="s">
        <v>4644</v>
      </c>
      <c r="J628" s="66">
        <f ca="1">INT(DATEDIF(I628,'[1]Bieu 1a'!$J$2,"d")/365)</f>
        <v>35</v>
      </c>
      <c r="K628" s="75" t="s">
        <v>4645</v>
      </c>
      <c r="L628" s="83" t="s">
        <v>4646</v>
      </c>
      <c r="M628" s="53" t="s">
        <v>67</v>
      </c>
      <c r="N628" s="66"/>
      <c r="O628" s="53" t="s">
        <v>4647</v>
      </c>
      <c r="P628" s="49" t="s">
        <v>758</v>
      </c>
      <c r="Q628" s="49" t="s">
        <v>71</v>
      </c>
      <c r="R628" s="49"/>
      <c r="S628" s="49" t="s">
        <v>4647</v>
      </c>
      <c r="T628" s="49" t="s">
        <v>758</v>
      </c>
      <c r="U628" s="49" t="s">
        <v>71</v>
      </c>
      <c r="V628" s="56" t="s">
        <v>4648</v>
      </c>
      <c r="W628" s="86" t="s">
        <v>4111</v>
      </c>
      <c r="X628" s="41"/>
      <c r="Y628" s="41"/>
      <c r="Z628" s="41"/>
      <c r="AA628" s="68">
        <f>VLOOKUP(A628,'[1]DANH SÁCH'!$B$8:$AD$841,12,0)</f>
        <v>0</v>
      </c>
      <c r="AB628" s="49" t="str">
        <f>VLOOKUP(A628,'[1]DANH SÁCH'!$B$8:$H$841,6,0)</f>
        <v>TĐ012</v>
      </c>
      <c r="AC628" s="69" t="str">
        <f>VLOOKUP(A628,'[1]DANH SÁCH'!$B$8:$J$841,9,0)</f>
        <v>Nhi</v>
      </c>
      <c r="AD628" s="69" t="str">
        <f>VLOOKUP(A628,'[1]DANH SÁCH'!$B$8:$AC$841,9,0)</f>
        <v>Nhi</v>
      </c>
      <c r="AE628" s="69" t="str">
        <f>VLOOKUP(A628,'[1]DANH SÁCH'!$B$8:$AD$841,13,0)</f>
        <v>Viên chức</v>
      </c>
      <c r="AF628" s="41"/>
      <c r="AG628" s="42">
        <f>VLOOKUP(A628,'[1]DANH SÁCH'!$B$8:$H$841,7,0)</f>
        <v>0</v>
      </c>
      <c r="AH628" s="45" t="s">
        <v>3802</v>
      </c>
      <c r="AI628" s="42">
        <v>3</v>
      </c>
      <c r="AJ628" s="70"/>
      <c r="AK628" s="69">
        <v>45075</v>
      </c>
      <c r="AL628" s="71" t="s">
        <v>158</v>
      </c>
      <c r="AM628" s="53" t="str">
        <f>VLOOKUP(A628,'[1]DANH SÁCH'!$B$8:$F$841,5,0)</f>
        <v>Điều dưỡng CĐ</v>
      </c>
      <c r="AN628" s="53"/>
      <c r="AO628" s="53" t="s">
        <v>1093</v>
      </c>
      <c r="AP628" s="53">
        <v>2017</v>
      </c>
      <c r="AQ628" s="72" t="s">
        <v>113</v>
      </c>
      <c r="AR628" s="42"/>
      <c r="AS628" s="42"/>
      <c r="AT628" s="47"/>
      <c r="AU628" s="42" t="s">
        <v>1230</v>
      </c>
      <c r="AV628" s="42"/>
      <c r="AW628" s="42" t="s">
        <v>86</v>
      </c>
      <c r="AX628" s="42"/>
      <c r="AY628" s="57" t="s">
        <v>85</v>
      </c>
      <c r="AZ628" s="65"/>
      <c r="BA628" s="74" t="e">
        <f t="shared" si="194"/>
        <v>#REF!</v>
      </c>
      <c r="BB628" s="74" t="e">
        <f t="shared" si="195"/>
        <v>#REF!</v>
      </c>
      <c r="BC628" s="41"/>
      <c r="BD628" s="64"/>
    </row>
    <row r="629" spans="1:56" ht="40.799999999999997" x14ac:dyDescent="0.3">
      <c r="A629" s="46" t="s">
        <v>4649</v>
      </c>
      <c r="B629" s="42">
        <f t="shared" si="187"/>
        <v>623</v>
      </c>
      <c r="C629" s="63" t="s">
        <v>4650</v>
      </c>
      <c r="D629" s="46" t="s">
        <v>4649</v>
      </c>
      <c r="E629" s="67">
        <v>2012000292</v>
      </c>
      <c r="F629" s="64"/>
      <c r="G629" s="49" t="s">
        <v>4651</v>
      </c>
      <c r="H629" s="76"/>
      <c r="I629" s="76">
        <v>33531</v>
      </c>
      <c r="J629" s="66">
        <f ca="1">INT(DATEDIF(I629,'[1]Bieu 1a'!$J$2,"d")/365)</f>
        <v>34</v>
      </c>
      <c r="K629" s="75" t="s">
        <v>4652</v>
      </c>
      <c r="L629" s="83" t="s">
        <v>4653</v>
      </c>
      <c r="M629" s="53" t="s">
        <v>67</v>
      </c>
      <c r="N629" s="66"/>
      <c r="O629" s="53" t="s">
        <v>4654</v>
      </c>
      <c r="P629" s="49" t="s">
        <v>1902</v>
      </c>
      <c r="Q629" s="49" t="s">
        <v>71</v>
      </c>
      <c r="R629" s="49"/>
      <c r="S629" s="49" t="s">
        <v>1276</v>
      </c>
      <c r="T629" s="49" t="s">
        <v>74</v>
      </c>
      <c r="U629" s="49" t="s">
        <v>71</v>
      </c>
      <c r="V629" s="56" t="s">
        <v>4186</v>
      </c>
      <c r="W629" s="74">
        <v>41008</v>
      </c>
      <c r="X629" s="41"/>
      <c r="Y629" s="41"/>
      <c r="Z629" s="41"/>
      <c r="AA629" s="68">
        <f>VLOOKUP(A629,'[1]DANH SÁCH'!$B$8:$AD$841,12,0)</f>
        <v>0</v>
      </c>
      <c r="AB629" s="49" t="str">
        <f>VLOOKUP(A629,'[1]DANH SÁCH'!$B$8:$H$841,6,0)</f>
        <v>TĐ012</v>
      </c>
      <c r="AC629" s="69" t="str">
        <f>VLOOKUP(A629,'[1]DANH SÁCH'!$B$8:$J$841,9,0)</f>
        <v>Nhi</v>
      </c>
      <c r="AD629" s="69" t="str">
        <f>VLOOKUP(A629,'[1]DANH SÁCH'!$B$8:$AC$841,9,0)</f>
        <v>Nhi</v>
      </c>
      <c r="AE629" s="69" t="str">
        <f>VLOOKUP(A629,'[1]DANH SÁCH'!$B$8:$AD$841,13,0)</f>
        <v>Viên chức</v>
      </c>
      <c r="AF629" s="41"/>
      <c r="AG629" s="42">
        <f>VLOOKUP(A629,'[1]DANH SÁCH'!$B$8:$H$841,7,0)</f>
        <v>0</v>
      </c>
      <c r="AH629" s="45" t="s">
        <v>4655</v>
      </c>
      <c r="AI629" s="42">
        <v>4</v>
      </c>
      <c r="AJ629" s="70"/>
      <c r="AK629" s="69">
        <v>45208</v>
      </c>
      <c r="AL629" s="71" t="s">
        <v>158</v>
      </c>
      <c r="AM629" s="53" t="str">
        <f>VLOOKUP(A629,'[1]DANH SÁCH'!$B$8:$F$841,5,0)</f>
        <v>Điều dưỡng CĐ</v>
      </c>
      <c r="AN629" s="53"/>
      <c r="AO629" s="53" t="s">
        <v>1093</v>
      </c>
      <c r="AP629" s="53">
        <v>2018</v>
      </c>
      <c r="AQ629" s="72" t="s">
        <v>113</v>
      </c>
      <c r="AR629" s="42"/>
      <c r="AS629" s="42"/>
      <c r="AT629" s="47"/>
      <c r="AU629" s="42" t="s">
        <v>1230</v>
      </c>
      <c r="AV629" s="42"/>
      <c r="AW629" s="42" t="s">
        <v>86</v>
      </c>
      <c r="AX629" s="42"/>
      <c r="AY629" s="57" t="s">
        <v>127</v>
      </c>
      <c r="AZ629" s="65"/>
      <c r="BA629" s="74" t="e">
        <f t="shared" si="194"/>
        <v>#REF!</v>
      </c>
      <c r="BB629" s="74" t="e">
        <f t="shared" si="195"/>
        <v>#REF!</v>
      </c>
      <c r="BC629" s="41"/>
      <c r="BD629" s="64"/>
    </row>
    <row r="630" spans="1:56" ht="30.6" x14ac:dyDescent="0.3">
      <c r="A630" s="46" t="s">
        <v>4656</v>
      </c>
      <c r="B630" s="42">
        <f t="shared" si="187"/>
        <v>624</v>
      </c>
      <c r="C630" s="63" t="s">
        <v>4657</v>
      </c>
      <c r="D630" s="46" t="s">
        <v>4656</v>
      </c>
      <c r="E630" s="67">
        <v>2014001111</v>
      </c>
      <c r="F630" s="64">
        <v>2099891980</v>
      </c>
      <c r="G630" s="49" t="s">
        <v>4658</v>
      </c>
      <c r="H630" s="64"/>
      <c r="I630" s="62">
        <v>33442</v>
      </c>
      <c r="J630" s="66">
        <f ca="1">INT(DATEDIF(I630,'[1]Bieu 1a'!$J$2,"d")/365)</f>
        <v>35</v>
      </c>
      <c r="K630" s="75" t="s">
        <v>4659</v>
      </c>
      <c r="L630" s="46" t="s">
        <v>4660</v>
      </c>
      <c r="M630" s="53" t="s">
        <v>67</v>
      </c>
      <c r="N630" s="66"/>
      <c r="O630" s="56" t="s">
        <v>4661</v>
      </c>
      <c r="P630" s="47" t="s">
        <v>661</v>
      </c>
      <c r="Q630" s="47" t="s">
        <v>71</v>
      </c>
      <c r="R630" s="49"/>
      <c r="S630" s="47" t="s">
        <v>4661</v>
      </c>
      <c r="T630" s="47" t="s">
        <v>661</v>
      </c>
      <c r="U630" s="47" t="s">
        <v>71</v>
      </c>
      <c r="V630" s="56" t="s">
        <v>4662</v>
      </c>
      <c r="W630" s="55" t="s">
        <v>3949</v>
      </c>
      <c r="X630" s="46"/>
      <c r="Y630" s="46"/>
      <c r="Z630" s="46"/>
      <c r="AA630" s="68">
        <f>VLOOKUP(A630,'[1]DANH SÁCH'!$B$8:$AD$841,12,0)</f>
        <v>0</v>
      </c>
      <c r="AB630" s="49" t="str">
        <f>VLOOKUP(A630,'[1]DANH SÁCH'!$B$8:$H$841,6,0)</f>
        <v>TĐ012</v>
      </c>
      <c r="AC630" s="69" t="str">
        <f>VLOOKUP(A630,'[1]DANH SÁCH'!$B$8:$J$841,9,0)</f>
        <v>Nhi</v>
      </c>
      <c r="AD630" s="69" t="str">
        <f>VLOOKUP(A630,'[1]DANH SÁCH'!$B$8:$AC$841,9,0)</f>
        <v>Nhi</v>
      </c>
      <c r="AE630" s="69" t="str">
        <f>VLOOKUP(A630,'[1]DANH SÁCH'!$B$8:$AD$841,13,0)</f>
        <v>Viên chức</v>
      </c>
      <c r="AF630" s="41"/>
      <c r="AG630" s="42">
        <f>VLOOKUP(A630,'[1]DANH SÁCH'!$B$8:$H$841,7,0)</f>
        <v>0</v>
      </c>
      <c r="AH630" s="45" t="s">
        <v>1841</v>
      </c>
      <c r="AI630" s="42">
        <v>3</v>
      </c>
      <c r="AJ630" s="70"/>
      <c r="AK630" s="69">
        <v>45475</v>
      </c>
      <c r="AL630" s="71" t="s">
        <v>158</v>
      </c>
      <c r="AM630" s="53" t="str">
        <f>VLOOKUP(A630,'[1]DANH SÁCH'!$B$8:$F$841,5,0)</f>
        <v>Điều dưỡng CĐ</v>
      </c>
      <c r="AN630" s="53"/>
      <c r="AO630" s="53" t="s">
        <v>1093</v>
      </c>
      <c r="AP630" s="53">
        <v>2012</v>
      </c>
      <c r="AQ630" s="72" t="s">
        <v>113</v>
      </c>
      <c r="AR630" s="47"/>
      <c r="AS630" s="47"/>
      <c r="AT630" s="47"/>
      <c r="AU630" s="42" t="s">
        <v>1230</v>
      </c>
      <c r="AV630" s="42"/>
      <c r="AW630" s="42" t="s">
        <v>86</v>
      </c>
      <c r="AX630" s="47"/>
      <c r="AY630" s="73" t="s">
        <v>127</v>
      </c>
      <c r="AZ630" s="65"/>
      <c r="BA630" s="74" t="e">
        <f t="shared" si="194"/>
        <v>#REF!</v>
      </c>
      <c r="BB630" s="74" t="e">
        <f t="shared" si="195"/>
        <v>#REF!</v>
      </c>
      <c r="BC630" s="41"/>
      <c r="BD630" s="64"/>
    </row>
    <row r="631" spans="1:56" ht="40.799999999999997" x14ac:dyDescent="0.3">
      <c r="A631" s="46" t="s">
        <v>4663</v>
      </c>
      <c r="B631" s="42">
        <f t="shared" si="187"/>
        <v>625</v>
      </c>
      <c r="C631" s="109" t="s">
        <v>4664</v>
      </c>
      <c r="D631" s="46" t="s">
        <v>4663</v>
      </c>
      <c r="E631" s="61" t="s">
        <v>4665</v>
      </c>
      <c r="F631" s="64"/>
      <c r="G631" s="49" t="s">
        <v>4666</v>
      </c>
      <c r="H631" s="62"/>
      <c r="I631" s="160">
        <v>33581</v>
      </c>
      <c r="J631" s="66">
        <f ca="1">INT(DATEDIF(I631,'[1]Bieu 1a'!$J$2,"d")/365)</f>
        <v>34</v>
      </c>
      <c r="K631" s="155" t="s">
        <v>4667</v>
      </c>
      <c r="L631" s="156" t="s">
        <v>4668</v>
      </c>
      <c r="M631" s="53" t="s">
        <v>67</v>
      </c>
      <c r="N631" s="52"/>
      <c r="O631" s="56" t="s">
        <v>4669</v>
      </c>
      <c r="P631" s="47" t="s">
        <v>1116</v>
      </c>
      <c r="Q631" s="47" t="s">
        <v>71</v>
      </c>
      <c r="R631" s="49"/>
      <c r="S631" s="47"/>
      <c r="T631" s="47"/>
      <c r="U631" s="47"/>
      <c r="V631" s="56" t="s">
        <v>4670</v>
      </c>
      <c r="W631" s="67" t="s">
        <v>652</v>
      </c>
      <c r="X631" s="67" t="s">
        <v>652</v>
      </c>
      <c r="Y631" s="46"/>
      <c r="Z631" s="46"/>
      <c r="AA631" s="68">
        <f>VLOOKUP(A631,'[1]DANH SÁCH'!$B$8:$AD$841,12,0)</f>
        <v>0</v>
      </c>
      <c r="AB631" s="49" t="str">
        <f>VLOOKUP(A631,'[1]DANH SÁCH'!$B$8:$H$841,6,0)</f>
        <v>TĐ012</v>
      </c>
      <c r="AC631" s="69" t="str">
        <f>VLOOKUP(A631,'[1]DANH SÁCH'!$B$8:$J$841,9,0)</f>
        <v>Nhi</v>
      </c>
      <c r="AD631" s="69" t="str">
        <f>VLOOKUP(A631,'[1]DANH SÁCH'!$B$8:$AC$841,9,0)</f>
        <v>Nhi</v>
      </c>
      <c r="AE631" s="69" t="str">
        <f>VLOOKUP(A631,'[1]DANH SÁCH'!$B$8:$AD$841,13,0)</f>
        <v>Viên chức</v>
      </c>
      <c r="AF631" s="41"/>
      <c r="AG631" s="42">
        <f>VLOOKUP(A631,'[1]DANH SÁCH'!$B$8:$H$841,7,0)</f>
        <v>0</v>
      </c>
      <c r="AH631" s="45" t="s">
        <v>1841</v>
      </c>
      <c r="AI631" s="42">
        <v>3</v>
      </c>
      <c r="AJ631" s="70"/>
      <c r="AK631" s="69">
        <v>45870</v>
      </c>
      <c r="AL631" s="71" t="s">
        <v>158</v>
      </c>
      <c r="AM631" s="53" t="str">
        <f>VLOOKUP(A631,'[1]DANH SÁCH'!$B$8:$F$841,5,0)</f>
        <v>Điều dưỡng CĐ</v>
      </c>
      <c r="AN631" s="53"/>
      <c r="AO631" s="53" t="s">
        <v>1093</v>
      </c>
      <c r="AP631" s="53">
        <v>2012</v>
      </c>
      <c r="AQ631" s="72" t="s">
        <v>113</v>
      </c>
      <c r="AR631" s="47"/>
      <c r="AS631" s="47"/>
      <c r="AT631" s="47"/>
      <c r="AU631" s="47"/>
      <c r="AV631" s="47"/>
      <c r="AW631" s="47"/>
      <c r="AX631" s="47"/>
      <c r="AY631" s="73" t="s">
        <v>85</v>
      </c>
      <c r="AZ631" s="65"/>
      <c r="BA631" s="74"/>
      <c r="BB631" s="74"/>
      <c r="BC631" s="41"/>
      <c r="BD631" s="64"/>
    </row>
    <row r="632" spans="1:56" ht="40.799999999999997" x14ac:dyDescent="0.3">
      <c r="A632" s="47" t="s">
        <v>4671</v>
      </c>
      <c r="B632" s="42">
        <f t="shared" si="187"/>
        <v>626</v>
      </c>
      <c r="C632" s="161" t="s">
        <v>4672</v>
      </c>
      <c r="D632" s="47" t="s">
        <v>4671</v>
      </c>
      <c r="E632" s="61" t="s">
        <v>4673</v>
      </c>
      <c r="F632" s="10"/>
      <c r="G632" s="49" t="s">
        <v>4674</v>
      </c>
      <c r="H632" s="154" t="s">
        <v>4675</v>
      </c>
      <c r="I632" s="64"/>
      <c r="J632" s="66">
        <f ca="1">INT(DATEDIF(H632,'[1]Bieu 1a'!$J$2,"d")/365)</f>
        <v>28</v>
      </c>
      <c r="K632" s="155" t="s">
        <v>4676</v>
      </c>
      <c r="L632" s="98" t="s">
        <v>4677</v>
      </c>
      <c r="M632" s="53" t="s">
        <v>67</v>
      </c>
      <c r="N632" s="95"/>
      <c r="O632" s="162" t="s">
        <v>489</v>
      </c>
      <c r="P632" s="165"/>
      <c r="Q632" s="165"/>
      <c r="R632" s="49"/>
      <c r="S632" s="162" t="s">
        <v>489</v>
      </c>
      <c r="T632" s="6"/>
      <c r="U632" s="6"/>
      <c r="V632" s="56" t="s">
        <v>489</v>
      </c>
      <c r="W632" s="67" t="s">
        <v>4120</v>
      </c>
      <c r="X632" s="97"/>
      <c r="Y632" s="97"/>
      <c r="Z632" s="97"/>
      <c r="AA632" s="68">
        <f>VLOOKUP(A632,'[1]DANH SÁCH'!$B$8:$AD$841,12,0)</f>
        <v>0</v>
      </c>
      <c r="AB632" s="49" t="str">
        <f>VLOOKUP(A632,'[1]DANH SÁCH'!$B$8:$H$841,6,0)</f>
        <v>TĐ012</v>
      </c>
      <c r="AC632" s="69" t="str">
        <f>VLOOKUP(A632,'[1]DANH SÁCH'!$B$8:$J$841,9,0)</f>
        <v>Nhi</v>
      </c>
      <c r="AD632" s="69" t="str">
        <f>VLOOKUP(A632,'[1]DANH SÁCH'!$B$8:$AC$841,9,0)</f>
        <v>Nhi</v>
      </c>
      <c r="AE632" s="69" t="str">
        <f>VLOOKUP(A632,'[1]DANH SÁCH'!$B$8:$AD$841,13,0)</f>
        <v>Viên chức</v>
      </c>
      <c r="AF632" s="41"/>
      <c r="AG632" s="42">
        <f>VLOOKUP(A632,'[1]DANH SÁCH'!$B$8:$H$841,7,0)</f>
        <v>0</v>
      </c>
      <c r="AH632" s="45" t="s">
        <v>1841</v>
      </c>
      <c r="AI632" s="42">
        <v>3</v>
      </c>
      <c r="AJ632" s="70"/>
      <c r="AK632" s="69">
        <v>45674</v>
      </c>
      <c r="AL632" s="71" t="s">
        <v>158</v>
      </c>
      <c r="AM632" s="53" t="str">
        <f>VLOOKUP(A632,'[1]DANH SÁCH'!$B$8:$F$841,5,0)</f>
        <v>Điều dưỡng CĐ</v>
      </c>
      <c r="AN632" s="163"/>
      <c r="AO632" s="53" t="s">
        <v>4121</v>
      </c>
      <c r="AP632" s="6"/>
      <c r="AQ632" s="72" t="s">
        <v>113</v>
      </c>
      <c r="AR632" s="6"/>
      <c r="AS632" s="6"/>
      <c r="AT632" s="47"/>
      <c r="AU632" s="6"/>
      <c r="AV632" s="6"/>
      <c r="AW632" s="6"/>
      <c r="AX632" s="6"/>
      <c r="AY632" s="98" t="s">
        <v>85</v>
      </c>
      <c r="AZ632" s="65"/>
      <c r="BA632" s="74"/>
      <c r="BB632" s="74"/>
      <c r="BC632" s="41"/>
      <c r="BD632" s="64"/>
    </row>
    <row r="633" spans="1:56" ht="40.799999999999997" x14ac:dyDescent="0.3">
      <c r="A633" s="46" t="s">
        <v>4678</v>
      </c>
      <c r="B633" s="42">
        <f t="shared" si="187"/>
        <v>627</v>
      </c>
      <c r="C633" s="63" t="s">
        <v>4679</v>
      </c>
      <c r="D633" s="46" t="s">
        <v>4678</v>
      </c>
      <c r="E633" s="61" t="s">
        <v>4680</v>
      </c>
      <c r="F633" s="64"/>
      <c r="G633" s="49" t="s">
        <v>4681</v>
      </c>
      <c r="H633" s="61" t="s">
        <v>4682</v>
      </c>
      <c r="I633" s="149"/>
      <c r="J633" s="66">
        <f ca="1">INT(DATEDIF(H633,'[1]Bieu 1a'!$J$2,"d")/365)</f>
        <v>28</v>
      </c>
      <c r="K633" s="46" t="s">
        <v>4683</v>
      </c>
      <c r="L633" s="47" t="s">
        <v>4684</v>
      </c>
      <c r="M633" s="56" t="s">
        <v>3778</v>
      </c>
      <c r="N633" s="52"/>
      <c r="O633" s="61" t="s">
        <v>4685</v>
      </c>
      <c r="P633" s="47"/>
      <c r="Q633" s="47"/>
      <c r="R633" s="49"/>
      <c r="S633" s="47"/>
      <c r="T633" s="47"/>
      <c r="U633" s="47"/>
      <c r="V633" s="56" t="s">
        <v>4686</v>
      </c>
      <c r="W633" s="61" t="s">
        <v>3823</v>
      </c>
      <c r="X633" s="46"/>
      <c r="Y633" s="46"/>
      <c r="Z633" s="46"/>
      <c r="AA633" s="68">
        <f>VLOOKUP(A633,'[1]DANH SÁCH'!$B$8:$AD$841,12,0)</f>
        <v>0</v>
      </c>
      <c r="AB633" s="49" t="str">
        <f>VLOOKUP(A633,'[1]DANH SÁCH'!$B$8:$H$841,6,0)</f>
        <v>TĐ012</v>
      </c>
      <c r="AC633" s="69" t="str">
        <f>VLOOKUP(A633,'[1]DANH SÁCH'!$B$8:$J$841,9,0)</f>
        <v>Nhi</v>
      </c>
      <c r="AD633" s="69" t="str">
        <f>VLOOKUP(A633,'[1]DANH SÁCH'!$B$8:$AC$841,9,0)</f>
        <v>Nhi</v>
      </c>
      <c r="AE633" s="69" t="str">
        <f>VLOOKUP(A633,'[1]DANH SÁCH'!$B$8:$AD$841,13,0)</f>
        <v>Viên chức</v>
      </c>
      <c r="AF633" s="41"/>
      <c r="AG633" s="42">
        <f>VLOOKUP(A633,'[1]DANH SÁCH'!$B$8:$H$841,7,0)</f>
        <v>0</v>
      </c>
      <c r="AH633" s="45" t="s">
        <v>4054</v>
      </c>
      <c r="AI633" s="42">
        <v>2</v>
      </c>
      <c r="AJ633" s="70"/>
      <c r="AK633" s="69">
        <v>45171</v>
      </c>
      <c r="AL633" s="71" t="s">
        <v>158</v>
      </c>
      <c r="AM633" s="53" t="str">
        <f>VLOOKUP(A633,'[1]DANH SÁCH'!$B$8:$F$841,5,0)</f>
        <v>Điều dưỡng CĐ</v>
      </c>
      <c r="AN633" s="47" t="s">
        <v>4212</v>
      </c>
      <c r="AO633" s="61" t="s">
        <v>159</v>
      </c>
      <c r="AP633" s="61" t="s">
        <v>4396</v>
      </c>
      <c r="AQ633" s="47"/>
      <c r="AR633" s="47"/>
      <c r="AS633" s="47"/>
      <c r="AT633" s="47"/>
      <c r="AU633" s="47"/>
      <c r="AV633" s="47"/>
      <c r="AW633" s="47"/>
      <c r="AX633" s="47"/>
      <c r="AY633" s="46" t="s">
        <v>127</v>
      </c>
      <c r="AZ633" s="65"/>
      <c r="BA633" s="47"/>
      <c r="BB633" s="47"/>
      <c r="BC633" s="41"/>
      <c r="BD633" s="64"/>
    </row>
    <row r="634" spans="1:56" ht="31.2" x14ac:dyDescent="0.3">
      <c r="A634" s="46" t="s">
        <v>4687</v>
      </c>
      <c r="B634" s="42">
        <f t="shared" si="187"/>
        <v>628</v>
      </c>
      <c r="C634" s="53" t="s">
        <v>4688</v>
      </c>
      <c r="D634" s="46" t="s">
        <v>4687</v>
      </c>
      <c r="E634" s="61" t="s">
        <v>4689</v>
      </c>
      <c r="F634" s="10"/>
      <c r="G634" s="49" t="s">
        <v>4690</v>
      </c>
      <c r="H634" s="47"/>
      <c r="I634" s="41" t="s">
        <v>4691</v>
      </c>
      <c r="J634" s="66">
        <f ca="1">INT(DATEDIF(I634,'[1]Bieu 1a'!$J$2,"d")/365)</f>
        <v>35</v>
      </c>
      <c r="K634" s="72" t="s">
        <v>4692</v>
      </c>
      <c r="L634" s="41" t="s">
        <v>4693</v>
      </c>
      <c r="M634" s="158" t="s">
        <v>4694</v>
      </c>
      <c r="N634" s="95"/>
      <c r="O634" s="96"/>
      <c r="P634" s="6"/>
      <c r="Q634" s="6"/>
      <c r="R634" s="49"/>
      <c r="S634" s="6"/>
      <c r="T634" s="6"/>
      <c r="U634" s="6"/>
      <c r="V634" s="56" t="s">
        <v>4695</v>
      </c>
      <c r="W634" s="67" t="s">
        <v>3841</v>
      </c>
      <c r="X634" s="97"/>
      <c r="Y634" s="97"/>
      <c r="Z634" s="97"/>
      <c r="AA634" s="68">
        <f>VLOOKUP(A634,'[1]DANH SÁCH'!$B$8:$AD$841,12,0)</f>
        <v>0</v>
      </c>
      <c r="AB634" s="49" t="str">
        <f>VLOOKUP(A634,'[1]DANH SÁCH'!$B$8:$H$841,6,0)</f>
        <v>TĐ012</v>
      </c>
      <c r="AC634" s="69" t="str">
        <f>VLOOKUP(A634,'[1]DANH SÁCH'!$B$8:$J$841,9,0)</f>
        <v>Nhi</v>
      </c>
      <c r="AD634" s="69" t="str">
        <f>VLOOKUP(A634,'[1]DANH SÁCH'!$B$8:$AC$841,9,0)</f>
        <v>Nhi</v>
      </c>
      <c r="AE634" s="69" t="str">
        <f>VLOOKUP(A634,'[1]DANH SÁCH'!$B$8:$AD$841,13,0)</f>
        <v>Viên chức</v>
      </c>
      <c r="AF634" s="41"/>
      <c r="AG634" s="42">
        <f>VLOOKUP(A634,'[1]DANH SÁCH'!$B$8:$H$841,7,0)</f>
        <v>0</v>
      </c>
      <c r="AH634" s="45" t="s">
        <v>4054</v>
      </c>
      <c r="AI634" s="42">
        <v>2</v>
      </c>
      <c r="AJ634" s="70"/>
      <c r="AK634" s="69">
        <v>45395</v>
      </c>
      <c r="AL634" s="71" t="s">
        <v>158</v>
      </c>
      <c r="AM634" s="53" t="str">
        <f>VLOOKUP(A634,'[1]DANH SÁCH'!$B$8:$F$841,5,0)</f>
        <v>Điều dưỡng CĐ</v>
      </c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73" t="s">
        <v>127</v>
      </c>
      <c r="AZ634" s="65"/>
      <c r="BA634" s="6"/>
      <c r="BB634" s="6"/>
      <c r="BC634" s="61"/>
      <c r="BD634" s="64"/>
    </row>
    <row r="635" spans="1:56" ht="40.799999999999997" x14ac:dyDescent="0.3">
      <c r="A635" s="47" t="s">
        <v>4696</v>
      </c>
      <c r="B635" s="42">
        <f t="shared" si="187"/>
        <v>629</v>
      </c>
      <c r="C635" s="110" t="s">
        <v>4697</v>
      </c>
      <c r="D635" s="47" t="s">
        <v>4696</v>
      </c>
      <c r="E635" s="61" t="s">
        <v>4698</v>
      </c>
      <c r="F635" s="64"/>
      <c r="G635" s="49" t="s">
        <v>4699</v>
      </c>
      <c r="H635" s="47"/>
      <c r="I635" s="65">
        <v>36220</v>
      </c>
      <c r="J635" s="66">
        <f ca="1">INT(DATEDIF(I635,'[1]Bieu 1a'!$J$2,"d")/365)</f>
        <v>27</v>
      </c>
      <c r="K635" s="46" t="s">
        <v>4700</v>
      </c>
      <c r="L635" s="65">
        <v>41864</v>
      </c>
      <c r="M635" s="56"/>
      <c r="N635" s="52"/>
      <c r="O635" s="56"/>
      <c r="P635" s="47"/>
      <c r="Q635" s="47"/>
      <c r="R635" s="49"/>
      <c r="S635" s="47"/>
      <c r="T635" s="47"/>
      <c r="U635" s="47"/>
      <c r="V635" s="56" t="s">
        <v>4701</v>
      </c>
      <c r="W635" s="147">
        <v>44151</v>
      </c>
      <c r="X635" s="46"/>
      <c r="Y635" s="46"/>
      <c r="Z635" s="46"/>
      <c r="AA635" s="68">
        <f>VLOOKUP(A635,'[1]DANH SÁCH'!$B$8:$AD$841,12,0)</f>
        <v>0</v>
      </c>
      <c r="AB635" s="49" t="str">
        <f>VLOOKUP(A635,'[1]DANH SÁCH'!$B$8:$H$841,6,0)</f>
        <v>TĐ012</v>
      </c>
      <c r="AC635" s="69" t="str">
        <f>VLOOKUP(A635,'[1]DANH SÁCH'!$B$8:$J$841,9,0)</f>
        <v>Nhi</v>
      </c>
      <c r="AD635" s="69" t="str">
        <f>VLOOKUP(A635,'[1]DANH SÁCH'!$B$8:$AC$841,9,0)</f>
        <v>Nhi</v>
      </c>
      <c r="AE635" s="69" t="str">
        <f>VLOOKUP(A635,'[1]DANH SÁCH'!$B$8:$AD$841,13,0)</f>
        <v>Viên chức</v>
      </c>
      <c r="AF635" s="41"/>
      <c r="AG635" s="42">
        <f>VLOOKUP(A635,'[1]DANH SÁCH'!$B$8:$H$841,7,0)</f>
        <v>0</v>
      </c>
      <c r="AH635" s="45" t="s">
        <v>4054</v>
      </c>
      <c r="AI635" s="42">
        <v>2</v>
      </c>
      <c r="AJ635" s="70"/>
      <c r="AK635" s="69">
        <v>45520</v>
      </c>
      <c r="AL635" s="71" t="s">
        <v>158</v>
      </c>
      <c r="AM635" s="53" t="str">
        <f>VLOOKUP(A635,'[1]DANH SÁCH'!$B$8:$F$841,5,0)</f>
        <v>Điều dưỡng CĐ</v>
      </c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 t="s">
        <v>85</v>
      </c>
      <c r="AZ635" s="65"/>
      <c r="BA635" s="47"/>
      <c r="BB635" s="47"/>
      <c r="BC635" s="61"/>
      <c r="BD635" s="64"/>
    </row>
    <row r="636" spans="1:56" ht="40.799999999999997" x14ac:dyDescent="0.3">
      <c r="A636" s="46" t="s">
        <v>4702</v>
      </c>
      <c r="B636" s="42">
        <f t="shared" si="187"/>
        <v>630</v>
      </c>
      <c r="C636" s="109" t="s">
        <v>4703</v>
      </c>
      <c r="D636" s="46" t="s">
        <v>4702</v>
      </c>
      <c r="E636" s="61" t="s">
        <v>4704</v>
      </c>
      <c r="F636" s="64"/>
      <c r="G636" s="49" t="s">
        <v>4705</v>
      </c>
      <c r="H636" s="62"/>
      <c r="I636" s="160">
        <v>35598</v>
      </c>
      <c r="J636" s="66">
        <f ca="1">INT(DATEDIF(I636,'[1]Bieu 1a'!$J$2,"d")/365)</f>
        <v>29</v>
      </c>
      <c r="K636" s="155" t="s">
        <v>4706</v>
      </c>
      <c r="L636" s="156" t="s">
        <v>4707</v>
      </c>
      <c r="M636" s="53" t="s">
        <v>67</v>
      </c>
      <c r="N636" s="52"/>
      <c r="O636" s="56" t="s">
        <v>4708</v>
      </c>
      <c r="P636" s="47" t="s">
        <v>221</v>
      </c>
      <c r="Q636" s="47" t="s">
        <v>71</v>
      </c>
      <c r="R636" s="49"/>
      <c r="S636" s="47"/>
      <c r="T636" s="47"/>
      <c r="U636" s="47"/>
      <c r="V636" s="56" t="s">
        <v>4709</v>
      </c>
      <c r="W636" s="67" t="s">
        <v>652</v>
      </c>
      <c r="X636" s="67" t="s">
        <v>652</v>
      </c>
      <c r="Y636" s="46"/>
      <c r="Z636" s="46"/>
      <c r="AA636" s="68">
        <f>VLOOKUP(A636,'[1]DANH SÁCH'!$B$8:$AD$841,12,0)</f>
        <v>0</v>
      </c>
      <c r="AB636" s="49" t="str">
        <f>VLOOKUP(A636,'[1]DANH SÁCH'!$B$8:$H$841,6,0)</f>
        <v>TĐ012</v>
      </c>
      <c r="AC636" s="69" t="str">
        <f>VLOOKUP(A636,'[1]DANH SÁCH'!$B$8:$J$841,9,0)</f>
        <v>Tâm thần - Thần kinh</v>
      </c>
      <c r="AD636" s="69" t="str">
        <f>VLOOKUP(A636,'[1]DANH SÁCH'!$B$8:$AC$841,9,0)</f>
        <v>Tâm thần - Thần kinh</v>
      </c>
      <c r="AE636" s="69" t="str">
        <f>VLOOKUP(A636,'[1]DANH SÁCH'!$B$8:$AD$841,13,0)</f>
        <v>Viên chức</v>
      </c>
      <c r="AF636" s="41"/>
      <c r="AG636" s="42">
        <f>VLOOKUP(A636,'[1]DANH SÁCH'!$B$8:$H$841,7,0)</f>
        <v>0</v>
      </c>
      <c r="AH636" s="45" t="s">
        <v>1841</v>
      </c>
      <c r="AI636" s="42">
        <v>3</v>
      </c>
      <c r="AJ636" s="70"/>
      <c r="AK636" s="69">
        <v>45870</v>
      </c>
      <c r="AL636" s="71" t="s">
        <v>158</v>
      </c>
      <c r="AM636" s="53" t="str">
        <f>VLOOKUP(A636,'[1]DANH SÁCH'!$B$8:$F$841,5,0)</f>
        <v>Điều dưỡng CĐ</v>
      </c>
      <c r="AN636" s="53"/>
      <c r="AO636" s="53" t="s">
        <v>1093</v>
      </c>
      <c r="AP636" s="53">
        <v>2018</v>
      </c>
      <c r="AQ636" s="72" t="s">
        <v>113</v>
      </c>
      <c r="AR636" s="47"/>
      <c r="AS636" s="47"/>
      <c r="AT636" s="47"/>
      <c r="AU636" s="47"/>
      <c r="AV636" s="64"/>
      <c r="AW636" s="47"/>
      <c r="AX636" s="47"/>
      <c r="AY636" s="73" t="s">
        <v>85</v>
      </c>
      <c r="AZ636" s="65"/>
      <c r="BA636" s="74" t="e">
        <f>VLOOKUP(A636,#REF!,4,0)</f>
        <v>#REF!</v>
      </c>
      <c r="BB636" s="74" t="e">
        <f>VLOOKUP(A636,#REF!,5,0)</f>
        <v>#REF!</v>
      </c>
      <c r="BC636" s="41"/>
      <c r="BD636" s="64"/>
    </row>
    <row r="637" spans="1:56" ht="40.799999999999997" x14ac:dyDescent="0.3">
      <c r="A637" s="47" t="s">
        <v>4710</v>
      </c>
      <c r="B637" s="42">
        <f t="shared" si="187"/>
        <v>631</v>
      </c>
      <c r="C637" s="161" t="s">
        <v>4711</v>
      </c>
      <c r="D637" s="47" t="s">
        <v>4710</v>
      </c>
      <c r="E637" s="61" t="s">
        <v>4712</v>
      </c>
      <c r="F637" s="64"/>
      <c r="G637" s="49" t="s">
        <v>4713</v>
      </c>
      <c r="H637" s="76"/>
      <c r="I637" s="154" t="s">
        <v>4714</v>
      </c>
      <c r="J637" s="66">
        <f ca="1">INT(DATEDIF(I637,'[1]Bieu 1a'!$J$2,"d")/365)</f>
        <v>29</v>
      </c>
      <c r="K637" s="155" t="s">
        <v>4715</v>
      </c>
      <c r="L637" s="98" t="s">
        <v>4716</v>
      </c>
      <c r="M637" s="53" t="s">
        <v>67</v>
      </c>
      <c r="N637" s="66"/>
      <c r="O637" s="162" t="s">
        <v>4430</v>
      </c>
      <c r="P637" s="151"/>
      <c r="Q637" s="151"/>
      <c r="R637" s="49"/>
      <c r="S637" s="162" t="s">
        <v>4430</v>
      </c>
      <c r="T637" s="76"/>
      <c r="U637" s="76"/>
      <c r="V637" s="56" t="s">
        <v>3822</v>
      </c>
      <c r="W637" s="67" t="s">
        <v>4120</v>
      </c>
      <c r="X637" s="41"/>
      <c r="Y637" s="41"/>
      <c r="Z637" s="41"/>
      <c r="AA637" s="68">
        <f>VLOOKUP(A637,'[1]DANH SÁCH'!$B$8:$AD$841,12,0)</f>
        <v>0</v>
      </c>
      <c r="AB637" s="49" t="str">
        <f>VLOOKUP(A637,'[1]DANH SÁCH'!$B$8:$H$841,6,0)</f>
        <v>TĐ012</v>
      </c>
      <c r="AC637" s="69" t="str">
        <f>VLOOKUP(A637,'[1]DANH SÁCH'!$B$8:$J$841,9,0)</f>
        <v>Tâm thần - Thần kinh</v>
      </c>
      <c r="AD637" s="69" t="str">
        <f>VLOOKUP(A637,'[1]DANH SÁCH'!$B$8:$AC$841,9,0)</f>
        <v>Tâm thần - Thần kinh</v>
      </c>
      <c r="AE637" s="69" t="str">
        <f>VLOOKUP(A637,'[1]DANH SÁCH'!$B$8:$AD$841,13,0)</f>
        <v>Viên chức</v>
      </c>
      <c r="AF637" s="41"/>
      <c r="AG637" s="42">
        <f>VLOOKUP(A637,'[1]DANH SÁCH'!$B$8:$H$841,7,0)</f>
        <v>0</v>
      </c>
      <c r="AH637" s="45" t="s">
        <v>1841</v>
      </c>
      <c r="AI637" s="42">
        <v>3</v>
      </c>
      <c r="AJ637" s="70"/>
      <c r="AK637" s="69">
        <v>45855</v>
      </c>
      <c r="AL637" s="71" t="s">
        <v>158</v>
      </c>
      <c r="AM637" s="53" t="str">
        <f>VLOOKUP(A637,'[1]DANH SÁCH'!$B$8:$F$841,5,0)</f>
        <v>Điều dưỡng CĐ</v>
      </c>
      <c r="AN637" s="163"/>
      <c r="AO637" s="53" t="s">
        <v>4121</v>
      </c>
      <c r="AP637" s="53"/>
      <c r="AQ637" s="72" t="s">
        <v>113</v>
      </c>
      <c r="AR637" s="42"/>
      <c r="AS637" s="42"/>
      <c r="AT637" s="47"/>
      <c r="AU637" s="42"/>
      <c r="AV637" s="42"/>
      <c r="AW637" s="42"/>
      <c r="AX637" s="42"/>
      <c r="AY637" s="98" t="s">
        <v>85</v>
      </c>
      <c r="AZ637" s="65"/>
      <c r="BA637" s="74"/>
      <c r="BB637" s="74"/>
      <c r="BC637" s="41"/>
      <c r="BD637" s="64"/>
    </row>
    <row r="638" spans="1:56" ht="40.799999999999997" x14ac:dyDescent="0.3">
      <c r="A638" s="46" t="s">
        <v>4717</v>
      </c>
      <c r="B638" s="42">
        <f t="shared" si="187"/>
        <v>632</v>
      </c>
      <c r="C638" s="116" t="s">
        <v>4718</v>
      </c>
      <c r="D638" s="46" t="s">
        <v>4717</v>
      </c>
      <c r="E638" s="61" t="s">
        <v>4719</v>
      </c>
      <c r="F638" s="64"/>
      <c r="G638" s="49" t="s">
        <v>4720</v>
      </c>
      <c r="H638" s="47"/>
      <c r="I638" s="61" t="s">
        <v>4721</v>
      </c>
      <c r="J638" s="66">
        <f ca="1">INT(DATEDIF(I638,'[1]Bieu 1a'!$J$2,"d")/365)</f>
        <v>28</v>
      </c>
      <c r="K638" s="46" t="s">
        <v>4722</v>
      </c>
      <c r="L638" s="47" t="s">
        <v>4723</v>
      </c>
      <c r="M638" s="56" t="s">
        <v>3778</v>
      </c>
      <c r="N638" s="52"/>
      <c r="O638" s="61" t="s">
        <v>4724</v>
      </c>
      <c r="P638" s="47"/>
      <c r="Q638" s="47"/>
      <c r="R638" s="49"/>
      <c r="S638" s="47"/>
      <c r="T638" s="47"/>
      <c r="U638" s="47"/>
      <c r="V638" s="56" t="s">
        <v>4264</v>
      </c>
      <c r="W638" s="61" t="s">
        <v>3823</v>
      </c>
      <c r="X638" s="46"/>
      <c r="Y638" s="46"/>
      <c r="Z638" s="46"/>
      <c r="AA638" s="68">
        <f>VLOOKUP(A638,'[1]DANH SÁCH'!$B$8:$AD$841,12,0)</f>
        <v>0</v>
      </c>
      <c r="AB638" s="49" t="str">
        <f>VLOOKUP(A638,'[1]DANH SÁCH'!$B$8:$H$841,6,0)</f>
        <v>TĐ012</v>
      </c>
      <c r="AC638" s="69" t="str">
        <f>VLOOKUP(A638,'[1]DANH SÁCH'!$B$8:$J$841,9,0)</f>
        <v>Tâm thần - Thần kinh</v>
      </c>
      <c r="AD638" s="69" t="str">
        <f>VLOOKUP(A638,'[1]DANH SÁCH'!$B$8:$AC$841,9,0)</f>
        <v>Tâm thần - Thần kinh</v>
      </c>
      <c r="AE638" s="69" t="str">
        <f>VLOOKUP(A638,'[1]DANH SÁCH'!$B$8:$AD$841,13,0)</f>
        <v>Viên chức</v>
      </c>
      <c r="AF638" s="41"/>
      <c r="AG638" s="42">
        <f>VLOOKUP(A638,'[1]DANH SÁCH'!$B$8:$H$841,7,0)</f>
        <v>0</v>
      </c>
      <c r="AH638" s="45" t="s">
        <v>4054</v>
      </c>
      <c r="AI638" s="42">
        <v>2</v>
      </c>
      <c r="AJ638" s="70"/>
      <c r="AK638" s="69">
        <v>45171</v>
      </c>
      <c r="AL638" s="71" t="s">
        <v>158</v>
      </c>
      <c r="AM638" s="53" t="str">
        <f>VLOOKUP(A638,'[1]DANH SÁCH'!$B$8:$F$841,5,0)</f>
        <v>Điều dưỡng CĐ</v>
      </c>
      <c r="AN638" s="47" t="s">
        <v>4212</v>
      </c>
      <c r="AO638" s="61" t="s">
        <v>159</v>
      </c>
      <c r="AP638" s="61" t="s">
        <v>4347</v>
      </c>
      <c r="AQ638" s="47"/>
      <c r="AR638" s="47"/>
      <c r="AS638" s="47"/>
      <c r="AT638" s="47"/>
      <c r="AU638" s="47"/>
      <c r="AV638" s="47"/>
      <c r="AW638" s="47"/>
      <c r="AX638" s="47"/>
      <c r="AY638" s="46" t="s">
        <v>127</v>
      </c>
      <c r="AZ638" s="65"/>
      <c r="BA638" s="47"/>
      <c r="BB638" s="47"/>
      <c r="BC638" s="41"/>
      <c r="BD638" s="64"/>
    </row>
    <row r="639" spans="1:56" ht="40.799999999999997" x14ac:dyDescent="0.3">
      <c r="A639" s="47" t="s">
        <v>4725</v>
      </c>
      <c r="B639" s="42">
        <f t="shared" si="187"/>
        <v>633</v>
      </c>
      <c r="C639" s="64" t="s">
        <v>4726</v>
      </c>
      <c r="D639" s="47" t="s">
        <v>4725</v>
      </c>
      <c r="E639" s="61" t="s">
        <v>4727</v>
      </c>
      <c r="F639" s="64"/>
      <c r="G639" s="49" t="s">
        <v>4728</v>
      </c>
      <c r="H639" s="47"/>
      <c r="I639" s="46" t="s">
        <v>4729</v>
      </c>
      <c r="J639" s="66">
        <f ca="1">INT(DATEDIF(I639,'[1]Bieu 1a'!$J$2,"d")/365)</f>
        <v>37</v>
      </c>
      <c r="K639" s="94" t="s">
        <v>4730</v>
      </c>
      <c r="L639" s="46" t="s">
        <v>4729</v>
      </c>
      <c r="M639" s="56"/>
      <c r="N639" s="52"/>
      <c r="O639" s="56"/>
      <c r="P639" s="47"/>
      <c r="Q639" s="47"/>
      <c r="R639" s="49"/>
      <c r="S639" s="47"/>
      <c r="T639" s="47"/>
      <c r="U639" s="47"/>
      <c r="V639" s="56" t="s">
        <v>4731</v>
      </c>
      <c r="W639" s="41" t="s">
        <v>4149</v>
      </c>
      <c r="X639" s="46"/>
      <c r="Y639" s="46"/>
      <c r="Z639" s="46"/>
      <c r="AA639" s="68">
        <f>VLOOKUP(A639,'[1]DANH SÁCH'!$B$8:$AD$841,12,0)</f>
        <v>0</v>
      </c>
      <c r="AB639" s="49" t="str">
        <f>VLOOKUP(A639,'[1]DANH SÁCH'!$B$8:$H$841,6,0)</f>
        <v>TĐ012</v>
      </c>
      <c r="AC639" s="69" t="str">
        <f>VLOOKUP(A639,'[1]DANH SÁCH'!$B$8:$J$841,9,0)</f>
        <v>Tâm thần - Thần kinh</v>
      </c>
      <c r="AD639" s="69" t="str">
        <f>VLOOKUP(A639,'[1]DANH SÁCH'!$B$8:$AC$841,9,0)</f>
        <v>Tâm thần - Thần kinh</v>
      </c>
      <c r="AE639" s="69" t="str">
        <f>VLOOKUP(A639,'[1]DANH SÁCH'!$B$8:$AD$841,13,0)</f>
        <v>Viên chức</v>
      </c>
      <c r="AF639" s="41"/>
      <c r="AG639" s="42">
        <f>VLOOKUP(A639,'[1]DANH SÁCH'!$B$8:$H$841,7,0)</f>
        <v>0</v>
      </c>
      <c r="AH639" s="45" t="s">
        <v>4054</v>
      </c>
      <c r="AI639" s="42">
        <v>2</v>
      </c>
      <c r="AJ639" s="70"/>
      <c r="AK639" s="69">
        <v>45507</v>
      </c>
      <c r="AL639" s="71" t="s">
        <v>158</v>
      </c>
      <c r="AM639" s="53" t="str">
        <f>VLOOKUP(A639,'[1]DANH SÁCH'!$B$8:$F$841,5,0)</f>
        <v>Điều dưỡng CĐ</v>
      </c>
      <c r="AN639" s="47"/>
      <c r="AO639" s="53" t="s">
        <v>1938</v>
      </c>
      <c r="AP639" s="47">
        <v>2011</v>
      </c>
      <c r="AQ639" s="47"/>
      <c r="AR639" s="47"/>
      <c r="AS639" s="47"/>
      <c r="AT639" s="47"/>
      <c r="AU639" s="47"/>
      <c r="AV639" s="47"/>
      <c r="AW639" s="47"/>
      <c r="AX639" s="47"/>
      <c r="AY639" s="47" t="s">
        <v>127</v>
      </c>
      <c r="AZ639" s="65"/>
      <c r="BA639" s="47"/>
      <c r="BB639" s="47"/>
      <c r="BC639" s="41"/>
      <c r="BD639" s="64"/>
    </row>
    <row r="640" spans="1:56" ht="30.6" x14ac:dyDescent="0.3">
      <c r="A640" s="47" t="s">
        <v>4732</v>
      </c>
      <c r="B640" s="42">
        <f t="shared" si="187"/>
        <v>634</v>
      </c>
      <c r="C640" s="44" t="s">
        <v>4733</v>
      </c>
      <c r="D640" s="47" t="s">
        <v>4732</v>
      </c>
      <c r="E640" s="61" t="s">
        <v>4734</v>
      </c>
      <c r="F640" s="10"/>
      <c r="G640" s="49" t="s">
        <v>4735</v>
      </c>
      <c r="H640" s="47"/>
      <c r="I640" s="154" t="s">
        <v>4736</v>
      </c>
      <c r="J640" s="66">
        <f ca="1">INT(DATEDIF(I640,'[1]Bieu 1a'!$J$2,"d")/365)</f>
        <v>33</v>
      </c>
      <c r="K640" s="155" t="s">
        <v>4737</v>
      </c>
      <c r="L640" s="98" t="s">
        <v>4738</v>
      </c>
      <c r="M640" s="53" t="s">
        <v>67</v>
      </c>
      <c r="N640" s="95"/>
      <c r="O640" s="162" t="s">
        <v>4739</v>
      </c>
      <c r="P640" s="165"/>
      <c r="Q640" s="165"/>
      <c r="R640" s="49"/>
      <c r="S640" s="162" t="s">
        <v>4739</v>
      </c>
      <c r="T640" s="6"/>
      <c r="U640" s="6"/>
      <c r="V640" s="56" t="s">
        <v>4739</v>
      </c>
      <c r="W640" s="67" t="s">
        <v>4120</v>
      </c>
      <c r="X640" s="97"/>
      <c r="Y640" s="97"/>
      <c r="Z640" s="97"/>
      <c r="AA640" s="68">
        <f>VLOOKUP(A640,'[1]DANH SÁCH'!$B$8:$AD$841,12,0)</f>
        <v>0</v>
      </c>
      <c r="AB640" s="49" t="str">
        <f>VLOOKUP(A640,'[1]DANH SÁCH'!$B$8:$H$841,6,0)</f>
        <v>TĐ012</v>
      </c>
      <c r="AC640" s="69" t="str">
        <f>VLOOKUP(A640,'[1]DANH SÁCH'!$B$8:$J$841,9,0)</f>
        <v>TDCN</v>
      </c>
      <c r="AD640" s="69" t="str">
        <f>VLOOKUP(A640,'[1]DANH SÁCH'!$B$8:$AC$841,9,0)</f>
        <v>TDCN</v>
      </c>
      <c r="AE640" s="69" t="str">
        <f>VLOOKUP(A640,'[1]DANH SÁCH'!$B$8:$AD$841,13,0)</f>
        <v>Viên chức</v>
      </c>
      <c r="AF640" s="41"/>
      <c r="AG640" s="42">
        <f>VLOOKUP(A640,'[1]DANH SÁCH'!$B$8:$H$841,7,0)</f>
        <v>0</v>
      </c>
      <c r="AH640" s="45" t="s">
        <v>3781</v>
      </c>
      <c r="AI640" s="42">
        <v>2</v>
      </c>
      <c r="AJ640" s="70"/>
      <c r="AK640" s="69">
        <v>44974</v>
      </c>
      <c r="AL640" s="71" t="s">
        <v>158</v>
      </c>
      <c r="AM640" s="53" t="str">
        <f>VLOOKUP(A640,'[1]DANH SÁCH'!$B$8:$F$841,5,0)</f>
        <v>Điều dưỡng CĐ</v>
      </c>
      <c r="AN640" s="163"/>
      <c r="AO640" s="53" t="s">
        <v>4121</v>
      </c>
      <c r="AP640" s="6"/>
      <c r="AQ640" s="72" t="s">
        <v>113</v>
      </c>
      <c r="AR640" s="6"/>
      <c r="AS640" s="6"/>
      <c r="AT640" s="47"/>
      <c r="AU640" s="6"/>
      <c r="AV640" s="6"/>
      <c r="AW640" s="6"/>
      <c r="AX640" s="6" t="s">
        <v>4553</v>
      </c>
      <c r="AY640" s="73" t="s">
        <v>85</v>
      </c>
      <c r="AZ640" s="65"/>
      <c r="BA640" s="74"/>
      <c r="BB640" s="74"/>
      <c r="BC640" s="150"/>
      <c r="BD640" s="149"/>
    </row>
    <row r="641" spans="1:56" ht="31.2" x14ac:dyDescent="0.3">
      <c r="A641" s="46" t="s">
        <v>4740</v>
      </c>
      <c r="B641" s="42">
        <f t="shared" si="187"/>
        <v>635</v>
      </c>
      <c r="C641" s="53" t="s">
        <v>4741</v>
      </c>
      <c r="D641" s="46" t="s">
        <v>4740</v>
      </c>
      <c r="E641" s="61" t="s">
        <v>4742</v>
      </c>
      <c r="F641" s="10"/>
      <c r="G641" s="49" t="s">
        <v>4743</v>
      </c>
      <c r="H641" s="47"/>
      <c r="I641" s="41" t="s">
        <v>4744</v>
      </c>
      <c r="J641" s="66">
        <f ca="1">INT(DATEDIF(I641,'[1]Bieu 1a'!$J$2,"d")/365)</f>
        <v>29</v>
      </c>
      <c r="K641" s="72" t="s">
        <v>4745</v>
      </c>
      <c r="L641" s="41" t="s">
        <v>4746</v>
      </c>
      <c r="M641" s="158" t="s">
        <v>4747</v>
      </c>
      <c r="N641" s="95"/>
      <c r="O641" s="96"/>
      <c r="P641" s="6"/>
      <c r="Q641" s="6"/>
      <c r="R641" s="49"/>
      <c r="S641" s="6"/>
      <c r="T641" s="6"/>
      <c r="U641" s="6"/>
      <c r="V641" s="56" t="s">
        <v>193</v>
      </c>
      <c r="W641" s="67" t="s">
        <v>3841</v>
      </c>
      <c r="X641" s="97"/>
      <c r="Y641" s="97"/>
      <c r="Z641" s="97"/>
      <c r="AA641" s="68">
        <f>VLOOKUP(A641,'[1]DANH SÁCH'!$B$8:$AD$841,12,0)</f>
        <v>0</v>
      </c>
      <c r="AB641" s="49" t="str">
        <f>VLOOKUP(A641,'[1]DANH SÁCH'!$B$8:$H$841,6,0)</f>
        <v>TĐ011</v>
      </c>
      <c r="AC641" s="69" t="str">
        <f>VLOOKUP(A641,'[1]DANH SÁCH'!$B$8:$J$841,9,0)</f>
        <v>Chấn thương - Bỏng</v>
      </c>
      <c r="AD641" s="69" t="str">
        <f>VLOOKUP(A641,'[1]DANH SÁCH'!$B$8:$AC$841,9,0)</f>
        <v>Chấn thương - Bỏng</v>
      </c>
      <c r="AE641" s="69" t="str">
        <f>VLOOKUP(A641,'[1]DANH SÁCH'!$B$8:$AD$841,13,0)</f>
        <v>Viên chức</v>
      </c>
      <c r="AF641" s="41"/>
      <c r="AG641" s="42">
        <f>VLOOKUP(A641,'[1]DANH SÁCH'!$B$8:$H$841,7,0)</f>
        <v>0</v>
      </c>
      <c r="AH641" s="45" t="s">
        <v>3781</v>
      </c>
      <c r="AI641" s="42">
        <v>2</v>
      </c>
      <c r="AJ641" s="70"/>
      <c r="AK641" s="69">
        <v>45486</v>
      </c>
      <c r="AL641" s="71" t="s">
        <v>80</v>
      </c>
      <c r="AM641" s="53" t="str">
        <f>VLOOKUP(A641,'[1]DANH SÁCH'!$B$8:$F$841,5,0)</f>
        <v>Điều dưỡng ĐH</v>
      </c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73" t="s">
        <v>85</v>
      </c>
      <c r="AZ641" s="65"/>
      <c r="BA641" s="6"/>
      <c r="BB641" s="6"/>
      <c r="BC641" s="41"/>
      <c r="BD641" s="64"/>
    </row>
    <row r="642" spans="1:56" ht="40.799999999999997" x14ac:dyDescent="0.3">
      <c r="A642" s="47" t="s">
        <v>4748</v>
      </c>
      <c r="B642" s="42">
        <f t="shared" si="187"/>
        <v>636</v>
      </c>
      <c r="C642" s="161" t="s">
        <v>4749</v>
      </c>
      <c r="D642" s="47" t="s">
        <v>4748</v>
      </c>
      <c r="E642" s="61" t="s">
        <v>4750</v>
      </c>
      <c r="F642" s="10"/>
      <c r="G642" s="49" t="s">
        <v>4751</v>
      </c>
      <c r="H642" s="154" t="s">
        <v>4752</v>
      </c>
      <c r="I642" s="64"/>
      <c r="J642" s="66">
        <f ca="1">INT(DATEDIF(H642,'[1]Bieu 1a'!$J$2,"d")/365)</f>
        <v>31</v>
      </c>
      <c r="K642" s="155" t="s">
        <v>4753</v>
      </c>
      <c r="L642" s="98" t="s">
        <v>4754</v>
      </c>
      <c r="M642" s="53" t="s">
        <v>67</v>
      </c>
      <c r="N642" s="95"/>
      <c r="O642" s="162" t="s">
        <v>4755</v>
      </c>
      <c r="P642" s="165"/>
      <c r="Q642" s="165"/>
      <c r="R642" s="49"/>
      <c r="S642" s="162" t="s">
        <v>4755</v>
      </c>
      <c r="T642" s="6"/>
      <c r="U642" s="6"/>
      <c r="V642" s="56" t="s">
        <v>4755</v>
      </c>
      <c r="W642" s="67" t="s">
        <v>4120</v>
      </c>
      <c r="X642" s="97"/>
      <c r="Y642" s="97"/>
      <c r="Z642" s="97"/>
      <c r="AA642" s="68">
        <f>VLOOKUP(A642,'[1]DANH SÁCH'!$B$8:$AD$841,12,0)</f>
        <v>0</v>
      </c>
      <c r="AB642" s="49" t="str">
        <f>VLOOKUP(A642,'[1]DANH SÁCH'!$B$8:$H$841,6,0)</f>
        <v>TĐ011</v>
      </c>
      <c r="AC642" s="69" t="str">
        <f>VLOOKUP(A642,'[1]DANH SÁCH'!$B$8:$J$841,9,0)</f>
        <v>Ngoại Tiêu hóa</v>
      </c>
      <c r="AD642" s="69" t="str">
        <f>VLOOKUP(A642,'[1]DANH SÁCH'!$B$8:$AC$841,9,0)</f>
        <v>Ngoại Tiêu hóa</v>
      </c>
      <c r="AE642" s="69" t="str">
        <f>VLOOKUP(A642,'[1]DANH SÁCH'!$B$8:$AD$841,13,0)</f>
        <v>Viên chức</v>
      </c>
      <c r="AF642" s="41"/>
      <c r="AG642" s="42">
        <f>VLOOKUP(A642,'[1]DANH SÁCH'!$B$8:$H$841,7,0)</f>
        <v>0</v>
      </c>
      <c r="AH642" s="45" t="s">
        <v>3802</v>
      </c>
      <c r="AI642" s="42">
        <v>3</v>
      </c>
      <c r="AJ642" s="70"/>
      <c r="AK642" s="69">
        <v>45947</v>
      </c>
      <c r="AL642" s="71" t="s">
        <v>80</v>
      </c>
      <c r="AM642" s="72" t="str">
        <f>VLOOKUP(A642,'[1]DANH SÁCH'!$B$8:$F$841,5,0)</f>
        <v>Điều dưỡng ĐH</v>
      </c>
      <c r="AN642" s="163"/>
      <c r="AO642" s="53" t="s">
        <v>4756</v>
      </c>
      <c r="AP642" s="6"/>
      <c r="AQ642" s="72" t="s">
        <v>113</v>
      </c>
      <c r="AR642" s="6"/>
      <c r="AS642" s="6"/>
      <c r="AT642" s="47"/>
      <c r="AU642" s="6"/>
      <c r="AV642" s="6"/>
      <c r="AW642" s="6"/>
      <c r="AX642" s="6"/>
      <c r="AY642" s="98" t="s">
        <v>85</v>
      </c>
      <c r="AZ642" s="65"/>
      <c r="BA642" s="74"/>
      <c r="BB642" s="74"/>
      <c r="BC642" s="41"/>
      <c r="BD642" s="64"/>
    </row>
    <row r="643" spans="1:56" ht="40.799999999999997" x14ac:dyDescent="0.3">
      <c r="A643" s="47" t="s">
        <v>4757</v>
      </c>
      <c r="B643" s="42">
        <f t="shared" si="187"/>
        <v>637</v>
      </c>
      <c r="C643" s="44" t="s">
        <v>4758</v>
      </c>
      <c r="D643" s="47" t="s">
        <v>4757</v>
      </c>
      <c r="E643" s="61" t="s">
        <v>4759</v>
      </c>
      <c r="F643" s="10"/>
      <c r="G643" s="49" t="s">
        <v>4760</v>
      </c>
      <c r="H643" s="47"/>
      <c r="I643" s="154" t="s">
        <v>4761</v>
      </c>
      <c r="J643" s="66">
        <f ca="1">INT(DATEDIF(I643,'[1]Bieu 1a'!$J$2,"d")/365)</f>
        <v>36</v>
      </c>
      <c r="K643" s="155" t="s">
        <v>4762</v>
      </c>
      <c r="L643" s="98" t="s">
        <v>4763</v>
      </c>
      <c r="M643" s="53" t="s">
        <v>67</v>
      </c>
      <c r="N643" s="95"/>
      <c r="O643" s="162" t="s">
        <v>4764</v>
      </c>
      <c r="P643" s="165"/>
      <c r="Q643" s="165"/>
      <c r="R643" s="49"/>
      <c r="S643" s="162" t="s">
        <v>4764</v>
      </c>
      <c r="T643" s="6"/>
      <c r="U643" s="6"/>
      <c r="V643" s="56" t="s">
        <v>4764</v>
      </c>
      <c r="W643" s="67" t="s">
        <v>4120</v>
      </c>
      <c r="X643" s="97"/>
      <c r="Y643" s="97"/>
      <c r="Z643" s="97"/>
      <c r="AA643" s="68">
        <f>VLOOKUP(A643,'[1]DANH SÁCH'!$B$8:$AD$841,12,0)</f>
        <v>0</v>
      </c>
      <c r="AB643" s="49" t="str">
        <f>VLOOKUP(A643,'[1]DANH SÁCH'!$B$8:$H$841,6,0)</f>
        <v>TĐ011</v>
      </c>
      <c r="AC643" s="69" t="str">
        <f>VLOOKUP(A643,'[1]DANH SÁCH'!$B$8:$J$841,9,0)</f>
        <v>Nhi</v>
      </c>
      <c r="AD643" s="69" t="str">
        <f>VLOOKUP(A643,'[1]DANH SÁCH'!$B$8:$AC$841,9,0)</f>
        <v>Nhi</v>
      </c>
      <c r="AE643" s="69" t="str">
        <f>VLOOKUP(A643,'[1]DANH SÁCH'!$B$8:$AD$841,13,0)</f>
        <v>Viên chức</v>
      </c>
      <c r="AF643" s="41"/>
      <c r="AG643" s="42">
        <f>VLOOKUP(A643,'[1]DANH SÁCH'!$B$8:$H$841,7,0)</f>
        <v>0</v>
      </c>
      <c r="AH643" s="45" t="s">
        <v>3781</v>
      </c>
      <c r="AI643" s="42">
        <v>2</v>
      </c>
      <c r="AJ643" s="70"/>
      <c r="AK643" s="69">
        <v>45033</v>
      </c>
      <c r="AL643" s="71" t="s">
        <v>80</v>
      </c>
      <c r="AM643" s="72" t="str">
        <f>VLOOKUP(A643,'[1]DANH SÁCH'!$B$8:$F$841,5,0)</f>
        <v>Điều dưỡng ĐH</v>
      </c>
      <c r="AN643" s="163"/>
      <c r="AO643" s="53" t="s">
        <v>4756</v>
      </c>
      <c r="AP643" s="6"/>
      <c r="AQ643" s="72" t="s">
        <v>113</v>
      </c>
      <c r="AR643" s="6"/>
      <c r="AS643" s="6"/>
      <c r="AT643" s="47"/>
      <c r="AU643" s="6"/>
      <c r="AV643" s="6"/>
      <c r="AW643" s="6"/>
      <c r="AX643" s="6"/>
      <c r="AY643" s="98" t="s">
        <v>85</v>
      </c>
      <c r="AZ643" s="65"/>
      <c r="BA643" s="74"/>
      <c r="BB643" s="74"/>
      <c r="BC643" s="41"/>
      <c r="BD643" s="64"/>
    </row>
    <row r="644" spans="1:56" ht="40.799999999999997" x14ac:dyDescent="0.3">
      <c r="A644" s="46" t="s">
        <v>4765</v>
      </c>
      <c r="B644" s="42">
        <f t="shared" si="187"/>
        <v>638</v>
      </c>
      <c r="C644" s="63" t="s">
        <v>4766</v>
      </c>
      <c r="D644" s="46" t="s">
        <v>4765</v>
      </c>
      <c r="E644" s="67">
        <v>2020371870</v>
      </c>
      <c r="F644" s="64">
        <v>2099890586</v>
      </c>
      <c r="G644" s="49" t="s">
        <v>4767</v>
      </c>
      <c r="H644" s="64"/>
      <c r="I644" s="62">
        <v>32789</v>
      </c>
      <c r="J644" s="66">
        <f ca="1">INT(DATEDIF(I644,'[1]Bieu 1a'!$J$2,"d")/365)</f>
        <v>36</v>
      </c>
      <c r="K644" s="75" t="s">
        <v>4768</v>
      </c>
      <c r="L644" s="46" t="s">
        <v>2380</v>
      </c>
      <c r="M644" s="53" t="s">
        <v>67</v>
      </c>
      <c r="N644" s="66"/>
      <c r="O644" s="56" t="s">
        <v>4769</v>
      </c>
      <c r="P644" s="47" t="s">
        <v>1902</v>
      </c>
      <c r="Q644" s="47" t="s">
        <v>71</v>
      </c>
      <c r="R644" s="49"/>
      <c r="S644" s="47" t="s">
        <v>4769</v>
      </c>
      <c r="T644" s="47" t="s">
        <v>1902</v>
      </c>
      <c r="U644" s="47" t="s">
        <v>71</v>
      </c>
      <c r="V644" s="56" t="s">
        <v>4439</v>
      </c>
      <c r="W644" s="55" t="s">
        <v>3949</v>
      </c>
      <c r="X644" s="46"/>
      <c r="Y644" s="46"/>
      <c r="Z644" s="46"/>
      <c r="AA644" s="68">
        <f>VLOOKUP(A644,'[1]DANH SÁCH'!$B$8:$AD$841,12,0)</f>
        <v>0</v>
      </c>
      <c r="AB644" s="49" t="str">
        <f>VLOOKUP(A644,'[1]DANH SÁCH'!$B$8:$H$841,6,0)</f>
        <v>TĐ011</v>
      </c>
      <c r="AC644" s="69" t="str">
        <f>VLOOKUP(A644,'[1]DANH SÁCH'!$B$8:$J$841,9,0)</f>
        <v>Phụ sản</v>
      </c>
      <c r="AD644" s="69" t="str">
        <f>VLOOKUP(A644,'[1]DANH SÁCH'!$B$8:$AC$841,9,0)</f>
        <v>Phụ sản</v>
      </c>
      <c r="AE644" s="69" t="str">
        <f>VLOOKUP(A644,'[1]DANH SÁCH'!$B$8:$AD$841,13,0)</f>
        <v>Viên chức</v>
      </c>
      <c r="AF644" s="41"/>
      <c r="AG644" s="42">
        <f>VLOOKUP(A644,'[1]DANH SÁCH'!$B$8:$H$841,7,0)</f>
        <v>0</v>
      </c>
      <c r="AH644" s="45" t="s">
        <v>3802</v>
      </c>
      <c r="AI644" s="42">
        <v>3</v>
      </c>
      <c r="AJ644" s="70"/>
      <c r="AK644" s="69">
        <v>45567</v>
      </c>
      <c r="AL644" s="71" t="s">
        <v>80</v>
      </c>
      <c r="AM644" s="72" t="str">
        <f>VLOOKUP(A644,'[1]DANH SÁCH'!$B$8:$F$841,5,0)</f>
        <v>Điều dưỡng ĐH</v>
      </c>
      <c r="AN644" s="53"/>
      <c r="AO644" s="53" t="s">
        <v>1434</v>
      </c>
      <c r="AP644" s="53">
        <v>2017</v>
      </c>
      <c r="AQ644" s="72" t="s">
        <v>113</v>
      </c>
      <c r="AR644" s="47"/>
      <c r="AS644" s="47"/>
      <c r="AT644" s="47"/>
      <c r="AU644" s="47" t="s">
        <v>86</v>
      </c>
      <c r="AV644" s="47"/>
      <c r="AW644" s="47" t="s">
        <v>86</v>
      </c>
      <c r="AX644" s="47"/>
      <c r="AY644" s="73" t="s">
        <v>85</v>
      </c>
      <c r="AZ644" s="65"/>
      <c r="BA644" s="74" t="e">
        <f>VLOOKUP(A644,#REF!,4,0)</f>
        <v>#REF!</v>
      </c>
      <c r="BB644" s="74" t="e">
        <f>VLOOKUP(A644,#REF!,5,0)</f>
        <v>#REF!</v>
      </c>
      <c r="BC644" s="41"/>
      <c r="BD644" s="64"/>
    </row>
    <row r="645" spans="1:56" ht="40.799999999999997" x14ac:dyDescent="0.3">
      <c r="A645" s="46" t="s">
        <v>4770</v>
      </c>
      <c r="B645" s="42">
        <f t="shared" si="187"/>
        <v>639</v>
      </c>
      <c r="C645" s="53" t="s">
        <v>4771</v>
      </c>
      <c r="D645" s="46" t="s">
        <v>4770</v>
      </c>
      <c r="E645" s="61" t="s">
        <v>4772</v>
      </c>
      <c r="F645" s="10"/>
      <c r="G645" s="49" t="s">
        <v>4773</v>
      </c>
      <c r="H645" s="47"/>
      <c r="I645" s="41" t="s">
        <v>4774</v>
      </c>
      <c r="J645" s="66">
        <f ca="1">INT(DATEDIF(I645,'[1]Bieu 1a'!$J$2,"d")/365)</f>
        <v>39</v>
      </c>
      <c r="K645" s="72" t="s">
        <v>4775</v>
      </c>
      <c r="L645" s="41" t="s">
        <v>4776</v>
      </c>
      <c r="M645" s="158" t="s">
        <v>4777</v>
      </c>
      <c r="N645" s="95"/>
      <c r="O645" s="96"/>
      <c r="P645" s="6"/>
      <c r="Q645" s="6"/>
      <c r="R645" s="49"/>
      <c r="S645" s="6"/>
      <c r="T645" s="6"/>
      <c r="U645" s="6"/>
      <c r="V645" s="56" t="s">
        <v>4778</v>
      </c>
      <c r="W645" s="67" t="s">
        <v>3841</v>
      </c>
      <c r="X645" s="97"/>
      <c r="Y645" s="97"/>
      <c r="Z645" s="97"/>
      <c r="AA645" s="68">
        <f>VLOOKUP(A645,'[1]DANH SÁCH'!$B$8:$AD$841,12,0)</f>
        <v>0</v>
      </c>
      <c r="AB645" s="49" t="str">
        <f>VLOOKUP(A645,'[1]DANH SÁCH'!$B$8:$H$841,6,0)</f>
        <v>TĐ011</v>
      </c>
      <c r="AC645" s="69" t="str">
        <f>VLOOKUP(A645,'[1]DANH SÁCH'!$B$8:$J$841,9,0)</f>
        <v>Tâm thần - Thần kinh</v>
      </c>
      <c r="AD645" s="69" t="str">
        <f>VLOOKUP(A645,'[1]DANH SÁCH'!$B$8:$AC$841,9,0)</f>
        <v>Tâm thần - Thần kinh</v>
      </c>
      <c r="AE645" s="69" t="str">
        <f>VLOOKUP(A645,'[1]DANH SÁCH'!$B$8:$AD$841,13,0)</f>
        <v>Viên chức</v>
      </c>
      <c r="AF645" s="41"/>
      <c r="AG645" s="42">
        <f>VLOOKUP(A645,'[1]DANH SÁCH'!$B$8:$H$841,7,0)</f>
        <v>0</v>
      </c>
      <c r="AH645" s="45" t="s">
        <v>3781</v>
      </c>
      <c r="AI645" s="42">
        <v>2</v>
      </c>
      <c r="AJ645" s="70"/>
      <c r="AK645" s="127" t="s">
        <v>4779</v>
      </c>
      <c r="AL645" s="71" t="s">
        <v>80</v>
      </c>
      <c r="AM645" s="53" t="str">
        <f>VLOOKUP(A645,'[1]DANH SÁCH'!$B$8:$F$841,5,0)</f>
        <v>Điều dưỡng ĐH</v>
      </c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73" t="s">
        <v>127</v>
      </c>
      <c r="AZ645" s="65"/>
      <c r="BA645" s="6"/>
      <c r="BB645" s="6"/>
      <c r="BC645" s="41"/>
      <c r="BD645" s="64"/>
    </row>
    <row r="646" spans="1:56" ht="40.799999999999997" x14ac:dyDescent="0.3">
      <c r="A646" s="46" t="s">
        <v>4780</v>
      </c>
      <c r="B646" s="42">
        <f t="shared" si="187"/>
        <v>640</v>
      </c>
      <c r="C646" s="116" t="s">
        <v>4781</v>
      </c>
      <c r="D646" s="46" t="s">
        <v>4780</v>
      </c>
      <c r="E646" s="67">
        <v>2420199546</v>
      </c>
      <c r="F646" s="64"/>
      <c r="G646" s="49" t="s">
        <v>4782</v>
      </c>
      <c r="H646" s="64"/>
      <c r="I646" s="172" t="s">
        <v>4783</v>
      </c>
      <c r="J646" s="66">
        <f ca="1">INT(DATEDIF(I646,'[1]Bieu 1a'!$J$2,"d")/365)</f>
        <v>35</v>
      </c>
      <c r="K646" s="75" t="s">
        <v>4784</v>
      </c>
      <c r="L646" s="46" t="s">
        <v>4785</v>
      </c>
      <c r="M646" s="56" t="s">
        <v>1608</v>
      </c>
      <c r="N646" s="52"/>
      <c r="O646" s="56" t="s">
        <v>4786</v>
      </c>
      <c r="P646" s="47" t="s">
        <v>4787</v>
      </c>
      <c r="Q646" s="47" t="s">
        <v>3198</v>
      </c>
      <c r="R646" s="49"/>
      <c r="S646" s="47" t="s">
        <v>4788</v>
      </c>
      <c r="T646" s="47" t="s">
        <v>4787</v>
      </c>
      <c r="U646" s="47" t="s">
        <v>3198</v>
      </c>
      <c r="V646" s="56" t="s">
        <v>1059</v>
      </c>
      <c r="W646" s="67" t="s">
        <v>2827</v>
      </c>
      <c r="X646" s="46"/>
      <c r="Y646" s="46"/>
      <c r="Z646" s="46"/>
      <c r="AA646" s="68">
        <f>VLOOKUP(A646,'[1]DANH SÁCH'!$B$8:$AD$841,12,0)</f>
        <v>0</v>
      </c>
      <c r="AB646" s="49" t="str">
        <f>VLOOKUP(A646,'[1]DANH SÁCH'!$B$8:$H$841,6,0)</f>
        <v>TĐ012</v>
      </c>
      <c r="AC646" s="69" t="str">
        <f>VLOOKUP(A646,'[1]DANH SÁCH'!$B$8:$J$841,9,0)</f>
        <v>CĐHA</v>
      </c>
      <c r="AD646" s="69" t="str">
        <f>VLOOKUP(A646,'[1]DANH SÁCH'!$B$8:$AC$841,9,0)</f>
        <v>CĐHA</v>
      </c>
      <c r="AE646" s="69" t="str">
        <f>VLOOKUP(A646,'[1]DANH SÁCH'!$B$8:$AD$841,13,0)</f>
        <v>Viên chức</v>
      </c>
      <c r="AF646" s="41"/>
      <c r="AG646" s="42">
        <f>VLOOKUP(A646,'[1]DANH SÁCH'!$B$8:$H$841,7,0)</f>
        <v>0</v>
      </c>
      <c r="AH646" s="45" t="s">
        <v>1841</v>
      </c>
      <c r="AI646" s="42">
        <v>3</v>
      </c>
      <c r="AJ646" s="70"/>
      <c r="AK646" s="69">
        <v>45209</v>
      </c>
      <c r="AL646" s="47" t="s">
        <v>101</v>
      </c>
      <c r="AM646" s="53" t="str">
        <f>VLOOKUP(A646,'[1]DANH SÁCH'!$B$8:$F$841,5,0)</f>
        <v>Điều dưỡng CĐ</v>
      </c>
      <c r="AN646" s="53"/>
      <c r="AO646" s="53" t="s">
        <v>4789</v>
      </c>
      <c r="AP646" s="53">
        <v>2013</v>
      </c>
      <c r="AQ646" s="72" t="s">
        <v>113</v>
      </c>
      <c r="AR646" s="47"/>
      <c r="AS646" s="47"/>
      <c r="AT646" s="47"/>
      <c r="AU646" s="47"/>
      <c r="AV646" s="47"/>
      <c r="AW646" s="47"/>
      <c r="AX646" s="47"/>
      <c r="AY646" s="73" t="s">
        <v>85</v>
      </c>
      <c r="AZ646" s="65"/>
      <c r="BA646" s="74" t="e">
        <f t="shared" ref="BA646:BA648" si="196">VLOOKUP(A646,#REF!,4,0)</f>
        <v>#REF!</v>
      </c>
      <c r="BB646" s="74" t="e">
        <f t="shared" ref="BB646:BB648" si="197">VLOOKUP(A646,#REF!,5,0)</f>
        <v>#REF!</v>
      </c>
      <c r="BC646" s="81"/>
      <c r="BD646" s="47"/>
    </row>
    <row r="647" spans="1:56" ht="40.799999999999997" x14ac:dyDescent="0.3">
      <c r="A647" s="41" t="s">
        <v>4790</v>
      </c>
      <c r="B647" s="42">
        <f t="shared" si="187"/>
        <v>641</v>
      </c>
      <c r="C647" s="68" t="s">
        <v>4791</v>
      </c>
      <c r="D647" s="41" t="s">
        <v>4790</v>
      </c>
      <c r="E647" s="67">
        <v>2011001289</v>
      </c>
      <c r="F647" s="64"/>
      <c r="G647" s="49" t="s">
        <v>4792</v>
      </c>
      <c r="H647" s="76"/>
      <c r="I647" s="76">
        <v>31919</v>
      </c>
      <c r="J647" s="66">
        <f ca="1">INT(DATEDIF(I647,'[1]Bieu 1a'!$J$2,"d")/365)</f>
        <v>39</v>
      </c>
      <c r="K647" s="75" t="s">
        <v>4793</v>
      </c>
      <c r="L647" s="41" t="s">
        <v>4794</v>
      </c>
      <c r="M647" s="53" t="s">
        <v>67</v>
      </c>
      <c r="N647" s="66"/>
      <c r="O647" s="53" t="s">
        <v>439</v>
      </c>
      <c r="P647" s="49" t="s">
        <v>195</v>
      </c>
      <c r="Q647" s="49" t="s">
        <v>94</v>
      </c>
      <c r="R647" s="49"/>
      <c r="S647" s="49" t="s">
        <v>439</v>
      </c>
      <c r="T647" s="49" t="s">
        <v>195</v>
      </c>
      <c r="U647" s="49" t="s">
        <v>94</v>
      </c>
      <c r="V647" s="56" t="s">
        <v>4795</v>
      </c>
      <c r="W647" s="55" t="s">
        <v>4796</v>
      </c>
      <c r="X647" s="41"/>
      <c r="Y647" s="41"/>
      <c r="Z647" s="41"/>
      <c r="AA647" s="68">
        <f>VLOOKUP(A647,'[1]DANH SÁCH'!$B$8:$AD$841,12,0)</f>
        <v>0</v>
      </c>
      <c r="AB647" s="49" t="str">
        <f>VLOOKUP(A647,'[1]DANH SÁCH'!$B$8:$H$841,6,0)</f>
        <v>TĐ012</v>
      </c>
      <c r="AC647" s="69" t="str">
        <f>VLOOKUP(A647,'[1]DANH SÁCH'!$B$8:$J$841,9,0)</f>
        <v>Nội Tổng hợp</v>
      </c>
      <c r="AD647" s="69" t="str">
        <f>VLOOKUP(A647,'[1]DANH SÁCH'!$B$8:$AC$841,9,0)</f>
        <v>Nội Tổng hợp</v>
      </c>
      <c r="AE647" s="69" t="str">
        <f>VLOOKUP(A647,'[1]DANH SÁCH'!$B$8:$AD$841,13,0)</f>
        <v>Viên chức</v>
      </c>
      <c r="AF647" s="41"/>
      <c r="AG647" s="42">
        <f>VLOOKUP(A647,'[1]DANH SÁCH'!$B$8:$H$841,7,0)</f>
        <v>0</v>
      </c>
      <c r="AH647" s="45" t="s">
        <v>4797</v>
      </c>
      <c r="AI647" s="42">
        <v>5</v>
      </c>
      <c r="AJ647" s="70"/>
      <c r="AK647" s="69">
        <v>45642</v>
      </c>
      <c r="AL647" s="42" t="s">
        <v>101</v>
      </c>
      <c r="AM647" s="53" t="str">
        <f>VLOOKUP(A647,'[1]DANH SÁCH'!$B$8:$F$841,5,0)</f>
        <v>Điều dưỡng CĐ</v>
      </c>
      <c r="AN647" s="53"/>
      <c r="AO647" s="53" t="s">
        <v>1093</v>
      </c>
      <c r="AP647" s="53">
        <v>2008</v>
      </c>
      <c r="AQ647" s="72" t="s">
        <v>113</v>
      </c>
      <c r="AR647" s="42"/>
      <c r="AS647" s="42"/>
      <c r="AT647" s="47"/>
      <c r="AU647" s="42"/>
      <c r="AV647" s="42"/>
      <c r="AW647" s="42" t="s">
        <v>86</v>
      </c>
      <c r="AX647" s="42"/>
      <c r="AY647" s="57" t="s">
        <v>127</v>
      </c>
      <c r="AZ647" s="65"/>
      <c r="BA647" s="74" t="e">
        <f t="shared" si="196"/>
        <v>#REF!</v>
      </c>
      <c r="BB647" s="74" t="e">
        <f t="shared" si="197"/>
        <v>#REF!</v>
      </c>
      <c r="BC647" s="41"/>
      <c r="BD647" s="64"/>
    </row>
    <row r="648" spans="1:56" ht="40.799999999999997" x14ac:dyDescent="0.3">
      <c r="A648" s="41" t="s">
        <v>4798</v>
      </c>
      <c r="B648" s="42">
        <f t="shared" si="187"/>
        <v>642</v>
      </c>
      <c r="C648" s="68" t="s">
        <v>4799</v>
      </c>
      <c r="D648" s="41" t="s">
        <v>4798</v>
      </c>
      <c r="E648" s="67">
        <v>2011001290</v>
      </c>
      <c r="F648" s="64"/>
      <c r="G648" s="49" t="s">
        <v>4800</v>
      </c>
      <c r="H648" s="76"/>
      <c r="I648" s="76">
        <v>31158</v>
      </c>
      <c r="J648" s="66">
        <f ca="1">INT(DATEDIF(I648,'[1]Bieu 1a'!$J$2,"d")/365)</f>
        <v>41</v>
      </c>
      <c r="K648" s="75" t="s">
        <v>4801</v>
      </c>
      <c r="L648" s="41" t="s">
        <v>4802</v>
      </c>
      <c r="M648" s="53" t="s">
        <v>67</v>
      </c>
      <c r="N648" s="66"/>
      <c r="O648" s="53" t="s">
        <v>4803</v>
      </c>
      <c r="P648" s="49" t="s">
        <v>155</v>
      </c>
      <c r="Q648" s="49" t="s">
        <v>94</v>
      </c>
      <c r="R648" s="49"/>
      <c r="S648" s="49" t="s">
        <v>124</v>
      </c>
      <c r="T648" s="49" t="s">
        <v>97</v>
      </c>
      <c r="U648" s="49" t="s">
        <v>94</v>
      </c>
      <c r="V648" s="56" t="s">
        <v>4804</v>
      </c>
      <c r="W648" s="55" t="s">
        <v>4796</v>
      </c>
      <c r="X648" s="41"/>
      <c r="Y648" s="41"/>
      <c r="Z648" s="41"/>
      <c r="AA648" s="68">
        <f>VLOOKUP(A648,'[1]DANH SÁCH'!$B$8:$AD$841,12,0)</f>
        <v>0</v>
      </c>
      <c r="AB648" s="49" t="str">
        <f>VLOOKUP(A648,'[1]DANH SÁCH'!$B$8:$H$841,6,0)</f>
        <v>TĐ012</v>
      </c>
      <c r="AC648" s="69" t="str">
        <f>VLOOKUP(A648,'[1]DANH SÁCH'!$B$8:$J$841,9,0)</f>
        <v>Nhi</v>
      </c>
      <c r="AD648" s="69" t="str">
        <f>VLOOKUP(A648,'[1]DANH SÁCH'!$B$8:$AC$841,9,0)</f>
        <v>Nhi</v>
      </c>
      <c r="AE648" s="69" t="str">
        <f>VLOOKUP(A648,'[1]DANH SÁCH'!$B$8:$AD$841,13,0)</f>
        <v>Viên chức</v>
      </c>
      <c r="AF648" s="41"/>
      <c r="AG648" s="42">
        <f>VLOOKUP(A648,'[1]DANH SÁCH'!$B$8:$H$841,7,0)</f>
        <v>0</v>
      </c>
      <c r="AH648" s="45" t="s">
        <v>4797</v>
      </c>
      <c r="AI648" s="42">
        <v>5</v>
      </c>
      <c r="AJ648" s="70"/>
      <c r="AK648" s="69">
        <v>45642</v>
      </c>
      <c r="AL648" s="42" t="s">
        <v>101</v>
      </c>
      <c r="AM648" s="53" t="str">
        <f>VLOOKUP(A648,'[1]DANH SÁCH'!$B$8:$F$841,5,0)</f>
        <v>Điều dưỡng CĐ</v>
      </c>
      <c r="AN648" s="53"/>
      <c r="AO648" s="53" t="s">
        <v>1093</v>
      </c>
      <c r="AP648" s="53">
        <v>2018</v>
      </c>
      <c r="AQ648" s="72" t="s">
        <v>113</v>
      </c>
      <c r="AR648" s="42"/>
      <c r="AS648" s="42"/>
      <c r="AT648" s="47"/>
      <c r="AU648" s="42" t="s">
        <v>1230</v>
      </c>
      <c r="AV648" s="42"/>
      <c r="AW648" s="42" t="s">
        <v>86</v>
      </c>
      <c r="AX648" s="42"/>
      <c r="AY648" s="57" t="s">
        <v>85</v>
      </c>
      <c r="AZ648" s="65"/>
      <c r="BA648" s="74" t="e">
        <f t="shared" si="196"/>
        <v>#REF!</v>
      </c>
      <c r="BB648" s="74" t="e">
        <f t="shared" si="197"/>
        <v>#REF!</v>
      </c>
      <c r="BC648" s="61"/>
      <c r="BD648" s="64"/>
    </row>
    <row r="649" spans="1:56" ht="20.399999999999999" x14ac:dyDescent="0.3">
      <c r="A649" s="46" t="s">
        <v>4805</v>
      </c>
      <c r="B649" s="42">
        <f t="shared" si="187"/>
        <v>643</v>
      </c>
      <c r="C649" s="63" t="s">
        <v>4806</v>
      </c>
      <c r="D649" s="46" t="s">
        <v>4805</v>
      </c>
      <c r="E649" s="67">
        <v>2020024845</v>
      </c>
      <c r="F649" s="64">
        <v>2099917515</v>
      </c>
      <c r="G649" s="49"/>
      <c r="H649" s="160"/>
      <c r="I649" s="173" t="s">
        <v>4807</v>
      </c>
      <c r="J649" s="66">
        <f ca="1">INT(DATEDIF(I649,'[1]Bieu 1a'!$J$2,"d")/365)</f>
        <v>51</v>
      </c>
      <c r="K649" s="75" t="s">
        <v>4808</v>
      </c>
      <c r="L649" s="41" t="s">
        <v>4809</v>
      </c>
      <c r="M649" s="53" t="s">
        <v>67</v>
      </c>
      <c r="N649" s="66"/>
      <c r="O649" s="166" t="s">
        <v>2350</v>
      </c>
      <c r="P649" s="160" t="s">
        <v>74</v>
      </c>
      <c r="Q649" s="160" t="s">
        <v>71</v>
      </c>
      <c r="R649" s="49"/>
      <c r="S649" s="160" t="s">
        <v>2350</v>
      </c>
      <c r="T649" s="160" t="s">
        <v>74</v>
      </c>
      <c r="U649" s="160" t="s">
        <v>71</v>
      </c>
      <c r="V649" s="56" t="s">
        <v>4810</v>
      </c>
      <c r="W649" s="55" t="s">
        <v>4811</v>
      </c>
      <c r="X649" s="41"/>
      <c r="Y649" s="41"/>
      <c r="Z649" s="41"/>
      <c r="AA649" s="68">
        <f>VLOOKUP(A649,'[1]DANH SÁCH'!$B$8:$AD$841,12,0)</f>
        <v>0</v>
      </c>
      <c r="AB649" s="49" t="str">
        <f>VLOOKUP(A649,'[1]DANH SÁCH'!$B$8:$H$841,6,0)</f>
        <v>TĐ047</v>
      </c>
      <c r="AC649" s="69" t="str">
        <f>VLOOKUP(A649,'[1]DANH SÁCH'!$B$8:$J$841,9,0)</f>
        <v>Nhi</v>
      </c>
      <c r="AD649" s="69" t="str">
        <f>VLOOKUP(A649,'[1]DANH SÁCH'!$B$8:$AC$841,9,0)</f>
        <v>Nhi</v>
      </c>
      <c r="AE649" s="69" t="str">
        <f>VLOOKUP(A649,'[1]DANH SÁCH'!$B$8:$AD$841,13,0)</f>
        <v>HĐ có thời hạn</v>
      </c>
      <c r="AF649" s="41"/>
      <c r="AG649" s="42">
        <f>VLOOKUP(A649,'[1]DANH SÁCH'!$B$8:$H$841,7,0)</f>
        <v>0</v>
      </c>
      <c r="AH649" s="45">
        <v>1.65</v>
      </c>
      <c r="AI649" s="42">
        <v>1</v>
      </c>
      <c r="AJ649" s="70"/>
      <c r="AK649" s="69">
        <v>45689</v>
      </c>
      <c r="AL649" s="42" t="s">
        <v>3622</v>
      </c>
      <c r="AM649" s="53" t="str">
        <f>VLOOKUP(A649,'[1]DANH SÁCH'!$B$8:$F$841,5,0)</f>
        <v>Hộ lý</v>
      </c>
      <c r="AN649" s="53"/>
      <c r="AO649" s="53"/>
      <c r="AP649" s="53"/>
      <c r="AQ649" s="72"/>
      <c r="AR649" s="42"/>
      <c r="AS649" s="42"/>
      <c r="AT649" s="47"/>
      <c r="AU649" s="42"/>
      <c r="AV649" s="42"/>
      <c r="AW649" s="42"/>
      <c r="AX649" s="42" t="s">
        <v>4812</v>
      </c>
      <c r="AY649" s="57" t="s">
        <v>127</v>
      </c>
      <c r="AZ649" s="65"/>
      <c r="BA649" s="74"/>
      <c r="BB649" s="74"/>
      <c r="BC649" s="61"/>
      <c r="BD649" s="64"/>
    </row>
    <row r="650" spans="1:56" ht="20.399999999999999" x14ac:dyDescent="0.3">
      <c r="A650" s="41" t="s">
        <v>4813</v>
      </c>
      <c r="B650" s="42">
        <f t="shared" si="187"/>
        <v>644</v>
      </c>
      <c r="C650" s="134" t="s">
        <v>4814</v>
      </c>
      <c r="D650" s="41" t="s">
        <v>4813</v>
      </c>
      <c r="E650" s="67">
        <v>2015003320</v>
      </c>
      <c r="F650" s="64"/>
      <c r="G650" s="49"/>
      <c r="H650" s="76"/>
      <c r="I650" s="100">
        <v>32338</v>
      </c>
      <c r="J650" s="66">
        <f ca="1">INT(DATEDIF(I650,'[1]Bieu 1a'!$J$2,"d")/365)</f>
        <v>38</v>
      </c>
      <c r="K650" s="75" t="s">
        <v>4815</v>
      </c>
      <c r="L650" s="41" t="s">
        <v>4816</v>
      </c>
      <c r="M650" s="53" t="s">
        <v>67</v>
      </c>
      <c r="N650" s="66"/>
      <c r="O650" s="85"/>
      <c r="P650" s="100"/>
      <c r="Q650" s="100"/>
      <c r="R650" s="49"/>
      <c r="S650" s="49" t="s">
        <v>73</v>
      </c>
      <c r="T650" s="49" t="s">
        <v>97</v>
      </c>
      <c r="U650" s="49" t="s">
        <v>94</v>
      </c>
      <c r="V650" s="56" t="s">
        <v>1059</v>
      </c>
      <c r="W650" s="86" t="s">
        <v>4817</v>
      </c>
      <c r="X650" s="78"/>
      <c r="Y650" s="78"/>
      <c r="Z650" s="78"/>
      <c r="AA650" s="68">
        <f>VLOOKUP(A650,'[1]DANH SÁCH'!$B$8:$AD$841,12,0)</f>
        <v>0</v>
      </c>
      <c r="AB650" s="49" t="str">
        <f>VLOOKUP(A650,'[1]DANH SÁCH'!$B$8:$H$841,6,0)</f>
        <v>TĐ047</v>
      </c>
      <c r="AC650" s="69" t="str">
        <f>VLOOKUP(A650,'[1]DANH SÁCH'!$B$8:$J$841,9,0)</f>
        <v>Da liễu</v>
      </c>
      <c r="AD650" s="69" t="str">
        <f>VLOOKUP(A650,'[1]DANH SÁCH'!$B$8:$AC$841,9,0)</f>
        <v>Da liễu</v>
      </c>
      <c r="AE650" s="69" t="str">
        <f>VLOOKUP(A650,'[1]DANH SÁCH'!$B$8:$AD$841,13,0)</f>
        <v>HĐ có thời hạn</v>
      </c>
      <c r="AF650" s="41"/>
      <c r="AG650" s="42">
        <f>VLOOKUP(A650,'[1]DANH SÁCH'!$B$8:$H$841,7,0)</f>
        <v>0</v>
      </c>
      <c r="AH650" s="45">
        <v>1.65</v>
      </c>
      <c r="AI650" s="42">
        <v>1</v>
      </c>
      <c r="AJ650" s="70"/>
      <c r="AK650" s="69">
        <v>45689</v>
      </c>
      <c r="AL650" s="42" t="s">
        <v>3622</v>
      </c>
      <c r="AM650" s="53" t="str">
        <f>VLOOKUP(A650,'[1]DANH SÁCH'!$B$8:$F$841,5,0)</f>
        <v>Hộ lý</v>
      </c>
      <c r="AN650" s="53"/>
      <c r="AO650" s="53"/>
      <c r="AP650" s="53"/>
      <c r="AQ650" s="72"/>
      <c r="AR650" s="41"/>
      <c r="AS650" s="41"/>
      <c r="AT650" s="47"/>
      <c r="AU650" s="42"/>
      <c r="AV650" s="42"/>
      <c r="AW650" s="42"/>
      <c r="AX650" s="42"/>
      <c r="AY650" s="57" t="s">
        <v>85</v>
      </c>
      <c r="AZ650" s="65"/>
      <c r="BA650" s="74"/>
      <c r="BB650" s="74"/>
      <c r="BC650" s="150"/>
      <c r="BD650" s="149"/>
    </row>
    <row r="651" spans="1:56" ht="20.399999999999999" x14ac:dyDescent="0.3">
      <c r="A651" s="46" t="s">
        <v>4818</v>
      </c>
      <c r="B651" s="42">
        <f t="shared" si="187"/>
        <v>645</v>
      </c>
      <c r="C651" s="3" t="s">
        <v>4819</v>
      </c>
      <c r="D651" s="46" t="s">
        <v>4818</v>
      </c>
      <c r="E651" s="67">
        <v>2008000854</v>
      </c>
      <c r="F651" s="64"/>
      <c r="G651" s="49"/>
      <c r="H651" s="47"/>
      <c r="I651" s="65">
        <v>30233</v>
      </c>
      <c r="J651" s="66">
        <f ca="1">INT(DATEDIF(I651,'[1]Bieu 1a'!$J$2,"d")/365)</f>
        <v>43</v>
      </c>
      <c r="K651" s="109" t="s">
        <v>4820</v>
      </c>
      <c r="L651" s="41" t="s">
        <v>4821</v>
      </c>
      <c r="M651" s="53" t="s">
        <v>67</v>
      </c>
      <c r="N651" s="52"/>
      <c r="O651" s="56"/>
      <c r="P651" s="47"/>
      <c r="Q651" s="47"/>
      <c r="R651" s="49"/>
      <c r="S651" s="47"/>
      <c r="T651" s="47"/>
      <c r="U651" s="47"/>
      <c r="V651" s="56" t="s">
        <v>756</v>
      </c>
      <c r="W651" s="67" t="s">
        <v>4822</v>
      </c>
      <c r="X651" s="46"/>
      <c r="Y651" s="46"/>
      <c r="Z651" s="46"/>
      <c r="AA651" s="68">
        <f>VLOOKUP(A651,'[1]DANH SÁCH'!$B$8:$AD$841,12,0)</f>
        <v>0</v>
      </c>
      <c r="AB651" s="49" t="str">
        <f>VLOOKUP(A651,'[1]DANH SÁCH'!$B$8:$H$841,6,0)</f>
        <v>TĐ047</v>
      </c>
      <c r="AC651" s="69" t="str">
        <f>VLOOKUP(A651,'[1]DANH SÁCH'!$B$8:$J$841,9,0)</f>
        <v>UB-YHHN</v>
      </c>
      <c r="AD651" s="69" t="str">
        <f>VLOOKUP(A651,'[1]DANH SÁCH'!$B$8:$AC$841,9,0)</f>
        <v>UB-YHHN</v>
      </c>
      <c r="AE651" s="69" t="str">
        <f>VLOOKUP(A651,'[1]DANH SÁCH'!$B$8:$AD$841,13,0)</f>
        <v>HĐ có thời hạn</v>
      </c>
      <c r="AF651" s="41"/>
      <c r="AG651" s="42">
        <f>VLOOKUP(A651,'[1]DANH SÁCH'!$B$8:$H$841,7,0)</f>
        <v>0</v>
      </c>
      <c r="AH651" s="45">
        <v>1.65</v>
      </c>
      <c r="AI651" s="42">
        <v>1</v>
      </c>
      <c r="AJ651" s="70"/>
      <c r="AK651" s="69">
        <v>45689</v>
      </c>
      <c r="AL651" s="47" t="s">
        <v>3622</v>
      </c>
      <c r="AM651" s="72" t="str">
        <f>VLOOKUP(A651,'[1]DANH SÁCH'!$B$8:$F$841,5,0)</f>
        <v>Hộ lý</v>
      </c>
      <c r="AN651" s="53"/>
      <c r="AO651" s="53"/>
      <c r="AP651" s="53"/>
      <c r="AQ651" s="72"/>
      <c r="AR651" s="47"/>
      <c r="AS651" s="47"/>
      <c r="AT651" s="47"/>
      <c r="AU651" s="47"/>
      <c r="AV651" s="47"/>
      <c r="AW651" s="47"/>
      <c r="AX651" s="47"/>
      <c r="AY651" s="73" t="s">
        <v>85</v>
      </c>
      <c r="AZ651" s="65"/>
      <c r="BA651" s="74"/>
      <c r="BB651" s="74"/>
      <c r="BC651" s="81"/>
      <c r="BD651" s="47"/>
    </row>
    <row r="652" spans="1:56" ht="20.399999999999999" x14ac:dyDescent="0.3">
      <c r="A652" s="46" t="s">
        <v>4823</v>
      </c>
      <c r="B652" s="42">
        <f t="shared" si="187"/>
        <v>646</v>
      </c>
      <c r="C652" s="3" t="s">
        <v>743</v>
      </c>
      <c r="D652" s="46" t="s">
        <v>4823</v>
      </c>
      <c r="E652" s="61" t="s">
        <v>4824</v>
      </c>
      <c r="F652" s="64"/>
      <c r="G652" s="49"/>
      <c r="H652" s="47"/>
      <c r="I652" s="46" t="s">
        <v>4825</v>
      </c>
      <c r="J652" s="66">
        <f ca="1">INT(DATEDIF(I652,'[1]Bieu 1a'!$J$2,"d")/365)</f>
        <v>35</v>
      </c>
      <c r="K652" s="46" t="s">
        <v>4826</v>
      </c>
      <c r="L652" s="46" t="s">
        <v>4827</v>
      </c>
      <c r="M652" s="56" t="s">
        <v>3778</v>
      </c>
      <c r="N652" s="52"/>
      <c r="O652" s="56"/>
      <c r="P652" s="47"/>
      <c r="Q652" s="47"/>
      <c r="R652" s="49"/>
      <c r="S652" s="47"/>
      <c r="T652" s="47"/>
      <c r="U652" s="47"/>
      <c r="V652" s="56" t="s">
        <v>4322</v>
      </c>
      <c r="W652" s="67" t="s">
        <v>4828</v>
      </c>
      <c r="X652" s="46"/>
      <c r="Y652" s="46"/>
      <c r="Z652" s="46"/>
      <c r="AA652" s="68">
        <f>VLOOKUP(A652,'[1]DANH SÁCH'!$B$8:$AD$841,12,0)</f>
        <v>0</v>
      </c>
      <c r="AB652" s="49" t="str">
        <f>VLOOKUP(A652,'[1]DANH SÁCH'!$B$8:$H$841,6,0)</f>
        <v>TĐ047</v>
      </c>
      <c r="AC652" s="69" t="str">
        <f>VLOOKUP(A652,'[1]DANH SÁCH'!$B$8:$J$841,9,0)</f>
        <v>HSTC-CĐ</v>
      </c>
      <c r="AD652" s="69" t="str">
        <f>VLOOKUP(A652,'[1]DANH SÁCH'!$B$8:$AC$841,9,0)</f>
        <v>HSTC-CĐ</v>
      </c>
      <c r="AE652" s="69" t="str">
        <f>VLOOKUP(A652,'[1]DANH SÁCH'!$B$8:$AD$841,13,0)</f>
        <v>HĐ có thời hạn</v>
      </c>
      <c r="AF652" s="41"/>
      <c r="AG652" s="42">
        <f>VLOOKUP(A652,'[1]DANH SÁCH'!$B$8:$H$841,7,0)</f>
        <v>0</v>
      </c>
      <c r="AH652" s="45">
        <v>1.65</v>
      </c>
      <c r="AI652" s="42">
        <v>1</v>
      </c>
      <c r="AJ652" s="70"/>
      <c r="AK652" s="69">
        <v>45689</v>
      </c>
      <c r="AL652" s="47" t="s">
        <v>3622</v>
      </c>
      <c r="AM652" s="53" t="str">
        <f>VLOOKUP(A652,'[1]DANH SÁCH'!$B$8:$F$841,5,0)</f>
        <v>Hộ lý</v>
      </c>
      <c r="AN652" s="47"/>
      <c r="AO652" s="47"/>
      <c r="AP652" s="47"/>
      <c r="AQ652" s="46" t="s">
        <v>113</v>
      </c>
      <c r="AR652" s="47"/>
      <c r="AS652" s="47"/>
      <c r="AT652" s="47"/>
      <c r="AU652" s="47"/>
      <c r="AV652" s="47"/>
      <c r="AW652" s="47"/>
      <c r="AX652" s="47"/>
      <c r="AY652" s="47" t="s">
        <v>85</v>
      </c>
      <c r="AZ652" s="65"/>
      <c r="BA652" s="47"/>
      <c r="BB652" s="47"/>
      <c r="BC652" s="150"/>
      <c r="BD652" s="149"/>
    </row>
    <row r="653" spans="1:56" ht="20.399999999999999" x14ac:dyDescent="0.3">
      <c r="A653" s="46" t="s">
        <v>4829</v>
      </c>
      <c r="B653" s="42">
        <f t="shared" si="187"/>
        <v>647</v>
      </c>
      <c r="C653" s="64" t="s">
        <v>4830</v>
      </c>
      <c r="D653" s="46" t="s">
        <v>4829</v>
      </c>
      <c r="E653" s="61" t="s">
        <v>4831</v>
      </c>
      <c r="F653" s="64"/>
      <c r="G653" s="49"/>
      <c r="H653" s="46"/>
      <c r="I653" s="46" t="s">
        <v>4832</v>
      </c>
      <c r="J653" s="52">
        <f ca="1">INT(DATEDIF(I653,'[1]Bieu 1a'!$J$2,"d")/365)</f>
        <v>36</v>
      </c>
      <c r="K653" s="109" t="s">
        <v>4833</v>
      </c>
      <c r="L653" s="41" t="s">
        <v>4834</v>
      </c>
      <c r="M653" s="53" t="s">
        <v>67</v>
      </c>
      <c r="N653" s="52"/>
      <c r="O653" s="56"/>
      <c r="P653" s="47"/>
      <c r="Q653" s="47"/>
      <c r="R653" s="49"/>
      <c r="S653" s="47"/>
      <c r="T653" s="47"/>
      <c r="U653" s="47"/>
      <c r="V653" s="56" t="s">
        <v>4804</v>
      </c>
      <c r="W653" s="67" t="s">
        <v>4040</v>
      </c>
      <c r="X653" s="67" t="s">
        <v>4040</v>
      </c>
      <c r="Y653" s="46"/>
      <c r="Z653" s="46"/>
      <c r="AA653" s="68">
        <f>VLOOKUP(A653,'[1]DANH SÁCH'!$B$8:$AD$841,12,0)</f>
        <v>0</v>
      </c>
      <c r="AB653" s="49" t="str">
        <f>VLOOKUP(A653,'[1]DANH SÁCH'!$B$8:$H$841,6,0)</f>
        <v>TĐ047</v>
      </c>
      <c r="AC653" s="69" t="str">
        <f>VLOOKUP(A653,'[1]DANH SÁCH'!$B$8:$J$841,9,0)</f>
        <v>Nội Tiêu hóa</v>
      </c>
      <c r="AD653" s="69" t="str">
        <f>VLOOKUP(A653,'[1]DANH SÁCH'!$B$8:$AC$841,9,0)</f>
        <v>Nội Tiêu hóa</v>
      </c>
      <c r="AE653" s="69" t="str">
        <f>VLOOKUP(A653,'[1]DANH SÁCH'!$B$8:$AD$841,13,0)</f>
        <v>HĐ có thời hạn</v>
      </c>
      <c r="AF653" s="41"/>
      <c r="AG653" s="42">
        <f>VLOOKUP(A653,'[1]DANH SÁCH'!$B$8:$H$841,7,0)</f>
        <v>0</v>
      </c>
      <c r="AH653" s="45">
        <v>1.65</v>
      </c>
      <c r="AI653" s="42">
        <v>1</v>
      </c>
      <c r="AJ653" s="70"/>
      <c r="AK653" s="69">
        <v>45689</v>
      </c>
      <c r="AL653" s="47" t="s">
        <v>3622</v>
      </c>
      <c r="AM653" s="53" t="str">
        <f>VLOOKUP(A653,'[1]DANH SÁCH'!$B$8:$F$841,5,0)</f>
        <v>Hộ lý</v>
      </c>
      <c r="AN653" s="53"/>
      <c r="AO653" s="53"/>
      <c r="AP653" s="53"/>
      <c r="AQ653" s="72" t="s">
        <v>113</v>
      </c>
      <c r="AR653" s="47"/>
      <c r="AS653" s="47"/>
      <c r="AT653" s="47"/>
      <c r="AU653" s="47"/>
      <c r="AV653" s="47"/>
      <c r="AW653" s="47"/>
      <c r="AX653" s="47"/>
      <c r="AY653" s="98" t="s">
        <v>127</v>
      </c>
      <c r="AZ653" s="65"/>
      <c r="BA653" s="74"/>
      <c r="BB653" s="74"/>
      <c r="BC653" s="41"/>
      <c r="BD653" s="64"/>
    </row>
    <row r="654" spans="1:56" ht="20.399999999999999" x14ac:dyDescent="0.3">
      <c r="A654" s="47" t="s">
        <v>4835</v>
      </c>
      <c r="B654" s="42">
        <f t="shared" si="187"/>
        <v>648</v>
      </c>
      <c r="C654" s="3" t="s">
        <v>4836</v>
      </c>
      <c r="D654" s="47" t="s">
        <v>4835</v>
      </c>
      <c r="E654" s="61" t="s">
        <v>4837</v>
      </c>
      <c r="F654" s="64"/>
      <c r="G654" s="49"/>
      <c r="H654" s="47"/>
      <c r="I654" s="46" t="s">
        <v>4838</v>
      </c>
      <c r="J654" s="66">
        <f ca="1">INT(DATEDIF(I654,'[1]Bieu 1a'!$J$2,"d")/365)</f>
        <v>37</v>
      </c>
      <c r="K654" s="46" t="s">
        <v>4839</v>
      </c>
      <c r="L654" s="46" t="s">
        <v>4840</v>
      </c>
      <c r="M654" s="56" t="s">
        <v>3778</v>
      </c>
      <c r="N654" s="52"/>
      <c r="O654" s="56"/>
      <c r="P654" s="47"/>
      <c r="Q654" s="47"/>
      <c r="R654" s="49"/>
      <c r="S654" s="47"/>
      <c r="T654" s="47"/>
      <c r="U654" s="47"/>
      <c r="V654" s="56" t="s">
        <v>4841</v>
      </c>
      <c r="W654" s="67" t="s">
        <v>4828</v>
      </c>
      <c r="X654" s="46"/>
      <c r="Y654" s="46"/>
      <c r="Z654" s="46"/>
      <c r="AA654" s="68">
        <f>VLOOKUP(A654,'[1]DANH SÁCH'!$B$8:$AD$841,12,0)</f>
        <v>0</v>
      </c>
      <c r="AB654" s="49" t="str">
        <f>VLOOKUP(A654,'[1]DANH SÁCH'!$B$8:$H$841,6,0)</f>
        <v>TĐ047</v>
      </c>
      <c r="AC654" s="69" t="str">
        <f>VLOOKUP(A654,'[1]DANH SÁCH'!$B$8:$J$841,9,0)</f>
        <v>Nội Tổng hợp</v>
      </c>
      <c r="AD654" s="69" t="str">
        <f>VLOOKUP(A654,'[1]DANH SÁCH'!$B$8:$AC$841,9,0)</f>
        <v>Nội Tổng hợp</v>
      </c>
      <c r="AE654" s="69" t="str">
        <f>VLOOKUP(A654,'[1]DANH SÁCH'!$B$8:$AD$841,13,0)</f>
        <v>HĐ có thời hạn</v>
      </c>
      <c r="AF654" s="41"/>
      <c r="AG654" s="42">
        <f>VLOOKUP(A654,'[1]DANH SÁCH'!$B$8:$H$841,7,0)</f>
        <v>0</v>
      </c>
      <c r="AH654" s="45">
        <v>1.65</v>
      </c>
      <c r="AI654" s="42">
        <v>1</v>
      </c>
      <c r="AJ654" s="70"/>
      <c r="AK654" s="69">
        <v>45689</v>
      </c>
      <c r="AL654" s="47" t="s">
        <v>3622</v>
      </c>
      <c r="AM654" s="53" t="str">
        <f>VLOOKUP(A654,'[1]DANH SÁCH'!$B$8:$F$841,5,0)</f>
        <v>Hộ lý</v>
      </c>
      <c r="AN654" s="47"/>
      <c r="AO654" s="47"/>
      <c r="AP654" s="47"/>
      <c r="AQ654" s="46" t="s">
        <v>113</v>
      </c>
      <c r="AR654" s="47"/>
      <c r="AS654" s="47"/>
      <c r="AT654" s="47"/>
      <c r="AU654" s="47"/>
      <c r="AV654" s="47"/>
      <c r="AW654" s="47"/>
      <c r="AX654" s="47"/>
      <c r="AY654" s="47" t="s">
        <v>85</v>
      </c>
      <c r="AZ654" s="65"/>
      <c r="BA654" s="47"/>
      <c r="BB654" s="47"/>
      <c r="BC654" s="41"/>
      <c r="BD654" s="64"/>
    </row>
    <row r="655" spans="1:56" ht="20.399999999999999" x14ac:dyDescent="0.3">
      <c r="A655" s="47" t="s">
        <v>4842</v>
      </c>
      <c r="B655" s="42">
        <f t="shared" si="187"/>
        <v>649</v>
      </c>
      <c r="C655" s="116" t="s">
        <v>4843</v>
      </c>
      <c r="D655" s="47" t="s">
        <v>4842</v>
      </c>
      <c r="E655" s="61" t="s">
        <v>4844</v>
      </c>
      <c r="F655" s="64"/>
      <c r="G655" s="49"/>
      <c r="H655" s="47"/>
      <c r="I655" s="46" t="s">
        <v>4845</v>
      </c>
      <c r="J655" s="66">
        <f ca="1">INT(DATEDIF(I655,'[1]Bieu 1a'!$J$2,"d")/365)</f>
        <v>45</v>
      </c>
      <c r="K655" s="46" t="s">
        <v>4846</v>
      </c>
      <c r="L655" s="46" t="s">
        <v>4847</v>
      </c>
      <c r="M655" s="56" t="s">
        <v>3778</v>
      </c>
      <c r="N655" s="52"/>
      <c r="O655" s="56"/>
      <c r="P655" s="47"/>
      <c r="Q655" s="47"/>
      <c r="R655" s="49"/>
      <c r="S655" s="47"/>
      <c r="T655" s="47"/>
      <c r="U655" s="47"/>
      <c r="V655" s="56" t="s">
        <v>4804</v>
      </c>
      <c r="W655" s="67" t="s">
        <v>4848</v>
      </c>
      <c r="X655" s="46"/>
      <c r="Y655" s="46"/>
      <c r="Z655" s="46"/>
      <c r="AA655" s="68">
        <f>VLOOKUP(A655,'[1]DANH SÁCH'!$B$8:$AD$841,12,0)</f>
        <v>0</v>
      </c>
      <c r="AB655" s="49" t="str">
        <f>VLOOKUP(A655,'[1]DANH SÁCH'!$B$8:$H$841,6,0)</f>
        <v>TĐ047</v>
      </c>
      <c r="AC655" s="69" t="str">
        <f>VLOOKUP(A655,'[1]DANH SÁCH'!$B$8:$J$841,9,0)</f>
        <v>Nội TM</v>
      </c>
      <c r="AD655" s="69" t="str">
        <f>VLOOKUP(A655,'[1]DANH SÁCH'!$B$8:$AC$841,9,0)</f>
        <v>Nội TM</v>
      </c>
      <c r="AE655" s="69" t="str">
        <f>VLOOKUP(A655,'[1]DANH SÁCH'!$B$8:$AD$841,13,0)</f>
        <v>HĐ có thời hạn</v>
      </c>
      <c r="AF655" s="41"/>
      <c r="AG655" s="42">
        <f>VLOOKUP(A655,'[1]DANH SÁCH'!$B$8:$H$841,7,0)</f>
        <v>0</v>
      </c>
      <c r="AH655" s="45" t="e">
        <v>#N/A</v>
      </c>
      <c r="AI655" s="42" t="e">
        <v>#N/A</v>
      </c>
      <c r="AJ655" s="70"/>
      <c r="AK655" s="69" t="e">
        <v>#N/A</v>
      </c>
      <c r="AL655" s="47" t="s">
        <v>3622</v>
      </c>
      <c r="AM655" s="53" t="str">
        <f>VLOOKUP(A655,'[1]DANH SÁCH'!$B$8:$F$841,5,0)</f>
        <v>Hộ lý</v>
      </c>
      <c r="AN655" s="47"/>
      <c r="AO655" s="47"/>
      <c r="AP655" s="47"/>
      <c r="AQ655" s="46" t="s">
        <v>113</v>
      </c>
      <c r="AR655" s="47"/>
      <c r="AS655" s="47"/>
      <c r="AT655" s="47"/>
      <c r="AU655" s="47"/>
      <c r="AV655" s="47"/>
      <c r="AW655" s="47"/>
      <c r="AX655" s="47"/>
      <c r="AY655" s="47" t="s">
        <v>85</v>
      </c>
      <c r="AZ655" s="65"/>
      <c r="BA655" s="47"/>
      <c r="BB655" s="47"/>
      <c r="BC655" s="41"/>
      <c r="BD655" s="64"/>
    </row>
    <row r="656" spans="1:56" ht="40.799999999999997" x14ac:dyDescent="0.3">
      <c r="A656" s="47" t="s">
        <v>4849</v>
      </c>
      <c r="B656" s="42">
        <f t="shared" si="187"/>
        <v>650</v>
      </c>
      <c r="C656" s="3" t="s">
        <v>4476</v>
      </c>
      <c r="D656" s="47" t="s">
        <v>4849</v>
      </c>
      <c r="E656" s="61" t="s">
        <v>4850</v>
      </c>
      <c r="F656" s="64"/>
      <c r="G656" s="49" t="s">
        <v>4851</v>
      </c>
      <c r="H656" s="47"/>
      <c r="I656" s="46" t="s">
        <v>4852</v>
      </c>
      <c r="J656" s="66">
        <f ca="1">INT(DATEDIF(I656,'[1]Bieu 1a'!$J$2,"d")/365)</f>
        <v>44</v>
      </c>
      <c r="K656" s="46" t="s">
        <v>4853</v>
      </c>
      <c r="L656" s="46" t="s">
        <v>4854</v>
      </c>
      <c r="M656" s="56" t="s">
        <v>3778</v>
      </c>
      <c r="N656" s="52"/>
      <c r="O656" s="56"/>
      <c r="P656" s="47"/>
      <c r="Q656" s="47"/>
      <c r="R656" s="49"/>
      <c r="S656" s="47"/>
      <c r="T656" s="47"/>
      <c r="U656" s="47"/>
      <c r="V656" s="56" t="s">
        <v>4855</v>
      </c>
      <c r="W656" s="67" t="s">
        <v>4828</v>
      </c>
      <c r="X656" s="46"/>
      <c r="Y656" s="46"/>
      <c r="Z656" s="46"/>
      <c r="AA656" s="68">
        <f>VLOOKUP(A656,'[1]DANH SÁCH'!$B$8:$AD$841,12,0)</f>
        <v>0</v>
      </c>
      <c r="AB656" s="49" t="str">
        <f>VLOOKUP(A656,'[1]DANH SÁCH'!$B$8:$H$841,6,0)</f>
        <v>TĐ047</v>
      </c>
      <c r="AC656" s="69" t="str">
        <f>VLOOKUP(A656,'[1]DANH SÁCH'!$B$8:$J$841,9,0)</f>
        <v>Nội Tổng hợp</v>
      </c>
      <c r="AD656" s="69" t="str">
        <f>VLOOKUP(A656,'[1]DANH SÁCH'!$B$8:$AC$841,9,0)</f>
        <v>Nội Tổng hợp</v>
      </c>
      <c r="AE656" s="69" t="str">
        <f>VLOOKUP(A656,'[1]DANH SÁCH'!$B$8:$AD$841,13,0)</f>
        <v>HĐ có thời hạn</v>
      </c>
      <c r="AF656" s="41"/>
      <c r="AG656" s="42">
        <f>VLOOKUP(A656,'[1]DANH SÁCH'!$B$8:$H$841,7,0)</f>
        <v>0</v>
      </c>
      <c r="AH656" s="45">
        <v>1.65</v>
      </c>
      <c r="AI656" s="42">
        <v>1</v>
      </c>
      <c r="AJ656" s="70"/>
      <c r="AK656" s="69">
        <v>45689</v>
      </c>
      <c r="AL656" s="47" t="s">
        <v>3622</v>
      </c>
      <c r="AM656" s="53" t="str">
        <f>VLOOKUP(A656,'[1]DANH SÁCH'!$B$8:$F$841,5,0)</f>
        <v>Hộ lý</v>
      </c>
      <c r="AN656" s="47"/>
      <c r="AO656" s="47"/>
      <c r="AP656" s="47"/>
      <c r="AQ656" s="46" t="s">
        <v>3616</v>
      </c>
      <c r="AR656" s="47"/>
      <c r="AS656" s="47"/>
      <c r="AT656" s="47"/>
      <c r="AU656" s="47"/>
      <c r="AV656" s="47"/>
      <c r="AW656" s="47"/>
      <c r="AX656" s="47"/>
      <c r="AY656" s="47" t="s">
        <v>85</v>
      </c>
      <c r="AZ656" s="65"/>
      <c r="BA656" s="47"/>
      <c r="BB656" s="47"/>
      <c r="BC656" s="41"/>
      <c r="BD656" s="64"/>
    </row>
    <row r="657" spans="1:56" ht="20.399999999999999" x14ac:dyDescent="0.3">
      <c r="A657" s="46" t="s">
        <v>4856</v>
      </c>
      <c r="B657" s="42">
        <f t="shared" si="187"/>
        <v>651</v>
      </c>
      <c r="C657" s="64" t="s">
        <v>4857</v>
      </c>
      <c r="D657" s="46" t="s">
        <v>4856</v>
      </c>
      <c r="E657" s="61" t="s">
        <v>4858</v>
      </c>
      <c r="F657" s="64"/>
      <c r="G657" s="49"/>
      <c r="H657" s="47"/>
      <c r="I657" s="46" t="s">
        <v>4859</v>
      </c>
      <c r="J657" s="66">
        <f ca="1">INT(DATEDIF(I657,'[1]Bieu 1a'!$J$2,"d")/365)</f>
        <v>44</v>
      </c>
      <c r="K657" s="94" t="s">
        <v>4860</v>
      </c>
      <c r="L657" s="46" t="s">
        <v>4861</v>
      </c>
      <c r="M657" s="56"/>
      <c r="N657" s="52"/>
      <c r="O657" s="56"/>
      <c r="P657" s="47"/>
      <c r="Q657" s="47"/>
      <c r="R657" s="49"/>
      <c r="S657" s="47"/>
      <c r="T657" s="47"/>
      <c r="U657" s="47"/>
      <c r="V657" s="56" t="s">
        <v>4862</v>
      </c>
      <c r="W657" s="67" t="s">
        <v>3841</v>
      </c>
      <c r="X657" s="46"/>
      <c r="Y657" s="46"/>
      <c r="Z657" s="46"/>
      <c r="AA657" s="68">
        <f>VLOOKUP(A657,'[1]DANH SÁCH'!$B$8:$AD$841,12,0)</f>
        <v>0</v>
      </c>
      <c r="AB657" s="49" t="str">
        <f>VLOOKUP(A657,'[1]DANH SÁCH'!$B$8:$H$841,6,0)</f>
        <v>TĐ047</v>
      </c>
      <c r="AC657" s="69" t="str">
        <f>VLOOKUP(A657,'[1]DANH SÁCH'!$B$8:$J$841,9,0)</f>
        <v>Nội Thận-TN-LM</v>
      </c>
      <c r="AD657" s="69" t="str">
        <f>VLOOKUP(A657,'[1]DANH SÁCH'!$B$8:$AC$841,9,0)</f>
        <v>Nội Thận-TN-LM</v>
      </c>
      <c r="AE657" s="69" t="str">
        <f>VLOOKUP(A657,'[1]DANH SÁCH'!$B$8:$AD$841,13,0)</f>
        <v>HĐ có thời hạn</v>
      </c>
      <c r="AF657" s="41"/>
      <c r="AG657" s="42">
        <f>VLOOKUP(A657,'[1]DANH SÁCH'!$B$8:$H$841,7,0)</f>
        <v>0</v>
      </c>
      <c r="AH657" s="45">
        <v>1.65</v>
      </c>
      <c r="AI657" s="42">
        <v>1</v>
      </c>
      <c r="AJ657" s="70"/>
      <c r="AK657" s="69">
        <v>45689</v>
      </c>
      <c r="AL657" s="47" t="s">
        <v>3622</v>
      </c>
      <c r="AM657" s="53" t="str">
        <f>VLOOKUP(A657,'[1]DANH SÁCH'!$B$8:$F$841,5,0)</f>
        <v>Hộ lý</v>
      </c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 t="s">
        <v>85</v>
      </c>
      <c r="AZ657" s="65"/>
      <c r="BA657" s="47"/>
      <c r="BB657" s="47"/>
      <c r="BC657" s="41"/>
      <c r="BD657" s="64"/>
    </row>
    <row r="658" spans="1:56" ht="20.399999999999999" x14ac:dyDescent="0.3">
      <c r="A658" s="47" t="s">
        <v>4863</v>
      </c>
      <c r="B658" s="42">
        <f t="shared" si="187"/>
        <v>652</v>
      </c>
      <c r="C658" s="3" t="s">
        <v>4864</v>
      </c>
      <c r="D658" s="47" t="s">
        <v>4863</v>
      </c>
      <c r="E658" s="61" t="s">
        <v>4865</v>
      </c>
      <c r="F658" s="64"/>
      <c r="G658" s="49"/>
      <c r="H658" s="47"/>
      <c r="I658" s="46" t="s">
        <v>4866</v>
      </c>
      <c r="J658" s="66">
        <f ca="1">INT(DATEDIF(I658,'[1]Bieu 1a'!$J$2,"d")/365)</f>
        <v>43</v>
      </c>
      <c r="K658" s="46" t="s">
        <v>4867</v>
      </c>
      <c r="L658" s="46" t="s">
        <v>4868</v>
      </c>
      <c r="M658" s="56" t="s">
        <v>3778</v>
      </c>
      <c r="N658" s="52"/>
      <c r="O658" s="56"/>
      <c r="P658" s="47"/>
      <c r="Q658" s="47"/>
      <c r="R658" s="49"/>
      <c r="S658" s="47"/>
      <c r="T658" s="47"/>
      <c r="U658" s="47"/>
      <c r="V658" s="56" t="s">
        <v>4869</v>
      </c>
      <c r="W658" s="67" t="s">
        <v>4828</v>
      </c>
      <c r="X658" s="46"/>
      <c r="Y658" s="46"/>
      <c r="Z658" s="46"/>
      <c r="AA658" s="68">
        <f>VLOOKUP(A658,'[1]DANH SÁCH'!$B$8:$AD$841,12,0)</f>
        <v>0</v>
      </c>
      <c r="AB658" s="49" t="str">
        <f>VLOOKUP(A658,'[1]DANH SÁCH'!$B$8:$H$841,6,0)</f>
        <v>TĐ047</v>
      </c>
      <c r="AC658" s="69" t="str">
        <f>VLOOKUP(A658,'[1]DANH SÁCH'!$B$8:$J$841,9,0)</f>
        <v>Chấn thương - Bỏng</v>
      </c>
      <c r="AD658" s="69" t="str">
        <f>VLOOKUP(A658,'[1]DANH SÁCH'!$B$8:$AC$841,9,0)</f>
        <v>Chấn thương - Bỏng</v>
      </c>
      <c r="AE658" s="69" t="str">
        <f>VLOOKUP(A658,'[1]DANH SÁCH'!$B$8:$AD$841,13,0)</f>
        <v>HĐ có thời hạn</v>
      </c>
      <c r="AF658" s="41"/>
      <c r="AG658" s="42">
        <f>VLOOKUP(A658,'[1]DANH SÁCH'!$B$8:$H$841,7,0)</f>
        <v>0</v>
      </c>
      <c r="AH658" s="45">
        <v>1.65</v>
      </c>
      <c r="AI658" s="42">
        <v>1</v>
      </c>
      <c r="AJ658" s="70"/>
      <c r="AK658" s="69">
        <v>45689</v>
      </c>
      <c r="AL658" s="47" t="s">
        <v>3622</v>
      </c>
      <c r="AM658" s="53" t="str">
        <f>VLOOKUP(A658,'[1]DANH SÁCH'!$B$8:$F$841,5,0)</f>
        <v>Hộ lý</v>
      </c>
      <c r="AN658" s="47"/>
      <c r="AO658" s="47"/>
      <c r="AP658" s="47"/>
      <c r="AQ658" s="46" t="s">
        <v>3616</v>
      </c>
      <c r="AR658" s="47"/>
      <c r="AS658" s="47"/>
      <c r="AT658" s="47"/>
      <c r="AU658" s="47"/>
      <c r="AV658" s="47"/>
      <c r="AW658" s="47"/>
      <c r="AX658" s="47"/>
      <c r="AY658" s="47" t="s">
        <v>85</v>
      </c>
      <c r="AZ658" s="65"/>
      <c r="BA658" s="47"/>
      <c r="BB658" s="47"/>
      <c r="BC658" s="41"/>
      <c r="BD658" s="64"/>
    </row>
    <row r="659" spans="1:56" ht="40.799999999999997" x14ac:dyDescent="0.3">
      <c r="A659" s="47" t="s">
        <v>4870</v>
      </c>
      <c r="B659" s="42">
        <f t="shared" si="187"/>
        <v>653</v>
      </c>
      <c r="C659" s="3" t="s">
        <v>4871</v>
      </c>
      <c r="D659" s="47" t="s">
        <v>4870</v>
      </c>
      <c r="E659" s="61" t="s">
        <v>4872</v>
      </c>
      <c r="F659" s="64"/>
      <c r="G659" s="49" t="s">
        <v>4873</v>
      </c>
      <c r="H659" s="47"/>
      <c r="I659" s="46" t="s">
        <v>4874</v>
      </c>
      <c r="J659" s="66">
        <f ca="1">INT(DATEDIF(I659,'[1]Bieu 1a'!$J$2,"d")/365)</f>
        <v>47</v>
      </c>
      <c r="K659" s="46" t="s">
        <v>4875</v>
      </c>
      <c r="L659" s="46" t="s">
        <v>4876</v>
      </c>
      <c r="M659" s="56" t="s">
        <v>3778</v>
      </c>
      <c r="N659" s="52"/>
      <c r="O659" s="56"/>
      <c r="P659" s="47"/>
      <c r="Q659" s="47"/>
      <c r="R659" s="49"/>
      <c r="S659" s="47"/>
      <c r="T659" s="47"/>
      <c r="U659" s="47"/>
      <c r="V659" s="56" t="s">
        <v>3917</v>
      </c>
      <c r="W659" s="67" t="s">
        <v>4828</v>
      </c>
      <c r="X659" s="46"/>
      <c r="Y659" s="46"/>
      <c r="Z659" s="46"/>
      <c r="AA659" s="68">
        <f>VLOOKUP(A659,'[1]DANH SÁCH'!$B$8:$AD$841,12,0)</f>
        <v>0</v>
      </c>
      <c r="AB659" s="49" t="str">
        <f>VLOOKUP(A659,'[1]DANH SÁCH'!$B$8:$H$841,6,0)</f>
        <v>TĐ047</v>
      </c>
      <c r="AC659" s="69" t="str">
        <f>VLOOKUP(A659,'[1]DANH SÁCH'!$B$8:$J$841,9,0)</f>
        <v>Chấn thương - Bỏng</v>
      </c>
      <c r="AD659" s="69" t="str">
        <f>VLOOKUP(A659,'[1]DANH SÁCH'!$B$8:$AC$841,9,0)</f>
        <v>Chấn thương - Bỏng</v>
      </c>
      <c r="AE659" s="69" t="str">
        <f>VLOOKUP(A659,'[1]DANH SÁCH'!$B$8:$AD$841,13,0)</f>
        <v>HĐ có thời hạn</v>
      </c>
      <c r="AF659" s="41"/>
      <c r="AG659" s="42">
        <f>VLOOKUP(A659,'[1]DANH SÁCH'!$B$8:$H$841,7,0)</f>
        <v>0</v>
      </c>
      <c r="AH659" s="45">
        <v>1.65</v>
      </c>
      <c r="AI659" s="42">
        <v>1</v>
      </c>
      <c r="AJ659" s="70"/>
      <c r="AK659" s="69">
        <v>45689</v>
      </c>
      <c r="AL659" s="47" t="s">
        <v>3622</v>
      </c>
      <c r="AM659" s="53" t="str">
        <f>VLOOKUP(A659,'[1]DANH SÁCH'!$B$8:$F$841,5,0)</f>
        <v>Hộ lý</v>
      </c>
      <c r="AN659" s="47"/>
      <c r="AO659" s="47"/>
      <c r="AP659" s="47"/>
      <c r="AQ659" s="46" t="s">
        <v>3616</v>
      </c>
      <c r="AR659" s="47"/>
      <c r="AS659" s="47"/>
      <c r="AT659" s="47"/>
      <c r="AU659" s="47"/>
      <c r="AV659" s="47"/>
      <c r="AW659" s="47"/>
      <c r="AX659" s="47"/>
      <c r="AY659" s="47" t="s">
        <v>85</v>
      </c>
      <c r="AZ659" s="65"/>
      <c r="BA659" s="47"/>
      <c r="BB659" s="47"/>
      <c r="BC659" s="41"/>
      <c r="BD659" s="64"/>
    </row>
    <row r="660" spans="1:56" ht="20.399999999999999" x14ac:dyDescent="0.3">
      <c r="A660" s="47" t="s">
        <v>4877</v>
      </c>
      <c r="B660" s="42">
        <f t="shared" si="187"/>
        <v>654</v>
      </c>
      <c r="C660" s="3" t="s">
        <v>4878</v>
      </c>
      <c r="D660" s="47" t="s">
        <v>4877</v>
      </c>
      <c r="E660" s="61" t="s">
        <v>4879</v>
      </c>
      <c r="F660" s="64"/>
      <c r="G660" s="49"/>
      <c r="H660" s="47"/>
      <c r="I660" s="46" t="s">
        <v>4880</v>
      </c>
      <c r="J660" s="66">
        <f ca="1">INT(DATEDIF(I660,'[1]Bieu 1a'!$J$2,"d")/365)</f>
        <v>40</v>
      </c>
      <c r="K660" s="46" t="s">
        <v>4881</v>
      </c>
      <c r="L660" s="46" t="s">
        <v>4882</v>
      </c>
      <c r="M660" s="56" t="s">
        <v>3778</v>
      </c>
      <c r="N660" s="52"/>
      <c r="O660" s="56"/>
      <c r="P660" s="47"/>
      <c r="Q660" s="47"/>
      <c r="R660" s="49"/>
      <c r="S660" s="47"/>
      <c r="T660" s="47"/>
      <c r="U660" s="47"/>
      <c r="V660" s="56" t="s">
        <v>4869</v>
      </c>
      <c r="W660" s="67" t="s">
        <v>4828</v>
      </c>
      <c r="X660" s="46"/>
      <c r="Y660" s="46"/>
      <c r="Z660" s="46"/>
      <c r="AA660" s="68">
        <f>VLOOKUP(A660,'[1]DANH SÁCH'!$B$8:$AD$841,12,0)</f>
        <v>0</v>
      </c>
      <c r="AB660" s="49" t="str">
        <f>VLOOKUP(A660,'[1]DANH SÁCH'!$B$8:$H$841,6,0)</f>
        <v>TĐ047</v>
      </c>
      <c r="AC660" s="69" t="str">
        <f>VLOOKUP(A660,'[1]DANH SÁCH'!$B$8:$J$841,9,0)</f>
        <v>Ngoại Tiêu hóa</v>
      </c>
      <c r="AD660" s="69" t="str">
        <f>VLOOKUP(A660,'[1]DANH SÁCH'!$B$8:$AC$841,9,0)</f>
        <v>Ngoại Tiêu hóa</v>
      </c>
      <c r="AE660" s="69" t="str">
        <f>VLOOKUP(A660,'[1]DANH SÁCH'!$B$8:$AD$841,13,0)</f>
        <v>HĐ có thời hạn</v>
      </c>
      <c r="AF660" s="41"/>
      <c r="AG660" s="42">
        <f>VLOOKUP(A660,'[1]DANH SÁCH'!$B$8:$H$841,7,0)</f>
        <v>0</v>
      </c>
      <c r="AH660" s="45">
        <v>1.65</v>
      </c>
      <c r="AI660" s="42">
        <v>1</v>
      </c>
      <c r="AJ660" s="70"/>
      <c r="AK660" s="69">
        <v>45689</v>
      </c>
      <c r="AL660" s="47" t="s">
        <v>3622</v>
      </c>
      <c r="AM660" s="53" t="str">
        <f>VLOOKUP(A660,'[1]DANH SÁCH'!$B$8:$F$841,5,0)</f>
        <v>Hộ lý</v>
      </c>
      <c r="AN660" s="47"/>
      <c r="AO660" s="47"/>
      <c r="AP660" s="47"/>
      <c r="AQ660" s="46" t="s">
        <v>113</v>
      </c>
      <c r="AR660" s="47"/>
      <c r="AS660" s="47"/>
      <c r="AT660" s="47"/>
      <c r="AU660" s="47"/>
      <c r="AV660" s="47"/>
      <c r="AW660" s="47"/>
      <c r="AX660" s="47"/>
      <c r="AY660" s="47" t="s">
        <v>85</v>
      </c>
      <c r="AZ660" s="65"/>
      <c r="BA660" s="47"/>
      <c r="BB660" s="47"/>
      <c r="BC660" s="41"/>
      <c r="BD660" s="64"/>
    </row>
    <row r="661" spans="1:56" ht="20.399999999999999" x14ac:dyDescent="0.3">
      <c r="A661" s="47" t="s">
        <v>4883</v>
      </c>
      <c r="B661" s="42">
        <f t="shared" si="187"/>
        <v>655</v>
      </c>
      <c r="C661" s="3" t="s">
        <v>4884</v>
      </c>
      <c r="D661" s="47" t="s">
        <v>4883</v>
      </c>
      <c r="E661" s="61" t="s">
        <v>4885</v>
      </c>
      <c r="F661" s="64"/>
      <c r="G661" s="49"/>
      <c r="H661" s="47"/>
      <c r="I661" s="46" t="s">
        <v>4886</v>
      </c>
      <c r="J661" s="66">
        <f ca="1">INT(DATEDIF(I661,'[1]Bieu 1a'!$J$2,"d")/365)</f>
        <v>40</v>
      </c>
      <c r="K661" s="119" t="s">
        <v>4887</v>
      </c>
      <c r="L661" s="46" t="s">
        <v>2126</v>
      </c>
      <c r="M661" s="56" t="s">
        <v>3778</v>
      </c>
      <c r="N661" s="52"/>
      <c r="O661" s="56"/>
      <c r="P661" s="47"/>
      <c r="Q661" s="47"/>
      <c r="R661" s="49"/>
      <c r="S661" s="47"/>
      <c r="T661" s="47"/>
      <c r="U661" s="47"/>
      <c r="V661" s="56" t="s">
        <v>4888</v>
      </c>
      <c r="W661" s="67" t="s">
        <v>4848</v>
      </c>
      <c r="X661" s="46"/>
      <c r="Y661" s="46"/>
      <c r="Z661" s="46"/>
      <c r="AA661" s="68">
        <f>VLOOKUP(A661,'[1]DANH SÁCH'!$B$8:$AD$841,12,0)</f>
        <v>0</v>
      </c>
      <c r="AB661" s="49" t="str">
        <f>VLOOKUP(A661,'[1]DANH SÁCH'!$B$8:$H$841,6,0)</f>
        <v>TĐ047</v>
      </c>
      <c r="AC661" s="69" t="str">
        <f>VLOOKUP(A661,'[1]DANH SÁCH'!$B$8:$J$841,9,0)</f>
        <v>Ngoại Tiêu hóa</v>
      </c>
      <c r="AD661" s="69" t="str">
        <f>VLOOKUP(A661,'[1]DANH SÁCH'!$B$8:$AC$841,9,0)</f>
        <v>Ngoại Tiêu hóa</v>
      </c>
      <c r="AE661" s="69" t="str">
        <f>VLOOKUP(A661,'[1]DANH SÁCH'!$B$8:$AD$841,13,0)</f>
        <v>HĐ có thời hạn</v>
      </c>
      <c r="AF661" s="41"/>
      <c r="AG661" s="42">
        <f>VLOOKUP(A661,'[1]DANH SÁCH'!$B$8:$H$841,7,0)</f>
        <v>0</v>
      </c>
      <c r="AH661" s="45">
        <v>1.65</v>
      </c>
      <c r="AI661" s="42">
        <v>1</v>
      </c>
      <c r="AJ661" s="70"/>
      <c r="AK661" s="69">
        <v>45689</v>
      </c>
      <c r="AL661" s="47" t="s">
        <v>3622</v>
      </c>
      <c r="AM661" s="53" t="str">
        <f>VLOOKUP(A661,'[1]DANH SÁCH'!$B$8:$F$841,5,0)</f>
        <v>Hộ lý</v>
      </c>
      <c r="AN661" s="47"/>
      <c r="AO661" s="47"/>
      <c r="AP661" s="47"/>
      <c r="AQ661" s="46" t="s">
        <v>3616</v>
      </c>
      <c r="AR661" s="47"/>
      <c r="AS661" s="47"/>
      <c r="AT661" s="47"/>
      <c r="AU661" s="47"/>
      <c r="AV661" s="47"/>
      <c r="AW661" s="47"/>
      <c r="AX661" s="47"/>
      <c r="AY661" s="47" t="s">
        <v>85</v>
      </c>
      <c r="AZ661" s="65"/>
      <c r="BA661" s="47"/>
      <c r="BB661" s="47"/>
      <c r="BC661" s="41"/>
      <c r="BD661" s="64"/>
    </row>
    <row r="662" spans="1:56" ht="20.399999999999999" x14ac:dyDescent="0.3">
      <c r="A662" s="47" t="s">
        <v>4889</v>
      </c>
      <c r="B662" s="42">
        <f t="shared" si="187"/>
        <v>656</v>
      </c>
      <c r="C662" s="3" t="s">
        <v>1463</v>
      </c>
      <c r="D662" s="47" t="s">
        <v>4889</v>
      </c>
      <c r="E662" s="61" t="s">
        <v>4890</v>
      </c>
      <c r="F662" s="64"/>
      <c r="G662" s="49"/>
      <c r="H662" s="47"/>
      <c r="I662" s="46" t="s">
        <v>4891</v>
      </c>
      <c r="J662" s="66">
        <f ca="1">INT(DATEDIF(I662,'[1]Bieu 1a'!$J$2,"d")/365)</f>
        <v>47</v>
      </c>
      <c r="K662" s="46" t="s">
        <v>4892</v>
      </c>
      <c r="L662" s="46" t="s">
        <v>4893</v>
      </c>
      <c r="M662" s="56" t="s">
        <v>3778</v>
      </c>
      <c r="N662" s="52"/>
      <c r="O662" s="56"/>
      <c r="P662" s="47"/>
      <c r="Q662" s="47"/>
      <c r="R662" s="49"/>
      <c r="S662" s="47"/>
      <c r="T662" s="47"/>
      <c r="U662" s="47"/>
      <c r="V662" s="56" t="s">
        <v>4894</v>
      </c>
      <c r="W662" s="67" t="s">
        <v>4828</v>
      </c>
      <c r="X662" s="46"/>
      <c r="Y662" s="46"/>
      <c r="Z662" s="46"/>
      <c r="AA662" s="68">
        <f>VLOOKUP(A662,'[1]DANH SÁCH'!$B$8:$AD$841,12,0)</f>
        <v>0</v>
      </c>
      <c r="AB662" s="49" t="str">
        <f>VLOOKUP(A662,'[1]DANH SÁCH'!$B$8:$H$841,6,0)</f>
        <v>TĐ047</v>
      </c>
      <c r="AC662" s="69" t="str">
        <f>VLOOKUP(A662,'[1]DANH SÁCH'!$B$8:$J$841,9,0)</f>
        <v>Cấp Cứu</v>
      </c>
      <c r="AD662" s="69" t="str">
        <f>VLOOKUP(A662,'[1]DANH SÁCH'!$B$8:$AC$841,9,0)</f>
        <v>Cấp Cứu</v>
      </c>
      <c r="AE662" s="69" t="str">
        <f>VLOOKUP(A662,'[1]DANH SÁCH'!$B$8:$AD$841,13,0)</f>
        <v>HĐ có thời hạn</v>
      </c>
      <c r="AF662" s="41"/>
      <c r="AG662" s="42">
        <f>VLOOKUP(A662,'[1]DANH SÁCH'!$B$8:$H$841,7,0)</f>
        <v>0</v>
      </c>
      <c r="AH662" s="45">
        <v>1.65</v>
      </c>
      <c r="AI662" s="42">
        <v>1</v>
      </c>
      <c r="AJ662" s="70"/>
      <c r="AK662" s="69">
        <v>45689</v>
      </c>
      <c r="AL662" s="47" t="s">
        <v>3622</v>
      </c>
      <c r="AM662" s="53" t="str">
        <f>VLOOKUP(A662,'[1]DANH SÁCH'!$B$8:$F$841,5,0)</f>
        <v>Hộ lý</v>
      </c>
      <c r="AN662" s="47"/>
      <c r="AO662" s="47"/>
      <c r="AP662" s="47"/>
      <c r="AQ662" s="46" t="s">
        <v>113</v>
      </c>
      <c r="AR662" s="47"/>
      <c r="AS662" s="47"/>
      <c r="AT662" s="47"/>
      <c r="AU662" s="47"/>
      <c r="AV662" s="47"/>
      <c r="AW662" s="47"/>
      <c r="AX662" s="47"/>
      <c r="AY662" s="47" t="s">
        <v>87</v>
      </c>
      <c r="AZ662" s="65"/>
      <c r="BA662" s="47"/>
      <c r="BB662" s="47"/>
      <c r="BC662" s="61"/>
      <c r="BD662" s="64"/>
    </row>
    <row r="663" spans="1:56" ht="20.399999999999999" x14ac:dyDescent="0.3">
      <c r="A663" s="41" t="s">
        <v>4895</v>
      </c>
      <c r="B663" s="42">
        <f t="shared" si="187"/>
        <v>657</v>
      </c>
      <c r="C663" s="116" t="s">
        <v>4896</v>
      </c>
      <c r="D663" s="41" t="s">
        <v>4895</v>
      </c>
      <c r="E663" s="67">
        <v>11018106</v>
      </c>
      <c r="F663" s="64"/>
      <c r="G663" s="49"/>
      <c r="H663" s="76"/>
      <c r="I663" s="76">
        <v>29735</v>
      </c>
      <c r="J663" s="66">
        <f ca="1">INT(DATEDIF(I663,'[1]Bieu 1a'!$J$2,"d")/365)</f>
        <v>45</v>
      </c>
      <c r="K663" s="75"/>
      <c r="L663" s="41" t="s">
        <v>4897</v>
      </c>
      <c r="M663" s="53" t="s">
        <v>67</v>
      </c>
      <c r="N663" s="66"/>
      <c r="O663" s="53"/>
      <c r="P663" s="49"/>
      <c r="Q663" s="49"/>
      <c r="R663" s="49"/>
      <c r="S663" s="49" t="s">
        <v>1276</v>
      </c>
      <c r="T663" s="49" t="s">
        <v>74</v>
      </c>
      <c r="U663" s="160" t="s">
        <v>71</v>
      </c>
      <c r="V663" s="56" t="s">
        <v>4898</v>
      </c>
      <c r="W663" s="86" t="s">
        <v>4899</v>
      </c>
      <c r="X663" s="41"/>
      <c r="Y663" s="41"/>
      <c r="Z663" s="41"/>
      <c r="AA663" s="68">
        <f>VLOOKUP(A663,'[1]DANH SÁCH'!$B$8:$AD$841,12,0)</f>
        <v>0</v>
      </c>
      <c r="AB663" s="49" t="str">
        <f>VLOOKUP(A663,'[1]DANH SÁCH'!$B$8:$H$841,6,0)</f>
        <v>TĐ047</v>
      </c>
      <c r="AC663" s="69" t="str">
        <f>VLOOKUP(A663,'[1]DANH SÁCH'!$B$8:$J$841,9,0)</f>
        <v>Nhi</v>
      </c>
      <c r="AD663" s="69" t="str">
        <f>VLOOKUP(A663,'[1]DANH SÁCH'!$B$8:$AC$841,9,0)</f>
        <v>Nhi</v>
      </c>
      <c r="AE663" s="69" t="str">
        <f>VLOOKUP(A663,'[1]DANH SÁCH'!$B$8:$AD$841,13,0)</f>
        <v>HĐ có thời hạn</v>
      </c>
      <c r="AF663" s="41"/>
      <c r="AG663" s="42">
        <f>VLOOKUP(A663,'[1]DANH SÁCH'!$B$8:$H$841,7,0)</f>
        <v>0</v>
      </c>
      <c r="AH663" s="45">
        <v>1.65</v>
      </c>
      <c r="AI663" s="42">
        <v>1</v>
      </c>
      <c r="AJ663" s="70"/>
      <c r="AK663" s="69">
        <v>45689</v>
      </c>
      <c r="AL663" s="42" t="s">
        <v>3622</v>
      </c>
      <c r="AM663" s="53" t="str">
        <f>VLOOKUP(A663,'[1]DANH SÁCH'!$B$8:$F$841,5,0)</f>
        <v>Hộ lý</v>
      </c>
      <c r="AN663" s="53"/>
      <c r="AO663" s="53"/>
      <c r="AP663" s="53"/>
      <c r="AQ663" s="72"/>
      <c r="AR663" s="47"/>
      <c r="AS663" s="47"/>
      <c r="AT663" s="47"/>
      <c r="AU663" s="42"/>
      <c r="AV663" s="42"/>
      <c r="AW663" s="42"/>
      <c r="AX663" s="42"/>
      <c r="AY663" s="57" t="s">
        <v>85</v>
      </c>
      <c r="AZ663" s="65"/>
      <c r="BA663" s="74"/>
      <c r="BB663" s="74"/>
      <c r="BC663" s="61"/>
      <c r="BD663" s="64"/>
    </row>
    <row r="664" spans="1:56" ht="31.2" x14ac:dyDescent="0.3">
      <c r="A664" s="46" t="s">
        <v>4900</v>
      </c>
      <c r="B664" s="42">
        <f t="shared" si="187"/>
        <v>658</v>
      </c>
      <c r="C664" s="116" t="s">
        <v>4901</v>
      </c>
      <c r="D664" s="46" t="s">
        <v>4900</v>
      </c>
      <c r="E664" s="67">
        <v>2020121987</v>
      </c>
      <c r="F664" s="64"/>
      <c r="G664" s="49"/>
      <c r="H664" s="42"/>
      <c r="I664" s="62">
        <v>34665</v>
      </c>
      <c r="J664" s="66">
        <f ca="1">INT(DATEDIF(I664,'[1]Bieu 1a'!$J$2,"d")/365)</f>
        <v>31</v>
      </c>
      <c r="K664" s="42">
        <v>82224443</v>
      </c>
      <c r="L664" s="174" t="s">
        <v>4902</v>
      </c>
      <c r="M664" s="53" t="s">
        <v>67</v>
      </c>
      <c r="N664" s="144"/>
      <c r="O664" s="145" t="s">
        <v>4903</v>
      </c>
      <c r="P664" s="47" t="s">
        <v>70</v>
      </c>
      <c r="Q664" s="47" t="s">
        <v>71</v>
      </c>
      <c r="R664" s="49"/>
      <c r="S664" s="47" t="s">
        <v>4903</v>
      </c>
      <c r="T664" s="47" t="s">
        <v>70</v>
      </c>
      <c r="U664" s="47" t="s">
        <v>71</v>
      </c>
      <c r="V664" s="56" t="s">
        <v>4841</v>
      </c>
      <c r="W664" s="67" t="s">
        <v>4904</v>
      </c>
      <c r="X664" s="46" t="s">
        <v>4904</v>
      </c>
      <c r="Y664" s="46"/>
      <c r="Z664" s="46"/>
      <c r="AA664" s="68">
        <f>VLOOKUP(A664,'[1]DANH SÁCH'!$B$8:$AD$841,12,0)</f>
        <v>0</v>
      </c>
      <c r="AB664" s="49" t="str">
        <f>VLOOKUP(A664,'[1]DANH SÁCH'!$B$8:$H$841,6,0)</f>
        <v>TĐ047</v>
      </c>
      <c r="AC664" s="69" t="str">
        <f>VLOOKUP(A664,'[1]DANH SÁCH'!$B$8:$J$841,9,0)</f>
        <v>Phụ sản</v>
      </c>
      <c r="AD664" s="69" t="str">
        <f>VLOOKUP(A664,'[1]DANH SÁCH'!$B$8:$AC$841,9,0)</f>
        <v>Phụ sản</v>
      </c>
      <c r="AE664" s="69" t="str">
        <f>VLOOKUP(A664,'[1]DANH SÁCH'!$B$8:$AD$841,13,0)</f>
        <v>HĐ có thời hạn</v>
      </c>
      <c r="AF664" s="41"/>
      <c r="AG664" s="42">
        <f>VLOOKUP(A664,'[1]DANH SÁCH'!$B$8:$H$841,7,0)</f>
        <v>0</v>
      </c>
      <c r="AH664" s="45">
        <v>1.65</v>
      </c>
      <c r="AI664" s="42">
        <v>1</v>
      </c>
      <c r="AJ664" s="70"/>
      <c r="AK664" s="69">
        <v>45689</v>
      </c>
      <c r="AL664" s="47" t="s">
        <v>3622</v>
      </c>
      <c r="AM664" s="53" t="str">
        <f>VLOOKUP(A664,'[1]DANH SÁCH'!$B$8:$F$841,5,0)</f>
        <v>Hộ lý</v>
      </c>
      <c r="AN664" s="53"/>
      <c r="AO664" s="53"/>
      <c r="AP664" s="53"/>
      <c r="AQ664" s="72"/>
      <c r="AR664" s="47"/>
      <c r="AS664" s="47"/>
      <c r="AT664" s="47"/>
      <c r="AU664" s="47"/>
      <c r="AV664" s="47"/>
      <c r="AW664" s="47"/>
      <c r="AX664" s="47"/>
      <c r="AY664" s="98" t="s">
        <v>85</v>
      </c>
      <c r="AZ664" s="65"/>
      <c r="BA664" s="74"/>
      <c r="BB664" s="74"/>
      <c r="BC664" s="41" t="s">
        <v>2840</v>
      </c>
      <c r="BD664" s="64"/>
    </row>
    <row r="665" spans="1:56" ht="20.399999999999999" x14ac:dyDescent="0.3">
      <c r="A665" s="47" t="s">
        <v>4905</v>
      </c>
      <c r="B665" s="42">
        <f t="shared" si="187"/>
        <v>659</v>
      </c>
      <c r="C665" s="3" t="s">
        <v>4906</v>
      </c>
      <c r="D665" s="47" t="s">
        <v>4905</v>
      </c>
      <c r="E665" s="61" t="s">
        <v>4907</v>
      </c>
      <c r="F665" s="64"/>
      <c r="G665" s="49"/>
      <c r="H665" s="47"/>
      <c r="I665" s="46" t="s">
        <v>4908</v>
      </c>
      <c r="J665" s="66">
        <f ca="1">INT(DATEDIF(I665,'[1]Bieu 1a'!$J$2,"d")/365)</f>
        <v>40</v>
      </c>
      <c r="K665" s="46" t="s">
        <v>4909</v>
      </c>
      <c r="L665" s="46" t="s">
        <v>4910</v>
      </c>
      <c r="M665" s="56" t="s">
        <v>3778</v>
      </c>
      <c r="N665" s="52"/>
      <c r="O665" s="56"/>
      <c r="P665" s="47"/>
      <c r="Q665" s="47"/>
      <c r="R665" s="49"/>
      <c r="S665" s="47"/>
      <c r="T665" s="47"/>
      <c r="U665" s="47"/>
      <c r="V665" s="56" t="s">
        <v>4473</v>
      </c>
      <c r="W665" s="67" t="s">
        <v>4828</v>
      </c>
      <c r="X665" s="46"/>
      <c r="Y665" s="46"/>
      <c r="Z665" s="46"/>
      <c r="AA665" s="68">
        <f>VLOOKUP(A665,'[1]DANH SÁCH'!$B$8:$AD$841,12,0)</f>
        <v>0</v>
      </c>
      <c r="AB665" s="49" t="str">
        <f>VLOOKUP(A665,'[1]DANH SÁCH'!$B$8:$H$841,6,0)</f>
        <v>TĐ047</v>
      </c>
      <c r="AC665" s="69" t="str">
        <f>VLOOKUP(A665,'[1]DANH SÁCH'!$B$8:$J$841,9,0)</f>
        <v>Phụ sản</v>
      </c>
      <c r="AD665" s="69" t="str">
        <f>VLOOKUP(A665,'[1]DANH SÁCH'!$B$8:$AC$841,9,0)</f>
        <v>Phụ sản</v>
      </c>
      <c r="AE665" s="69" t="str">
        <f>VLOOKUP(A665,'[1]DANH SÁCH'!$B$8:$AD$841,13,0)</f>
        <v>HĐ có thời hạn</v>
      </c>
      <c r="AF665" s="41"/>
      <c r="AG665" s="42">
        <f>VLOOKUP(A665,'[1]DANH SÁCH'!$B$8:$H$841,7,0)</f>
        <v>0</v>
      </c>
      <c r="AH665" s="45">
        <v>1.65</v>
      </c>
      <c r="AI665" s="42">
        <v>1</v>
      </c>
      <c r="AJ665" s="70"/>
      <c r="AK665" s="69">
        <v>45689</v>
      </c>
      <c r="AL665" s="47" t="s">
        <v>3622</v>
      </c>
      <c r="AM665" s="53" t="str">
        <f>VLOOKUP(A665,'[1]DANH SÁCH'!$B$8:$F$841,5,0)</f>
        <v>Hộ lý</v>
      </c>
      <c r="AN665" s="47"/>
      <c r="AO665" s="47"/>
      <c r="AP665" s="47"/>
      <c r="AQ665" s="46" t="s">
        <v>113</v>
      </c>
      <c r="AR665" s="47"/>
      <c r="AS665" s="47"/>
      <c r="AT665" s="47"/>
      <c r="AU665" s="47"/>
      <c r="AV665" s="47"/>
      <c r="AW665" s="47"/>
      <c r="AX665" s="47"/>
      <c r="AY665" s="47" t="s">
        <v>85</v>
      </c>
      <c r="AZ665" s="65"/>
      <c r="BA665" s="47"/>
      <c r="BB665" s="47"/>
      <c r="BC665" s="41"/>
      <c r="BD665" s="64"/>
    </row>
    <row r="666" spans="1:56" ht="20.399999999999999" x14ac:dyDescent="0.3">
      <c r="A666" s="47" t="s">
        <v>4911</v>
      </c>
      <c r="B666" s="42">
        <f t="shared" si="187"/>
        <v>660</v>
      </c>
      <c r="C666" s="3" t="s">
        <v>4912</v>
      </c>
      <c r="D666" s="47" t="s">
        <v>4911</v>
      </c>
      <c r="E666" s="61" t="s">
        <v>4913</v>
      </c>
      <c r="F666" s="64"/>
      <c r="G666" s="49"/>
      <c r="H666" s="47"/>
      <c r="I666" s="46" t="s">
        <v>4914</v>
      </c>
      <c r="J666" s="66">
        <f ca="1">INT(DATEDIF(I666,'[1]Bieu 1a'!$J$2,"d")/365)</f>
        <v>44</v>
      </c>
      <c r="K666" s="46" t="s">
        <v>4915</v>
      </c>
      <c r="L666" s="46" t="s">
        <v>4916</v>
      </c>
      <c r="M666" s="56" t="s">
        <v>3778</v>
      </c>
      <c r="N666" s="52"/>
      <c r="O666" s="56"/>
      <c r="P666" s="47"/>
      <c r="Q666" s="47"/>
      <c r="R666" s="49"/>
      <c r="S666" s="47"/>
      <c r="T666" s="47"/>
      <c r="U666" s="47"/>
      <c r="V666" s="56" t="s">
        <v>4917</v>
      </c>
      <c r="W666" s="67" t="s">
        <v>4828</v>
      </c>
      <c r="X666" s="46"/>
      <c r="Y666" s="46"/>
      <c r="Z666" s="46"/>
      <c r="AA666" s="68">
        <f>VLOOKUP(A666,'[1]DANH SÁCH'!$B$8:$AD$841,12,0)</f>
        <v>0</v>
      </c>
      <c r="AB666" s="49" t="str">
        <f>VLOOKUP(A666,'[1]DANH SÁCH'!$B$8:$H$841,6,0)</f>
        <v>TĐ047</v>
      </c>
      <c r="AC666" s="69" t="str">
        <f>VLOOKUP(A666,'[1]DANH SÁCH'!$B$8:$J$841,9,0)</f>
        <v>Phụ sản</v>
      </c>
      <c r="AD666" s="69" t="str">
        <f>VLOOKUP(A666,'[1]DANH SÁCH'!$B$8:$AC$841,9,0)</f>
        <v>Phụ sản</v>
      </c>
      <c r="AE666" s="69" t="str">
        <f>VLOOKUP(A666,'[1]DANH SÁCH'!$B$8:$AD$841,13,0)</f>
        <v>HĐ có thời hạn</v>
      </c>
      <c r="AF666" s="41"/>
      <c r="AG666" s="42">
        <f>VLOOKUP(A666,'[1]DANH SÁCH'!$B$8:$H$841,7,0)</f>
        <v>0</v>
      </c>
      <c r="AH666" s="45">
        <v>1.65</v>
      </c>
      <c r="AI666" s="42">
        <v>1</v>
      </c>
      <c r="AJ666" s="70"/>
      <c r="AK666" s="69">
        <v>45689</v>
      </c>
      <c r="AL666" s="47" t="s">
        <v>3622</v>
      </c>
      <c r="AM666" s="53" t="str">
        <f>VLOOKUP(A666,'[1]DANH SÁCH'!$B$8:$F$841,5,0)</f>
        <v>Hộ lý</v>
      </c>
      <c r="AN666" s="47"/>
      <c r="AO666" s="47"/>
      <c r="AP666" s="47"/>
      <c r="AQ666" s="46" t="s">
        <v>3616</v>
      </c>
      <c r="AR666" s="47"/>
      <c r="AS666" s="47"/>
      <c r="AT666" s="47"/>
      <c r="AU666" s="47"/>
      <c r="AV666" s="47"/>
      <c r="AW666" s="47"/>
      <c r="AX666" s="47"/>
      <c r="AY666" s="47" t="s">
        <v>85</v>
      </c>
      <c r="AZ666" s="65"/>
      <c r="BA666" s="47"/>
      <c r="BB666" s="47"/>
      <c r="BC666" s="41"/>
      <c r="BD666" s="64"/>
    </row>
    <row r="667" spans="1:56" ht="20.399999999999999" x14ac:dyDescent="0.3">
      <c r="A667" s="46" t="s">
        <v>4918</v>
      </c>
      <c r="B667" s="42">
        <f t="shared" si="187"/>
        <v>661</v>
      </c>
      <c r="C667" s="63" t="s">
        <v>4919</v>
      </c>
      <c r="D667" s="46" t="s">
        <v>4918</v>
      </c>
      <c r="E667" s="67">
        <v>2020021176</v>
      </c>
      <c r="F667" s="64">
        <v>2099879755</v>
      </c>
      <c r="G667" s="49"/>
      <c r="H667" s="47"/>
      <c r="I667" s="47" t="s">
        <v>4920</v>
      </c>
      <c r="J667" s="66">
        <f ca="1">INT(DATEDIF(I667,'[1]Bieu 1a'!$J$2,"d")/365)</f>
        <v>47</v>
      </c>
      <c r="K667" s="75" t="s">
        <v>4921</v>
      </c>
      <c r="L667" s="46" t="s">
        <v>4922</v>
      </c>
      <c r="M667" s="53" t="s">
        <v>67</v>
      </c>
      <c r="N667" s="66"/>
      <c r="O667" s="56" t="s">
        <v>2350</v>
      </c>
      <c r="P667" s="47" t="s">
        <v>71</v>
      </c>
      <c r="Q667" s="47" t="s">
        <v>71</v>
      </c>
      <c r="R667" s="49"/>
      <c r="S667" s="47" t="s">
        <v>2350</v>
      </c>
      <c r="T667" s="47" t="s">
        <v>71</v>
      </c>
      <c r="U667" s="47" t="s">
        <v>71</v>
      </c>
      <c r="V667" s="56" t="s">
        <v>4923</v>
      </c>
      <c r="W667" s="55" t="s">
        <v>3949</v>
      </c>
      <c r="X667" s="46"/>
      <c r="Y667" s="46"/>
      <c r="Z667" s="46"/>
      <c r="AA667" s="68">
        <f>VLOOKUP(A667,'[1]DANH SÁCH'!$B$8:$AD$841,12,0)</f>
        <v>0</v>
      </c>
      <c r="AB667" s="49" t="str">
        <f>VLOOKUP(A667,'[1]DANH SÁCH'!$B$8:$H$841,6,0)</f>
        <v>TĐ047</v>
      </c>
      <c r="AC667" s="69" t="str">
        <f>VLOOKUP(A667,'[1]DANH SÁCH'!$B$8:$J$841,9,0)</f>
        <v>Răng Hàm Mặt</v>
      </c>
      <c r="AD667" s="69" t="str">
        <f>VLOOKUP(A667,'[1]DANH SÁCH'!$B$8:$AC$841,9,0)</f>
        <v>Răng Hàm Mặt</v>
      </c>
      <c r="AE667" s="69" t="str">
        <f>VLOOKUP(A667,'[1]DANH SÁCH'!$B$8:$AD$841,13,0)</f>
        <v>HĐ có thời hạn</v>
      </c>
      <c r="AF667" s="41"/>
      <c r="AG667" s="42">
        <f>VLOOKUP(A667,'[1]DANH SÁCH'!$B$8:$H$841,7,0)</f>
        <v>0</v>
      </c>
      <c r="AH667" s="45">
        <v>1.65</v>
      </c>
      <c r="AI667" s="42">
        <v>1</v>
      </c>
      <c r="AJ667" s="70"/>
      <c r="AK667" s="69">
        <v>45689</v>
      </c>
      <c r="AL667" s="47" t="s">
        <v>3622</v>
      </c>
      <c r="AM667" s="72" t="str">
        <f>VLOOKUP(A667,'[1]DANH SÁCH'!$B$8:$F$841,5,0)</f>
        <v>Hộ lý</v>
      </c>
      <c r="AN667" s="53"/>
      <c r="AO667" s="53"/>
      <c r="AP667" s="53"/>
      <c r="AQ667" s="72"/>
      <c r="AR667" s="47"/>
      <c r="AS667" s="47"/>
      <c r="AT667" s="47"/>
      <c r="AU667" s="47"/>
      <c r="AV667" s="47"/>
      <c r="AW667" s="47"/>
      <c r="AX667" s="47"/>
      <c r="AY667" s="73" t="s">
        <v>85</v>
      </c>
      <c r="AZ667" s="65"/>
      <c r="BA667" s="74"/>
      <c r="BB667" s="74"/>
      <c r="BC667" s="150"/>
      <c r="BD667" s="149"/>
    </row>
    <row r="668" spans="1:56" ht="20.399999999999999" x14ac:dyDescent="0.3">
      <c r="A668" s="47" t="s">
        <v>4924</v>
      </c>
      <c r="B668" s="42">
        <f t="shared" si="187"/>
        <v>662</v>
      </c>
      <c r="C668" s="3" t="s">
        <v>4925</v>
      </c>
      <c r="D668" s="47" t="s">
        <v>4924</v>
      </c>
      <c r="E668" s="61" t="s">
        <v>4926</v>
      </c>
      <c r="F668" s="64"/>
      <c r="G668" s="49"/>
      <c r="H668" s="47"/>
      <c r="I668" s="46" t="s">
        <v>4927</v>
      </c>
      <c r="J668" s="66">
        <f ca="1">INT(DATEDIF(I668,'[1]Bieu 1a'!$J$2,"d")/365)</f>
        <v>53</v>
      </c>
      <c r="K668" s="46"/>
      <c r="L668" s="46"/>
      <c r="M668" s="56" t="s">
        <v>3778</v>
      </c>
      <c r="N668" s="52"/>
      <c r="O668" s="56"/>
      <c r="P668" s="47"/>
      <c r="Q668" s="47"/>
      <c r="R668" s="49"/>
      <c r="S668" s="47"/>
      <c r="T668" s="47"/>
      <c r="U668" s="47"/>
      <c r="V668" s="56" t="s">
        <v>4928</v>
      </c>
      <c r="W668" s="67" t="s">
        <v>4828</v>
      </c>
      <c r="X668" s="46"/>
      <c r="Y668" s="46"/>
      <c r="Z668" s="46"/>
      <c r="AA668" s="68">
        <f>VLOOKUP(A668,'[1]DANH SÁCH'!$B$8:$AD$841,12,0)</f>
        <v>0</v>
      </c>
      <c r="AB668" s="49" t="str">
        <f>VLOOKUP(A668,'[1]DANH SÁCH'!$B$8:$H$841,6,0)</f>
        <v>TĐ047</v>
      </c>
      <c r="AC668" s="69" t="str">
        <f>VLOOKUP(A668,'[1]DANH SÁCH'!$B$8:$J$841,9,0)</f>
        <v>Tâm thần - Thần kinh</v>
      </c>
      <c r="AD668" s="69" t="str">
        <f>VLOOKUP(A668,'[1]DANH SÁCH'!$B$8:$AC$841,9,0)</f>
        <v>Tâm thần - Thần kinh</v>
      </c>
      <c r="AE668" s="69" t="str">
        <f>VLOOKUP(A668,'[1]DANH SÁCH'!$B$8:$AD$841,13,0)</f>
        <v>HĐ có thời hạn</v>
      </c>
      <c r="AF668" s="41"/>
      <c r="AG668" s="42">
        <f>VLOOKUP(A668,'[1]DANH SÁCH'!$B$8:$H$841,7,0)</f>
        <v>0</v>
      </c>
      <c r="AH668" s="45">
        <v>1.65</v>
      </c>
      <c r="AI668" s="42">
        <v>1</v>
      </c>
      <c r="AJ668" s="70"/>
      <c r="AK668" s="69">
        <v>45689</v>
      </c>
      <c r="AL668" s="47" t="s">
        <v>3622</v>
      </c>
      <c r="AM668" s="53" t="str">
        <f>VLOOKUP(A668,'[1]DANH SÁCH'!$B$8:$F$841,5,0)</f>
        <v>Hộ lý</v>
      </c>
      <c r="AN668" s="47"/>
      <c r="AO668" s="47"/>
      <c r="AP668" s="47"/>
      <c r="AQ668" s="46"/>
      <c r="AR668" s="47"/>
      <c r="AS668" s="47"/>
      <c r="AT668" s="47"/>
      <c r="AU668" s="47"/>
      <c r="AV668" s="47"/>
      <c r="AW668" s="47"/>
      <c r="AX668" s="47"/>
      <c r="AY668" s="47" t="s">
        <v>85</v>
      </c>
      <c r="AZ668" s="65"/>
      <c r="BA668" s="47"/>
      <c r="BB668" s="47"/>
      <c r="BC668" s="41"/>
      <c r="BD668" s="64"/>
    </row>
    <row r="669" spans="1:56" ht="20.399999999999999" x14ac:dyDescent="0.3">
      <c r="A669" s="47" t="s">
        <v>4929</v>
      </c>
      <c r="B669" s="42">
        <f t="shared" si="187"/>
        <v>663</v>
      </c>
      <c r="C669" s="3" t="s">
        <v>4930</v>
      </c>
      <c r="D669" s="47" t="s">
        <v>4929</v>
      </c>
      <c r="E669" s="61" t="e">
        <v>#N/A</v>
      </c>
      <c r="F669" s="64"/>
      <c r="G669" s="49"/>
      <c r="H669" s="47"/>
      <c r="I669" s="46" t="s">
        <v>4931</v>
      </c>
      <c r="J669" s="66">
        <f ca="1">INT(DATEDIF(I669,'[1]Bieu 1a'!$J$2,"d")/365)</f>
        <v>43</v>
      </c>
      <c r="K669" s="46" t="s">
        <v>4932</v>
      </c>
      <c r="L669" s="46" t="s">
        <v>4933</v>
      </c>
      <c r="M669" s="56" t="s">
        <v>3778</v>
      </c>
      <c r="N669" s="52"/>
      <c r="O669" s="56"/>
      <c r="P669" s="47"/>
      <c r="Q669" s="47"/>
      <c r="R669" s="49"/>
      <c r="S669" s="47"/>
      <c r="T669" s="47"/>
      <c r="U669" s="47"/>
      <c r="V669" s="56" t="s">
        <v>4934</v>
      </c>
      <c r="W669" s="67" t="s">
        <v>4828</v>
      </c>
      <c r="X669" s="46"/>
      <c r="Y669" s="46"/>
      <c r="Z669" s="46"/>
      <c r="AA669" s="68">
        <f>VLOOKUP(A669,'[1]DANH SÁCH'!$B$8:$AD$841,12,0)</f>
        <v>0</v>
      </c>
      <c r="AB669" s="49" t="str">
        <f>VLOOKUP(A669,'[1]DANH SÁCH'!$B$8:$H$841,6,0)</f>
        <v>TĐ047</v>
      </c>
      <c r="AC669" s="69" t="str">
        <f>VLOOKUP(A669,'[1]DANH SÁCH'!$B$8:$J$841,9,0)</f>
        <v>Truyền nhiễm</v>
      </c>
      <c r="AD669" s="69" t="str">
        <f>VLOOKUP(A669,'[1]DANH SÁCH'!$B$8:$AC$841,9,0)</f>
        <v>Truyền nhiễm</v>
      </c>
      <c r="AE669" s="69" t="str">
        <f>VLOOKUP(A669,'[1]DANH SÁCH'!$B$8:$AD$841,13,0)</f>
        <v>HĐ có thời hạn</v>
      </c>
      <c r="AF669" s="41"/>
      <c r="AG669" s="42">
        <f>VLOOKUP(A669,'[1]DANH SÁCH'!$B$8:$H$841,7,0)</f>
        <v>0</v>
      </c>
      <c r="AH669" s="45">
        <v>1.65</v>
      </c>
      <c r="AI669" s="42">
        <v>1</v>
      </c>
      <c r="AJ669" s="70"/>
      <c r="AK669" s="69">
        <v>45689</v>
      </c>
      <c r="AL669" s="47" t="s">
        <v>3622</v>
      </c>
      <c r="AM669" s="53" t="str">
        <f>VLOOKUP(A669,'[1]DANH SÁCH'!$B$8:$F$841,5,0)</f>
        <v>Hộ lý</v>
      </c>
      <c r="AN669" s="47"/>
      <c r="AO669" s="47"/>
      <c r="AP669" s="47"/>
      <c r="AQ669" s="46" t="s">
        <v>113</v>
      </c>
      <c r="AR669" s="47"/>
      <c r="AS669" s="47"/>
      <c r="AT669" s="47"/>
      <c r="AU669" s="47"/>
      <c r="AV669" s="47"/>
      <c r="AW669" s="47"/>
      <c r="AX669" s="47"/>
      <c r="AY669" s="47" t="s">
        <v>85</v>
      </c>
      <c r="AZ669" s="65"/>
      <c r="BA669" s="47"/>
      <c r="BB669" s="47"/>
      <c r="BC669" s="61"/>
      <c r="BD669" s="64"/>
    </row>
    <row r="670" spans="1:56" ht="40.799999999999997" x14ac:dyDescent="0.3">
      <c r="A670" s="41" t="s">
        <v>4935</v>
      </c>
      <c r="B670" s="42">
        <f t="shared" si="187"/>
        <v>664</v>
      </c>
      <c r="C670" s="60" t="s">
        <v>4936</v>
      </c>
      <c r="D670" s="41" t="s">
        <v>4935</v>
      </c>
      <c r="E670" s="55">
        <v>1503001733</v>
      </c>
      <c r="F670" s="49">
        <v>2099811694</v>
      </c>
      <c r="G670" s="49" t="s">
        <v>4937</v>
      </c>
      <c r="H670" s="74">
        <v>29110</v>
      </c>
      <c r="I670" s="76"/>
      <c r="J670" s="66">
        <f ca="1">INT(DATEDIF(H670,'[1]Bieu 1a'!$J$2,"d")/365)</f>
        <v>46</v>
      </c>
      <c r="K670" s="109" t="s">
        <v>4938</v>
      </c>
      <c r="L670" s="41" t="s">
        <v>4939</v>
      </c>
      <c r="M670" s="53" t="s">
        <v>67</v>
      </c>
      <c r="N670" s="66"/>
      <c r="O670" s="53" t="s">
        <v>120</v>
      </c>
      <c r="P670" s="49" t="s">
        <v>121</v>
      </c>
      <c r="Q670" s="49" t="s">
        <v>122</v>
      </c>
      <c r="R670" s="49"/>
      <c r="S670" s="49" t="s">
        <v>174</v>
      </c>
      <c r="T670" s="49" t="s">
        <v>97</v>
      </c>
      <c r="U670" s="49" t="s">
        <v>94</v>
      </c>
      <c r="V670" s="56" t="s">
        <v>3917</v>
      </c>
      <c r="W670" s="55" t="s">
        <v>4940</v>
      </c>
      <c r="X670" s="41"/>
      <c r="Y670" s="41"/>
      <c r="Z670" s="41"/>
      <c r="AA670" s="68">
        <f>VLOOKUP(A670,'[1]DANH SÁCH'!$B$8:$AD$841,12,0)</f>
        <v>0</v>
      </c>
      <c r="AB670" s="49" t="str">
        <f>VLOOKUP(A670,'[1]DANH SÁCH'!$B$8:$H$841,6,0)</f>
        <v>TĐ022</v>
      </c>
      <c r="AC670" s="69" t="str">
        <f>VLOOKUP(A670,'[1]DANH SÁCH'!$B$8:$J$841,9,0)</f>
        <v>HCQT</v>
      </c>
      <c r="AD670" s="69" t="str">
        <f>VLOOKUP(A670,'[1]DANH SÁCH'!$B$8:$AC$841,9,0)</f>
        <v>HCQT</v>
      </c>
      <c r="AE670" s="69" t="str">
        <f>VLOOKUP(A670,'[1]DANH SÁCH'!$B$8:$AD$841,13,0)</f>
        <v>Viên chức</v>
      </c>
      <c r="AF670" s="41"/>
      <c r="AG670" s="42">
        <f>VLOOKUP(A670,'[1]DANH SÁCH'!$B$8:$H$841,7,0)</f>
        <v>0</v>
      </c>
      <c r="AH670" s="45" t="s">
        <v>1841</v>
      </c>
      <c r="AI670" s="42">
        <v>3</v>
      </c>
      <c r="AJ670" s="70"/>
      <c r="AK670" s="127" t="s">
        <v>4941</v>
      </c>
      <c r="AL670" s="71" t="s">
        <v>158</v>
      </c>
      <c r="AM670" s="53" t="str">
        <f>VLOOKUP(A670,'[1]DANH SÁCH'!$B$8:$F$841,5,0)</f>
        <v>KTCĐ</v>
      </c>
      <c r="AN670" s="53"/>
      <c r="AO670" s="53"/>
      <c r="AP670" s="53"/>
      <c r="AQ670" s="72"/>
      <c r="AR670" s="42"/>
      <c r="AS670" s="42"/>
      <c r="AT670" s="47"/>
      <c r="AU670" s="42"/>
      <c r="AV670" s="42"/>
      <c r="AW670" s="42"/>
      <c r="AX670" s="42"/>
      <c r="AY670" s="57" t="s">
        <v>87</v>
      </c>
      <c r="AZ670" s="65"/>
      <c r="BA670" s="74"/>
      <c r="BB670" s="74"/>
      <c r="BC670" s="81"/>
      <c r="BD670" s="47"/>
    </row>
    <row r="671" spans="1:56" ht="40.799999999999997" x14ac:dyDescent="0.3">
      <c r="A671" s="41" t="s">
        <v>4942</v>
      </c>
      <c r="B671" s="42">
        <f t="shared" si="187"/>
        <v>665</v>
      </c>
      <c r="C671" s="68" t="s">
        <v>4943</v>
      </c>
      <c r="D671" s="41" t="s">
        <v>4942</v>
      </c>
      <c r="E671" s="61">
        <v>1503000181</v>
      </c>
      <c r="F671" s="64"/>
      <c r="G671" s="49" t="s">
        <v>4944</v>
      </c>
      <c r="H671" s="76"/>
      <c r="I671" s="76">
        <v>27917</v>
      </c>
      <c r="J671" s="66">
        <f ca="1">INT(DATEDIF(I671,'[1]Bieu 1a'!$J$2,"d")/365)</f>
        <v>50</v>
      </c>
      <c r="K671" s="75" t="s">
        <v>4945</v>
      </c>
      <c r="L671" s="41" t="s">
        <v>4946</v>
      </c>
      <c r="M671" s="53" t="s">
        <v>67</v>
      </c>
      <c r="N671" s="66"/>
      <c r="O671" s="53"/>
      <c r="P671" s="49" t="s">
        <v>108</v>
      </c>
      <c r="Q671" s="49" t="s">
        <v>94</v>
      </c>
      <c r="R671" s="49"/>
      <c r="S671" s="49" t="s">
        <v>166</v>
      </c>
      <c r="T671" s="49" t="s">
        <v>97</v>
      </c>
      <c r="U671" s="49" t="s">
        <v>94</v>
      </c>
      <c r="V671" s="56" t="s">
        <v>4947</v>
      </c>
      <c r="W671" s="55" t="s">
        <v>4948</v>
      </c>
      <c r="X671" s="41"/>
      <c r="Y671" s="41"/>
      <c r="Z671" s="41"/>
      <c r="AA671" s="68">
        <f>VLOOKUP(A671,'[1]DANH SÁCH'!$B$8:$AD$841,12,0)</f>
        <v>0</v>
      </c>
      <c r="AB671" s="49" t="str">
        <f>VLOOKUP(A671,'[1]DANH SÁCH'!$B$8:$H$841,6,0)</f>
        <v>TĐ022</v>
      </c>
      <c r="AC671" s="69" t="str">
        <f>VLOOKUP(A671,'[1]DANH SÁCH'!$B$8:$J$841,9,0)</f>
        <v>TCKT</v>
      </c>
      <c r="AD671" s="69" t="str">
        <f>VLOOKUP(A671,'[1]DANH SÁCH'!$B$8:$AC$841,9,0)</f>
        <v>TCKT</v>
      </c>
      <c r="AE671" s="69" t="str">
        <f>VLOOKUP(A671,'[1]DANH SÁCH'!$B$8:$AD$841,13,0)</f>
        <v>HĐ có thời hạn</v>
      </c>
      <c r="AF671" s="41"/>
      <c r="AG671" s="42">
        <f>VLOOKUP(A671,'[1]DANH SÁCH'!$B$8:$H$841,7,0)</f>
        <v>0</v>
      </c>
      <c r="AH671" s="45" t="s">
        <v>1591</v>
      </c>
      <c r="AI671" s="42">
        <v>4</v>
      </c>
      <c r="AJ671" s="70"/>
      <c r="AK671" s="127" t="s">
        <v>4949</v>
      </c>
      <c r="AL671" s="71" t="s">
        <v>158</v>
      </c>
      <c r="AM671" s="53" t="str">
        <f>VLOOKUP(A671,'[1]DANH SÁCH'!$B$8:$F$841,5,0)</f>
        <v>KTCĐ</v>
      </c>
      <c r="AN671" s="53"/>
      <c r="AO671" s="53"/>
      <c r="AP671" s="53"/>
      <c r="AQ671" s="72"/>
      <c r="AR671" s="42"/>
      <c r="AS671" s="42"/>
      <c r="AT671" s="47"/>
      <c r="AU671" s="42"/>
      <c r="AV671" s="42"/>
      <c r="AW671" s="42"/>
      <c r="AX671" s="42"/>
      <c r="AY671" s="57" t="s">
        <v>85</v>
      </c>
      <c r="AZ671" s="65"/>
      <c r="BA671" s="74"/>
      <c r="BB671" s="74"/>
      <c r="BC671" s="7"/>
      <c r="BD671" s="6"/>
    </row>
    <row r="672" spans="1:56" ht="15.6" x14ac:dyDescent="0.3">
      <c r="A672" s="46" t="s">
        <v>4950</v>
      </c>
      <c r="B672" s="42">
        <f t="shared" si="187"/>
        <v>666</v>
      </c>
      <c r="C672" s="63" t="s">
        <v>4951</v>
      </c>
      <c r="D672" s="46" t="s">
        <v>4950</v>
      </c>
      <c r="E672" s="61" t="s">
        <v>4952</v>
      </c>
      <c r="F672" s="64"/>
      <c r="G672" s="49"/>
      <c r="H672" s="47"/>
      <c r="I672" s="65">
        <v>30826</v>
      </c>
      <c r="J672" s="66">
        <f ca="1">INT(DATEDIF(I672,'[1]Bieu 1a'!$J$2,"d")/365)</f>
        <v>42</v>
      </c>
      <c r="K672" s="46" t="s">
        <v>4953</v>
      </c>
      <c r="L672" s="65">
        <v>41836</v>
      </c>
      <c r="M672" s="56"/>
      <c r="N672" s="52"/>
      <c r="O672" s="56"/>
      <c r="P672" s="47"/>
      <c r="Q672" s="47"/>
      <c r="R672" s="49"/>
      <c r="S672" s="47"/>
      <c r="T672" s="47"/>
      <c r="U672" s="47"/>
      <c r="V672" s="56" t="s">
        <v>4954</v>
      </c>
      <c r="W672" s="67" t="s">
        <v>4955</v>
      </c>
      <c r="X672" s="46"/>
      <c r="Y672" s="46"/>
      <c r="Z672" s="46"/>
      <c r="AA672" s="68">
        <f>VLOOKUP(A672,'[1]DANH SÁCH'!$B$8:$AD$841,12,0)</f>
        <v>0</v>
      </c>
      <c r="AB672" s="49" t="str">
        <f>VLOOKUP(A672,'[1]DANH SÁCH'!$B$8:$H$841,6,0)</f>
        <v>TĐ021</v>
      </c>
      <c r="AC672" s="69" t="str">
        <f>VLOOKUP(A672,'[1]DANH SÁCH'!$B$8:$J$841,9,0)</f>
        <v>CNTT</v>
      </c>
      <c r="AD672" s="69" t="str">
        <f>VLOOKUP(A672,'[1]DANH SÁCH'!$B$8:$AC$841,9,0)</f>
        <v>CNTT</v>
      </c>
      <c r="AE672" s="69" t="str">
        <f>VLOOKUP(A672,'[1]DANH SÁCH'!$B$8:$AD$841,13,0)</f>
        <v>Viên chức</v>
      </c>
      <c r="AF672" s="41"/>
      <c r="AG672" s="42">
        <f>VLOOKUP(A672,'[1]DANH SÁCH'!$B$8:$H$841,7,0)</f>
        <v>0</v>
      </c>
      <c r="AH672" s="45" t="s">
        <v>3781</v>
      </c>
      <c r="AI672" s="42">
        <v>2</v>
      </c>
      <c r="AJ672" s="70"/>
      <c r="AK672" s="69">
        <v>45544</v>
      </c>
      <c r="AL672" s="71" t="s">
        <v>80</v>
      </c>
      <c r="AM672" s="53" t="str">
        <f>VLOOKUP(A672,'[1]DANH SÁCH'!$B$8:$F$841,5,0)</f>
        <v>KTĐH</v>
      </c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 t="s">
        <v>85</v>
      </c>
      <c r="AZ672" s="65"/>
      <c r="BA672" s="47"/>
      <c r="BB672" s="47"/>
      <c r="BC672" s="7"/>
      <c r="BD672" s="6"/>
    </row>
    <row r="673" spans="1:56" ht="40.799999999999997" x14ac:dyDescent="0.3">
      <c r="A673" s="41" t="s">
        <v>4956</v>
      </c>
      <c r="B673" s="42">
        <f t="shared" si="187"/>
        <v>667</v>
      </c>
      <c r="C673" s="60" t="s">
        <v>4957</v>
      </c>
      <c r="D673" s="41" t="s">
        <v>4956</v>
      </c>
      <c r="E673" s="61">
        <v>2010000016</v>
      </c>
      <c r="F673" s="64"/>
      <c r="G673" s="49" t="s">
        <v>4958</v>
      </c>
      <c r="H673" s="76"/>
      <c r="I673" s="76">
        <v>32482</v>
      </c>
      <c r="J673" s="66">
        <f ca="1">INT(DATEDIF(I673,'[1]Bieu 1a'!$J$2,"d")/365)</f>
        <v>37</v>
      </c>
      <c r="K673" s="75" t="s">
        <v>4959</v>
      </c>
      <c r="L673" s="41" t="s">
        <v>4960</v>
      </c>
      <c r="M673" s="53" t="s">
        <v>67</v>
      </c>
      <c r="N673" s="66"/>
      <c r="O673" s="53" t="s">
        <v>357</v>
      </c>
      <c r="P673" s="49" t="s">
        <v>108</v>
      </c>
      <c r="Q673" s="49" t="s">
        <v>94</v>
      </c>
      <c r="R673" s="49"/>
      <c r="S673" s="49" t="s">
        <v>357</v>
      </c>
      <c r="T673" s="49" t="s">
        <v>108</v>
      </c>
      <c r="U673" s="49" t="s">
        <v>94</v>
      </c>
      <c r="V673" s="56" t="s">
        <v>4961</v>
      </c>
      <c r="W673" s="55" t="s">
        <v>4962</v>
      </c>
      <c r="X673" s="41"/>
      <c r="Y673" s="41"/>
      <c r="Z673" s="41"/>
      <c r="AA673" s="68">
        <f>VLOOKUP(A673,'[1]DANH SÁCH'!$B$8:$AD$841,12,0)</f>
        <v>0</v>
      </c>
      <c r="AB673" s="49" t="str">
        <f>VLOOKUP(A673,'[1]DANH SÁCH'!$B$8:$H$841,6,0)</f>
        <v>TĐ022</v>
      </c>
      <c r="AC673" s="69" t="str">
        <f>VLOOKUP(A673,'[1]DANH SÁCH'!$B$8:$J$841,9,0)</f>
        <v>HCQT</v>
      </c>
      <c r="AD673" s="69" t="str">
        <f>VLOOKUP(A673,'[1]DANH SÁCH'!$B$8:$AC$841,9,0)</f>
        <v>HCQT</v>
      </c>
      <c r="AE673" s="69" t="str">
        <f>VLOOKUP(A673,'[1]DANH SÁCH'!$B$8:$AD$841,13,0)</f>
        <v>Viên chức</v>
      </c>
      <c r="AF673" s="41"/>
      <c r="AG673" s="42">
        <f>VLOOKUP(A673,'[1]DANH SÁCH'!$B$8:$H$841,7,0)</f>
        <v>0</v>
      </c>
      <c r="AH673" s="45" t="s">
        <v>4054</v>
      </c>
      <c r="AI673" s="42">
        <v>2</v>
      </c>
      <c r="AJ673" s="70"/>
      <c r="AK673" s="127" t="s">
        <v>4963</v>
      </c>
      <c r="AL673" s="71" t="s">
        <v>101</v>
      </c>
      <c r="AM673" s="53" t="str">
        <f>VLOOKUP(A673,'[1]DANH SÁCH'!$B$8:$F$841,5,0)</f>
        <v>KTCĐ</v>
      </c>
      <c r="AN673" s="53"/>
      <c r="AO673" s="53"/>
      <c r="AP673" s="53"/>
      <c r="AQ673" s="72" t="s">
        <v>113</v>
      </c>
      <c r="AR673" s="42"/>
      <c r="AS673" s="42"/>
      <c r="AT673" s="47"/>
      <c r="AU673" s="42"/>
      <c r="AV673" s="42"/>
      <c r="AW673" s="42"/>
      <c r="AX673" s="42"/>
      <c r="AY673" s="57" t="s">
        <v>85</v>
      </c>
      <c r="AZ673" s="65"/>
      <c r="BA673" s="74"/>
      <c r="BB673" s="74"/>
      <c r="BC673" s="7"/>
      <c r="BD673" s="6"/>
    </row>
    <row r="674" spans="1:56" ht="30.6" x14ac:dyDescent="0.3">
      <c r="A674" s="46" t="s">
        <v>4964</v>
      </c>
      <c r="B674" s="42">
        <f t="shared" si="187"/>
        <v>668</v>
      </c>
      <c r="C674" s="63" t="s">
        <v>4965</v>
      </c>
      <c r="D674" s="46" t="s">
        <v>4964</v>
      </c>
      <c r="E674" s="175">
        <v>2020759488</v>
      </c>
      <c r="F674" s="64"/>
      <c r="G674" s="49" t="s">
        <v>4966</v>
      </c>
      <c r="H674" s="156" t="s">
        <v>4967</v>
      </c>
      <c r="I674" s="64"/>
      <c r="J674" s="66">
        <f ca="1">INT(DATEDIF(H674,'[1]Bieu 1a'!$J$2,"d")/365)</f>
        <v>30</v>
      </c>
      <c r="K674" s="109" t="s">
        <v>4968</v>
      </c>
      <c r="L674" s="41" t="s">
        <v>4969</v>
      </c>
      <c r="M674" s="53" t="s">
        <v>67</v>
      </c>
      <c r="N674" s="136"/>
      <c r="O674" s="176"/>
      <c r="P674" s="136"/>
      <c r="Q674" s="149"/>
      <c r="R674" s="49"/>
      <c r="S674" s="47"/>
      <c r="T674" s="47"/>
      <c r="U674" s="47"/>
      <c r="V674" s="56" t="s">
        <v>4970</v>
      </c>
      <c r="W674" s="67" t="s">
        <v>4971</v>
      </c>
      <c r="X674" s="46" t="s">
        <v>4972</v>
      </c>
      <c r="Y674" s="46"/>
      <c r="Z674" s="46"/>
      <c r="AA674" s="68">
        <f>VLOOKUP(A674,'[1]DANH SÁCH'!$B$8:$AD$841,12,0)</f>
        <v>0</v>
      </c>
      <c r="AB674" s="49" t="str">
        <f>VLOOKUP(A674,'[1]DANH SÁCH'!$B$8:$H$841,6,0)</f>
        <v>TĐ015</v>
      </c>
      <c r="AC674" s="69" t="str">
        <f>VLOOKUP(A674,'[1]DANH SÁCH'!$B$8:$J$841,9,0)</f>
        <v>CĐHA</v>
      </c>
      <c r="AD674" s="69" t="str">
        <f>VLOOKUP(A674,'[1]DANH SÁCH'!$B$8:$AC$841,9,0)</f>
        <v>CĐHA</v>
      </c>
      <c r="AE674" s="69" t="str">
        <f>VLOOKUP(A674,'[1]DANH SÁCH'!$B$8:$AD$841,13,0)</f>
        <v>Viên chức</v>
      </c>
      <c r="AF674" s="41"/>
      <c r="AG674" s="42">
        <f>VLOOKUP(A674,'[1]DANH SÁCH'!$B$8:$H$841,7,0)</f>
        <v>0</v>
      </c>
      <c r="AH674" s="45" t="s">
        <v>3802</v>
      </c>
      <c r="AI674" s="42">
        <v>3</v>
      </c>
      <c r="AJ674" s="70"/>
      <c r="AK674" s="127" t="s">
        <v>4973</v>
      </c>
      <c r="AL674" s="71" t="s">
        <v>158</v>
      </c>
      <c r="AM674" s="53" t="str">
        <f>VLOOKUP(A674,'[1]DANH SÁCH'!$B$8:$F$841,5,0)</f>
        <v>KTY CĐ</v>
      </c>
      <c r="AN674" s="53"/>
      <c r="AO674" s="53"/>
      <c r="AP674" s="53"/>
      <c r="AQ674" s="72"/>
      <c r="AR674" s="47"/>
      <c r="AS674" s="47"/>
      <c r="AT674" s="47"/>
      <c r="AU674" s="47"/>
      <c r="AV674" s="47"/>
      <c r="AW674" s="47"/>
      <c r="AX674" s="47"/>
      <c r="AY674" s="98" t="s">
        <v>127</v>
      </c>
      <c r="AZ674" s="65"/>
      <c r="BA674" s="74"/>
      <c r="BB674" s="74"/>
      <c r="BC674" s="81"/>
      <c r="BD674" s="47"/>
    </row>
    <row r="675" spans="1:56" ht="40.799999999999997" x14ac:dyDescent="0.3">
      <c r="A675" s="46" t="s">
        <v>4974</v>
      </c>
      <c r="B675" s="42">
        <f t="shared" si="187"/>
        <v>669</v>
      </c>
      <c r="C675" s="116" t="s">
        <v>4975</v>
      </c>
      <c r="D675" s="46" t="s">
        <v>4974</v>
      </c>
      <c r="E675" s="67">
        <v>2020056183</v>
      </c>
      <c r="F675" s="64">
        <v>2099890997</v>
      </c>
      <c r="G675" s="49" t="s">
        <v>4976</v>
      </c>
      <c r="H675" s="47"/>
      <c r="I675" s="65">
        <v>34966</v>
      </c>
      <c r="J675" s="66">
        <f ca="1">INT(DATEDIF(I675,'[1]Bieu 1a'!$J$2,"d")/365)</f>
        <v>30</v>
      </c>
      <c r="K675" s="75" t="s">
        <v>4977</v>
      </c>
      <c r="L675" s="46" t="s">
        <v>4978</v>
      </c>
      <c r="M675" s="53" t="s">
        <v>67</v>
      </c>
      <c r="N675" s="52"/>
      <c r="O675" s="56" t="s">
        <v>4979</v>
      </c>
      <c r="P675" s="47" t="s">
        <v>1902</v>
      </c>
      <c r="Q675" s="49" t="s">
        <v>94</v>
      </c>
      <c r="R675" s="49"/>
      <c r="S675" s="47" t="s">
        <v>760</v>
      </c>
      <c r="T675" s="47" t="s">
        <v>74</v>
      </c>
      <c r="U675" s="49" t="s">
        <v>94</v>
      </c>
      <c r="V675" s="56" t="s">
        <v>3917</v>
      </c>
      <c r="W675" s="67" t="s">
        <v>2827</v>
      </c>
      <c r="X675" s="46"/>
      <c r="Y675" s="46"/>
      <c r="Z675" s="46"/>
      <c r="AA675" s="68">
        <f>VLOOKUP(A675,'[1]DANH SÁCH'!$B$8:$AD$841,12,0)</f>
        <v>0</v>
      </c>
      <c r="AB675" s="49" t="str">
        <f>VLOOKUP(A675,'[1]DANH SÁCH'!$B$8:$H$841,6,0)</f>
        <v>TĐ015</v>
      </c>
      <c r="AC675" s="69" t="str">
        <f>VLOOKUP(A675,'[1]DANH SÁCH'!$B$8:$J$841,9,0)</f>
        <v>HH-TM</v>
      </c>
      <c r="AD675" s="69" t="str">
        <f>VLOOKUP(A675,'[1]DANH SÁCH'!$B$8:$AC$841,9,0)</f>
        <v>HH-TM</v>
      </c>
      <c r="AE675" s="69" t="str">
        <f>VLOOKUP(A675,'[1]DANH SÁCH'!$B$8:$AD$841,13,0)</f>
        <v>Viên chức</v>
      </c>
      <c r="AF675" s="41"/>
      <c r="AG675" s="42">
        <f>VLOOKUP(A675,'[1]DANH SÁCH'!$B$8:$H$841,7,0)</f>
        <v>0</v>
      </c>
      <c r="AH675" s="45" t="s">
        <v>1841</v>
      </c>
      <c r="AI675" s="42">
        <v>3</v>
      </c>
      <c r="AJ675" s="70"/>
      <c r="AK675" s="69">
        <v>45200</v>
      </c>
      <c r="AL675" s="71" t="s">
        <v>158</v>
      </c>
      <c r="AM675" s="53" t="str">
        <f>VLOOKUP(A675,'[1]DANH SÁCH'!$B$8:$F$841,5,0)</f>
        <v>KTY CĐ</v>
      </c>
      <c r="AN675" s="53"/>
      <c r="AO675" s="53" t="s">
        <v>4980</v>
      </c>
      <c r="AP675" s="53">
        <v>2016</v>
      </c>
      <c r="AQ675" s="72" t="s">
        <v>113</v>
      </c>
      <c r="AR675" s="47"/>
      <c r="AS675" s="47"/>
      <c r="AT675" s="47"/>
      <c r="AU675" s="47" t="s">
        <v>1230</v>
      </c>
      <c r="AV675" s="47"/>
      <c r="AW675" s="47" t="s">
        <v>86</v>
      </c>
      <c r="AX675" s="47"/>
      <c r="AY675" s="73" t="s">
        <v>85</v>
      </c>
      <c r="AZ675" s="65"/>
      <c r="BA675" s="74" t="e">
        <f t="shared" ref="BA675:BA676" si="198">VLOOKUP(A675,#REF!,4,0)</f>
        <v>#REF!</v>
      </c>
      <c r="BB675" s="74" t="e">
        <f t="shared" ref="BB675:BB676" si="199">VLOOKUP(A675,#REF!,5,0)</f>
        <v>#REF!</v>
      </c>
      <c r="BC675" s="150"/>
      <c r="BD675" s="149"/>
    </row>
    <row r="676" spans="1:56" ht="40.799999999999997" x14ac:dyDescent="0.3">
      <c r="A676" s="41" t="s">
        <v>4981</v>
      </c>
      <c r="B676" s="42">
        <f t="shared" si="187"/>
        <v>670</v>
      </c>
      <c r="C676" s="60" t="s">
        <v>4982</v>
      </c>
      <c r="D676" s="41" t="s">
        <v>4981</v>
      </c>
      <c r="E676" s="67">
        <v>2015002112</v>
      </c>
      <c r="F676" s="64"/>
      <c r="G676" s="49" t="s">
        <v>4983</v>
      </c>
      <c r="H676" s="76"/>
      <c r="I676" s="76">
        <v>34032</v>
      </c>
      <c r="J676" s="66">
        <f ca="1">INT(DATEDIF(I676,'[1]Bieu 1a'!$J$2,"d")/365)</f>
        <v>33</v>
      </c>
      <c r="K676" s="75" t="s">
        <v>4984</v>
      </c>
      <c r="L676" s="41" t="s">
        <v>4985</v>
      </c>
      <c r="M676" s="53" t="s">
        <v>67</v>
      </c>
      <c r="N676" s="66"/>
      <c r="O676" s="53" t="s">
        <v>4986</v>
      </c>
      <c r="P676" s="49" t="s">
        <v>222</v>
      </c>
      <c r="Q676" s="49" t="s">
        <v>94</v>
      </c>
      <c r="R676" s="49"/>
      <c r="S676" s="49" t="s">
        <v>4986</v>
      </c>
      <c r="T676" s="49" t="s">
        <v>222</v>
      </c>
      <c r="U676" s="49" t="s">
        <v>94</v>
      </c>
      <c r="V676" s="56" t="s">
        <v>4987</v>
      </c>
      <c r="W676" s="55" t="s">
        <v>1369</v>
      </c>
      <c r="X676" s="41"/>
      <c r="Y676" s="41"/>
      <c r="Z676" s="41"/>
      <c r="AA676" s="68">
        <f>VLOOKUP(A676,'[1]DANH SÁCH'!$B$8:$AD$841,12,0)</f>
        <v>0</v>
      </c>
      <c r="AB676" s="49" t="str">
        <f>VLOOKUP(A676,'[1]DANH SÁCH'!$B$8:$H$841,6,0)</f>
        <v>TĐ015</v>
      </c>
      <c r="AC676" s="69" t="str">
        <f>VLOOKUP(A676,'[1]DANH SÁCH'!$B$8:$J$841,9,0)</f>
        <v>HS-VS</v>
      </c>
      <c r="AD676" s="69" t="str">
        <f>VLOOKUP(A676,'[1]DANH SÁCH'!$B$8:$AC$841,9,0)</f>
        <v>HS-VS</v>
      </c>
      <c r="AE676" s="69" t="str">
        <f>VLOOKUP(A676,'[1]DANH SÁCH'!$B$8:$AD$841,13,0)</f>
        <v>Viên chức</v>
      </c>
      <c r="AF676" s="41"/>
      <c r="AG676" s="42">
        <f>VLOOKUP(A676,'[1]DANH SÁCH'!$B$8:$H$841,7,0)</f>
        <v>0</v>
      </c>
      <c r="AH676" s="45" t="s">
        <v>1591</v>
      </c>
      <c r="AI676" s="42">
        <v>4</v>
      </c>
      <c r="AJ676" s="70"/>
      <c r="AK676" s="69">
        <v>45566</v>
      </c>
      <c r="AL676" s="71" t="s">
        <v>158</v>
      </c>
      <c r="AM676" s="53" t="str">
        <f>VLOOKUP(A676,'[1]DANH SÁCH'!$B$8:$F$841,5,0)</f>
        <v>KTY CĐ</v>
      </c>
      <c r="AN676" s="53"/>
      <c r="AO676" s="53" t="s">
        <v>4988</v>
      </c>
      <c r="AP676" s="53">
        <v>2014</v>
      </c>
      <c r="AQ676" s="72" t="s">
        <v>113</v>
      </c>
      <c r="AR676" s="42"/>
      <c r="AS676" s="42"/>
      <c r="AT676" s="47"/>
      <c r="AU676" s="42" t="s">
        <v>1230</v>
      </c>
      <c r="AV676" s="42"/>
      <c r="AW676" s="42" t="s">
        <v>86</v>
      </c>
      <c r="AX676" s="42"/>
      <c r="AY676" s="57" t="s">
        <v>127</v>
      </c>
      <c r="AZ676" s="65"/>
      <c r="BA676" s="74" t="e">
        <f t="shared" si="198"/>
        <v>#REF!</v>
      </c>
      <c r="BB676" s="74" t="e">
        <f t="shared" si="199"/>
        <v>#REF!</v>
      </c>
      <c r="BC676" s="150"/>
      <c r="BD676" s="149"/>
    </row>
    <row r="677" spans="1:56" ht="40.799999999999997" x14ac:dyDescent="0.3">
      <c r="A677" s="46" t="s">
        <v>4989</v>
      </c>
      <c r="B677" s="42">
        <f t="shared" si="187"/>
        <v>671</v>
      </c>
      <c r="C677" s="53" t="s">
        <v>4990</v>
      </c>
      <c r="D677" s="46" t="s">
        <v>4989</v>
      </c>
      <c r="E677" s="61" t="s">
        <v>4991</v>
      </c>
      <c r="F677" s="10"/>
      <c r="G677" s="49" t="s">
        <v>4992</v>
      </c>
      <c r="H677" s="47"/>
      <c r="I677" s="41" t="s">
        <v>4993</v>
      </c>
      <c r="J677" s="66">
        <f ca="1">INT(DATEDIF(I677,'[1]Bieu 1a'!$J$2,"d")/365)</f>
        <v>32</v>
      </c>
      <c r="K677" s="72" t="s">
        <v>4994</v>
      </c>
      <c r="L677" s="41" t="s">
        <v>4995</v>
      </c>
      <c r="M677" s="158" t="s">
        <v>4996</v>
      </c>
      <c r="N677" s="95"/>
      <c r="O677" s="96"/>
      <c r="P677" s="6"/>
      <c r="Q677" s="6"/>
      <c r="R677" s="49"/>
      <c r="S677" s="6"/>
      <c r="T677" s="6"/>
      <c r="U677" s="6"/>
      <c r="V677" s="56" t="s">
        <v>4731</v>
      </c>
      <c r="W677" s="67" t="s">
        <v>3841</v>
      </c>
      <c r="X677" s="97"/>
      <c r="Y677" s="97"/>
      <c r="Z677" s="97"/>
      <c r="AA677" s="68">
        <f>VLOOKUP(A677,'[1]DANH SÁCH'!$B$8:$AD$841,12,0)</f>
        <v>0</v>
      </c>
      <c r="AB677" s="49" t="str">
        <f>VLOOKUP(A677,'[1]DANH SÁCH'!$B$8:$H$841,6,0)</f>
        <v>TĐ015</v>
      </c>
      <c r="AC677" s="69" t="str">
        <f>VLOOKUP(A677,'[1]DANH SÁCH'!$B$8:$J$841,9,0)</f>
        <v>HS-VS</v>
      </c>
      <c r="AD677" s="69" t="str">
        <f>VLOOKUP(A677,'[1]DANH SÁCH'!$B$8:$AC$841,9,0)</f>
        <v>HS-VS</v>
      </c>
      <c r="AE677" s="69" t="str">
        <f>VLOOKUP(A677,'[1]DANH SÁCH'!$B$8:$AD$841,13,0)</f>
        <v>Viên chức</v>
      </c>
      <c r="AF677" s="41"/>
      <c r="AG677" s="42">
        <f>VLOOKUP(A677,'[1]DANH SÁCH'!$B$8:$H$841,7,0)</f>
        <v>0</v>
      </c>
      <c r="AH677" s="45" t="s">
        <v>4054</v>
      </c>
      <c r="AI677" s="42">
        <v>2</v>
      </c>
      <c r="AJ677" s="70"/>
      <c r="AK677" s="69">
        <v>45395</v>
      </c>
      <c r="AL677" s="71" t="s">
        <v>158</v>
      </c>
      <c r="AM677" s="53" t="str">
        <f>VLOOKUP(A677,'[1]DANH SÁCH'!$B$8:$F$841,5,0)</f>
        <v>KTY CĐ</v>
      </c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73" t="s">
        <v>85</v>
      </c>
      <c r="AZ677" s="65"/>
      <c r="BA677" s="6"/>
      <c r="BB677" s="6"/>
      <c r="BC677" s="150"/>
      <c r="BD677" s="149"/>
    </row>
    <row r="678" spans="1:56" ht="40.799999999999997" x14ac:dyDescent="0.3">
      <c r="A678" s="46" t="s">
        <v>4997</v>
      </c>
      <c r="B678" s="42">
        <f t="shared" si="187"/>
        <v>672</v>
      </c>
      <c r="C678" s="44" t="s">
        <v>4998</v>
      </c>
      <c r="D678" s="46" t="s">
        <v>4997</v>
      </c>
      <c r="E678" s="67">
        <v>2020030843</v>
      </c>
      <c r="F678" s="64"/>
      <c r="G678" s="49" t="s">
        <v>4999</v>
      </c>
      <c r="H678" s="42"/>
      <c r="I678" s="156" t="s">
        <v>5000</v>
      </c>
      <c r="J678" s="66">
        <f ca="1">INT(DATEDIF(I678,'[1]Bieu 1a'!$J$2,"d")/365)</f>
        <v>32</v>
      </c>
      <c r="K678" s="109" t="s">
        <v>5001</v>
      </c>
      <c r="L678" s="41" t="s">
        <v>5002</v>
      </c>
      <c r="M678" s="53" t="s">
        <v>67</v>
      </c>
      <c r="N678" s="144"/>
      <c r="O678" s="145"/>
      <c r="P678" s="144" t="s">
        <v>1902</v>
      </c>
      <c r="Q678" s="49" t="s">
        <v>94</v>
      </c>
      <c r="R678" s="49"/>
      <c r="S678" s="47" t="s">
        <v>2248</v>
      </c>
      <c r="T678" s="47" t="s">
        <v>74</v>
      </c>
      <c r="U678" s="47" t="s">
        <v>5003</v>
      </c>
      <c r="V678" s="56" t="s">
        <v>3917</v>
      </c>
      <c r="W678" s="67" t="s">
        <v>5004</v>
      </c>
      <c r="X678" s="46" t="s">
        <v>5004</v>
      </c>
      <c r="Y678" s="46"/>
      <c r="Z678" s="46"/>
      <c r="AA678" s="68">
        <f>VLOOKUP(A678,'[1]DANH SÁCH'!$B$8:$AD$841,12,0)</f>
        <v>0</v>
      </c>
      <c r="AB678" s="49" t="str">
        <f>VLOOKUP(A678,'[1]DANH SÁCH'!$B$8:$H$841,6,0)</f>
        <v>TĐ014</v>
      </c>
      <c r="AC678" s="69" t="str">
        <f>VLOOKUP(A678,'[1]DANH SÁCH'!$B$8:$J$841,9,0)</f>
        <v>HS-VS</v>
      </c>
      <c r="AD678" s="69" t="str">
        <f>VLOOKUP(A678,'[1]DANH SÁCH'!$B$8:$AC$841,9,0)</f>
        <v>HS-VS</v>
      </c>
      <c r="AE678" s="69" t="str">
        <f>VLOOKUP(A678,'[1]DANH SÁCH'!$B$8:$AD$841,13,0)</f>
        <v>Viên chức</v>
      </c>
      <c r="AF678" s="41"/>
      <c r="AG678" s="42">
        <f>VLOOKUP(A678,'[1]DANH SÁCH'!$B$8:$H$841,7,0)</f>
        <v>0</v>
      </c>
      <c r="AH678" s="45" t="s">
        <v>3802</v>
      </c>
      <c r="AI678" s="42">
        <v>3</v>
      </c>
      <c r="AJ678" s="70"/>
      <c r="AK678" s="127" t="s">
        <v>5005</v>
      </c>
      <c r="AL678" s="71" t="s">
        <v>80</v>
      </c>
      <c r="AM678" s="53" t="str">
        <f>VLOOKUP(A678,'[1]DANH SÁCH'!$B$8:$F$841,5,0)</f>
        <v>KTY ĐH</v>
      </c>
      <c r="AN678" s="53"/>
      <c r="AO678" s="53" t="s">
        <v>5006</v>
      </c>
      <c r="AP678" s="53">
        <v>2015</v>
      </c>
      <c r="AQ678" s="72" t="s">
        <v>113</v>
      </c>
      <c r="AR678" s="47"/>
      <c r="AS678" s="47"/>
      <c r="AT678" s="47"/>
      <c r="AU678" s="47" t="s">
        <v>3588</v>
      </c>
      <c r="AV678" s="47"/>
      <c r="AW678" s="47" t="s">
        <v>86</v>
      </c>
      <c r="AX678" s="47" t="s">
        <v>5007</v>
      </c>
      <c r="AY678" s="98" t="s">
        <v>127</v>
      </c>
      <c r="AZ678" s="65"/>
      <c r="BA678" s="74" t="e">
        <f>VLOOKUP(A678,#REF!,4,0)</f>
        <v>#REF!</v>
      </c>
      <c r="BB678" s="74" t="e">
        <f>VLOOKUP(A678,#REF!,5,0)</f>
        <v>#REF!</v>
      </c>
      <c r="BC678" s="150"/>
      <c r="BD678" s="149"/>
    </row>
    <row r="679" spans="1:56" ht="40.799999999999997" x14ac:dyDescent="0.3">
      <c r="A679" s="46" t="s">
        <v>5008</v>
      </c>
      <c r="B679" s="42">
        <f t="shared" si="187"/>
        <v>673</v>
      </c>
      <c r="C679" s="63" t="s">
        <v>5009</v>
      </c>
      <c r="D679" s="46" t="s">
        <v>5008</v>
      </c>
      <c r="E679" s="61" t="s">
        <v>5010</v>
      </c>
      <c r="F679" s="64"/>
      <c r="G679" s="49" t="s">
        <v>5011</v>
      </c>
      <c r="H679" s="47"/>
      <c r="I679" s="177">
        <v>35667</v>
      </c>
      <c r="J679" s="66">
        <f ca="1">INT(DATEDIF(I679,'[1]Bieu 1a'!$J$2,"d")/365)</f>
        <v>28</v>
      </c>
      <c r="K679" s="46"/>
      <c r="L679" s="47"/>
      <c r="M679" s="56"/>
      <c r="N679" s="52"/>
      <c r="O679" s="56"/>
      <c r="P679" s="47"/>
      <c r="Q679" s="47"/>
      <c r="R679" s="49"/>
      <c r="S679" s="47"/>
      <c r="T679" s="47"/>
      <c r="U679" s="47"/>
      <c r="V679" s="56" t="s">
        <v>5012</v>
      </c>
      <c r="W679" s="67" t="s">
        <v>5013</v>
      </c>
      <c r="X679" s="46"/>
      <c r="Y679" s="46"/>
      <c r="Z679" s="46"/>
      <c r="AA679" s="68">
        <f>VLOOKUP(A679,'[1]DANH SÁCH'!$B$8:$AD$841,12,0)</f>
        <v>0</v>
      </c>
      <c r="AB679" s="49" t="str">
        <f>VLOOKUP(A679,'[1]DANH SÁCH'!$B$8:$H$841,6,0)</f>
        <v>TĐ014</v>
      </c>
      <c r="AC679" s="69" t="str">
        <f>VLOOKUP(A679,'[1]DANH SÁCH'!$B$8:$J$841,9,0)</f>
        <v>HS-VS</v>
      </c>
      <c r="AD679" s="69" t="str">
        <f>VLOOKUP(A679,'[1]DANH SÁCH'!$B$8:$AC$841,9,0)</f>
        <v>HS-VS</v>
      </c>
      <c r="AE679" s="69" t="str">
        <f>VLOOKUP(A679,'[1]DANH SÁCH'!$B$8:$AD$841,13,0)</f>
        <v>Viên chức</v>
      </c>
      <c r="AF679" s="41"/>
      <c r="AG679" s="42">
        <f>VLOOKUP(A679,'[1]DANH SÁCH'!$B$8:$H$841,7,0)</f>
        <v>0</v>
      </c>
      <c r="AH679" s="45" t="s">
        <v>3781</v>
      </c>
      <c r="AI679" s="42">
        <v>2</v>
      </c>
      <c r="AJ679" s="70"/>
      <c r="AK679" s="69">
        <v>45222</v>
      </c>
      <c r="AL679" s="71" t="s">
        <v>80</v>
      </c>
      <c r="AM679" s="53" t="str">
        <f>VLOOKUP(A679,'[1]DANH SÁCH'!$B$8:$F$841,5,0)</f>
        <v>KTY ĐH</v>
      </c>
      <c r="AN679" s="47"/>
      <c r="AO679" s="47"/>
      <c r="AP679" s="47"/>
      <c r="AQ679" s="46" t="s">
        <v>113</v>
      </c>
      <c r="AR679" s="47"/>
      <c r="AS679" s="47"/>
      <c r="AT679" s="47"/>
      <c r="AU679" s="47"/>
      <c r="AV679" s="47"/>
      <c r="AW679" s="47"/>
      <c r="AX679" s="47"/>
      <c r="AY679" s="47" t="s">
        <v>85</v>
      </c>
      <c r="AZ679" s="65"/>
      <c r="BA679" s="47"/>
      <c r="BB679" s="47"/>
      <c r="BC679" s="150"/>
      <c r="BD679" s="149"/>
    </row>
    <row r="680" spans="1:56" ht="30.6" x14ac:dyDescent="0.3">
      <c r="A680" s="61" t="s">
        <v>5014</v>
      </c>
      <c r="B680" s="42">
        <f t="shared" si="187"/>
        <v>674</v>
      </c>
      <c r="C680" s="92" t="s">
        <v>5015</v>
      </c>
      <c r="D680" s="61" t="s">
        <v>5014</v>
      </c>
      <c r="E680" s="61" t="s">
        <v>5016</v>
      </c>
      <c r="F680" s="10"/>
      <c r="G680" s="49" t="s">
        <v>5017</v>
      </c>
      <c r="H680" s="47"/>
      <c r="I680" s="65">
        <v>34969</v>
      </c>
      <c r="J680" s="66">
        <f ca="1">INT(DATEDIF(I680,'[1]Bieu 1a'!$J$2,"d")/365)</f>
        <v>30</v>
      </c>
      <c r="K680" s="46" t="s">
        <v>5018</v>
      </c>
      <c r="L680" s="65">
        <v>41869</v>
      </c>
      <c r="M680" s="56"/>
      <c r="N680" s="52"/>
      <c r="O680" s="56"/>
      <c r="P680" s="47"/>
      <c r="Q680" s="47"/>
      <c r="R680" s="49"/>
      <c r="S680" s="47" t="s">
        <v>1276</v>
      </c>
      <c r="T680" s="47" t="s">
        <v>74</v>
      </c>
      <c r="U680" s="47" t="s">
        <v>71</v>
      </c>
      <c r="V680" s="56" t="s">
        <v>5019</v>
      </c>
      <c r="W680" s="62">
        <v>44326</v>
      </c>
      <c r="X680" s="97"/>
      <c r="Y680" s="97"/>
      <c r="Z680" s="97"/>
      <c r="AA680" s="68">
        <f>VLOOKUP(A680,'[1]DANH SÁCH'!$B$8:$AD$841,12,0)</f>
        <v>0</v>
      </c>
      <c r="AB680" s="47"/>
      <c r="AC680" s="69" t="str">
        <f>VLOOKUP(A680,'[1]DANH SÁCH'!$B$8:$J$841,9,0)</f>
        <v>HS-VS</v>
      </c>
      <c r="AD680" s="69" t="str">
        <f>VLOOKUP(A680,'[1]DANH SÁCH'!$B$8:$AC$841,9,0)</f>
        <v>HS-VS</v>
      </c>
      <c r="AE680" s="69" t="str">
        <f>VLOOKUP(A680,'[1]DANH SÁCH'!$B$8:$AD$841,13,0)</f>
        <v>Viên chức</v>
      </c>
      <c r="AF680" s="41"/>
      <c r="AG680" s="42">
        <f>VLOOKUP(A680,'[1]DANH SÁCH'!$B$8:$H$841,7,0)</f>
        <v>0</v>
      </c>
      <c r="AH680" s="45" t="s">
        <v>3781</v>
      </c>
      <c r="AI680" s="42">
        <v>2</v>
      </c>
      <c r="AJ680" s="70"/>
      <c r="AK680" s="69">
        <v>45787</v>
      </c>
      <c r="AL680" s="71" t="s">
        <v>80</v>
      </c>
      <c r="AM680" s="53" t="str">
        <f>VLOOKUP(A680,'[1]DANH SÁCH'!$B$8:$F$841,5,0)</f>
        <v>KTY ĐH</v>
      </c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47" t="s">
        <v>85</v>
      </c>
      <c r="AZ680" s="65"/>
      <c r="BA680" s="6"/>
      <c r="BB680" s="6"/>
      <c r="BC680" s="7"/>
      <c r="BD680" s="6"/>
    </row>
    <row r="681" spans="1:56" ht="30.6" x14ac:dyDescent="0.3">
      <c r="A681" s="46" t="s">
        <v>5020</v>
      </c>
      <c r="B681" s="42">
        <f t="shared" si="187"/>
        <v>675</v>
      </c>
      <c r="C681" s="63" t="s">
        <v>5021</v>
      </c>
      <c r="D681" s="46" t="s">
        <v>5020</v>
      </c>
      <c r="E681" s="67">
        <v>2020700468</v>
      </c>
      <c r="F681" s="64">
        <v>2099986707</v>
      </c>
      <c r="G681" s="49"/>
      <c r="H681" s="65">
        <v>31845</v>
      </c>
      <c r="I681" s="47"/>
      <c r="J681" s="66">
        <f ca="1">INT(DATEDIF(H681,'[1]Bieu 1a'!$J$2,"d")/365)</f>
        <v>39</v>
      </c>
      <c r="K681" s="41" t="s">
        <v>5022</v>
      </c>
      <c r="L681" s="46" t="s">
        <v>5023</v>
      </c>
      <c r="M681" s="53" t="s">
        <v>67</v>
      </c>
      <c r="N681" s="66"/>
      <c r="O681" s="56" t="s">
        <v>5024</v>
      </c>
      <c r="P681" s="47" t="s">
        <v>1193</v>
      </c>
      <c r="Q681" s="47" t="s">
        <v>71</v>
      </c>
      <c r="R681" s="49"/>
      <c r="S681" s="47" t="s">
        <v>2471</v>
      </c>
      <c r="T681" s="47" t="s">
        <v>1193</v>
      </c>
      <c r="U681" s="47" t="s">
        <v>71</v>
      </c>
      <c r="V681" s="56" t="s">
        <v>4297</v>
      </c>
      <c r="W681" s="55" t="s">
        <v>3949</v>
      </c>
      <c r="X681" s="46"/>
      <c r="Y681" s="46"/>
      <c r="Z681" s="46"/>
      <c r="AA681" s="68">
        <f>VLOOKUP(A681,'[1]DANH SÁCH'!$B$8:$AD$841,12,0)</f>
        <v>0</v>
      </c>
      <c r="AB681" s="49" t="str">
        <f>VLOOKUP(A681,'[1]DANH SÁCH'!$B$8:$H$841,6,0)</f>
        <v>TĐ029</v>
      </c>
      <c r="AC681" s="69" t="str">
        <f>VLOOKUP(A681,'[1]DANH SÁCH'!$B$8:$J$841,9,0)</f>
        <v>VT-TTBYT</v>
      </c>
      <c r="AD681" s="69" t="str">
        <f>VLOOKUP(A681,'[1]DANH SÁCH'!$B$8:$AC$841,9,0)</f>
        <v>VT-TTBYT</v>
      </c>
      <c r="AE681" s="69" t="str">
        <f>VLOOKUP(A681,'[1]DANH SÁCH'!$B$8:$AD$841,13,0)</f>
        <v>Viên chức</v>
      </c>
      <c r="AF681" s="41"/>
      <c r="AG681" s="42">
        <f>VLOOKUP(A681,'[1]DANH SÁCH'!$B$8:$H$841,7,0)</f>
        <v>0</v>
      </c>
      <c r="AH681" s="45" t="s">
        <v>3802</v>
      </c>
      <c r="AI681" s="42">
        <v>3</v>
      </c>
      <c r="AJ681" s="70"/>
      <c r="AK681" s="69">
        <v>45567</v>
      </c>
      <c r="AL681" s="47" t="s">
        <v>80</v>
      </c>
      <c r="AM681" s="53" t="str">
        <f>VLOOKUP(A681,'[1]DANH SÁCH'!$B$8:$F$841,5,0)</f>
        <v>Kỹ sư</v>
      </c>
      <c r="AN681" s="53"/>
      <c r="AO681" s="42" t="s">
        <v>5025</v>
      </c>
      <c r="AP681" s="53">
        <v>2014</v>
      </c>
      <c r="AQ681" s="72"/>
      <c r="AR681" s="47"/>
      <c r="AS681" s="47"/>
      <c r="AT681" s="47" t="s">
        <v>139</v>
      </c>
      <c r="AU681" s="47"/>
      <c r="AV681" s="47"/>
      <c r="AW681" s="47"/>
      <c r="AX681" s="47"/>
      <c r="AY681" s="73" t="s">
        <v>85</v>
      </c>
      <c r="AZ681" s="65"/>
      <c r="BA681" s="74"/>
      <c r="BB681" s="74"/>
      <c r="BC681" s="81"/>
      <c r="BD681" s="47"/>
    </row>
    <row r="682" spans="1:56" ht="20.399999999999999" x14ac:dyDescent="0.3">
      <c r="A682" s="46" t="s">
        <v>5026</v>
      </c>
      <c r="B682" s="42">
        <f t="shared" si="187"/>
        <v>676</v>
      </c>
      <c r="C682" s="56" t="s">
        <v>5027</v>
      </c>
      <c r="D682" s="46" t="s">
        <v>5026</v>
      </c>
      <c r="E682" s="61" t="s">
        <v>5028</v>
      </c>
      <c r="F682" s="10"/>
      <c r="G682" s="49"/>
      <c r="H682" s="65">
        <v>27472</v>
      </c>
      <c r="I682" s="47"/>
      <c r="J682" s="66">
        <f ca="1">INT(DATEDIF(H682,'[1]Bieu 1a'!$J$2,"d")/365)</f>
        <v>51</v>
      </c>
      <c r="K682" s="46" t="s">
        <v>5029</v>
      </c>
      <c r="L682" s="178">
        <v>42577</v>
      </c>
      <c r="M682" s="96"/>
      <c r="N682" s="95"/>
      <c r="O682" s="96"/>
      <c r="P682" s="6"/>
      <c r="Q682" s="6"/>
      <c r="R682" s="49"/>
      <c r="S682" s="47" t="s">
        <v>1117</v>
      </c>
      <c r="T682" s="47" t="s">
        <v>74</v>
      </c>
      <c r="U682" s="47" t="s">
        <v>71</v>
      </c>
      <c r="V682" s="56" t="s">
        <v>5030</v>
      </c>
      <c r="W682" s="67" t="s">
        <v>5031</v>
      </c>
      <c r="X682" s="97"/>
      <c r="Y682" s="97"/>
      <c r="Z682" s="97"/>
      <c r="AA682" s="68">
        <f>VLOOKUP(A682,'[1]DANH SÁCH'!$B$8:$AD$841,12,0)</f>
        <v>0</v>
      </c>
      <c r="AB682" s="47"/>
      <c r="AC682" s="69" t="str">
        <f>VLOOKUP(A682,'[1]DANH SÁCH'!$B$8:$J$841,9,0)</f>
        <v>HCQT</v>
      </c>
      <c r="AD682" s="69" t="str">
        <f>VLOOKUP(A682,'[1]DANH SÁCH'!$B$8:$AC$841,9,0)</f>
        <v>HCQT</v>
      </c>
      <c r="AE682" s="69" t="str">
        <f>VLOOKUP(A682,'[1]DANH SÁCH'!$B$8:$AD$841,13,0)</f>
        <v>HĐ có thời hạn</v>
      </c>
      <c r="AF682" s="41"/>
      <c r="AG682" s="42">
        <f>VLOOKUP(A682,'[1]DANH SÁCH'!$B$8:$H$841,7,0)</f>
        <v>0</v>
      </c>
      <c r="AH682" s="45">
        <v>2.0499999999999998</v>
      </c>
      <c r="AI682" s="42">
        <v>1</v>
      </c>
      <c r="AJ682" s="70"/>
      <c r="AK682" s="69">
        <v>45689</v>
      </c>
      <c r="AL682" s="6"/>
      <c r="AM682" s="53" t="str">
        <f>VLOOKUP(A682,'[1]DANH SÁCH'!$B$8:$F$841,5,0)</f>
        <v>Lái xe</v>
      </c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47" t="s">
        <v>85</v>
      </c>
      <c r="AZ682" s="65"/>
      <c r="BA682" s="6"/>
      <c r="BB682" s="6"/>
      <c r="BC682" s="7"/>
      <c r="BD682" s="6"/>
    </row>
    <row r="683" spans="1:56" ht="30.6" x14ac:dyDescent="0.3">
      <c r="A683" s="41" t="s">
        <v>5032</v>
      </c>
      <c r="B683" s="42">
        <f t="shared" si="187"/>
        <v>677</v>
      </c>
      <c r="C683" s="60" t="s">
        <v>5033</v>
      </c>
      <c r="D683" s="41" t="s">
        <v>5032</v>
      </c>
      <c r="E683" s="67">
        <v>1504001289</v>
      </c>
      <c r="F683" s="64"/>
      <c r="G683" s="49"/>
      <c r="H683" s="76">
        <v>24267</v>
      </c>
      <c r="I683" s="76"/>
      <c r="J683" s="66">
        <f ca="1">INT(DATEDIF(H683,'[1]Bieu 1a'!$J$2,"d")/365)</f>
        <v>60</v>
      </c>
      <c r="K683" s="75" t="s">
        <v>5034</v>
      </c>
      <c r="L683" s="41"/>
      <c r="M683" s="53" t="s">
        <v>67</v>
      </c>
      <c r="N683" s="66"/>
      <c r="O683" s="53" t="s">
        <v>5035</v>
      </c>
      <c r="P683" s="49" t="s">
        <v>5036</v>
      </c>
      <c r="Q683" s="49" t="s">
        <v>135</v>
      </c>
      <c r="R683" s="49"/>
      <c r="S683" s="49" t="s">
        <v>166</v>
      </c>
      <c r="T683" s="49" t="s">
        <v>97</v>
      </c>
      <c r="U683" s="49" t="s">
        <v>94</v>
      </c>
      <c r="V683" s="56" t="s">
        <v>4947</v>
      </c>
      <c r="W683" s="55" t="s">
        <v>1369</v>
      </c>
      <c r="X683" s="41"/>
      <c r="Y683" s="41"/>
      <c r="Z683" s="41"/>
      <c r="AA683" s="68">
        <f>VLOOKUP(A683,'[1]DANH SÁCH'!$B$8:$AD$841,12,0)</f>
        <v>0</v>
      </c>
      <c r="AB683" s="49" t="str">
        <f>VLOOKUP(A683,'[1]DANH SÁCH'!$B$8:$H$841,6,0)</f>
        <v>TĐ046</v>
      </c>
      <c r="AC683" s="69" t="str">
        <f>VLOOKUP(A683,'[1]DANH SÁCH'!$B$8:$J$841,9,0)</f>
        <v>HCQT</v>
      </c>
      <c r="AD683" s="69" t="str">
        <f>VLOOKUP(A683,'[1]DANH SÁCH'!$B$8:$AC$841,9,0)</f>
        <v>HCQT</v>
      </c>
      <c r="AE683" s="69" t="str">
        <f>VLOOKUP(A683,'[1]DANH SÁCH'!$B$8:$AD$841,13,0)</f>
        <v>HĐ có thời hạn</v>
      </c>
      <c r="AF683" s="41"/>
      <c r="AG683" s="42">
        <f>VLOOKUP(A683,'[1]DANH SÁCH'!$B$8:$H$841,7,0)</f>
        <v>0</v>
      </c>
      <c r="AH683" s="45">
        <v>1.65</v>
      </c>
      <c r="AI683" s="42">
        <v>1</v>
      </c>
      <c r="AJ683" s="70"/>
      <c r="AK683" s="69">
        <v>45689</v>
      </c>
      <c r="AL683" s="42"/>
      <c r="AM683" s="53" t="str">
        <f>VLOOKUP(A683,'[1]DANH SÁCH'!$B$8:$F$841,5,0)</f>
        <v>NVKT</v>
      </c>
      <c r="AN683" s="53"/>
      <c r="AO683" s="53"/>
      <c r="AP683" s="53"/>
      <c r="AQ683" s="72" t="s">
        <v>1309</v>
      </c>
      <c r="AR683" s="42"/>
      <c r="AS683" s="42"/>
      <c r="AT683" s="47"/>
      <c r="AU683" s="42"/>
      <c r="AV683" s="42"/>
      <c r="AW683" s="42"/>
      <c r="AX683" s="42" t="s">
        <v>5037</v>
      </c>
      <c r="AY683" s="57" t="s">
        <v>87</v>
      </c>
      <c r="AZ683" s="65"/>
      <c r="BA683" s="74"/>
      <c r="BB683" s="74"/>
      <c r="BC683" s="7"/>
      <c r="BD683" s="6"/>
    </row>
    <row r="684" spans="1:56" ht="20.399999999999999" x14ac:dyDescent="0.3">
      <c r="A684" s="46" t="s">
        <v>5038</v>
      </c>
      <c r="B684" s="42">
        <f t="shared" si="187"/>
        <v>678</v>
      </c>
      <c r="C684" s="63" t="s">
        <v>5039</v>
      </c>
      <c r="D684" s="46" t="s">
        <v>5038</v>
      </c>
      <c r="E684" s="67">
        <v>2020637347</v>
      </c>
      <c r="F684" s="64">
        <v>2099972979</v>
      </c>
      <c r="G684" s="49"/>
      <c r="H684" s="47"/>
      <c r="I684" s="47" t="s">
        <v>5040</v>
      </c>
      <c r="J684" s="66">
        <f ca="1">INT(DATEDIF(I684,'[1]Bieu 1a'!$J$2,"d")/365)</f>
        <v>33</v>
      </c>
      <c r="K684" s="75" t="s">
        <v>5041</v>
      </c>
      <c r="L684" s="46" t="s">
        <v>5042</v>
      </c>
      <c r="M684" s="53" t="s">
        <v>67</v>
      </c>
      <c r="N684" s="66"/>
      <c r="O684" s="56" t="s">
        <v>5043</v>
      </c>
      <c r="P684" s="47" t="s">
        <v>221</v>
      </c>
      <c r="Q684" s="47" t="s">
        <v>71</v>
      </c>
      <c r="R684" s="49"/>
      <c r="S684" s="47" t="s">
        <v>1276</v>
      </c>
      <c r="T684" s="47" t="s">
        <v>71</v>
      </c>
      <c r="U684" s="47" t="s">
        <v>71</v>
      </c>
      <c r="V684" s="56" t="s">
        <v>5044</v>
      </c>
      <c r="W684" s="55" t="s">
        <v>3949</v>
      </c>
      <c r="X684" s="46"/>
      <c r="Y684" s="46"/>
      <c r="Z684" s="46"/>
      <c r="AA684" s="68">
        <f>VLOOKUP(A684,'[1]DANH SÁCH'!$B$8:$AD$841,12,0)</f>
        <v>0</v>
      </c>
      <c r="AB684" s="49" t="str">
        <f>VLOOKUP(A684,'[1]DANH SÁCH'!$B$8:$H$841,6,0)</f>
        <v>TĐ047</v>
      </c>
      <c r="AC684" s="69" t="str">
        <f>VLOOKUP(A684,'[1]DANH SÁCH'!$B$8:$J$841,9,0)</f>
        <v>Cấp cứu</v>
      </c>
      <c r="AD684" s="69" t="str">
        <f>VLOOKUP(A684,'[1]DANH SÁCH'!$B$8:$AC$841,9,0)</f>
        <v>Cấp cứu</v>
      </c>
      <c r="AE684" s="69" t="str">
        <f>VLOOKUP(A684,'[1]DANH SÁCH'!$B$8:$AD$841,13,0)</f>
        <v>HĐ có thời hạn</v>
      </c>
      <c r="AF684" s="41"/>
      <c r="AG684" s="42">
        <f>VLOOKUP(A684,'[1]DANH SÁCH'!$B$8:$H$841,7,0)</f>
        <v>0</v>
      </c>
      <c r="AH684" s="45">
        <v>1.65</v>
      </c>
      <c r="AI684" s="42">
        <v>1</v>
      </c>
      <c r="AJ684" s="70"/>
      <c r="AK684" s="69">
        <v>45689</v>
      </c>
      <c r="AL684" s="47" t="s">
        <v>3622</v>
      </c>
      <c r="AM684" s="53" t="str">
        <f>VLOOKUP(A684,'[1]DANH SÁCH'!$B$8:$F$841,5,0)</f>
        <v>Hộ Lý</v>
      </c>
      <c r="AN684" s="53"/>
      <c r="AO684" s="53"/>
      <c r="AP684" s="53"/>
      <c r="AQ684" s="72"/>
      <c r="AR684" s="47"/>
      <c r="AS684" s="47"/>
      <c r="AT684" s="47"/>
      <c r="AU684" s="47"/>
      <c r="AV684" s="47"/>
      <c r="AW684" s="47"/>
      <c r="AX684" s="47"/>
      <c r="AY684" s="73" t="s">
        <v>85</v>
      </c>
      <c r="AZ684" s="65"/>
      <c r="BA684" s="74"/>
      <c r="BB684" s="74"/>
      <c r="BC684" s="61"/>
      <c r="BD684" s="64"/>
    </row>
    <row r="685" spans="1:56" ht="20.399999999999999" x14ac:dyDescent="0.3">
      <c r="A685" s="47" t="s">
        <v>5045</v>
      </c>
      <c r="B685" s="42">
        <f t="shared" si="187"/>
        <v>679</v>
      </c>
      <c r="C685" s="179" t="s">
        <v>5046</v>
      </c>
      <c r="D685" s="47" t="s">
        <v>5045</v>
      </c>
      <c r="E685" s="61" t="s">
        <v>5047</v>
      </c>
      <c r="F685" s="64"/>
      <c r="G685" s="49"/>
      <c r="H685" s="65"/>
      <c r="I685" s="65" t="s">
        <v>5048</v>
      </c>
      <c r="J685" s="66">
        <f ca="1">INT(DATEDIF(I685,'[1]Bieu 1a'!$J$2,"d")/365)</f>
        <v>36</v>
      </c>
      <c r="K685" s="46" t="s">
        <v>5049</v>
      </c>
      <c r="L685" s="46" t="s">
        <v>5050</v>
      </c>
      <c r="M685" s="53" t="s">
        <v>67</v>
      </c>
      <c r="N685" s="52"/>
      <c r="O685" s="56" t="s">
        <v>4018</v>
      </c>
      <c r="P685" s="47" t="s">
        <v>1902</v>
      </c>
      <c r="Q685" s="47" t="s">
        <v>5003</v>
      </c>
      <c r="R685" s="49"/>
      <c r="S685" s="47" t="s">
        <v>4018</v>
      </c>
      <c r="T685" s="47" t="s">
        <v>1902</v>
      </c>
      <c r="U685" s="47" t="s">
        <v>5003</v>
      </c>
      <c r="V685" s="56" t="s">
        <v>5051</v>
      </c>
      <c r="W685" s="67" t="s">
        <v>652</v>
      </c>
      <c r="X685" s="46"/>
      <c r="Y685" s="46"/>
      <c r="Z685" s="46"/>
      <c r="AA685" s="68">
        <f>VLOOKUP(A685,'[1]DANH SÁCH'!$B$8:$AD$841,12,0)</f>
        <v>0</v>
      </c>
      <c r="AB685" s="49" t="str">
        <f>VLOOKUP(A685,'[1]DANH SÁCH'!$B$8:$H$841,6,0)</f>
        <v>TĐ047</v>
      </c>
      <c r="AC685" s="69" t="str">
        <f>VLOOKUP(A685,'[1]DANH SÁCH'!$B$8:$J$841,9,0)</f>
        <v>VLTL-PHCN</v>
      </c>
      <c r="AD685" s="69" t="str">
        <f>VLOOKUP(A685,'[1]DANH SÁCH'!$B$8:$AC$841,9,0)</f>
        <v>VLTL-PHCN</v>
      </c>
      <c r="AE685" s="69" t="str">
        <f>VLOOKUP(A685,'[1]DANH SÁCH'!$B$8:$AD$841,13,0)</f>
        <v>HĐ có thời hạn</v>
      </c>
      <c r="AF685" s="41"/>
      <c r="AG685" s="42">
        <f>VLOOKUP(A685,'[1]DANH SÁCH'!$B$8:$H$841,7,0)</f>
        <v>0</v>
      </c>
      <c r="AH685" s="45">
        <v>1.65</v>
      </c>
      <c r="AI685" s="42">
        <v>1</v>
      </c>
      <c r="AJ685" s="70"/>
      <c r="AK685" s="69">
        <v>45689</v>
      </c>
      <c r="AL685" s="47" t="s">
        <v>3622</v>
      </c>
      <c r="AM685" s="53" t="str">
        <f>VLOOKUP(A685,'[1]DANH SÁCH'!$B$8:$F$841,5,0)</f>
        <v>Hộ lý</v>
      </c>
      <c r="AN685" s="53"/>
      <c r="AO685" s="53"/>
      <c r="AP685" s="53"/>
      <c r="AQ685" s="72"/>
      <c r="AR685" s="47"/>
      <c r="AS685" s="47"/>
      <c r="AT685" s="47"/>
      <c r="AU685" s="47"/>
      <c r="AV685" s="47"/>
      <c r="AW685" s="47"/>
      <c r="AX685" s="47"/>
      <c r="AY685" s="73" t="s">
        <v>85</v>
      </c>
      <c r="AZ685" s="65"/>
      <c r="BA685" s="74"/>
      <c r="BB685" s="74"/>
      <c r="BC685" s="41"/>
      <c r="BD685" s="6"/>
    </row>
    <row r="686" spans="1:56" ht="20.399999999999999" x14ac:dyDescent="0.3">
      <c r="A686" s="41" t="s">
        <v>5052</v>
      </c>
      <c r="B686" s="42">
        <f t="shared" si="187"/>
        <v>680</v>
      </c>
      <c r="C686" s="134" t="s">
        <v>5053</v>
      </c>
      <c r="D686" s="41" t="s">
        <v>5052</v>
      </c>
      <c r="E686" s="67">
        <v>111173445</v>
      </c>
      <c r="F686" s="64"/>
      <c r="G686" s="49"/>
      <c r="H686" s="76"/>
      <c r="I686" s="100">
        <v>27504</v>
      </c>
      <c r="J686" s="66">
        <f ca="1">INT(DATEDIF(I686,'[1]Bieu 1a'!$J$2,"d")/365)</f>
        <v>51</v>
      </c>
      <c r="K686" s="75" t="s">
        <v>5054</v>
      </c>
      <c r="L686" s="41" t="s">
        <v>5055</v>
      </c>
      <c r="M686" s="53" t="s">
        <v>67</v>
      </c>
      <c r="N686" s="66"/>
      <c r="O686" s="85" t="s">
        <v>5056</v>
      </c>
      <c r="P686" s="47" t="s">
        <v>1193</v>
      </c>
      <c r="Q686" s="47" t="s">
        <v>71</v>
      </c>
      <c r="R686" s="49"/>
      <c r="S686" s="100" t="s">
        <v>1207</v>
      </c>
      <c r="T686" s="100" t="s">
        <v>166</v>
      </c>
      <c r="U686" s="49" t="s">
        <v>71</v>
      </c>
      <c r="V686" s="56" t="s">
        <v>5057</v>
      </c>
      <c r="W686" s="86" t="s">
        <v>4817</v>
      </c>
      <c r="X686" s="78"/>
      <c r="Y686" s="78"/>
      <c r="Z686" s="78"/>
      <c r="AA686" s="68">
        <f>VLOOKUP(A686,'[1]DANH SÁCH'!$B$8:$AD$841,12,0)</f>
        <v>0</v>
      </c>
      <c r="AB686" s="49" t="str">
        <f>VLOOKUP(A686,'[1]DANH SÁCH'!$B$8:$H$841,6,0)</f>
        <v>TĐ047</v>
      </c>
      <c r="AC686" s="69" t="str">
        <f>VLOOKUP(A686,'[1]DANH SÁCH'!$B$8:$J$841,9,0)</f>
        <v>YHCT</v>
      </c>
      <c r="AD686" s="69" t="str">
        <f>VLOOKUP(A686,'[1]DANH SÁCH'!$B$8:$AC$841,9,0)</f>
        <v>YHCT</v>
      </c>
      <c r="AE686" s="69" t="str">
        <f>VLOOKUP(A686,'[1]DANH SÁCH'!$B$8:$AD$841,13,0)</f>
        <v>HĐ có thời hạn</v>
      </c>
      <c r="AF686" s="41"/>
      <c r="AG686" s="42">
        <f>VLOOKUP(A686,'[1]DANH SÁCH'!$B$8:$H$841,7,0)</f>
        <v>0</v>
      </c>
      <c r="AH686" s="45">
        <v>1.65</v>
      </c>
      <c r="AI686" s="42">
        <v>1</v>
      </c>
      <c r="AJ686" s="70"/>
      <c r="AK686" s="69">
        <v>45689</v>
      </c>
      <c r="AL686" s="42" t="s">
        <v>3622</v>
      </c>
      <c r="AM686" s="53" t="str">
        <f>VLOOKUP(A686,'[1]DANH SÁCH'!$B$8:$F$841,5,0)</f>
        <v>Hộ lý</v>
      </c>
      <c r="AN686" s="53"/>
      <c r="AO686" s="53"/>
      <c r="AP686" s="53"/>
      <c r="AQ686" s="72"/>
      <c r="AR686" s="41"/>
      <c r="AS686" s="41"/>
      <c r="AT686" s="47"/>
      <c r="AU686" s="42"/>
      <c r="AV686" s="42"/>
      <c r="AW686" s="42"/>
      <c r="AX686" s="42" t="s">
        <v>5058</v>
      </c>
      <c r="AY686" s="57" t="s">
        <v>85</v>
      </c>
      <c r="AZ686" s="65"/>
      <c r="BA686" s="74"/>
      <c r="BB686" s="74"/>
      <c r="BC686" s="81"/>
      <c r="BD686" s="47"/>
    </row>
    <row r="687" spans="1:56" ht="20.399999999999999" x14ac:dyDescent="0.3">
      <c r="A687" s="61" t="s">
        <v>5059</v>
      </c>
      <c r="B687" s="42">
        <f t="shared" si="187"/>
        <v>681</v>
      </c>
      <c r="C687" s="148" t="s">
        <v>5060</v>
      </c>
      <c r="D687" s="61" t="s">
        <v>5059</v>
      </c>
      <c r="E687" s="61" t="e">
        <v>#N/A</v>
      </c>
      <c r="F687" s="10"/>
      <c r="G687" s="49"/>
      <c r="H687" s="65">
        <v>22390</v>
      </c>
      <c r="I687" s="47"/>
      <c r="J687" s="66">
        <f ca="1">INT(DATEDIF(H687,'[1]Bieu 1a'!$J$2,"d")/365)</f>
        <v>65</v>
      </c>
      <c r="K687" s="46" t="s">
        <v>5061</v>
      </c>
      <c r="L687" s="65">
        <v>42149</v>
      </c>
      <c r="M687" s="56"/>
      <c r="N687" s="52"/>
      <c r="O687" s="56"/>
      <c r="P687" s="47"/>
      <c r="Q687" s="47"/>
      <c r="R687" s="49"/>
      <c r="S687" s="47" t="s">
        <v>3275</v>
      </c>
      <c r="T687" s="47" t="s">
        <v>74</v>
      </c>
      <c r="U687" s="47" t="s">
        <v>71</v>
      </c>
      <c r="V687" s="56" t="s">
        <v>5062</v>
      </c>
      <c r="W687" s="67" t="s">
        <v>5063</v>
      </c>
      <c r="X687" s="97"/>
      <c r="Y687" s="97"/>
      <c r="Z687" s="97"/>
      <c r="AA687" s="68">
        <f>VLOOKUP(A687,'[1]DANH SÁCH'!$B$8:$AD$841,12,0)</f>
        <v>0</v>
      </c>
      <c r="AB687" s="47"/>
      <c r="AC687" s="69" t="str">
        <f>VLOOKUP(A687,'[1]DANH SÁCH'!$B$8:$J$841,9,0)</f>
        <v>HCQT</v>
      </c>
      <c r="AD687" s="69" t="str">
        <f>VLOOKUP(A687,'[1]DANH SÁCH'!$B$8:$AC$841,9,0)</f>
        <v>HCQT</v>
      </c>
      <c r="AE687" s="69" t="str">
        <f>VLOOKUP(A687,'[1]DANH SÁCH'!$B$8:$AD$841,13,0)</f>
        <v>HĐ có thời hạn</v>
      </c>
      <c r="AF687" s="41"/>
      <c r="AG687" s="42">
        <f>VLOOKUP(A687,'[1]DANH SÁCH'!$B$8:$H$841,7,0)</f>
        <v>0</v>
      </c>
      <c r="AH687" s="45" t="e">
        <v>#N/A</v>
      </c>
      <c r="AI687" s="42" t="e">
        <v>#N/A</v>
      </c>
      <c r="AJ687" s="70"/>
      <c r="AK687" s="69" t="e">
        <v>#N/A</v>
      </c>
      <c r="AL687" s="6" t="s">
        <v>3622</v>
      </c>
      <c r="AM687" s="53" t="str">
        <f>VLOOKUP(A687,'[1]DANH SÁCH'!$B$8:$F$841,5,0)</f>
        <v>Lái xe</v>
      </c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47" t="s">
        <v>87</v>
      </c>
      <c r="AZ687" s="65"/>
      <c r="BA687" s="6"/>
      <c r="BB687" s="6"/>
      <c r="BC687" s="7"/>
      <c r="BD687" s="6"/>
    </row>
    <row r="688" spans="1:56" ht="20.399999999999999" x14ac:dyDescent="0.3">
      <c r="A688" s="46" t="s">
        <v>5064</v>
      </c>
      <c r="B688" s="42">
        <f t="shared" si="187"/>
        <v>682</v>
      </c>
      <c r="C688" s="63" t="s">
        <v>5065</v>
      </c>
      <c r="D688" s="46" t="s">
        <v>5064</v>
      </c>
      <c r="E688" s="67">
        <v>2020054938</v>
      </c>
      <c r="F688" s="64">
        <v>2099908160</v>
      </c>
      <c r="G688" s="49"/>
      <c r="H688" s="76"/>
      <c r="I688" s="118" t="s">
        <v>5066</v>
      </c>
      <c r="J688" s="66">
        <f ca="1">INT(DATEDIF(I688,'[1]Bieu 1a'!$J$2,"d")/365)</f>
        <v>44</v>
      </c>
      <c r="K688" s="75" t="s">
        <v>5067</v>
      </c>
      <c r="L688" s="83" t="s">
        <v>5068</v>
      </c>
      <c r="M688" s="53" t="s">
        <v>5069</v>
      </c>
      <c r="N688" s="66"/>
      <c r="O688" s="53" t="s">
        <v>5070</v>
      </c>
      <c r="P688" s="49" t="s">
        <v>3729</v>
      </c>
      <c r="Q688" s="49" t="s">
        <v>5071</v>
      </c>
      <c r="R688" s="49"/>
      <c r="S688" s="49" t="s">
        <v>1276</v>
      </c>
      <c r="T688" s="49" t="s">
        <v>74</v>
      </c>
      <c r="U688" s="49" t="s">
        <v>71</v>
      </c>
      <c r="V688" s="56" t="s">
        <v>4186</v>
      </c>
      <c r="W688" s="86" t="s">
        <v>5072</v>
      </c>
      <c r="X688" s="41"/>
      <c r="Y688" s="41"/>
      <c r="Z688" s="41"/>
      <c r="AA688" s="68">
        <f>VLOOKUP(A688,'[1]DANH SÁCH'!$B$8:$AD$841,12,0)</f>
        <v>0</v>
      </c>
      <c r="AB688" s="49" t="str">
        <f>VLOOKUP(A688,'[1]DANH SÁCH'!$B$8:$H$841,6,0)</f>
        <v>TĐ047</v>
      </c>
      <c r="AC688" s="69" t="str">
        <f>VLOOKUP(A688,'[1]DANH SÁCH'!$B$8:$J$841,9,0)</f>
        <v>HSTC-CĐ</v>
      </c>
      <c r="AD688" s="69" t="str">
        <f>VLOOKUP(A688,'[1]DANH SÁCH'!$B$8:$AC$841,9,0)</f>
        <v>HSTC-CĐ</v>
      </c>
      <c r="AE688" s="69" t="str">
        <f>VLOOKUP(A688,'[1]DANH SÁCH'!$B$8:$AD$841,13,0)</f>
        <v>HĐ có thời hạn</v>
      </c>
      <c r="AF688" s="41"/>
      <c r="AG688" s="42">
        <f>VLOOKUP(A688,'[1]DANH SÁCH'!$B$8:$H$841,7,0)</f>
        <v>0</v>
      </c>
      <c r="AH688" s="45">
        <v>1.65</v>
      </c>
      <c r="AI688" s="42">
        <v>1</v>
      </c>
      <c r="AJ688" s="70"/>
      <c r="AK688" s="69">
        <v>45689</v>
      </c>
      <c r="AL688" s="42" t="s">
        <v>3622</v>
      </c>
      <c r="AM688" s="53" t="str">
        <f>VLOOKUP(A688,'[1]DANH SÁCH'!$B$8:$F$841,5,0)</f>
        <v>Hộ Lý</v>
      </c>
      <c r="AN688" s="53"/>
      <c r="AO688" s="53"/>
      <c r="AP688" s="53"/>
      <c r="AQ688" s="72"/>
      <c r="AR688" s="42"/>
      <c r="AS688" s="42"/>
      <c r="AT688" s="47"/>
      <c r="AU688" s="42"/>
      <c r="AV688" s="42"/>
      <c r="AW688" s="42"/>
      <c r="AX688" s="42"/>
      <c r="AY688" s="57" t="s">
        <v>87</v>
      </c>
      <c r="AZ688" s="65"/>
      <c r="BA688" s="74"/>
      <c r="BB688" s="74"/>
      <c r="BC688" s="41"/>
      <c r="BD688" s="64"/>
    </row>
    <row r="689" spans="1:56" ht="20.399999999999999" x14ac:dyDescent="0.3">
      <c r="A689" s="47" t="s">
        <v>5073</v>
      </c>
      <c r="B689" s="42">
        <f t="shared" si="187"/>
        <v>683</v>
      </c>
      <c r="C689" s="180" t="s">
        <v>5074</v>
      </c>
      <c r="D689" s="47" t="s">
        <v>5073</v>
      </c>
      <c r="E689" s="61" t="s">
        <v>5075</v>
      </c>
      <c r="F689" s="64"/>
      <c r="G689" s="49"/>
      <c r="H689" s="65"/>
      <c r="I689" s="65" t="s">
        <v>5076</v>
      </c>
      <c r="J689" s="66">
        <f ca="1">INT(DATEDIF(I689,'[1]Bieu 1a'!$J$2,"d")/365)</f>
        <v>39</v>
      </c>
      <c r="K689" s="46" t="s">
        <v>5077</v>
      </c>
      <c r="L689" s="46" t="s">
        <v>5078</v>
      </c>
      <c r="M689" s="53" t="s">
        <v>67</v>
      </c>
      <c r="N689" s="52"/>
      <c r="O689" s="56" t="s">
        <v>5079</v>
      </c>
      <c r="P689" s="47" t="s">
        <v>2015</v>
      </c>
      <c r="Q689" s="47"/>
      <c r="R689" s="49"/>
      <c r="S689" s="47"/>
      <c r="T689" s="47"/>
      <c r="U689" s="47"/>
      <c r="V689" s="56" t="s">
        <v>5080</v>
      </c>
      <c r="W689" s="67" t="s">
        <v>652</v>
      </c>
      <c r="X689" s="46"/>
      <c r="Y689" s="46"/>
      <c r="Z689" s="46"/>
      <c r="AA689" s="68">
        <f>VLOOKUP(A689,'[1]DANH SÁCH'!$B$8:$AD$841,12,0)</f>
        <v>0</v>
      </c>
      <c r="AB689" s="49" t="str">
        <f>VLOOKUP(A689,'[1]DANH SÁCH'!$B$8:$H$841,6,0)</f>
        <v>TĐ047</v>
      </c>
      <c r="AC689" s="69" t="str">
        <f>VLOOKUP(A689,'[1]DANH SÁCH'!$B$8:$J$841,9,0)</f>
        <v>KSNK</v>
      </c>
      <c r="AD689" s="69" t="str">
        <f>VLOOKUP(A689,'[1]DANH SÁCH'!$B$8:$AC$841,9,0)</f>
        <v>KSNK</v>
      </c>
      <c r="AE689" s="69" t="str">
        <f>VLOOKUP(A689,'[1]DANH SÁCH'!$B$8:$AD$841,13,0)</f>
        <v>HĐ có thời hạn</v>
      </c>
      <c r="AF689" s="41"/>
      <c r="AG689" s="42">
        <f>VLOOKUP(A689,'[1]DANH SÁCH'!$B$8:$H$841,7,0)</f>
        <v>0</v>
      </c>
      <c r="AH689" s="45">
        <v>1.65</v>
      </c>
      <c r="AI689" s="42">
        <v>1</v>
      </c>
      <c r="AJ689" s="70"/>
      <c r="AK689" s="69">
        <v>45689</v>
      </c>
      <c r="AL689" s="47" t="s">
        <v>3622</v>
      </c>
      <c r="AM689" s="53" t="str">
        <f>VLOOKUP(A689,'[1]DANH SÁCH'!$B$8:$F$841,5,0)</f>
        <v>Hộ Lý</v>
      </c>
      <c r="AN689" s="53"/>
      <c r="AO689" s="53"/>
      <c r="AP689" s="53"/>
      <c r="AQ689" s="72"/>
      <c r="AR689" s="47"/>
      <c r="AS689" s="47"/>
      <c r="AT689" s="47"/>
      <c r="AU689" s="47"/>
      <c r="AV689" s="47"/>
      <c r="AW689" s="47"/>
      <c r="AX689" s="47"/>
      <c r="AY689" s="73" t="s">
        <v>85</v>
      </c>
      <c r="AZ689" s="65"/>
      <c r="BA689" s="74"/>
      <c r="BB689" s="74"/>
      <c r="BC689" s="81"/>
      <c r="BD689" s="47"/>
    </row>
    <row r="690" spans="1:56" ht="26.4" x14ac:dyDescent="0.3">
      <c r="A690" s="46" t="s">
        <v>5081</v>
      </c>
      <c r="B690" s="42">
        <f t="shared" si="187"/>
        <v>684</v>
      </c>
      <c r="C690" s="63" t="s">
        <v>5082</v>
      </c>
      <c r="D690" s="46" t="s">
        <v>5081</v>
      </c>
      <c r="E690" s="171" t="s">
        <v>5083</v>
      </c>
      <c r="F690" s="64">
        <v>2499614834</v>
      </c>
      <c r="G690" s="49"/>
      <c r="H690" s="172" t="s">
        <v>5084</v>
      </c>
      <c r="I690" s="47"/>
      <c r="J690" s="66">
        <f ca="1">INT(DATEDIF(H690,'[1]Bieu 1a'!$J$2,"d")/365)</f>
        <v>34</v>
      </c>
      <c r="K690" s="75" t="s">
        <v>5085</v>
      </c>
      <c r="L690" s="41" t="s">
        <v>5086</v>
      </c>
      <c r="M690" s="53" t="s">
        <v>67</v>
      </c>
      <c r="N690" s="52"/>
      <c r="O690" s="56"/>
      <c r="P690" s="47"/>
      <c r="Q690" s="47"/>
      <c r="R690" s="49"/>
      <c r="S690" s="47"/>
      <c r="T690" s="47"/>
      <c r="U690" s="47"/>
      <c r="V690" s="56" t="s">
        <v>756</v>
      </c>
      <c r="W690" s="67" t="s">
        <v>5087</v>
      </c>
      <c r="X690" s="46"/>
      <c r="Y690" s="46"/>
      <c r="Z690" s="46"/>
      <c r="AA690" s="68">
        <f>VLOOKUP(A690,'[1]DANH SÁCH'!$B$8:$AD$841,12,0)</f>
        <v>0</v>
      </c>
      <c r="AB690" s="49" t="str">
        <f>VLOOKUP(A690,'[1]DANH SÁCH'!$B$8:$H$841,6,0)</f>
        <v>TĐ048</v>
      </c>
      <c r="AC690" s="69" t="str">
        <f>VLOOKUP(A690,'[1]DANH SÁCH'!$B$8:$J$841,9,0)</f>
        <v>KSNK</v>
      </c>
      <c r="AD690" s="69" t="str">
        <f>VLOOKUP(A690,'[1]DANH SÁCH'!$B$8:$AC$841,9,0)</f>
        <v>KSNK</v>
      </c>
      <c r="AE690" s="69" t="str">
        <f>VLOOKUP(A690,'[1]DANH SÁCH'!$B$8:$AD$841,13,0)</f>
        <v>HĐ có thời hạn</v>
      </c>
      <c r="AF690" s="41"/>
      <c r="AG690" s="42">
        <f>VLOOKUP(A690,'[1]DANH SÁCH'!$B$8:$H$841,7,0)</f>
        <v>0</v>
      </c>
      <c r="AH690" s="45">
        <v>1.54</v>
      </c>
      <c r="AI690" s="42">
        <v>4</v>
      </c>
      <c r="AJ690" s="70"/>
      <c r="AK690" s="69">
        <v>45689</v>
      </c>
      <c r="AL690" s="47"/>
      <c r="AM690" s="53" t="str">
        <f>VLOOKUP(A690,'[1]DANH SÁCH'!$B$8:$F$841,5,0)</f>
        <v>NVPV</v>
      </c>
      <c r="AN690" s="53"/>
      <c r="AO690" s="53"/>
      <c r="AP690" s="53"/>
      <c r="AQ690" s="72"/>
      <c r="AR690" s="47"/>
      <c r="AS690" s="47"/>
      <c r="AT690" s="47"/>
      <c r="AU690" s="47"/>
      <c r="AV690" s="47"/>
      <c r="AW690" s="47"/>
      <c r="AX690" s="47"/>
      <c r="AY690" s="73" t="s">
        <v>85</v>
      </c>
      <c r="AZ690" s="65"/>
      <c r="BA690" s="74"/>
      <c r="BB690" s="74"/>
      <c r="BC690" s="81"/>
      <c r="BD690" s="47"/>
    </row>
    <row r="691" spans="1:56" ht="20.399999999999999" x14ac:dyDescent="0.3">
      <c r="A691" s="46" t="s">
        <v>5088</v>
      </c>
      <c r="B691" s="42">
        <f t="shared" si="187"/>
        <v>685</v>
      </c>
      <c r="C691" s="63" t="s">
        <v>5089</v>
      </c>
      <c r="D691" s="46" t="s">
        <v>5088</v>
      </c>
      <c r="E691" s="67">
        <v>2020112088</v>
      </c>
      <c r="F691" s="64">
        <v>2099937736</v>
      </c>
      <c r="G691" s="49"/>
      <c r="H691" s="76"/>
      <c r="I691" s="118" t="s">
        <v>5090</v>
      </c>
      <c r="J691" s="66">
        <f ca="1">INT(DATEDIF(I691,'[1]Bieu 1a'!$J$2,"d")/365)</f>
        <v>33</v>
      </c>
      <c r="K691" s="75" t="s">
        <v>5091</v>
      </c>
      <c r="L691" s="83" t="s">
        <v>5092</v>
      </c>
      <c r="M691" s="53" t="s">
        <v>67</v>
      </c>
      <c r="N691" s="66"/>
      <c r="O691" s="53" t="s">
        <v>5093</v>
      </c>
      <c r="P691" s="49" t="s">
        <v>70</v>
      </c>
      <c r="Q691" s="49" t="s">
        <v>71</v>
      </c>
      <c r="R691" s="49"/>
      <c r="S691" s="49" t="s">
        <v>5093</v>
      </c>
      <c r="T691" s="49" t="s">
        <v>70</v>
      </c>
      <c r="U691" s="49" t="s">
        <v>71</v>
      </c>
      <c r="V691" s="56" t="s">
        <v>5094</v>
      </c>
      <c r="W691" s="86" t="s">
        <v>5072</v>
      </c>
      <c r="X691" s="41"/>
      <c r="Y691" s="41"/>
      <c r="Z691" s="41"/>
      <c r="AA691" s="68">
        <f>VLOOKUP(A691,'[1]DANH SÁCH'!$B$8:$AD$841,12,0)</f>
        <v>0</v>
      </c>
      <c r="AB691" s="49" t="str">
        <f>VLOOKUP(A691,'[1]DANH SÁCH'!$B$8:$H$841,6,0)</f>
        <v>TĐ047</v>
      </c>
      <c r="AC691" s="69" t="str">
        <f>VLOOKUP(A691,'[1]DANH SÁCH'!$B$8:$J$841,9,0)</f>
        <v>Khám bệnh</v>
      </c>
      <c r="AD691" s="69" t="str">
        <f>VLOOKUP(A691,'[1]DANH SÁCH'!$B$8:$AC$841,9,0)</f>
        <v>Khám bệnh</v>
      </c>
      <c r="AE691" s="69" t="str">
        <f>VLOOKUP(A691,'[1]DANH SÁCH'!$B$8:$AD$841,13,0)</f>
        <v>HĐ có thời hạn</v>
      </c>
      <c r="AF691" s="41"/>
      <c r="AG691" s="42">
        <f>VLOOKUP(A691,'[1]DANH SÁCH'!$B$8:$H$841,7,0)</f>
        <v>0</v>
      </c>
      <c r="AH691" s="45">
        <v>1.65</v>
      </c>
      <c r="AI691" s="42">
        <v>1</v>
      </c>
      <c r="AJ691" s="70"/>
      <c r="AK691" s="69">
        <v>45689</v>
      </c>
      <c r="AL691" s="42" t="s">
        <v>3622</v>
      </c>
      <c r="AM691" s="53" t="str">
        <f>VLOOKUP(A691,'[1]DANH SÁCH'!$B$8:$F$841,5,0)</f>
        <v>Hộ Lý</v>
      </c>
      <c r="AN691" s="53"/>
      <c r="AO691" s="53"/>
      <c r="AP691" s="53"/>
      <c r="AQ691" s="72" t="s">
        <v>113</v>
      </c>
      <c r="AR691" s="42"/>
      <c r="AS691" s="42"/>
      <c r="AT691" s="47"/>
      <c r="AU691" s="42"/>
      <c r="AV691" s="47"/>
      <c r="AW691" s="42"/>
      <c r="AX691" s="42"/>
      <c r="AY691" s="57" t="s">
        <v>85</v>
      </c>
      <c r="AZ691" s="65"/>
      <c r="BA691" s="74"/>
      <c r="BB691" s="74"/>
      <c r="BC691" s="41"/>
      <c r="BD691" s="64"/>
    </row>
    <row r="692" spans="1:56" ht="40.799999999999997" x14ac:dyDescent="0.3">
      <c r="A692" s="41" t="s">
        <v>5095</v>
      </c>
      <c r="B692" s="42">
        <f t="shared" si="187"/>
        <v>686</v>
      </c>
      <c r="C692" s="116" t="s">
        <v>5096</v>
      </c>
      <c r="D692" s="41" t="s">
        <v>5095</v>
      </c>
      <c r="E692" s="67">
        <v>111202072</v>
      </c>
      <c r="F692" s="64"/>
      <c r="G692" s="49"/>
      <c r="H692" s="76"/>
      <c r="I692" s="76">
        <v>28288</v>
      </c>
      <c r="J692" s="66">
        <f ca="1">INT(DATEDIF(I692,'[1]Bieu 1a'!$J$2,"d")/365)</f>
        <v>49</v>
      </c>
      <c r="K692" s="75" t="s">
        <v>5097</v>
      </c>
      <c r="L692" s="41" t="s">
        <v>5098</v>
      </c>
      <c r="M692" s="53" t="s">
        <v>67</v>
      </c>
      <c r="N692" s="66"/>
      <c r="O692" s="53" t="s">
        <v>5099</v>
      </c>
      <c r="P692" s="47" t="s">
        <v>1902</v>
      </c>
      <c r="Q692" s="47" t="s">
        <v>71</v>
      </c>
      <c r="R692" s="49"/>
      <c r="S692" s="49" t="s">
        <v>1276</v>
      </c>
      <c r="T692" s="49" t="s">
        <v>74</v>
      </c>
      <c r="U692" s="49" t="s">
        <v>71</v>
      </c>
      <c r="V692" s="56" t="s">
        <v>4898</v>
      </c>
      <c r="W692" s="86" t="s">
        <v>4899</v>
      </c>
      <c r="X692" s="41"/>
      <c r="Y692" s="41"/>
      <c r="Z692" s="41"/>
      <c r="AA692" s="68">
        <f>VLOOKUP(A692,'[1]DANH SÁCH'!$B$8:$AD$841,12,0)</f>
        <v>0</v>
      </c>
      <c r="AB692" s="49" t="str">
        <f>VLOOKUP(A692,'[1]DANH SÁCH'!$B$8:$H$841,6,0)</f>
        <v>TĐ047</v>
      </c>
      <c r="AC692" s="69" t="str">
        <f>VLOOKUP(A692,'[1]DANH SÁCH'!$B$8:$J$841,9,0)</f>
        <v>Khám bệnh</v>
      </c>
      <c r="AD692" s="69" t="str">
        <f>VLOOKUP(A692,'[1]DANH SÁCH'!$B$8:$AC$841,9,0)</f>
        <v>Khám bệnh</v>
      </c>
      <c r="AE692" s="69" t="str">
        <f>VLOOKUP(A692,'[1]DANH SÁCH'!$B$8:$AD$841,13,0)</f>
        <v>HĐ có thời hạn</v>
      </c>
      <c r="AF692" s="41"/>
      <c r="AG692" s="42">
        <f>VLOOKUP(A692,'[1]DANH SÁCH'!$B$8:$H$841,7,0)</f>
        <v>0</v>
      </c>
      <c r="AH692" s="45">
        <v>1.65</v>
      </c>
      <c r="AI692" s="42">
        <v>1</v>
      </c>
      <c r="AJ692" s="70"/>
      <c r="AK692" s="69">
        <v>45689</v>
      </c>
      <c r="AL692" s="42" t="s">
        <v>3622</v>
      </c>
      <c r="AM692" s="53" t="str">
        <f>VLOOKUP(A692,'[1]DANH SÁCH'!$B$8:$F$841,5,0)</f>
        <v>Hộ lý</v>
      </c>
      <c r="AN692" s="53"/>
      <c r="AO692" s="53"/>
      <c r="AP692" s="53"/>
      <c r="AQ692" s="72" t="s">
        <v>3616</v>
      </c>
      <c r="AR692" s="42"/>
      <c r="AS692" s="42"/>
      <c r="AT692" s="47"/>
      <c r="AU692" s="42"/>
      <c r="AV692" s="42"/>
      <c r="AW692" s="42"/>
      <c r="AX692" s="42" t="s">
        <v>5100</v>
      </c>
      <c r="AY692" s="57" t="s">
        <v>85</v>
      </c>
      <c r="AZ692" s="65"/>
      <c r="BA692" s="74"/>
      <c r="BB692" s="74"/>
      <c r="BC692" s="41"/>
      <c r="BD692" s="64"/>
    </row>
    <row r="693" spans="1:56" ht="40.799999999999997" x14ac:dyDescent="0.3">
      <c r="A693" s="46" t="s">
        <v>5101</v>
      </c>
      <c r="B693" s="42">
        <f t="shared" si="187"/>
        <v>687</v>
      </c>
      <c r="C693" s="116" t="s">
        <v>1508</v>
      </c>
      <c r="D693" s="46" t="s">
        <v>5101</v>
      </c>
      <c r="E693" s="61" t="s">
        <v>5102</v>
      </c>
      <c r="F693" s="64"/>
      <c r="G693" s="49" t="s">
        <v>5103</v>
      </c>
      <c r="H693" s="47"/>
      <c r="I693" s="65">
        <v>29945</v>
      </c>
      <c r="J693" s="66">
        <f ca="1">INT(DATEDIF(I693,'[1]Bieu 1a'!$J$2,"d")/365)</f>
        <v>44</v>
      </c>
      <c r="K693" s="181" t="s">
        <v>1509</v>
      </c>
      <c r="L693" s="182" t="s">
        <v>1510</v>
      </c>
      <c r="M693" s="56"/>
      <c r="N693" s="52"/>
      <c r="O693" s="56"/>
      <c r="P693" s="47"/>
      <c r="Q693" s="47"/>
      <c r="R693" s="49"/>
      <c r="S693" s="47" t="s">
        <v>1276</v>
      </c>
      <c r="T693" s="47" t="s">
        <v>74</v>
      </c>
      <c r="U693" s="47" t="s">
        <v>71</v>
      </c>
      <c r="V693" s="56" t="s">
        <v>292</v>
      </c>
      <c r="W693" s="67" t="s">
        <v>5104</v>
      </c>
      <c r="X693" s="46"/>
      <c r="Y693" s="46"/>
      <c r="Z693" s="46"/>
      <c r="AA693" s="68">
        <f>VLOOKUP(A693,'[1]DANH SÁCH'!$B$8:$AD$841,12,0)</f>
        <v>0</v>
      </c>
      <c r="AB693" s="49" t="str">
        <f>VLOOKUP(A693,'[1]DANH SÁCH'!$B$8:$H$841,6,0)</f>
        <v>TĐ047</v>
      </c>
      <c r="AC693" s="69" t="str">
        <f>VLOOKUP(A693,'[1]DANH SÁCH'!$B$8:$J$841,9,0)</f>
        <v>Lão - CXK</v>
      </c>
      <c r="AD693" s="69" t="str">
        <f>VLOOKUP(A693,'[1]DANH SÁCH'!$B$8:$AC$841,9,0)</f>
        <v>Lão - CXK</v>
      </c>
      <c r="AE693" s="69" t="str">
        <f>VLOOKUP(A693,'[1]DANH SÁCH'!$B$8:$AD$841,13,0)</f>
        <v>HĐ có thời hạn</v>
      </c>
      <c r="AF693" s="41"/>
      <c r="AG693" s="42">
        <f>VLOOKUP(A693,'[1]DANH SÁCH'!$B$8:$H$841,7,0)</f>
        <v>0</v>
      </c>
      <c r="AH693" s="45">
        <v>1.65</v>
      </c>
      <c r="AI693" s="42">
        <v>1</v>
      </c>
      <c r="AJ693" s="70"/>
      <c r="AK693" s="69">
        <v>45689</v>
      </c>
      <c r="AL693" s="47" t="s">
        <v>3622</v>
      </c>
      <c r="AM693" s="53" t="str">
        <f>VLOOKUP(A693,'[1]DANH SÁCH'!$B$8:$F$841,5,0)</f>
        <v>Hộ Lý</v>
      </c>
      <c r="AN693" s="47"/>
      <c r="AO693" s="47"/>
      <c r="AP693" s="47"/>
      <c r="AQ693" s="46" t="s">
        <v>113</v>
      </c>
      <c r="AR693" s="47"/>
      <c r="AS693" s="47"/>
      <c r="AT693" s="47"/>
      <c r="AU693" s="47"/>
      <c r="AV693" s="47"/>
      <c r="AW693" s="47"/>
      <c r="AX693" s="47"/>
      <c r="AY693" s="47" t="s">
        <v>85</v>
      </c>
      <c r="AZ693" s="65"/>
      <c r="BA693" s="47"/>
      <c r="BB693" s="47"/>
      <c r="BC693" s="41"/>
      <c r="BD693" s="64"/>
    </row>
    <row r="694" spans="1:56" ht="40.799999999999997" x14ac:dyDescent="0.3">
      <c r="A694" s="46" t="s">
        <v>5105</v>
      </c>
      <c r="B694" s="42">
        <f t="shared" si="187"/>
        <v>688</v>
      </c>
      <c r="C694" s="63" t="s">
        <v>5106</v>
      </c>
      <c r="D694" s="46" t="s">
        <v>5105</v>
      </c>
      <c r="E694" s="67">
        <v>111173446</v>
      </c>
      <c r="F694" s="64"/>
      <c r="G694" s="49"/>
      <c r="H694" s="64"/>
      <c r="I694" s="64" t="s">
        <v>5107</v>
      </c>
      <c r="J694" s="66">
        <f ca="1">INT(DATEDIF(I694,'[1]Bieu 1a'!$J$2,"d")/365)</f>
        <v>44</v>
      </c>
      <c r="K694" s="75" t="s">
        <v>5108</v>
      </c>
      <c r="L694" s="46" t="s">
        <v>5109</v>
      </c>
      <c r="M694" s="53" t="s">
        <v>67</v>
      </c>
      <c r="N694" s="66"/>
      <c r="O694" s="56" t="s">
        <v>428</v>
      </c>
      <c r="P694" s="47" t="s">
        <v>70</v>
      </c>
      <c r="Q694" s="47" t="s">
        <v>71</v>
      </c>
      <c r="R694" s="49"/>
      <c r="S694" s="47" t="s">
        <v>4178</v>
      </c>
      <c r="T694" s="47" t="s">
        <v>71</v>
      </c>
      <c r="U694" s="47" t="s">
        <v>71</v>
      </c>
      <c r="V694" s="56" t="s">
        <v>4179</v>
      </c>
      <c r="W694" s="55" t="s">
        <v>3949</v>
      </c>
      <c r="X694" s="46"/>
      <c r="Y694" s="46"/>
      <c r="Z694" s="46"/>
      <c r="AA694" s="68">
        <f>VLOOKUP(A694,'[1]DANH SÁCH'!$B$8:$AD$841,12,0)</f>
        <v>0</v>
      </c>
      <c r="AB694" s="49" t="str">
        <f>VLOOKUP(A694,'[1]DANH SÁCH'!$B$8:$H$841,6,0)</f>
        <v>TĐ047</v>
      </c>
      <c r="AC694" s="69" t="str">
        <f>VLOOKUP(A694,'[1]DANH SÁCH'!$B$8:$J$841,9,0)</f>
        <v>Phụ sản</v>
      </c>
      <c r="AD694" s="69" t="str">
        <f>VLOOKUP(A694,'[1]DANH SÁCH'!$B$8:$AC$841,9,0)</f>
        <v>Phụ sản</v>
      </c>
      <c r="AE694" s="69" t="str">
        <f>VLOOKUP(A694,'[1]DANH SÁCH'!$B$8:$AD$841,13,0)</f>
        <v>HĐ có thời hạn</v>
      </c>
      <c r="AF694" s="41"/>
      <c r="AG694" s="42">
        <f>VLOOKUP(A694,'[1]DANH SÁCH'!$B$8:$H$841,7,0)</f>
        <v>0</v>
      </c>
      <c r="AH694" s="45">
        <v>1.65</v>
      </c>
      <c r="AI694" s="42">
        <v>1</v>
      </c>
      <c r="AJ694" s="70"/>
      <c r="AK694" s="69">
        <v>45689</v>
      </c>
      <c r="AL694" s="47" t="s">
        <v>3622</v>
      </c>
      <c r="AM694" s="53" t="str">
        <f>VLOOKUP(A694,'[1]DANH SÁCH'!$B$8:$F$841,5,0)</f>
        <v>Hộ Lý</v>
      </c>
      <c r="AN694" s="53"/>
      <c r="AO694" s="53"/>
      <c r="AP694" s="53"/>
      <c r="AQ694" s="72"/>
      <c r="AR694" s="47"/>
      <c r="AS694" s="47"/>
      <c r="AT694" s="47"/>
      <c r="AU694" s="47"/>
      <c r="AV694" s="47"/>
      <c r="AW694" s="47"/>
      <c r="AX694" s="42" t="s">
        <v>5100</v>
      </c>
      <c r="AY694" s="73" t="s">
        <v>127</v>
      </c>
      <c r="AZ694" s="65"/>
      <c r="BA694" s="74"/>
      <c r="BB694" s="74"/>
      <c r="BC694" s="41"/>
      <c r="BD694" s="64"/>
    </row>
    <row r="695" spans="1:56" x14ac:dyDescent="0.3">
      <c r="A695" s="46" t="s">
        <v>5110</v>
      </c>
      <c r="B695" s="42">
        <f t="shared" si="187"/>
        <v>689</v>
      </c>
      <c r="C695" s="63" t="s">
        <v>5111</v>
      </c>
      <c r="D695" s="46" t="s">
        <v>5110</v>
      </c>
      <c r="E695" s="61" t="s">
        <v>5112</v>
      </c>
      <c r="F695" s="64"/>
      <c r="G695" s="49"/>
      <c r="H695" s="65">
        <v>29396</v>
      </c>
      <c r="I695" s="47"/>
      <c r="J695" s="66">
        <f ca="1">INT(DATEDIF(H695,'[1]Bieu 1a'!$J$2,"d")/365)</f>
        <v>46</v>
      </c>
      <c r="K695" s="46" t="s">
        <v>5113</v>
      </c>
      <c r="L695" s="65">
        <v>42439</v>
      </c>
      <c r="M695" s="56"/>
      <c r="N695" s="52"/>
      <c r="O695" s="56"/>
      <c r="P695" s="47"/>
      <c r="Q695" s="47"/>
      <c r="R695" s="49"/>
      <c r="S695" s="47"/>
      <c r="T695" s="47"/>
      <c r="U695" s="47"/>
      <c r="V695" s="56" t="s">
        <v>748</v>
      </c>
      <c r="W695" s="67" t="s">
        <v>395</v>
      </c>
      <c r="X695" s="46"/>
      <c r="Y695" s="46"/>
      <c r="Z695" s="46"/>
      <c r="AA695" s="68">
        <f>VLOOKUP(A695,'[1]DANH SÁCH'!$B$8:$AD$841,12,0)</f>
        <v>0</v>
      </c>
      <c r="AB695" s="49" t="e">
        <f>VLOOKUP(A695,'[1]DANH SÁCH'!$B$8:$H$841,6,0)</f>
        <v>#N/A</v>
      </c>
      <c r="AC695" s="69" t="str">
        <f>VLOOKUP(A695,'[1]DANH SÁCH'!$B$8:$J$841,9,0)</f>
        <v>VT-TTBYT</v>
      </c>
      <c r="AD695" s="69" t="str">
        <f>VLOOKUP(A695,'[1]DANH SÁCH'!$B$8:$AC$841,9,0)</f>
        <v>VT-TTBYT</v>
      </c>
      <c r="AE695" s="69" t="str">
        <f>VLOOKUP(A695,'[1]DANH SÁCH'!$B$8:$AD$841,13,0)</f>
        <v>Viên chức</v>
      </c>
      <c r="AF695" s="41"/>
      <c r="AG695" s="42">
        <f>VLOOKUP(A695,'[1]DANH SÁCH'!$B$8:$H$841,7,0)</f>
        <v>0</v>
      </c>
      <c r="AH695" s="45" t="s">
        <v>3802</v>
      </c>
      <c r="AI695" s="42">
        <v>3</v>
      </c>
      <c r="AJ695" s="70"/>
      <c r="AK695" s="127" t="s">
        <v>5114</v>
      </c>
      <c r="AL695" s="47" t="s">
        <v>80</v>
      </c>
      <c r="AM695" s="53" t="str">
        <f>VLOOKUP(A695,'[1]DANH SÁCH'!$B$8:$F$841,5,0)</f>
        <v>ThS KTYS</v>
      </c>
      <c r="AN695" s="47" t="s">
        <v>5115</v>
      </c>
      <c r="AO695" s="47"/>
      <c r="AP695" s="47"/>
      <c r="AQ695" s="46" t="s">
        <v>113</v>
      </c>
      <c r="AR695" s="47"/>
      <c r="AS695" s="47"/>
      <c r="AT695" s="47"/>
      <c r="AU695" s="47"/>
      <c r="AV695" s="47"/>
      <c r="AW695" s="47"/>
      <c r="AX695" s="47"/>
      <c r="AY695" s="47" t="s">
        <v>87</v>
      </c>
      <c r="AZ695" s="65"/>
      <c r="BA695" s="47"/>
      <c r="BB695" s="47"/>
      <c r="BC695" s="81"/>
      <c r="BD695" s="47"/>
    </row>
    <row r="696" spans="1:56" ht="61.2" x14ac:dyDescent="0.3">
      <c r="A696" s="47" t="s">
        <v>5116</v>
      </c>
      <c r="B696" s="42">
        <f t="shared" si="187"/>
        <v>690</v>
      </c>
      <c r="C696" s="44" t="s">
        <v>5117</v>
      </c>
      <c r="D696" s="47" t="s">
        <v>5116</v>
      </c>
      <c r="E696" s="61" t="s">
        <v>5118</v>
      </c>
      <c r="F696" s="64"/>
      <c r="G696" s="49" t="s">
        <v>5119</v>
      </c>
      <c r="H696" s="154" t="s">
        <v>5120</v>
      </c>
      <c r="I696" s="64"/>
      <c r="J696" s="66">
        <f ca="1">INT(DATEDIF(H696,'[1]Bieu 1a'!$J$2,"d")/365)</f>
        <v>32</v>
      </c>
      <c r="K696" s="155" t="s">
        <v>5121</v>
      </c>
      <c r="L696" s="156" t="s">
        <v>5122</v>
      </c>
      <c r="M696" s="53" t="s">
        <v>3778</v>
      </c>
      <c r="N696" s="53" t="s">
        <v>5123</v>
      </c>
      <c r="O696" s="56" t="s">
        <v>5123</v>
      </c>
      <c r="P696" s="47"/>
      <c r="Q696" s="47"/>
      <c r="R696" s="49"/>
      <c r="S696" s="56" t="s">
        <v>5123</v>
      </c>
      <c r="T696" s="47"/>
      <c r="U696" s="47"/>
      <c r="V696" s="56" t="s">
        <v>5124</v>
      </c>
      <c r="W696" s="46" t="s">
        <v>3831</v>
      </c>
      <c r="X696" s="46"/>
      <c r="Y696" s="46"/>
      <c r="Z696" s="46"/>
      <c r="AA696" s="68">
        <f>VLOOKUP(A696,'[1]DANH SÁCH'!$B$8:$AD$841,12,0)</f>
        <v>0</v>
      </c>
      <c r="AB696" s="49" t="str">
        <f>VLOOKUP(A696,'[1]DANH SÁCH'!$B$8:$H$841,6,0)</f>
        <v>TĐ051</v>
      </c>
      <c r="AC696" s="69" t="str">
        <f>VLOOKUP(A696,'[1]DANH SÁCH'!$B$8:$J$841,9,0)</f>
        <v>KSNK</v>
      </c>
      <c r="AD696" s="69" t="str">
        <f>VLOOKUP(A696,'[1]DANH SÁCH'!$B$8:$AC$841,9,0)</f>
        <v>KSNK</v>
      </c>
      <c r="AE696" s="69" t="str">
        <f>VLOOKUP(A696,'[1]DANH SÁCH'!$B$8:$AD$841,13,0)</f>
        <v>HĐ có thời hạn</v>
      </c>
      <c r="AF696" s="41"/>
      <c r="AG696" s="42">
        <f>VLOOKUP(A696,'[1]DANH SÁCH'!$B$8:$H$841,7,0)</f>
        <v>0</v>
      </c>
      <c r="AH696" s="45" t="s">
        <v>3802</v>
      </c>
      <c r="AI696" s="42">
        <v>3</v>
      </c>
      <c r="AJ696" s="70"/>
      <c r="AK696" s="69">
        <v>45976</v>
      </c>
      <c r="AL696" s="47" t="s">
        <v>80</v>
      </c>
      <c r="AM696" s="53" t="str">
        <f>VLOOKUP(A696,'[1]DANH SÁCH'!$B$8:$F$841,5,0)</f>
        <v>Y học dự phòng</v>
      </c>
      <c r="AN696" s="53" t="s">
        <v>5125</v>
      </c>
      <c r="AO696" s="53" t="s">
        <v>3782</v>
      </c>
      <c r="AP696" s="47"/>
      <c r="AQ696" s="72"/>
      <c r="AR696" s="47"/>
      <c r="AS696" s="47"/>
      <c r="AT696" s="47"/>
      <c r="AU696" s="47"/>
      <c r="AV696" s="47"/>
      <c r="AW696" s="47"/>
      <c r="AX696" s="47"/>
      <c r="AY696" s="47" t="s">
        <v>87</v>
      </c>
      <c r="AZ696" s="65"/>
      <c r="BA696" s="74"/>
      <c r="BB696" s="74"/>
      <c r="BC696" s="81"/>
      <c r="BD696" s="47"/>
    </row>
    <row r="697" spans="1:56" ht="40.799999999999997" x14ac:dyDescent="0.3">
      <c r="A697" s="47" t="s">
        <v>5126</v>
      </c>
      <c r="B697" s="42">
        <f t="shared" si="187"/>
        <v>691</v>
      </c>
      <c r="C697" s="116" t="s">
        <v>5127</v>
      </c>
      <c r="D697" s="47" t="s">
        <v>5126</v>
      </c>
      <c r="E697" s="61" t="s">
        <v>5128</v>
      </c>
      <c r="F697" s="64"/>
      <c r="G697" s="49" t="s">
        <v>5129</v>
      </c>
      <c r="H697" s="47"/>
      <c r="I697" s="154" t="s">
        <v>5130</v>
      </c>
      <c r="J697" s="66">
        <f ca="1">INT(DATEDIF(I697,'[1]Bieu 1a'!$J$2,"d")/365)</f>
        <v>32</v>
      </c>
      <c r="K697" s="155" t="s">
        <v>5131</v>
      </c>
      <c r="L697" s="156" t="s">
        <v>5132</v>
      </c>
      <c r="M697" s="53" t="s">
        <v>5133</v>
      </c>
      <c r="N697" s="53" t="s">
        <v>5134</v>
      </c>
      <c r="O697" s="56" t="s">
        <v>5134</v>
      </c>
      <c r="P697" s="47"/>
      <c r="Q697" s="47"/>
      <c r="R697" s="49"/>
      <c r="S697" s="56" t="s">
        <v>5134</v>
      </c>
      <c r="T697" s="47"/>
      <c r="U697" s="47"/>
      <c r="V697" s="56" t="s">
        <v>5135</v>
      </c>
      <c r="W697" s="46" t="s">
        <v>3831</v>
      </c>
      <c r="X697" s="46"/>
      <c r="Y697" s="46"/>
      <c r="Z697" s="46"/>
      <c r="AA697" s="68">
        <f>VLOOKUP(A697,'[1]DANH SÁCH'!$B$8:$AD$841,12,0)</f>
        <v>0</v>
      </c>
      <c r="AB697" s="49" t="str">
        <f>VLOOKUP(A697,'[1]DANH SÁCH'!$B$8:$H$841,6,0)</f>
        <v>TĐ051</v>
      </c>
      <c r="AC697" s="69" t="str">
        <f>VLOOKUP(A697,'[1]DANH SÁCH'!$B$8:$J$841,9,0)</f>
        <v>KHTH</v>
      </c>
      <c r="AD697" s="69" t="str">
        <f>VLOOKUP(A697,'[1]DANH SÁCH'!$B$8:$AC$841,9,0)</f>
        <v>KHTH</v>
      </c>
      <c r="AE697" s="69" t="str">
        <f>VLOOKUP(A697,'[1]DANH SÁCH'!$B$8:$AD$841,13,0)</f>
        <v>Viên chức</v>
      </c>
      <c r="AF697" s="41"/>
      <c r="AG697" s="42">
        <f>VLOOKUP(A697,'[1]DANH SÁCH'!$B$8:$H$841,7,0)</f>
        <v>0</v>
      </c>
      <c r="AH697" s="45" t="s">
        <v>3802</v>
      </c>
      <c r="AI697" s="42">
        <v>3</v>
      </c>
      <c r="AJ697" s="70"/>
      <c r="AK697" s="69">
        <v>45976</v>
      </c>
      <c r="AL697" s="47" t="s">
        <v>80</v>
      </c>
      <c r="AM697" s="53" t="str">
        <f>VLOOKUP(A697,'[1]DANH SÁCH'!$B$8:$F$841,5,0)</f>
        <v>Y học dự phòng</v>
      </c>
      <c r="AN697" s="53" t="s">
        <v>5125</v>
      </c>
      <c r="AO697" s="53" t="s">
        <v>3782</v>
      </c>
      <c r="AP697" s="47"/>
      <c r="AQ697" s="72"/>
      <c r="AR697" s="47"/>
      <c r="AS697" s="47"/>
      <c r="AT697" s="47"/>
      <c r="AU697" s="47"/>
      <c r="AV697" s="47"/>
      <c r="AW697" s="47"/>
      <c r="AX697" s="47"/>
      <c r="AY697" s="47" t="s">
        <v>87</v>
      </c>
      <c r="AZ697" s="65"/>
      <c r="BA697" s="74"/>
      <c r="BB697" s="74"/>
      <c r="BC697" s="7"/>
      <c r="BD697" s="6"/>
    </row>
    <row r="698" spans="1:56" ht="40.799999999999997" x14ac:dyDescent="0.3">
      <c r="A698" s="41" t="s">
        <v>5136</v>
      </c>
      <c r="B698" s="42">
        <f t="shared" si="187"/>
        <v>692</v>
      </c>
      <c r="C698" s="68" t="s">
        <v>5137</v>
      </c>
      <c r="D698" s="41" t="s">
        <v>5136</v>
      </c>
      <c r="E698" s="67">
        <v>2014000516</v>
      </c>
      <c r="F698" s="64"/>
      <c r="G698" s="49" t="s">
        <v>5138</v>
      </c>
      <c r="H698" s="76">
        <v>32686</v>
      </c>
      <c r="I698" s="76"/>
      <c r="J698" s="66">
        <f ca="1">INT(DATEDIF(H698,'[1]Bieu 1a'!$J$2,"d")/365)</f>
        <v>37</v>
      </c>
      <c r="K698" s="75" t="s">
        <v>5139</v>
      </c>
      <c r="L698" s="41" t="s">
        <v>5140</v>
      </c>
      <c r="M698" s="53" t="s">
        <v>67</v>
      </c>
      <c r="N698" s="66"/>
      <c r="O698" s="53" t="s">
        <v>357</v>
      </c>
      <c r="P698" s="49" t="s">
        <v>108</v>
      </c>
      <c r="Q698" s="49" t="s">
        <v>94</v>
      </c>
      <c r="R698" s="49"/>
      <c r="S698" s="49" t="s">
        <v>357</v>
      </c>
      <c r="T698" s="49" t="s">
        <v>108</v>
      </c>
      <c r="U698" s="49" t="s">
        <v>94</v>
      </c>
      <c r="V698" s="56" t="s">
        <v>3872</v>
      </c>
      <c r="W698" s="55" t="s">
        <v>5141</v>
      </c>
      <c r="X698" s="41"/>
      <c r="Y698" s="41"/>
      <c r="Z698" s="41"/>
      <c r="AA698" s="68">
        <f>VLOOKUP(A698,'[1]DANH SÁCH'!$B$8:$AD$841,12,0)</f>
        <v>0</v>
      </c>
      <c r="AB698" s="49" t="str">
        <f>VLOOKUP(A698,'[1]DANH SÁCH'!$B$8:$H$841,6,0)</f>
        <v>TĐ016</v>
      </c>
      <c r="AC698" s="69" t="str">
        <f>VLOOKUP(A698,'[1]DANH SÁCH'!$B$8:$J$841,9,0)</f>
        <v>VLTL-PHCN</v>
      </c>
      <c r="AD698" s="69" t="str">
        <f>VLOOKUP(A698,'[1]DANH SÁCH'!$B$8:$AC$841,9,0)</f>
        <v>VLTL-PHCN</v>
      </c>
      <c r="AE698" s="69" t="str">
        <f>VLOOKUP(A698,'[1]DANH SÁCH'!$B$8:$AD$841,13,0)</f>
        <v>HĐ có thời hạn</v>
      </c>
      <c r="AF698" s="41"/>
      <c r="AG698" s="42">
        <f>VLOOKUP(A698,'[1]DANH SÁCH'!$B$8:$H$841,7,0)</f>
        <v>0</v>
      </c>
      <c r="AH698" s="45" t="s">
        <v>5142</v>
      </c>
      <c r="AI698" s="42">
        <v>6</v>
      </c>
      <c r="AJ698" s="70"/>
      <c r="AK698" s="69">
        <v>45413</v>
      </c>
      <c r="AL698" s="42" t="s">
        <v>101</v>
      </c>
      <c r="AM698" s="53" t="str">
        <f>VLOOKUP(A698,'[1]DANH SÁCH'!$B$8:$F$841,5,0)</f>
        <v>KTY TC</v>
      </c>
      <c r="AN698" s="53" t="s">
        <v>2030</v>
      </c>
      <c r="AO698" s="53" t="s">
        <v>1093</v>
      </c>
      <c r="AP698" s="53">
        <v>2012</v>
      </c>
      <c r="AQ698" s="72" t="s">
        <v>113</v>
      </c>
      <c r="AR698" s="42"/>
      <c r="AS698" s="42"/>
      <c r="AT698" s="47"/>
      <c r="AU698" s="42"/>
      <c r="AV698" s="42"/>
      <c r="AW698" s="42"/>
      <c r="AX698" s="42" t="s">
        <v>5143</v>
      </c>
      <c r="AY698" s="57" t="s">
        <v>127</v>
      </c>
      <c r="AZ698" s="65"/>
      <c r="BA698" s="74"/>
      <c r="BB698" s="74"/>
      <c r="BC698" s="150"/>
      <c r="BD698" s="149"/>
    </row>
    <row r="699" spans="1:56" ht="40.799999999999997" x14ac:dyDescent="0.3">
      <c r="A699" s="46" t="s">
        <v>5144</v>
      </c>
      <c r="B699" s="42">
        <f t="shared" si="187"/>
        <v>693</v>
      </c>
      <c r="C699" s="63" t="s">
        <v>5145</v>
      </c>
      <c r="D699" s="46" t="s">
        <v>5144</v>
      </c>
      <c r="E699" s="67">
        <v>2020277118</v>
      </c>
      <c r="F699" s="64">
        <v>2099979725</v>
      </c>
      <c r="G699" s="49" t="s">
        <v>5146</v>
      </c>
      <c r="H699" s="64" t="s">
        <v>5147</v>
      </c>
      <c r="I699" s="64"/>
      <c r="J699" s="66">
        <f ca="1">INT(DATEDIF(H699,'[1]Bieu 1a'!$J$2,"d")/365)</f>
        <v>31</v>
      </c>
      <c r="K699" s="75" t="s">
        <v>5148</v>
      </c>
      <c r="L699" s="46" t="s">
        <v>3295</v>
      </c>
      <c r="M699" s="53" t="s">
        <v>67</v>
      </c>
      <c r="N699" s="66"/>
      <c r="O699" s="56" t="s">
        <v>5149</v>
      </c>
      <c r="P699" s="47" t="s">
        <v>4638</v>
      </c>
      <c r="Q699" s="47" t="s">
        <v>71</v>
      </c>
      <c r="R699" s="49"/>
      <c r="S699" s="47" t="s">
        <v>5149</v>
      </c>
      <c r="T699" s="47" t="s">
        <v>2015</v>
      </c>
      <c r="U699" s="47" t="s">
        <v>71</v>
      </c>
      <c r="V699" s="56" t="s">
        <v>5150</v>
      </c>
      <c r="W699" s="55" t="s">
        <v>3949</v>
      </c>
      <c r="X699" s="46"/>
      <c r="Y699" s="46"/>
      <c r="Z699" s="46"/>
      <c r="AA699" s="68">
        <f>VLOOKUP(A699,'[1]DANH SÁCH'!$B$8:$AD$841,12,0)</f>
        <v>0</v>
      </c>
      <c r="AB699" s="49" t="str">
        <f>VLOOKUP(A699,'[1]DANH SÁCH'!$B$8:$H$841,6,0)</f>
        <v>TĐ036</v>
      </c>
      <c r="AC699" s="69" t="str">
        <f>VLOOKUP(A699,'[1]DANH SÁCH'!$B$8:$J$841,9,0)</f>
        <v>Chỉ đạo tuyến</v>
      </c>
      <c r="AD699" s="69" t="str">
        <f>VLOOKUP(A699,'[1]DANH SÁCH'!$B$8:$AC$841,9,0)</f>
        <v>Chỉ đạo tuyến</v>
      </c>
      <c r="AE699" s="69" t="str">
        <f>VLOOKUP(A699,'[1]DANH SÁCH'!$B$8:$AD$841,13,0)</f>
        <v>Viên chức</v>
      </c>
      <c r="AF699" s="41"/>
      <c r="AG699" s="42">
        <f>VLOOKUP(A699,'[1]DANH SÁCH'!$B$8:$H$841,7,0)</f>
        <v>0</v>
      </c>
      <c r="AH699" s="45" t="s">
        <v>3802</v>
      </c>
      <c r="AI699" s="42">
        <v>3</v>
      </c>
      <c r="AJ699" s="70"/>
      <c r="AK699" s="69">
        <v>45567</v>
      </c>
      <c r="AL699" s="47" t="s">
        <v>80</v>
      </c>
      <c r="AM699" s="72" t="str">
        <f>VLOOKUP(A699,'[1]DANH SÁCH'!$B$8:$F$841,5,0)</f>
        <v>YTCC</v>
      </c>
      <c r="AN699" s="53" t="s">
        <v>81</v>
      </c>
      <c r="AO699" s="53" t="s">
        <v>5151</v>
      </c>
      <c r="AP699" s="53"/>
      <c r="AQ699" s="72" t="s">
        <v>113</v>
      </c>
      <c r="AR699" s="47"/>
      <c r="AS699" s="47"/>
      <c r="AT699" s="47"/>
      <c r="AU699" s="47" t="s">
        <v>1230</v>
      </c>
      <c r="AV699" s="47"/>
      <c r="AW699" s="47" t="s">
        <v>5152</v>
      </c>
      <c r="AX699" s="47"/>
      <c r="AY699" s="73" t="s">
        <v>85</v>
      </c>
      <c r="AZ699" s="65"/>
      <c r="BA699" s="74"/>
      <c r="BB699" s="74"/>
      <c r="BC699" s="7"/>
      <c r="BD699" s="6"/>
    </row>
    <row r="700" spans="1:56" ht="40.799999999999997" x14ac:dyDescent="0.3">
      <c r="A700" s="46" t="s">
        <v>5153</v>
      </c>
      <c r="B700" s="42">
        <f t="shared" si="187"/>
        <v>694</v>
      </c>
      <c r="C700" s="63" t="s">
        <v>5154</v>
      </c>
      <c r="D700" s="46" t="s">
        <v>5153</v>
      </c>
      <c r="E700" s="67">
        <v>2020451480</v>
      </c>
      <c r="F700" s="64">
        <v>2099885428</v>
      </c>
      <c r="G700" s="49" t="s">
        <v>5155</v>
      </c>
      <c r="H700" s="62">
        <v>33674</v>
      </c>
      <c r="I700" s="64"/>
      <c r="J700" s="66">
        <f ca="1">INT(DATEDIF(H700,'[1]Bieu 1a'!$J$2,"d")/365)</f>
        <v>34</v>
      </c>
      <c r="K700" s="75" t="s">
        <v>5156</v>
      </c>
      <c r="L700" s="46" t="s">
        <v>5157</v>
      </c>
      <c r="M700" s="53" t="s">
        <v>67</v>
      </c>
      <c r="N700" s="66"/>
      <c r="O700" s="56" t="s">
        <v>5158</v>
      </c>
      <c r="P700" s="47" t="s">
        <v>758</v>
      </c>
      <c r="Q700" s="47" t="s">
        <v>71</v>
      </c>
      <c r="R700" s="49"/>
      <c r="S700" s="47" t="s">
        <v>5158</v>
      </c>
      <c r="T700" s="47" t="s">
        <v>758</v>
      </c>
      <c r="U700" s="47" t="s">
        <v>71</v>
      </c>
      <c r="V700" s="56" t="s">
        <v>5159</v>
      </c>
      <c r="W700" s="55" t="s">
        <v>3949</v>
      </c>
      <c r="X700" s="46"/>
      <c r="Y700" s="46"/>
      <c r="Z700" s="46"/>
      <c r="AA700" s="68">
        <f>VLOOKUP(A700,'[1]DANH SÁCH'!$B$8:$AD$841,12,0)</f>
        <v>0</v>
      </c>
      <c r="AB700" s="49" t="str">
        <f>VLOOKUP(A700,'[1]DANH SÁCH'!$B$8:$H$841,6,0)</f>
        <v>TĐ036</v>
      </c>
      <c r="AC700" s="69" t="str">
        <f>VLOOKUP(A700,'[1]DANH SÁCH'!$B$8:$J$841,9,0)</f>
        <v>KHTH</v>
      </c>
      <c r="AD700" s="69" t="str">
        <f>VLOOKUP(A700,'[1]DANH SÁCH'!$B$8:$AC$841,9,0)</f>
        <v>KHTH</v>
      </c>
      <c r="AE700" s="69" t="str">
        <f>VLOOKUP(A700,'[1]DANH SÁCH'!$B$8:$AD$841,13,0)</f>
        <v>Viên chức</v>
      </c>
      <c r="AF700" s="41"/>
      <c r="AG700" s="42">
        <f>VLOOKUP(A700,'[1]DANH SÁCH'!$B$8:$H$841,7,0)</f>
        <v>0</v>
      </c>
      <c r="AH700" s="45" t="s">
        <v>3802</v>
      </c>
      <c r="AI700" s="42">
        <v>3</v>
      </c>
      <c r="AJ700" s="70"/>
      <c r="AK700" s="69">
        <v>45567</v>
      </c>
      <c r="AL700" s="47" t="s">
        <v>80</v>
      </c>
      <c r="AM700" s="53" t="str">
        <f>VLOOKUP(A700,'[1]DANH SÁCH'!$B$8:$F$841,5,0)</f>
        <v>YTCC</v>
      </c>
      <c r="AN700" s="53" t="s">
        <v>81</v>
      </c>
      <c r="AO700" s="53" t="s">
        <v>5151</v>
      </c>
      <c r="AP700" s="53"/>
      <c r="AQ700" s="72" t="s">
        <v>113</v>
      </c>
      <c r="AR700" s="47"/>
      <c r="AS700" s="47"/>
      <c r="AT700" s="47"/>
      <c r="AU700" s="47" t="s">
        <v>84</v>
      </c>
      <c r="AV700" s="47"/>
      <c r="AW700" s="47" t="s">
        <v>86</v>
      </c>
      <c r="AX700" s="47"/>
      <c r="AY700" s="73" t="s">
        <v>85</v>
      </c>
      <c r="AZ700" s="65"/>
      <c r="BA700" s="74"/>
      <c r="BB700" s="74"/>
      <c r="BC700" s="7"/>
      <c r="BD700" s="6"/>
    </row>
    <row r="701" spans="1:56" ht="81.599999999999994" x14ac:dyDescent="0.3">
      <c r="A701" s="47" t="s">
        <v>5160</v>
      </c>
      <c r="B701" s="42">
        <f t="shared" si="187"/>
        <v>695</v>
      </c>
      <c r="C701" s="116" t="s">
        <v>5161</v>
      </c>
      <c r="D701" s="47" t="s">
        <v>5160</v>
      </c>
      <c r="E701" s="61" t="s">
        <v>5162</v>
      </c>
      <c r="F701" s="64"/>
      <c r="G701" s="49" t="s">
        <v>5163</v>
      </c>
      <c r="H701" s="47"/>
      <c r="I701" s="154" t="s">
        <v>5164</v>
      </c>
      <c r="J701" s="66">
        <f ca="1">INT(DATEDIF(I701,'[1]Bieu 1a'!$J$2,"d")/365)</f>
        <v>29</v>
      </c>
      <c r="K701" s="155" t="s">
        <v>5165</v>
      </c>
      <c r="L701" s="156" t="s">
        <v>5166</v>
      </c>
      <c r="M701" s="53" t="s">
        <v>3778</v>
      </c>
      <c r="N701" s="53" t="s">
        <v>5167</v>
      </c>
      <c r="O701" s="56" t="s">
        <v>5167</v>
      </c>
      <c r="P701" s="47"/>
      <c r="Q701" s="47"/>
      <c r="R701" s="49"/>
      <c r="S701" s="56" t="s">
        <v>5167</v>
      </c>
      <c r="T701" s="47"/>
      <c r="U701" s="47"/>
      <c r="V701" s="56" t="s">
        <v>5167</v>
      </c>
      <c r="W701" s="46" t="s">
        <v>3831</v>
      </c>
      <c r="X701" s="46"/>
      <c r="Y701" s="46"/>
      <c r="Z701" s="46"/>
      <c r="AA701" s="68">
        <f>VLOOKUP(A701,'[1]DANH SÁCH'!$B$8:$AD$841,12,0)</f>
        <v>0</v>
      </c>
      <c r="AB701" s="49" t="str">
        <f>VLOOKUP(A701,'[1]DANH SÁCH'!$B$8:$H$841,6,0)</f>
        <v>TĐ036</v>
      </c>
      <c r="AC701" s="69" t="str">
        <f>VLOOKUP(A701,'[1]DANH SÁCH'!$B$8:$J$841,9,0)</f>
        <v>QLCL</v>
      </c>
      <c r="AD701" s="69" t="str">
        <f>VLOOKUP(A701,'[1]DANH SÁCH'!$B$8:$AC$841,9,0)</f>
        <v>QLCL</v>
      </c>
      <c r="AE701" s="69" t="str">
        <f>VLOOKUP(A701,'[1]DANH SÁCH'!$B$8:$AD$841,13,0)</f>
        <v>Viên chức</v>
      </c>
      <c r="AF701" s="41"/>
      <c r="AG701" s="42">
        <f>VLOOKUP(A701,'[1]DANH SÁCH'!$B$8:$H$841,7,0)</f>
        <v>0</v>
      </c>
      <c r="AH701" s="45" t="s">
        <v>3802</v>
      </c>
      <c r="AI701" s="42">
        <v>3</v>
      </c>
      <c r="AJ701" s="70"/>
      <c r="AK701" s="127" t="s">
        <v>5168</v>
      </c>
      <c r="AL701" s="47" t="s">
        <v>80</v>
      </c>
      <c r="AM701" s="53" t="str">
        <f>VLOOKUP(A701,'[1]DANH SÁCH'!$B$8:$F$841,5,0)</f>
        <v>YTCC</v>
      </c>
      <c r="AN701" s="53" t="s">
        <v>81</v>
      </c>
      <c r="AO701" s="53" t="s">
        <v>5169</v>
      </c>
      <c r="AP701" s="47"/>
      <c r="AQ701" s="72"/>
      <c r="AR701" s="47"/>
      <c r="AS701" s="47"/>
      <c r="AT701" s="47"/>
      <c r="AU701" s="47"/>
      <c r="AV701" s="47"/>
      <c r="AW701" s="47"/>
      <c r="AX701" s="47"/>
      <c r="AY701" s="47" t="s">
        <v>87</v>
      </c>
      <c r="AZ701" s="65"/>
      <c r="BA701" s="74"/>
      <c r="BB701" s="74"/>
      <c r="BC701" s="7"/>
      <c r="BD701" s="6"/>
    </row>
    <row r="702" spans="1:56" ht="40.799999999999997" x14ac:dyDescent="0.3">
      <c r="A702" s="46" t="s">
        <v>5170</v>
      </c>
      <c r="B702" s="42">
        <f t="shared" si="187"/>
        <v>696</v>
      </c>
      <c r="C702" s="183" t="s">
        <v>5171</v>
      </c>
      <c r="D702" s="46" t="s">
        <v>5170</v>
      </c>
      <c r="E702" s="67">
        <v>2020824435</v>
      </c>
      <c r="F702" s="64">
        <v>2099790980</v>
      </c>
      <c r="G702" s="49" t="s">
        <v>5172</v>
      </c>
      <c r="H702" s="64"/>
      <c r="I702" s="172" t="s">
        <v>5173</v>
      </c>
      <c r="J702" s="66">
        <f ca="1">INT(DATEDIF(I702,'[1]Bieu 1a'!$J$2,"d")/365)</f>
        <v>31</v>
      </c>
      <c r="K702" s="75" t="s">
        <v>5174</v>
      </c>
      <c r="L702" s="46" t="s">
        <v>5175</v>
      </c>
      <c r="M702" s="53" t="s">
        <v>67</v>
      </c>
      <c r="N702" s="66"/>
      <c r="O702" s="56" t="s">
        <v>5024</v>
      </c>
      <c r="P702" s="47" t="s">
        <v>1193</v>
      </c>
      <c r="Q702" s="47" t="s">
        <v>71</v>
      </c>
      <c r="R702" s="49"/>
      <c r="S702" s="47" t="s">
        <v>5176</v>
      </c>
      <c r="T702" s="47" t="s">
        <v>1193</v>
      </c>
      <c r="U702" s="47" t="s">
        <v>71</v>
      </c>
      <c r="V702" s="56" t="s">
        <v>5177</v>
      </c>
      <c r="W702" s="55" t="s">
        <v>3949</v>
      </c>
      <c r="X702" s="46"/>
      <c r="Y702" s="46"/>
      <c r="Z702" s="46"/>
      <c r="AA702" s="68">
        <f>VLOOKUP(A702,'[1]DANH SÁCH'!$B$8:$AD$841,12,0)</f>
        <v>0</v>
      </c>
      <c r="AB702" s="49" t="str">
        <f>VLOOKUP(A702,'[1]DANH SÁCH'!$B$8:$H$841,6,0)</f>
        <v>TĐ036</v>
      </c>
      <c r="AC702" s="69" t="str">
        <f>VLOOKUP(A702,'[1]DANH SÁCH'!$B$8:$J$841,9,0)</f>
        <v>VT-TTBYT</v>
      </c>
      <c r="AD702" s="69" t="str">
        <f>VLOOKUP(A702,'[1]DANH SÁCH'!$B$8:$AC$841,9,0)</f>
        <v>VT-TTBYT</v>
      </c>
      <c r="AE702" s="69" t="str">
        <f>VLOOKUP(A702,'[1]DANH SÁCH'!$B$8:$AD$841,13,0)</f>
        <v>Viên chức</v>
      </c>
      <c r="AF702" s="41"/>
      <c r="AG702" s="42">
        <f>VLOOKUP(A702,'[1]DANH SÁCH'!$B$8:$H$841,7,0)</f>
        <v>0</v>
      </c>
      <c r="AH702" s="45" t="s">
        <v>3802</v>
      </c>
      <c r="AI702" s="42">
        <v>3</v>
      </c>
      <c r="AJ702" s="70"/>
      <c r="AK702" s="69">
        <v>45567</v>
      </c>
      <c r="AL702" s="47" t="s">
        <v>80</v>
      </c>
      <c r="AM702" s="72" t="str">
        <f>VLOOKUP(A702,'[1]DANH SÁCH'!$B$8:$F$841,5,0)</f>
        <v>YTCC</v>
      </c>
      <c r="AN702" s="53" t="s">
        <v>81</v>
      </c>
      <c r="AO702" s="53" t="s">
        <v>5151</v>
      </c>
      <c r="AP702" s="53">
        <v>2016</v>
      </c>
      <c r="AQ702" s="72" t="s">
        <v>113</v>
      </c>
      <c r="AR702" s="47"/>
      <c r="AS702" s="47"/>
      <c r="AT702" s="47"/>
      <c r="AU702" s="47" t="s">
        <v>1230</v>
      </c>
      <c r="AV702" s="47"/>
      <c r="AW702" s="47" t="s">
        <v>5152</v>
      </c>
      <c r="AX702" s="47"/>
      <c r="AY702" s="73" t="s">
        <v>85</v>
      </c>
      <c r="AZ702" s="65"/>
      <c r="BA702" s="74"/>
      <c r="BB702" s="74"/>
      <c r="BC702" s="81"/>
      <c r="BD702" s="47"/>
    </row>
    <row r="703" spans="1:56" ht="40.799999999999997" x14ac:dyDescent="0.3">
      <c r="A703" s="61" t="s">
        <v>5178</v>
      </c>
      <c r="B703" s="42">
        <f t="shared" si="187"/>
        <v>697</v>
      </c>
      <c r="C703" s="64" t="s">
        <v>5179</v>
      </c>
      <c r="D703" s="61" t="s">
        <v>5178</v>
      </c>
      <c r="E703" s="64"/>
      <c r="F703" s="64"/>
      <c r="G703" s="49" t="s">
        <v>5180</v>
      </c>
      <c r="H703" s="47" t="s">
        <v>507</v>
      </c>
      <c r="I703" s="64"/>
      <c r="J703" s="66">
        <f ca="1">INT(DATEDIF(H703,'[1]Bieu 1a'!$J$2,"d")/365)</f>
        <v>27</v>
      </c>
      <c r="K703" s="46" t="s">
        <v>5181</v>
      </c>
      <c r="L703" s="46" t="s">
        <v>5182</v>
      </c>
      <c r="M703" s="56" t="s">
        <v>5183</v>
      </c>
      <c r="N703" s="52"/>
      <c r="O703" s="56"/>
      <c r="P703" s="47"/>
      <c r="Q703" s="47" t="s">
        <v>1635</v>
      </c>
      <c r="R703" s="49"/>
      <c r="S703" s="47"/>
      <c r="T703" s="47"/>
      <c r="U703" s="47"/>
      <c r="V703" s="56" t="s">
        <v>5184</v>
      </c>
      <c r="W703" s="65">
        <v>44445</v>
      </c>
      <c r="X703" s="46"/>
      <c r="Y703" s="46"/>
      <c r="Z703" s="46"/>
      <c r="AA703" s="68">
        <f>VLOOKUP(A703,'[1]DANH SÁCH'!$B$8:$AD$841,12,0)</f>
        <v>0</v>
      </c>
      <c r="AB703" s="49" t="str">
        <f>VLOOKUP(A703,'[1]DANH SÁCH'!$B$8:$H$841,6,0)</f>
        <v>TĐ012</v>
      </c>
      <c r="AC703" s="69" t="str">
        <f>VLOOKUP(A703,'[1]DANH SÁCH'!$B$8:$J$841,9,0)</f>
        <v>Chấn thương - Bỏng</v>
      </c>
      <c r="AD703" s="69" t="str">
        <f>VLOOKUP(A703,'[1]DANH SÁCH'!$B$8:$AC$841,9,0)</f>
        <v>Chấn thương - Bỏng</v>
      </c>
      <c r="AE703" s="69" t="str">
        <f>VLOOKUP(A703,'[1]DANH SÁCH'!$B$8:$AD$841,13,0)</f>
        <v>Viên chức</v>
      </c>
      <c r="AF703" s="41"/>
      <c r="AG703" s="42">
        <f>VLOOKUP(A703,'[1]DANH SÁCH'!$B$8:$H$841,7,0)</f>
        <v>0</v>
      </c>
      <c r="AH703" s="45" t="s">
        <v>4054</v>
      </c>
      <c r="AI703" s="42">
        <v>2</v>
      </c>
      <c r="AJ703" s="70"/>
      <c r="AK703" s="69">
        <v>45814</v>
      </c>
      <c r="AL703" s="71" t="s">
        <v>158</v>
      </c>
      <c r="AM703" s="53" t="str">
        <f>VLOOKUP(A703,'[1]DANH SÁCH'!$B$8:$F$841,5,0)</f>
        <v>Điều dưỡng CĐ</v>
      </c>
      <c r="AN703" s="47"/>
      <c r="AO703" s="53" t="s">
        <v>1938</v>
      </c>
      <c r="AP703" s="42">
        <v>2020</v>
      </c>
      <c r="AQ703" s="47"/>
      <c r="AR703" s="47"/>
      <c r="AS703" s="47"/>
      <c r="AT703" s="47"/>
      <c r="AU703" s="47" t="s">
        <v>5185</v>
      </c>
      <c r="AV703" s="47"/>
      <c r="AW703" s="47" t="s">
        <v>3589</v>
      </c>
      <c r="AX703" s="47"/>
      <c r="AY703" s="47" t="s">
        <v>127</v>
      </c>
      <c r="AZ703" s="65"/>
      <c r="BA703" s="47"/>
      <c r="BB703" s="47"/>
      <c r="BC703" s="81"/>
      <c r="BD703" s="47"/>
    </row>
    <row r="704" spans="1:56" ht="40.799999999999997" x14ac:dyDescent="0.3">
      <c r="A704" s="61" t="s">
        <v>5186</v>
      </c>
      <c r="B704" s="42">
        <f t="shared" si="187"/>
        <v>698</v>
      </c>
      <c r="C704" s="64" t="s">
        <v>5187</v>
      </c>
      <c r="D704" s="61" t="s">
        <v>5186</v>
      </c>
      <c r="E704" s="64"/>
      <c r="F704" s="64"/>
      <c r="G704" s="49" t="s">
        <v>5188</v>
      </c>
      <c r="H704" s="47"/>
      <c r="I704" s="47" t="s">
        <v>5189</v>
      </c>
      <c r="J704" s="66">
        <f ca="1">INT(DATEDIF(I704,'[1]Bieu 1a'!$J$2,"d")/365)</f>
        <v>31</v>
      </c>
      <c r="K704" s="46" t="s">
        <v>5190</v>
      </c>
      <c r="L704" s="46" t="s">
        <v>5191</v>
      </c>
      <c r="M704" s="56" t="s">
        <v>5183</v>
      </c>
      <c r="N704" s="52"/>
      <c r="O704" s="56"/>
      <c r="P704" s="47"/>
      <c r="Q704" s="47" t="s">
        <v>5192</v>
      </c>
      <c r="R704" s="49"/>
      <c r="S704" s="47"/>
      <c r="T704" s="47"/>
      <c r="U704" s="47"/>
      <c r="V704" s="56" t="s">
        <v>5193</v>
      </c>
      <c r="W704" s="46" t="s">
        <v>5194</v>
      </c>
      <c r="X704" s="46"/>
      <c r="Y704" s="46"/>
      <c r="Z704" s="46"/>
      <c r="AA704" s="68">
        <f>VLOOKUP(A704,'[1]DANH SÁCH'!$B$8:$AD$841,12,0)</f>
        <v>0</v>
      </c>
      <c r="AB704" s="49" t="str">
        <f>VLOOKUP(A704,'[1]DANH SÁCH'!$B$8:$H$841,6,0)</f>
        <v>TĐ011</v>
      </c>
      <c r="AC704" s="69" t="str">
        <f>VLOOKUP(A704,'[1]DANH SÁCH'!$B$8:$J$841,9,0)</f>
        <v>Chấn thương - Bỏng</v>
      </c>
      <c r="AD704" s="69" t="str">
        <f>VLOOKUP(A704,'[1]DANH SÁCH'!$B$8:$AC$841,9,0)</f>
        <v>Chấn thương - Bỏng</v>
      </c>
      <c r="AE704" s="69" t="str">
        <f>VLOOKUP(A704,'[1]DANH SÁCH'!$B$8:$AD$841,13,0)</f>
        <v>Viên chức</v>
      </c>
      <c r="AF704" s="41"/>
      <c r="AG704" s="42">
        <f>VLOOKUP(A704,'[1]DANH SÁCH'!$B$8:$H$841,7,0)</f>
        <v>0</v>
      </c>
      <c r="AH704" s="45" t="s">
        <v>3781</v>
      </c>
      <c r="AI704" s="42">
        <v>2</v>
      </c>
      <c r="AJ704" s="70"/>
      <c r="AK704" s="127" t="s">
        <v>5195</v>
      </c>
      <c r="AL704" s="71" t="s">
        <v>80</v>
      </c>
      <c r="AM704" s="53" t="str">
        <f>VLOOKUP(A704,'[1]DANH SÁCH'!$B$8:$F$841,5,0)</f>
        <v>Điều dưỡng ĐH</v>
      </c>
      <c r="AN704" s="47"/>
      <c r="AO704" s="53" t="s">
        <v>5196</v>
      </c>
      <c r="AP704" s="42">
        <v>2021</v>
      </c>
      <c r="AQ704" s="47"/>
      <c r="AR704" s="47"/>
      <c r="AS704" s="47"/>
      <c r="AT704" s="47"/>
      <c r="AU704" s="47"/>
      <c r="AV704" s="47"/>
      <c r="AW704" s="47"/>
      <c r="AX704" s="47"/>
      <c r="AY704" s="41" t="s">
        <v>127</v>
      </c>
      <c r="AZ704" s="65"/>
      <c r="BA704" s="47"/>
      <c r="BB704" s="47"/>
      <c r="BC704" s="81"/>
      <c r="BD704" s="47"/>
    </row>
    <row r="705" spans="1:56" ht="40.799999999999997" x14ac:dyDescent="0.3">
      <c r="A705" s="61" t="s">
        <v>5197</v>
      </c>
      <c r="B705" s="42">
        <f t="shared" si="187"/>
        <v>699</v>
      </c>
      <c r="C705" s="64" t="s">
        <v>5198</v>
      </c>
      <c r="D705" s="61" t="s">
        <v>5197</v>
      </c>
      <c r="E705" s="64"/>
      <c r="F705" s="64"/>
      <c r="G705" s="49" t="s">
        <v>5199</v>
      </c>
      <c r="H705" s="47"/>
      <c r="I705" s="47" t="s">
        <v>4635</v>
      </c>
      <c r="J705" s="66">
        <f ca="1">INT(DATEDIF(I705,'[1]Bieu 1a'!$J$2,"d")/365)</f>
        <v>33</v>
      </c>
      <c r="K705" s="46" t="s">
        <v>5200</v>
      </c>
      <c r="L705" s="46" t="s">
        <v>5182</v>
      </c>
      <c r="M705" s="56" t="s">
        <v>5183</v>
      </c>
      <c r="N705" s="52"/>
      <c r="O705" s="56"/>
      <c r="P705" s="47"/>
      <c r="Q705" s="47" t="s">
        <v>5201</v>
      </c>
      <c r="R705" s="49"/>
      <c r="S705" s="47"/>
      <c r="T705" s="47"/>
      <c r="U705" s="47"/>
      <c r="V705" s="56" t="s">
        <v>5202</v>
      </c>
      <c r="W705" s="46" t="s">
        <v>5194</v>
      </c>
      <c r="X705" s="46"/>
      <c r="Y705" s="46"/>
      <c r="Z705" s="46"/>
      <c r="AA705" s="68">
        <f>VLOOKUP(A705,'[1]DANH SÁCH'!$B$8:$AD$841,12,0)</f>
        <v>0</v>
      </c>
      <c r="AB705" s="49" t="str">
        <f>VLOOKUP(A705,'[1]DANH SÁCH'!$B$8:$H$841,6,0)</f>
        <v>TĐ012</v>
      </c>
      <c r="AC705" s="69" t="str">
        <f>VLOOKUP(A705,'[1]DANH SÁCH'!$B$8:$J$841,9,0)</f>
        <v>Nội Thận-TN-LM</v>
      </c>
      <c r="AD705" s="69" t="str">
        <f>VLOOKUP(A705,'[1]DANH SÁCH'!$B$8:$AC$841,9,0)</f>
        <v>Nội Thận-TN-LM</v>
      </c>
      <c r="AE705" s="69" t="str">
        <f>VLOOKUP(A705,'[1]DANH SÁCH'!$B$8:$AD$841,13,0)</f>
        <v>Viên chức</v>
      </c>
      <c r="AF705" s="41"/>
      <c r="AG705" s="42">
        <f>VLOOKUP(A705,'[1]DANH SÁCH'!$B$8:$H$841,7,0)</f>
        <v>0</v>
      </c>
      <c r="AH705" s="45" t="s">
        <v>4054</v>
      </c>
      <c r="AI705" s="42">
        <v>2</v>
      </c>
      <c r="AJ705" s="70"/>
      <c r="AK705" s="69">
        <v>45800</v>
      </c>
      <c r="AL705" s="71" t="s">
        <v>158</v>
      </c>
      <c r="AM705" s="53" t="str">
        <f>VLOOKUP(A705,'[1]DANH SÁCH'!$B$8:$F$841,5,0)</f>
        <v>Điều dưỡng CĐ</v>
      </c>
      <c r="AN705" s="47"/>
      <c r="AO705" s="53" t="s">
        <v>1938</v>
      </c>
      <c r="AP705" s="42">
        <v>2018</v>
      </c>
      <c r="AQ705" s="47"/>
      <c r="AR705" s="47"/>
      <c r="AS705" s="47"/>
      <c r="AT705" s="47"/>
      <c r="AU705" s="47"/>
      <c r="AV705" s="47"/>
      <c r="AW705" s="47"/>
      <c r="AX705" s="47"/>
      <c r="AY705" s="41" t="s">
        <v>85</v>
      </c>
      <c r="AZ705" s="65"/>
      <c r="BA705" s="47"/>
      <c r="BB705" s="47"/>
      <c r="BC705" s="81"/>
      <c r="BD705" s="47"/>
    </row>
    <row r="706" spans="1:56" ht="40.799999999999997" x14ac:dyDescent="0.3">
      <c r="A706" s="61" t="s">
        <v>5203</v>
      </c>
      <c r="B706" s="42">
        <f t="shared" si="187"/>
        <v>700</v>
      </c>
      <c r="C706" s="64" t="s">
        <v>5204</v>
      </c>
      <c r="D706" s="61" t="s">
        <v>5203</v>
      </c>
      <c r="E706" s="64"/>
      <c r="F706" s="64"/>
      <c r="G706" s="49" t="s">
        <v>5205</v>
      </c>
      <c r="H706" s="47" t="s">
        <v>5206</v>
      </c>
      <c r="I706" s="47"/>
      <c r="J706" s="66">
        <f ca="1">INT(DATEDIF(H706,'[1]Bieu 1a'!$J$2,"d")/365)</f>
        <v>30</v>
      </c>
      <c r="K706" s="46" t="s">
        <v>5207</v>
      </c>
      <c r="L706" s="46" t="s">
        <v>5208</v>
      </c>
      <c r="M706" s="56" t="s">
        <v>5183</v>
      </c>
      <c r="N706" s="52"/>
      <c r="O706" s="56"/>
      <c r="P706" s="47"/>
      <c r="Q706" s="47" t="s">
        <v>5209</v>
      </c>
      <c r="R706" s="49"/>
      <c r="S706" s="47"/>
      <c r="T706" s="47"/>
      <c r="U706" s="47"/>
      <c r="V706" s="56" t="s">
        <v>5210</v>
      </c>
      <c r="W706" s="46" t="s">
        <v>5194</v>
      </c>
      <c r="X706" s="46"/>
      <c r="Y706" s="46"/>
      <c r="Z706" s="46"/>
      <c r="AA706" s="68">
        <f>VLOOKUP(A706,'[1]DANH SÁCH'!$B$8:$AD$841,12,0)</f>
        <v>0</v>
      </c>
      <c r="AB706" s="49" t="str">
        <f>VLOOKUP(A706,'[1]DANH SÁCH'!$B$8:$H$841,6,0)</f>
        <v>TĐ012</v>
      </c>
      <c r="AC706" s="69" t="str">
        <f>VLOOKUP(A706,'[1]DANH SÁCH'!$B$8:$J$841,9,0)</f>
        <v>Ngoại Tiêu hóa</v>
      </c>
      <c r="AD706" s="69" t="str">
        <f>VLOOKUP(A706,'[1]DANH SÁCH'!$B$8:$AC$841,9,0)</f>
        <v>Ngoại Tiêu hóa</v>
      </c>
      <c r="AE706" s="69" t="str">
        <f>VLOOKUP(A706,'[1]DANH SÁCH'!$B$8:$AD$841,13,0)</f>
        <v>HĐ có thời hạn</v>
      </c>
      <c r="AF706" s="41"/>
      <c r="AG706" s="42">
        <f>VLOOKUP(A706,'[1]DANH SÁCH'!$B$8:$H$841,7,0)</f>
        <v>0</v>
      </c>
      <c r="AH706" s="45" t="s">
        <v>4054</v>
      </c>
      <c r="AI706" s="42">
        <v>2</v>
      </c>
      <c r="AJ706" s="70"/>
      <c r="AK706" s="69">
        <v>45800</v>
      </c>
      <c r="AL706" s="71" t="s">
        <v>158</v>
      </c>
      <c r="AM706" s="53" t="str">
        <f>VLOOKUP(A706,'[1]DANH SÁCH'!$B$8:$F$841,5,0)</f>
        <v>Điều dưỡng CĐ</v>
      </c>
      <c r="AN706" s="47"/>
      <c r="AO706" s="53" t="s">
        <v>4055</v>
      </c>
      <c r="AP706" s="42">
        <v>2017</v>
      </c>
      <c r="AQ706" s="47"/>
      <c r="AR706" s="47"/>
      <c r="AS706" s="47"/>
      <c r="AT706" s="47"/>
      <c r="AU706" s="47"/>
      <c r="AV706" s="47"/>
      <c r="AW706" s="47"/>
      <c r="AX706" s="47"/>
      <c r="AY706" s="41" t="s">
        <v>85</v>
      </c>
      <c r="AZ706" s="65"/>
      <c r="BA706" s="47"/>
      <c r="BB706" s="47"/>
      <c r="BC706" s="81"/>
      <c r="BD706" s="47"/>
    </row>
    <row r="707" spans="1:56" ht="40.799999999999997" x14ac:dyDescent="0.3">
      <c r="A707" s="61" t="s">
        <v>5211</v>
      </c>
      <c r="B707" s="42">
        <f t="shared" si="187"/>
        <v>701</v>
      </c>
      <c r="C707" s="64" t="s">
        <v>5212</v>
      </c>
      <c r="D707" s="61" t="s">
        <v>5211</v>
      </c>
      <c r="E707" s="64"/>
      <c r="F707" s="64"/>
      <c r="G707" s="49" t="s">
        <v>5213</v>
      </c>
      <c r="H707" s="47"/>
      <c r="I707" s="47" t="s">
        <v>5214</v>
      </c>
      <c r="J707" s="66">
        <f ca="1">INT(DATEDIF(I707,'[1]Bieu 1a'!$J$2,"d")/365)</f>
        <v>33</v>
      </c>
      <c r="K707" s="46" t="s">
        <v>5215</v>
      </c>
      <c r="L707" s="46" t="s">
        <v>5216</v>
      </c>
      <c r="M707" s="56" t="s">
        <v>3778</v>
      </c>
      <c r="N707" s="52"/>
      <c r="O707" s="56"/>
      <c r="P707" s="47"/>
      <c r="Q707" s="47" t="s">
        <v>5217</v>
      </c>
      <c r="R707" s="49"/>
      <c r="S707" s="47"/>
      <c r="T707" s="47"/>
      <c r="U707" s="47"/>
      <c r="V707" s="56" t="s">
        <v>1795</v>
      </c>
      <c r="W707" s="65">
        <v>44445</v>
      </c>
      <c r="X707" s="46"/>
      <c r="Y707" s="46"/>
      <c r="Z707" s="46"/>
      <c r="AA707" s="68">
        <f>VLOOKUP(A707,'[1]DANH SÁCH'!$B$8:$AD$841,12,0)</f>
        <v>0</v>
      </c>
      <c r="AB707" s="49" t="str">
        <f>VLOOKUP(A707,'[1]DANH SÁCH'!$B$8:$H$841,6,0)</f>
        <v>TĐ012</v>
      </c>
      <c r="AC707" s="69" t="str">
        <f>VLOOKUP(A707,'[1]DANH SÁCH'!$B$8:$J$841,9,0)</f>
        <v>Nhi</v>
      </c>
      <c r="AD707" s="69" t="str">
        <f>VLOOKUP(A707,'[1]DANH SÁCH'!$B$8:$AC$841,9,0)</f>
        <v>Nhi</v>
      </c>
      <c r="AE707" s="69" t="str">
        <f>VLOOKUP(A707,'[1]DANH SÁCH'!$B$8:$AD$841,13,0)</f>
        <v>Viên chức</v>
      </c>
      <c r="AF707" s="41"/>
      <c r="AG707" s="42">
        <f>VLOOKUP(A707,'[1]DANH SÁCH'!$B$8:$H$841,7,0)</f>
        <v>0</v>
      </c>
      <c r="AH707" s="45" t="e">
        <v>#N/A</v>
      </c>
      <c r="AI707" s="42" t="e">
        <v>#N/A</v>
      </c>
      <c r="AJ707" s="70"/>
      <c r="AK707" s="69" t="e">
        <v>#N/A</v>
      </c>
      <c r="AL707" s="71" t="s">
        <v>158</v>
      </c>
      <c r="AM707" s="53" t="str">
        <f>VLOOKUP(A707,'[1]DANH SÁCH'!$B$8:$F$841,5,0)</f>
        <v>Điều dưỡng CĐ</v>
      </c>
      <c r="AN707" s="47"/>
      <c r="AO707" s="53" t="s">
        <v>4055</v>
      </c>
      <c r="AP707" s="42">
        <v>2013</v>
      </c>
      <c r="AQ707" s="47"/>
      <c r="AR707" s="47"/>
      <c r="AS707" s="47"/>
      <c r="AT707" s="47"/>
      <c r="AU707" s="47"/>
      <c r="AV707" s="47"/>
      <c r="AW707" s="47"/>
      <c r="AX707" s="47"/>
      <c r="AY707" s="41" t="s">
        <v>85</v>
      </c>
      <c r="AZ707" s="65"/>
      <c r="BA707" s="47"/>
      <c r="BB707" s="47"/>
      <c r="BC707" s="81"/>
      <c r="BD707" s="47"/>
    </row>
    <row r="708" spans="1:56" ht="30.6" x14ac:dyDescent="0.3">
      <c r="A708" s="61" t="s">
        <v>5218</v>
      </c>
      <c r="B708" s="42">
        <f t="shared" si="187"/>
        <v>702</v>
      </c>
      <c r="C708" s="64" t="s">
        <v>5219</v>
      </c>
      <c r="D708" s="61" t="s">
        <v>5218</v>
      </c>
      <c r="E708" s="64"/>
      <c r="F708" s="64"/>
      <c r="G708" s="49" t="s">
        <v>5220</v>
      </c>
      <c r="H708" s="47"/>
      <c r="I708" s="47" t="s">
        <v>5221</v>
      </c>
      <c r="J708" s="66">
        <f ca="1">INT(DATEDIF(I708,'[1]Bieu 1a'!$J$2,"d")/365)</f>
        <v>38</v>
      </c>
      <c r="K708" s="46" t="s">
        <v>5222</v>
      </c>
      <c r="L708" s="46" t="s">
        <v>5223</v>
      </c>
      <c r="M708" s="56" t="s">
        <v>3778</v>
      </c>
      <c r="N708" s="52"/>
      <c r="O708" s="56"/>
      <c r="P708" s="47"/>
      <c r="Q708" s="47" t="s">
        <v>5224</v>
      </c>
      <c r="R708" s="49"/>
      <c r="S708" s="47"/>
      <c r="T708" s="47"/>
      <c r="U708" s="47"/>
      <c r="V708" s="56" t="s">
        <v>5225</v>
      </c>
      <c r="W708" s="46" t="s">
        <v>5194</v>
      </c>
      <c r="X708" s="46"/>
      <c r="Y708" s="46"/>
      <c r="Z708" s="46"/>
      <c r="AA708" s="68">
        <f>VLOOKUP(A708,'[1]DANH SÁCH'!$B$8:$AD$841,12,0)</f>
        <v>0</v>
      </c>
      <c r="AB708" s="49" t="str">
        <f>VLOOKUP(A708,'[1]DANH SÁCH'!$B$8:$H$841,6,0)</f>
        <v>TĐ012</v>
      </c>
      <c r="AC708" s="69" t="str">
        <f>VLOOKUP(A708,'[1]DANH SÁCH'!$B$8:$J$841,9,0)</f>
        <v>Tâm thần - Thần kinh</v>
      </c>
      <c r="AD708" s="69" t="str">
        <f>VLOOKUP(A708,'[1]DANH SÁCH'!$B$8:$AC$841,9,0)</f>
        <v>Tâm thần - Thần kinh</v>
      </c>
      <c r="AE708" s="69" t="str">
        <f>VLOOKUP(A708,'[1]DANH SÁCH'!$B$8:$AD$841,13,0)</f>
        <v>Viên chức</v>
      </c>
      <c r="AF708" s="41"/>
      <c r="AG708" s="42">
        <f>VLOOKUP(A708,'[1]DANH SÁCH'!$B$8:$H$841,7,0)</f>
        <v>0</v>
      </c>
      <c r="AH708" s="45" t="s">
        <v>4054</v>
      </c>
      <c r="AI708" s="42">
        <v>2</v>
      </c>
      <c r="AJ708" s="70"/>
      <c r="AK708" s="69">
        <v>45814</v>
      </c>
      <c r="AL708" s="71" t="s">
        <v>158</v>
      </c>
      <c r="AM708" s="53" t="str">
        <f>VLOOKUP(A708,'[1]DANH SÁCH'!$B$8:$F$841,5,0)</f>
        <v>Điều dưỡng CĐ</v>
      </c>
      <c r="AN708" s="47"/>
      <c r="AO708" s="53" t="s">
        <v>1938</v>
      </c>
      <c r="AP708" s="42">
        <v>2016</v>
      </c>
      <c r="AQ708" s="47"/>
      <c r="AR708" s="47"/>
      <c r="AS708" s="47"/>
      <c r="AT708" s="47"/>
      <c r="AU708" s="47"/>
      <c r="AV708" s="47"/>
      <c r="AW708" s="47"/>
      <c r="AX708" s="47"/>
      <c r="AY708" s="41" t="s">
        <v>85</v>
      </c>
      <c r="AZ708" s="65"/>
      <c r="BA708" s="47"/>
      <c r="BB708" s="47"/>
      <c r="BC708" s="81"/>
      <c r="BD708" s="47"/>
    </row>
    <row r="709" spans="1:56" ht="40.799999999999997" x14ac:dyDescent="0.3">
      <c r="A709" s="47" t="s">
        <v>5226</v>
      </c>
      <c r="B709" s="42">
        <f t="shared" si="187"/>
        <v>703</v>
      </c>
      <c r="C709" s="64" t="s">
        <v>5227</v>
      </c>
      <c r="D709" s="47" t="s">
        <v>5226</v>
      </c>
      <c r="E709" s="64"/>
      <c r="F709" s="64"/>
      <c r="G709" s="49" t="s">
        <v>5228</v>
      </c>
      <c r="H709" s="47"/>
      <c r="I709" s="47" t="s">
        <v>5229</v>
      </c>
      <c r="J709" s="66">
        <f ca="1">INT(DATEDIF(I709,'[1]Bieu 1a'!$J$2,"d")/365)</f>
        <v>30</v>
      </c>
      <c r="K709" s="46" t="s">
        <v>5230</v>
      </c>
      <c r="L709" s="46" t="s">
        <v>5231</v>
      </c>
      <c r="M709" s="56" t="s">
        <v>3778</v>
      </c>
      <c r="N709" s="52"/>
      <c r="O709" s="56"/>
      <c r="P709" s="47"/>
      <c r="Q709" s="47" t="s">
        <v>5232</v>
      </c>
      <c r="R709" s="49"/>
      <c r="S709" s="47"/>
      <c r="T709" s="47"/>
      <c r="U709" s="47"/>
      <c r="V709" s="56" t="s">
        <v>4695</v>
      </c>
      <c r="W709" s="65">
        <v>44445</v>
      </c>
      <c r="X709" s="46"/>
      <c r="Y709" s="46"/>
      <c r="Z709" s="46"/>
      <c r="AA709" s="68">
        <f>VLOOKUP(A709,'[1]DANH SÁCH'!$B$8:$AD$841,12,0)</f>
        <v>0</v>
      </c>
      <c r="AB709" s="49" t="str">
        <f>VLOOKUP(A709,'[1]DANH SÁCH'!$B$8:$H$841,6,0)</f>
        <v>TĐ005</v>
      </c>
      <c r="AC709" s="69" t="str">
        <f>VLOOKUP(A709,'[1]DANH SÁCH'!$B$8:$J$841,9,0)</f>
        <v>Truyền nhiễm</v>
      </c>
      <c r="AD709" s="69" t="str">
        <f>VLOOKUP(A709,'[1]DANH SÁCH'!$B$8:$AC$841,9,0)</f>
        <v>Truyền nhiễm</v>
      </c>
      <c r="AE709" s="69" t="str">
        <f>VLOOKUP(A709,'[1]DANH SÁCH'!$B$8:$AD$841,13,0)</f>
        <v>Viên chức</v>
      </c>
      <c r="AF709" s="41"/>
      <c r="AG709" s="42">
        <f>VLOOKUP(A709,'[1]DANH SÁCH'!$B$8:$H$841,7,0)</f>
        <v>0</v>
      </c>
      <c r="AH709" s="45" t="s">
        <v>3781</v>
      </c>
      <c r="AI709" s="42">
        <v>2</v>
      </c>
      <c r="AJ709" s="70"/>
      <c r="AK709" s="69">
        <v>45814</v>
      </c>
      <c r="AL709" s="47" t="s">
        <v>80</v>
      </c>
      <c r="AM709" s="53" t="str">
        <f>VLOOKUP(A709,'[1]DANH SÁCH'!$B$8:$F$841,5,0)</f>
        <v>Bác sĩ</v>
      </c>
      <c r="AN709" s="47" t="s">
        <v>372</v>
      </c>
      <c r="AO709" s="47" t="s">
        <v>5233</v>
      </c>
      <c r="AP709" s="47">
        <v>2021</v>
      </c>
      <c r="AQ709" s="47"/>
      <c r="AR709" s="47"/>
      <c r="AS709" s="47"/>
      <c r="AT709" s="47"/>
      <c r="AU709" s="47"/>
      <c r="AV709" s="47"/>
      <c r="AW709" s="47"/>
      <c r="AX709" s="47"/>
      <c r="AY709" s="41" t="s">
        <v>127</v>
      </c>
      <c r="AZ709" s="65"/>
      <c r="BA709" s="47"/>
      <c r="BB709" s="47"/>
      <c r="BC709" s="81"/>
      <c r="BD709" s="47"/>
    </row>
    <row r="710" spans="1:56" ht="30.6" x14ac:dyDescent="0.3">
      <c r="A710" s="47" t="s">
        <v>5234</v>
      </c>
      <c r="B710" s="42">
        <f t="shared" si="187"/>
        <v>704</v>
      </c>
      <c r="C710" s="64" t="s">
        <v>5235</v>
      </c>
      <c r="D710" s="47" t="s">
        <v>5234</v>
      </c>
      <c r="E710" s="64"/>
      <c r="F710" s="64"/>
      <c r="G710" s="49" t="s">
        <v>5236</v>
      </c>
      <c r="H710" s="47"/>
      <c r="I710" s="47" t="s">
        <v>5237</v>
      </c>
      <c r="J710" s="66">
        <f ca="1">INT(DATEDIF(I710,'[1]Bieu 1a'!$J$2,"d")/365)</f>
        <v>31</v>
      </c>
      <c r="K710" s="46" t="s">
        <v>5238</v>
      </c>
      <c r="L710" s="46" t="s">
        <v>5239</v>
      </c>
      <c r="M710" s="56" t="s">
        <v>3778</v>
      </c>
      <c r="N710" s="52"/>
      <c r="O710" s="56"/>
      <c r="P710" s="47"/>
      <c r="Q710" s="47" t="s">
        <v>5240</v>
      </c>
      <c r="R710" s="49"/>
      <c r="S710" s="47"/>
      <c r="T710" s="47"/>
      <c r="U710" s="47"/>
      <c r="V710" s="56" t="s">
        <v>5241</v>
      </c>
      <c r="W710" s="65">
        <v>44445</v>
      </c>
      <c r="X710" s="46"/>
      <c r="Y710" s="46"/>
      <c r="Z710" s="46"/>
      <c r="AA710" s="68">
        <f>VLOOKUP(A710,'[1]DANH SÁCH'!$B$8:$AD$841,12,0)</f>
        <v>0</v>
      </c>
      <c r="AB710" s="49" t="str">
        <f>VLOOKUP(A710,'[1]DANH SÁCH'!$B$8:$H$841,6,0)</f>
        <v>TĐ005</v>
      </c>
      <c r="AC710" s="69" t="str">
        <f>VLOOKUP(A710,'[1]DANH SÁCH'!$B$8:$J$841,9,0)</f>
        <v>Nội TM</v>
      </c>
      <c r="AD710" s="69" t="str">
        <f>VLOOKUP(A710,'[1]DANH SÁCH'!$B$8:$AC$841,9,0)</f>
        <v>Nội TM</v>
      </c>
      <c r="AE710" s="69" t="str">
        <f>VLOOKUP(A710,'[1]DANH SÁCH'!$B$8:$AD$841,13,0)</f>
        <v>Viên chức</v>
      </c>
      <c r="AF710" s="41"/>
      <c r="AG710" s="42">
        <f>VLOOKUP(A710,'[1]DANH SÁCH'!$B$8:$H$841,7,0)</f>
        <v>0</v>
      </c>
      <c r="AH710" s="45" t="s">
        <v>3781</v>
      </c>
      <c r="AI710" s="42">
        <v>2</v>
      </c>
      <c r="AJ710" s="70"/>
      <c r="AK710" s="69">
        <v>45814</v>
      </c>
      <c r="AL710" s="47" t="s">
        <v>80</v>
      </c>
      <c r="AM710" s="53" t="str">
        <f>VLOOKUP(A710,'[1]DANH SÁCH'!$B$8:$F$841,5,0)</f>
        <v>Bác sĩ</v>
      </c>
      <c r="AN710" s="47" t="s">
        <v>372</v>
      </c>
      <c r="AO710" s="47" t="s">
        <v>4081</v>
      </c>
      <c r="AP710" s="47">
        <v>2020</v>
      </c>
      <c r="AQ710" s="47"/>
      <c r="AR710" s="47"/>
      <c r="AS710" s="47"/>
      <c r="AT710" s="47"/>
      <c r="AU710" s="47"/>
      <c r="AV710" s="47"/>
      <c r="AW710" s="47"/>
      <c r="AX710" s="47"/>
      <c r="AY710" s="41" t="s">
        <v>127</v>
      </c>
      <c r="AZ710" s="65"/>
      <c r="BA710" s="47"/>
      <c r="BB710" s="47"/>
      <c r="BC710" s="81"/>
      <c r="BD710" s="47"/>
    </row>
    <row r="711" spans="1:56" ht="40.799999999999997" x14ac:dyDescent="0.3">
      <c r="A711" s="47" t="s">
        <v>5242</v>
      </c>
      <c r="B711" s="42">
        <f t="shared" si="187"/>
        <v>705</v>
      </c>
      <c r="C711" s="64" t="s">
        <v>5243</v>
      </c>
      <c r="D711" s="47" t="s">
        <v>5242</v>
      </c>
      <c r="E711" s="64"/>
      <c r="F711" s="64"/>
      <c r="G711" s="49" t="s">
        <v>5244</v>
      </c>
      <c r="H711" s="47"/>
      <c r="I711" s="47" t="s">
        <v>5245</v>
      </c>
      <c r="J711" s="66">
        <f ca="1">INT(DATEDIF(I711,'[1]Bieu 1a'!$J$2,"d")/365)</f>
        <v>31</v>
      </c>
      <c r="K711" s="46" t="s">
        <v>5246</v>
      </c>
      <c r="L711" s="46" t="s">
        <v>5247</v>
      </c>
      <c r="M711" s="56" t="s">
        <v>3778</v>
      </c>
      <c r="N711" s="52"/>
      <c r="O711" s="56"/>
      <c r="P711" s="47"/>
      <c r="Q711" s="47" t="s">
        <v>5248</v>
      </c>
      <c r="R711" s="49"/>
      <c r="S711" s="47"/>
      <c r="T711" s="47"/>
      <c r="U711" s="47"/>
      <c r="V711" s="56" t="s">
        <v>5249</v>
      </c>
      <c r="W711" s="65">
        <v>44445</v>
      </c>
      <c r="X711" s="46"/>
      <c r="Y711" s="46"/>
      <c r="Z711" s="46"/>
      <c r="AA711" s="68">
        <f>VLOOKUP(A711,'[1]DANH SÁCH'!$B$8:$AD$841,12,0)</f>
        <v>0</v>
      </c>
      <c r="AB711" s="49" t="str">
        <f>VLOOKUP(A711,'[1]DANH SÁCH'!$B$8:$H$841,6,0)</f>
        <v>TĐ005</v>
      </c>
      <c r="AC711" s="69" t="str">
        <f>VLOOKUP(A711,'[1]DANH SÁCH'!$B$8:$J$841,9,0)</f>
        <v>Tâm thần - Thần kinh</v>
      </c>
      <c r="AD711" s="69" t="str">
        <f>VLOOKUP(A711,'[1]DANH SÁCH'!$B$8:$AC$841,9,0)</f>
        <v>Tâm thần - Thần kinh</v>
      </c>
      <c r="AE711" s="69" t="str">
        <f>VLOOKUP(A711,'[1]DANH SÁCH'!$B$8:$AD$841,13,0)</f>
        <v>Viên chức</v>
      </c>
      <c r="AF711" s="41"/>
      <c r="AG711" s="42">
        <f>VLOOKUP(A711,'[1]DANH SÁCH'!$B$8:$H$841,7,0)</f>
        <v>0</v>
      </c>
      <c r="AH711" s="45" t="s">
        <v>3781</v>
      </c>
      <c r="AI711" s="42">
        <v>2</v>
      </c>
      <c r="AJ711" s="70"/>
      <c r="AK711" s="69">
        <v>45814</v>
      </c>
      <c r="AL711" s="47" t="s">
        <v>80</v>
      </c>
      <c r="AM711" s="53" t="str">
        <f>VLOOKUP(A711,'[1]DANH SÁCH'!$B$8:$F$841,5,0)</f>
        <v>Bác sĩ</v>
      </c>
      <c r="AN711" s="47" t="s">
        <v>372</v>
      </c>
      <c r="AO711" s="47" t="s">
        <v>5250</v>
      </c>
      <c r="AP711" s="47">
        <v>2021</v>
      </c>
      <c r="AQ711" s="47"/>
      <c r="AR711" s="47"/>
      <c r="AS711" s="47"/>
      <c r="AT711" s="47"/>
      <c r="AU711" s="47"/>
      <c r="AV711" s="47"/>
      <c r="AW711" s="47"/>
      <c r="AX711" s="47"/>
      <c r="AY711" s="41" t="s">
        <v>85</v>
      </c>
      <c r="AZ711" s="65"/>
      <c r="BA711" s="47"/>
      <c r="BB711" s="47"/>
      <c r="BC711" s="81"/>
      <c r="BD711" s="47"/>
    </row>
    <row r="712" spans="1:56" ht="20.399999999999999" x14ac:dyDescent="0.3">
      <c r="A712" s="61" t="s">
        <v>5251</v>
      </c>
      <c r="B712" s="42">
        <f t="shared" si="187"/>
        <v>706</v>
      </c>
      <c r="C712" s="64" t="s">
        <v>5252</v>
      </c>
      <c r="D712" s="61" t="s">
        <v>5251</v>
      </c>
      <c r="E712" s="64"/>
      <c r="F712" s="64"/>
      <c r="G712" s="49"/>
      <c r="H712" s="46"/>
      <c r="I712" s="46" t="s">
        <v>5253</v>
      </c>
      <c r="J712" s="66">
        <f ca="1">INT(DATEDIF(I712,'[1]Bieu 1a'!$J$2,"d")/365)</f>
        <v>39</v>
      </c>
      <c r="K712" s="46"/>
      <c r="L712" s="47"/>
      <c r="M712" s="56"/>
      <c r="N712" s="52"/>
      <c r="O712" s="56"/>
      <c r="P712" s="47"/>
      <c r="Q712" s="47"/>
      <c r="R712" s="49"/>
      <c r="S712" s="47"/>
      <c r="T712" s="47"/>
      <c r="U712" s="47"/>
      <c r="V712" s="56" t="s">
        <v>5254</v>
      </c>
      <c r="W712" s="147">
        <v>44410</v>
      </c>
      <c r="X712" s="46"/>
      <c r="Y712" s="46"/>
      <c r="Z712" s="46"/>
      <c r="AA712" s="68">
        <f>VLOOKUP(A712,'[1]DANH SÁCH'!$B$8:$AD$841,12,0)</f>
        <v>0</v>
      </c>
      <c r="AB712" s="49" t="str">
        <f>VLOOKUP(A712,'[1]DANH SÁCH'!$B$8:$H$841,6,0)</f>
        <v>TĐ047</v>
      </c>
      <c r="AC712" s="69" t="str">
        <f>VLOOKUP(A712,'[1]DANH SÁCH'!$B$8:$J$841,9,0)</f>
        <v>Điều dưỡng</v>
      </c>
      <c r="AD712" s="69" t="str">
        <f>VLOOKUP(A712,'[1]DANH SÁCH'!$B$8:$AC$841,9,0)</f>
        <v>Điều dưỡng</v>
      </c>
      <c r="AE712" s="69" t="str">
        <f>VLOOKUP(A712,'[1]DANH SÁCH'!$B$8:$AD$841,13,0)</f>
        <v>HĐ có thời hạn</v>
      </c>
      <c r="AF712" s="41"/>
      <c r="AG712" s="42">
        <f>VLOOKUP(A712,'[1]DANH SÁCH'!$B$8:$H$841,7,0)</f>
        <v>0</v>
      </c>
      <c r="AH712" s="45">
        <v>1.65</v>
      </c>
      <c r="AI712" s="42">
        <v>1</v>
      </c>
      <c r="AJ712" s="70"/>
      <c r="AK712" s="69">
        <v>45689</v>
      </c>
      <c r="AL712" s="47" t="s">
        <v>3622</v>
      </c>
      <c r="AM712" s="53" t="str">
        <f>VLOOKUP(A712,'[1]DANH SÁCH'!$B$8:$F$841,5,0)</f>
        <v>Hộ Lý</v>
      </c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65" t="s">
        <v>87</v>
      </c>
      <c r="AZ712" s="65"/>
      <c r="BA712" s="6"/>
      <c r="BB712" s="6"/>
      <c r="BC712" s="7"/>
      <c r="BD712" s="6"/>
    </row>
    <row r="713" spans="1:56" ht="20.399999999999999" x14ac:dyDescent="0.3">
      <c r="A713" s="61" t="s">
        <v>5255</v>
      </c>
      <c r="B713" s="42">
        <f t="shared" si="187"/>
        <v>707</v>
      </c>
      <c r="C713" s="64" t="s">
        <v>1996</v>
      </c>
      <c r="D713" s="61" t="s">
        <v>5255</v>
      </c>
      <c r="E713" s="64"/>
      <c r="F713" s="64"/>
      <c r="G713" s="49"/>
      <c r="H713" s="46"/>
      <c r="I713" s="46" t="s">
        <v>5256</v>
      </c>
      <c r="J713" s="66">
        <f ca="1">INT(DATEDIF(I713,'[1]Bieu 1a'!$J$2,"d")/365)</f>
        <v>48</v>
      </c>
      <c r="K713" s="46"/>
      <c r="L713" s="47"/>
      <c r="M713" s="56"/>
      <c r="N713" s="52"/>
      <c r="O713" s="56"/>
      <c r="P713" s="47"/>
      <c r="Q713" s="47"/>
      <c r="R713" s="49"/>
      <c r="S713" s="47"/>
      <c r="T713" s="47"/>
      <c r="U713" s="47"/>
      <c r="V713" s="56" t="s">
        <v>5257</v>
      </c>
      <c r="W713" s="184" t="s">
        <v>5258</v>
      </c>
      <c r="X713" s="46"/>
      <c r="Y713" s="46"/>
      <c r="Z713" s="46"/>
      <c r="AA713" s="68">
        <f>VLOOKUP(A713,'[1]DANH SÁCH'!$B$8:$AD$841,12,0)</f>
        <v>0</v>
      </c>
      <c r="AB713" s="49" t="str">
        <f>VLOOKUP(A713,'[1]DANH SÁCH'!$B$8:$H$841,6,0)</f>
        <v>TĐ048</v>
      </c>
      <c r="AC713" s="69" t="str">
        <f>VLOOKUP(A713,'[1]DANH SÁCH'!$B$8:$J$841,9,0)</f>
        <v>KSNK</v>
      </c>
      <c r="AD713" s="69" t="str">
        <f>VLOOKUP(A713,'[1]DANH SÁCH'!$B$8:$AC$841,9,0)</f>
        <v>KSNK</v>
      </c>
      <c r="AE713" s="69" t="str">
        <f>VLOOKUP(A713,'[1]DANH SÁCH'!$B$8:$AD$841,13,0)</f>
        <v>HĐ có thời hạn</v>
      </c>
      <c r="AF713" s="41"/>
      <c r="AG713" s="42">
        <f>VLOOKUP(A713,'[1]DANH SÁCH'!$B$8:$H$841,7,0)</f>
        <v>0</v>
      </c>
      <c r="AH713" s="45">
        <v>1.65</v>
      </c>
      <c r="AI713" s="42">
        <v>1</v>
      </c>
      <c r="AJ713" s="70"/>
      <c r="AK713" s="69">
        <v>45689</v>
      </c>
      <c r="AL713" s="47"/>
      <c r="AM713" s="53" t="str">
        <f>VLOOKUP(A713,'[1]DANH SÁCH'!$B$8:$F$841,5,0)</f>
        <v>NVPV</v>
      </c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65" t="s">
        <v>87</v>
      </c>
      <c r="AZ713" s="65"/>
      <c r="BA713" s="6"/>
      <c r="BB713" s="6"/>
      <c r="BC713" s="7"/>
      <c r="BD713" s="6"/>
    </row>
    <row r="714" spans="1:56" ht="20.399999999999999" x14ac:dyDescent="0.3">
      <c r="A714" s="61" t="s">
        <v>5259</v>
      </c>
      <c r="B714" s="42">
        <f t="shared" si="187"/>
        <v>708</v>
      </c>
      <c r="C714" s="64" t="s">
        <v>5260</v>
      </c>
      <c r="D714" s="61" t="s">
        <v>5259</v>
      </c>
      <c r="E714" s="64"/>
      <c r="F714" s="64"/>
      <c r="G714" s="49"/>
      <c r="H714" s="46"/>
      <c r="I714" s="46" t="s">
        <v>5261</v>
      </c>
      <c r="J714" s="66">
        <f ca="1">INT(DATEDIF(I714,'[1]Bieu 1a'!$J$2,"d")/365)</f>
        <v>38</v>
      </c>
      <c r="K714" s="46"/>
      <c r="L714" s="47"/>
      <c r="M714" s="56"/>
      <c r="N714" s="52"/>
      <c r="O714" s="56"/>
      <c r="P714" s="47"/>
      <c r="Q714" s="47"/>
      <c r="R714" s="49"/>
      <c r="S714" s="47"/>
      <c r="T714" s="47"/>
      <c r="U714" s="47"/>
      <c r="V714" s="56" t="s">
        <v>5262</v>
      </c>
      <c r="W714" s="184" t="s">
        <v>5258</v>
      </c>
      <c r="X714" s="46"/>
      <c r="Y714" s="46"/>
      <c r="Z714" s="46"/>
      <c r="AA714" s="68">
        <f>VLOOKUP(A714,'[1]DANH SÁCH'!$B$8:$AD$841,12,0)</f>
        <v>0</v>
      </c>
      <c r="AB714" s="49" t="str">
        <f>VLOOKUP(A714,'[1]DANH SÁCH'!$B$8:$H$841,6,0)</f>
        <v>TĐ044</v>
      </c>
      <c r="AC714" s="69" t="str">
        <f>VLOOKUP(A714,'[1]DANH SÁCH'!$B$8:$J$841,9,0)</f>
        <v>HCQT</v>
      </c>
      <c r="AD714" s="69" t="str">
        <f>VLOOKUP(A714,'[1]DANH SÁCH'!$B$8:$AC$841,9,0)</f>
        <v>HCQT</v>
      </c>
      <c r="AE714" s="69" t="str">
        <f>VLOOKUP(A714,'[1]DANH SÁCH'!$B$8:$AD$841,13,0)</f>
        <v>HĐ có thời hạn</v>
      </c>
      <c r="AF714" s="41"/>
      <c r="AG714" s="42">
        <f>VLOOKUP(A714,'[1]DANH SÁCH'!$B$8:$H$841,7,0)</f>
        <v>0</v>
      </c>
      <c r="AH714" s="45">
        <v>1.68</v>
      </c>
      <c r="AI714" s="42">
        <v>2</v>
      </c>
      <c r="AJ714" s="70"/>
      <c r="AK714" s="69">
        <v>45689</v>
      </c>
      <c r="AL714" s="47"/>
      <c r="AM714" s="53" t="str">
        <f>VLOOKUP(A714,'[1]DANH SÁCH'!$B$8:$F$841,5,0)</f>
        <v>Bảo vệ</v>
      </c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 t="s">
        <v>87</v>
      </c>
      <c r="AZ714" s="65" t="s">
        <v>5263</v>
      </c>
      <c r="BA714" s="6"/>
      <c r="BB714" s="6"/>
      <c r="BC714" s="7"/>
      <c r="BD714" s="6"/>
    </row>
    <row r="715" spans="1:56" ht="20.399999999999999" x14ac:dyDescent="0.3">
      <c r="A715" s="42" t="s">
        <v>5264</v>
      </c>
      <c r="B715" s="42">
        <f t="shared" si="187"/>
        <v>709</v>
      </c>
      <c r="C715" s="64" t="s">
        <v>5265</v>
      </c>
      <c r="D715" s="42" t="s">
        <v>5264</v>
      </c>
      <c r="E715" s="64"/>
      <c r="F715" s="64"/>
      <c r="G715" s="49"/>
      <c r="H715" s="46" t="s">
        <v>5266</v>
      </c>
      <c r="I715" s="46"/>
      <c r="J715" s="66">
        <f ca="1">INT(DATEDIF(H715,'[1]Bieu 1a'!$J$2,"d")/365)</f>
        <v>46</v>
      </c>
      <c r="K715" s="46"/>
      <c r="L715" s="47"/>
      <c r="M715" s="56"/>
      <c r="N715" s="52"/>
      <c r="O715" s="56"/>
      <c r="P715" s="47"/>
      <c r="Q715" s="47"/>
      <c r="R715" s="49"/>
      <c r="S715" s="47"/>
      <c r="T715" s="47"/>
      <c r="U715" s="47"/>
      <c r="V715" s="56" t="s">
        <v>5267</v>
      </c>
      <c r="W715" s="184" t="s">
        <v>5268</v>
      </c>
      <c r="X715" s="46"/>
      <c r="Y715" s="46"/>
      <c r="Z715" s="46"/>
      <c r="AA715" s="68">
        <f>VLOOKUP(A715,'[1]DANH SÁCH'!$B$8:$AD$841,12,0)</f>
        <v>0</v>
      </c>
      <c r="AB715" s="49" t="str">
        <f>VLOOKUP(A715,'[1]DANH SÁCH'!$B$8:$H$841,6,0)</f>
        <v>TĐ044</v>
      </c>
      <c r="AC715" s="69" t="str">
        <f>VLOOKUP(A715,'[1]DANH SÁCH'!$B$8:$J$841,9,0)</f>
        <v>HCQT</v>
      </c>
      <c r="AD715" s="69" t="str">
        <f>VLOOKUP(A715,'[1]DANH SÁCH'!$B$8:$AC$841,9,0)</f>
        <v>HCQT</v>
      </c>
      <c r="AE715" s="69" t="str">
        <f>VLOOKUP(A715,'[1]DANH SÁCH'!$B$8:$AD$841,13,0)</f>
        <v>HĐ có thời hạn</v>
      </c>
      <c r="AF715" s="41"/>
      <c r="AG715" s="42">
        <f>VLOOKUP(A715,'[1]DANH SÁCH'!$B$8:$H$841,7,0)</f>
        <v>0</v>
      </c>
      <c r="AH715" s="45">
        <v>1.68</v>
      </c>
      <c r="AI715" s="42">
        <v>2</v>
      </c>
      <c r="AJ715" s="70"/>
      <c r="AK715" s="69">
        <v>45689</v>
      </c>
      <c r="AL715" s="47"/>
      <c r="AM715" s="53" t="str">
        <f>VLOOKUP(A715,'[1]DANH SÁCH'!$B$8:$F$841,5,0)</f>
        <v>Bảo vệ</v>
      </c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65" t="s">
        <v>85</v>
      </c>
      <c r="AZ715" s="65"/>
      <c r="BA715" s="6"/>
      <c r="BB715" s="6"/>
      <c r="BC715" s="7"/>
      <c r="BD715" s="6"/>
    </row>
    <row r="716" spans="1:56" ht="40.799999999999997" x14ac:dyDescent="0.3">
      <c r="A716" s="103" t="s">
        <v>5269</v>
      </c>
      <c r="B716" s="42">
        <f t="shared" si="187"/>
        <v>710</v>
      </c>
      <c r="C716" s="148" t="s">
        <v>5270</v>
      </c>
      <c r="D716" s="103" t="s">
        <v>5269</v>
      </c>
      <c r="E716" s="64"/>
      <c r="F716" s="64"/>
      <c r="G716" s="49" t="s">
        <v>5271</v>
      </c>
      <c r="H716" s="47" t="s">
        <v>5272</v>
      </c>
      <c r="I716" s="47"/>
      <c r="J716" s="66">
        <f ca="1">INT(DATEDIF(H716,'[1]Bieu 1a'!$J$2,"d")/365)</f>
        <v>32</v>
      </c>
      <c r="K716" s="47" t="s">
        <v>5273</v>
      </c>
      <c r="L716" s="47" t="s">
        <v>5274</v>
      </c>
      <c r="M716" s="56" t="s">
        <v>3778</v>
      </c>
      <c r="N716" s="52"/>
      <c r="O716" s="56"/>
      <c r="P716" s="47"/>
      <c r="Q716" s="47"/>
      <c r="R716" s="49"/>
      <c r="S716" s="47"/>
      <c r="T716" s="47"/>
      <c r="U716" s="47"/>
      <c r="V716" s="56" t="s">
        <v>4898</v>
      </c>
      <c r="W716" s="153">
        <v>44621</v>
      </c>
      <c r="X716" s="46"/>
      <c r="Y716" s="46"/>
      <c r="Z716" s="46"/>
      <c r="AA716" s="68">
        <f>VLOOKUP(A716,'[1]DANH SÁCH'!$B$8:$AD$841,12,0)</f>
        <v>0</v>
      </c>
      <c r="AB716" s="47"/>
      <c r="AC716" s="69" t="str">
        <f>VLOOKUP(A716,'[1]DANH SÁCH'!$B$8:$J$841,9,0)</f>
        <v>Phụ sản</v>
      </c>
      <c r="AD716" s="69" t="s">
        <v>5275</v>
      </c>
      <c r="AE716" s="69" t="str">
        <f>VLOOKUP(A716,'[1]DANH SÁCH'!$B$8:$AD$841,13,0)</f>
        <v>Viên chức</v>
      </c>
      <c r="AF716" s="41"/>
      <c r="AG716" s="42">
        <f>VLOOKUP(A716,'[1]DANH SÁCH'!$B$8:$H$841,7,0)</f>
        <v>0</v>
      </c>
      <c r="AH716" s="45" t="s">
        <v>3781</v>
      </c>
      <c r="AI716" s="42">
        <v>2</v>
      </c>
      <c r="AJ716" s="70"/>
      <c r="AK716" s="69">
        <v>45717</v>
      </c>
      <c r="AL716" s="47" t="s">
        <v>80</v>
      </c>
      <c r="AM716" s="53" t="str">
        <f>VLOOKUP(A716,'[1]DANH SÁCH'!$B$8:$F$841,5,0)</f>
        <v>Bác sĩ nội trú</v>
      </c>
      <c r="AN716" s="47" t="s">
        <v>1308</v>
      </c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 t="s">
        <v>85</v>
      </c>
      <c r="AZ716" s="65"/>
      <c r="BA716" s="6"/>
      <c r="BB716" s="6"/>
      <c r="BC716" s="7"/>
      <c r="BD716" s="6"/>
    </row>
    <row r="717" spans="1:56" ht="40.799999999999997" x14ac:dyDescent="0.3">
      <c r="A717" s="103" t="s">
        <v>5276</v>
      </c>
      <c r="B717" s="42">
        <f t="shared" si="187"/>
        <v>711</v>
      </c>
      <c r="C717" s="148" t="s">
        <v>5277</v>
      </c>
      <c r="D717" s="103" t="s">
        <v>5276</v>
      </c>
      <c r="E717" s="64"/>
      <c r="F717" s="64"/>
      <c r="G717" s="49" t="s">
        <v>5278</v>
      </c>
      <c r="H717" s="149"/>
      <c r="I717" s="47" t="s">
        <v>5279</v>
      </c>
      <c r="J717" s="66">
        <f ca="1">INT(DATEDIF(I717,'[1]Bieu 1a'!$J$2,"d")/365)</f>
        <v>29</v>
      </c>
      <c r="K717" s="47" t="s">
        <v>5280</v>
      </c>
      <c r="L717" s="47" t="s">
        <v>5281</v>
      </c>
      <c r="M717" s="56" t="s">
        <v>532</v>
      </c>
      <c r="N717" s="52"/>
      <c r="O717" s="56"/>
      <c r="P717" s="47"/>
      <c r="Q717" s="47"/>
      <c r="R717" s="49"/>
      <c r="S717" s="47"/>
      <c r="T717" s="47"/>
      <c r="U717" s="47"/>
      <c r="V717" s="56" t="s">
        <v>5282</v>
      </c>
      <c r="W717" s="153">
        <v>44623</v>
      </c>
      <c r="X717" s="46"/>
      <c r="Y717" s="46"/>
      <c r="Z717" s="46"/>
      <c r="AA717" s="68">
        <f>VLOOKUP(A717,'[1]DANH SÁCH'!$B$8:$AD$841,12,0)</f>
        <v>0</v>
      </c>
      <c r="AB717" s="47"/>
      <c r="AC717" s="69" t="str">
        <f>VLOOKUP(A717,'[1]DANH SÁCH'!$B$8:$J$841,9,0)</f>
        <v>KSNK</v>
      </c>
      <c r="AD717" s="69" t="s">
        <v>5283</v>
      </c>
      <c r="AE717" s="69" t="str">
        <f>VLOOKUP(A717,'[1]DANH SÁCH'!$B$8:$AD$841,13,0)</f>
        <v>Viên chức</v>
      </c>
      <c r="AF717" s="41"/>
      <c r="AG717" s="42">
        <f>VLOOKUP(A717,'[1]DANH SÁCH'!$B$8:$H$841,7,0)</f>
        <v>0</v>
      </c>
      <c r="AH717" s="45" t="s">
        <v>5284</v>
      </c>
      <c r="AI717" s="42">
        <v>1</v>
      </c>
      <c r="AJ717" s="70"/>
      <c r="AK717" s="69">
        <v>44988</v>
      </c>
      <c r="AL717" s="47" t="s">
        <v>80</v>
      </c>
      <c r="AM717" s="53" t="str">
        <f>VLOOKUP(A717,'[1]DANH SÁCH'!$B$8:$F$841,5,0)</f>
        <v>Kỹ sư</v>
      </c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 t="s">
        <v>85</v>
      </c>
      <c r="AZ717" s="65"/>
      <c r="BA717" s="6"/>
      <c r="BB717" s="6"/>
      <c r="BC717" s="7"/>
      <c r="BD717" s="6"/>
    </row>
    <row r="718" spans="1:56" ht="15.6" x14ac:dyDescent="0.3">
      <c r="A718" s="103" t="s">
        <v>5285</v>
      </c>
      <c r="B718" s="42">
        <f t="shared" si="187"/>
        <v>712</v>
      </c>
      <c r="C718" s="148" t="s">
        <v>5286</v>
      </c>
      <c r="D718" s="103" t="s">
        <v>5285</v>
      </c>
      <c r="E718" s="64"/>
      <c r="F718" s="64"/>
      <c r="G718" s="49"/>
      <c r="H718" s="47" t="s">
        <v>5287</v>
      </c>
      <c r="I718" s="47"/>
      <c r="J718" s="66">
        <f ca="1">INT(DATEDIF(H718,'[1]Bieu 1a'!$J$2,"d")/365)</f>
        <v>42</v>
      </c>
      <c r="K718" s="47" t="s">
        <v>5288</v>
      </c>
      <c r="L718" s="47" t="s">
        <v>5289</v>
      </c>
      <c r="M718" s="56" t="s">
        <v>532</v>
      </c>
      <c r="N718" s="52"/>
      <c r="O718" s="56"/>
      <c r="P718" s="47"/>
      <c r="Q718" s="47"/>
      <c r="R718" s="49"/>
      <c r="S718" s="47"/>
      <c r="T718" s="47"/>
      <c r="U718" s="47"/>
      <c r="V718" s="56" t="s">
        <v>5290</v>
      </c>
      <c r="W718" s="153">
        <v>44718</v>
      </c>
      <c r="X718" s="46"/>
      <c r="Y718" s="46"/>
      <c r="Z718" s="46"/>
      <c r="AA718" s="68">
        <f>VLOOKUP(A718,'[1]DANH SÁCH'!$B$8:$AD$841,12,0)</f>
        <v>0</v>
      </c>
      <c r="AB718" s="47"/>
      <c r="AC718" s="69" t="str">
        <f>VLOOKUP(A718,'[1]DANH SÁCH'!$B$8:$J$841,9,0)</f>
        <v>VT-TTBYT</v>
      </c>
      <c r="AD718" s="69">
        <v>0</v>
      </c>
      <c r="AE718" s="69" t="str">
        <f>VLOOKUP(A718,'[1]DANH SÁCH'!$B$8:$AD$841,13,0)</f>
        <v>Viên chức</v>
      </c>
      <c r="AF718" s="41"/>
      <c r="AG718" s="42">
        <f>VLOOKUP(A718,'[1]DANH SÁCH'!$B$8:$H$841,7,0)</f>
        <v>0</v>
      </c>
      <c r="AH718" s="45" t="s">
        <v>5284</v>
      </c>
      <c r="AI718" s="42">
        <v>1</v>
      </c>
      <c r="AJ718" s="70"/>
      <c r="AK718" s="69">
        <v>45083</v>
      </c>
      <c r="AL718" s="47" t="s">
        <v>80</v>
      </c>
      <c r="AM718" s="53" t="str">
        <f>VLOOKUP(A718,'[1]DANH SÁCH'!$B$8:$F$841,5,0)</f>
        <v>Kỹ sư</v>
      </c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 t="s">
        <v>85</v>
      </c>
      <c r="AZ718" s="65">
        <v>41345</v>
      </c>
      <c r="BA718" s="6"/>
      <c r="BB718" s="6"/>
      <c r="BC718" s="7"/>
      <c r="BD718" s="6"/>
    </row>
    <row r="719" spans="1:56" ht="20.399999999999999" x14ac:dyDescent="0.3">
      <c r="A719" s="103" t="s">
        <v>5291</v>
      </c>
      <c r="B719" s="42">
        <f t="shared" si="187"/>
        <v>713</v>
      </c>
      <c r="C719" s="148" t="s">
        <v>5292</v>
      </c>
      <c r="D719" s="103" t="s">
        <v>5291</v>
      </c>
      <c r="E719" s="64"/>
      <c r="F719" s="64"/>
      <c r="G719" s="49"/>
      <c r="H719" s="47" t="s">
        <v>5293</v>
      </c>
      <c r="I719" s="47"/>
      <c r="J719" s="66">
        <f ca="1">INT(DATEDIF(H719,'[1]Bieu 1a'!$J$2,"d")/365)</f>
        <v>54</v>
      </c>
      <c r="K719" s="47" t="s">
        <v>5294</v>
      </c>
      <c r="L719" s="47" t="s">
        <v>5295</v>
      </c>
      <c r="M719" s="56" t="s">
        <v>3778</v>
      </c>
      <c r="N719" s="52"/>
      <c r="O719" s="56"/>
      <c r="P719" s="47"/>
      <c r="Q719" s="47"/>
      <c r="R719" s="49"/>
      <c r="S719" s="47"/>
      <c r="T719" s="47"/>
      <c r="U719" s="47"/>
      <c r="V719" s="56" t="s">
        <v>5296</v>
      </c>
      <c r="W719" s="153">
        <v>44713</v>
      </c>
      <c r="X719" s="46"/>
      <c r="Y719" s="46"/>
      <c r="Z719" s="46"/>
      <c r="AA719" s="68">
        <f>VLOOKUP(A719,'[1]DANH SÁCH'!$B$8:$AD$841,12,0)</f>
        <v>0</v>
      </c>
      <c r="AB719" s="47"/>
      <c r="AC719" s="69" t="str">
        <f>VLOOKUP(A719,'[1]DANH SÁCH'!$B$8:$J$841,9,0)</f>
        <v>HCQT</v>
      </c>
      <c r="AD719" s="69">
        <v>0</v>
      </c>
      <c r="AE719" s="69" t="str">
        <f>VLOOKUP(A719,'[1]DANH SÁCH'!$B$8:$AD$841,13,0)</f>
        <v>HĐ có thời hạn</v>
      </c>
      <c r="AF719" s="41"/>
      <c r="AG719" s="42">
        <f>VLOOKUP(A719,'[1]DANH SÁCH'!$B$8:$H$841,7,0)</f>
        <v>0</v>
      </c>
      <c r="AH719" s="45">
        <v>1.68</v>
      </c>
      <c r="AI719" s="42">
        <v>2</v>
      </c>
      <c r="AJ719" s="70"/>
      <c r="AK719" s="69">
        <v>45689</v>
      </c>
      <c r="AL719" s="47"/>
      <c r="AM719" s="53" t="str">
        <f>VLOOKUP(A719,'[1]DANH SÁCH'!$B$8:$F$841,5,0)</f>
        <v>Bảo vệ</v>
      </c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 t="s">
        <v>87</v>
      </c>
      <c r="AZ719" s="65"/>
      <c r="BA719" s="6"/>
      <c r="BB719" s="6"/>
      <c r="BC719" s="7"/>
      <c r="BD719" s="6"/>
    </row>
    <row r="720" spans="1:56" ht="20.399999999999999" x14ac:dyDescent="0.3">
      <c r="A720" s="103" t="s">
        <v>5297</v>
      </c>
      <c r="B720" s="42">
        <f t="shared" si="187"/>
        <v>714</v>
      </c>
      <c r="C720" s="148" t="s">
        <v>5298</v>
      </c>
      <c r="D720" s="103" t="s">
        <v>5297</v>
      </c>
      <c r="E720" s="185">
        <v>2020623751</v>
      </c>
      <c r="F720" s="64"/>
      <c r="G720" s="49"/>
      <c r="H720" s="149"/>
      <c r="I720" s="65">
        <v>34319</v>
      </c>
      <c r="J720" s="66">
        <f ca="1">INT(DATEDIF(I720,'[1]Bieu 1a'!$J$2,"d")/365)</f>
        <v>32</v>
      </c>
      <c r="K720" s="47" t="s">
        <v>5299</v>
      </c>
      <c r="L720" s="47" t="s">
        <v>5295</v>
      </c>
      <c r="M720" s="56" t="s">
        <v>532</v>
      </c>
      <c r="N720" s="52"/>
      <c r="O720" s="56"/>
      <c r="P720" s="47"/>
      <c r="Q720" s="47"/>
      <c r="R720" s="49"/>
      <c r="S720" s="47"/>
      <c r="T720" s="47"/>
      <c r="U720" s="47"/>
      <c r="V720" s="56" t="s">
        <v>5300</v>
      </c>
      <c r="W720" s="153" t="s">
        <v>5301</v>
      </c>
      <c r="X720" s="46"/>
      <c r="Y720" s="46"/>
      <c r="Z720" s="46"/>
      <c r="AA720" s="68">
        <f>VLOOKUP(A720,'[1]DANH SÁCH'!$B$8:$AD$841,12,0)</f>
        <v>0</v>
      </c>
      <c r="AB720" s="47"/>
      <c r="AC720" s="69" t="str">
        <f>VLOOKUP(A720,'[1]DANH SÁCH'!$B$8:$J$841,9,0)</f>
        <v>Dược</v>
      </c>
      <c r="AD720" s="69">
        <v>0</v>
      </c>
      <c r="AE720" s="69" t="str">
        <f>VLOOKUP(A720,'[1]DANH SÁCH'!$B$8:$AD$841,13,0)</f>
        <v>HĐ có thời hạn</v>
      </c>
      <c r="AF720" s="41"/>
      <c r="AG720" s="42">
        <f>VLOOKUP(A720,'[1]DANH SÁCH'!$B$8:$H$841,7,0)</f>
        <v>0</v>
      </c>
      <c r="AH720" s="45" t="s">
        <v>4054</v>
      </c>
      <c r="AI720" s="42">
        <v>2</v>
      </c>
      <c r="AJ720" s="70"/>
      <c r="AK720" s="69">
        <v>45901</v>
      </c>
      <c r="AL720" s="71" t="s">
        <v>158</v>
      </c>
      <c r="AM720" s="53" t="str">
        <f>VLOOKUP(A720,'[1]DANH SÁCH'!$B$8:$F$841,5,0)</f>
        <v>Dược sỹ CĐ</v>
      </c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 t="s">
        <v>85</v>
      </c>
      <c r="AZ720" s="65"/>
      <c r="BA720" s="6"/>
      <c r="BB720" s="6"/>
      <c r="BC720" s="7"/>
      <c r="BD720" s="6"/>
    </row>
    <row r="721" spans="1:56" ht="20.399999999999999" x14ac:dyDescent="0.3">
      <c r="A721" s="103" t="s">
        <v>5302</v>
      </c>
      <c r="B721" s="42">
        <f t="shared" si="187"/>
        <v>715</v>
      </c>
      <c r="C721" s="148" t="s">
        <v>5303</v>
      </c>
      <c r="D721" s="103" t="s">
        <v>5302</v>
      </c>
      <c r="E721" s="64"/>
      <c r="F721" s="64"/>
      <c r="G721" s="49"/>
      <c r="H721" s="149"/>
      <c r="I721" s="47" t="s">
        <v>5304</v>
      </c>
      <c r="J721" s="66">
        <f ca="1">INT(DATEDIF(I721,'[1]Bieu 1a'!$J$2,"d")/365)</f>
        <v>42</v>
      </c>
      <c r="K721" s="47" t="s">
        <v>5305</v>
      </c>
      <c r="L721" s="47" t="s">
        <v>5281</v>
      </c>
      <c r="M721" s="56" t="s">
        <v>532</v>
      </c>
      <c r="N721" s="52"/>
      <c r="O721" s="56"/>
      <c r="P721" s="47"/>
      <c r="Q721" s="47"/>
      <c r="R721" s="49"/>
      <c r="S721" s="47"/>
      <c r="T721" s="47"/>
      <c r="U721" s="47"/>
      <c r="V721" s="56" t="s">
        <v>5306</v>
      </c>
      <c r="W721" s="153" t="s">
        <v>5301</v>
      </c>
      <c r="X721" s="46"/>
      <c r="Y721" s="46"/>
      <c r="Z721" s="46"/>
      <c r="AA721" s="68">
        <f>VLOOKUP(A721,'[1]DANH SÁCH'!$B$8:$AD$841,12,0)</f>
        <v>0</v>
      </c>
      <c r="AB721" s="47"/>
      <c r="AC721" s="69" t="str">
        <f>VLOOKUP(A721,'[1]DANH SÁCH'!$B$8:$J$841,9,0)</f>
        <v>Ngoại TK-LN</v>
      </c>
      <c r="AD721" s="69">
        <v>0</v>
      </c>
      <c r="AE721" s="69" t="str">
        <f>VLOOKUP(A721,'[1]DANH SÁCH'!$B$8:$AD$841,13,0)</f>
        <v>HĐ có thời hạn</v>
      </c>
      <c r="AF721" s="41"/>
      <c r="AG721" s="42">
        <f>VLOOKUP(A721,'[1]DANH SÁCH'!$B$8:$H$841,7,0)</f>
        <v>0</v>
      </c>
      <c r="AH721" s="45">
        <v>1.65</v>
      </c>
      <c r="AI721" s="42">
        <v>1</v>
      </c>
      <c r="AJ721" s="70"/>
      <c r="AK721" s="69">
        <v>45689</v>
      </c>
      <c r="AL721" s="47" t="s">
        <v>3622</v>
      </c>
      <c r="AM721" s="53" t="str">
        <f>VLOOKUP(A721,'[1]DANH SÁCH'!$B$8:$F$841,5,0)</f>
        <v>Hộ lý</v>
      </c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 t="s">
        <v>85</v>
      </c>
      <c r="AZ721" s="65"/>
      <c r="BA721" s="6"/>
      <c r="BB721" s="6"/>
      <c r="BC721" s="7"/>
      <c r="BD721" s="6"/>
    </row>
    <row r="722" spans="1:56" ht="20.399999999999999" x14ac:dyDescent="0.3">
      <c r="A722" s="109" t="s">
        <v>5307</v>
      </c>
      <c r="B722" s="42">
        <f t="shared" si="187"/>
        <v>716</v>
      </c>
      <c r="C722" s="155" t="s">
        <v>5308</v>
      </c>
      <c r="D722" s="109" t="s">
        <v>5307</v>
      </c>
      <c r="E722" s="64"/>
      <c r="F722" s="64"/>
      <c r="G722" s="49"/>
      <c r="H722" s="47"/>
      <c r="I722" s="156" t="s">
        <v>4967</v>
      </c>
      <c r="J722" s="66">
        <f ca="1">INT(DATEDIF(I722,'[1]Bieu 1a'!$J$2,"d")/365)</f>
        <v>30</v>
      </c>
      <c r="K722" s="46"/>
      <c r="L722" s="47"/>
      <c r="M722" s="56"/>
      <c r="N722" s="52"/>
      <c r="O722" s="56"/>
      <c r="P722" s="47"/>
      <c r="Q722" s="47"/>
      <c r="R722" s="49"/>
      <c r="S722" s="47"/>
      <c r="T722" s="47"/>
      <c r="U722" s="47"/>
      <c r="V722" s="56" t="s">
        <v>5309</v>
      </c>
      <c r="W722" s="147">
        <v>44748</v>
      </c>
      <c r="X722" s="46"/>
      <c r="Y722" s="46"/>
      <c r="Z722" s="46"/>
      <c r="AA722" s="68">
        <f>VLOOKUP(A722,'[1]DANH SÁCH'!$B$8:$AD$841,12,0)</f>
        <v>0</v>
      </c>
      <c r="AB722" s="47"/>
      <c r="AC722" s="69" t="str">
        <f>VLOOKUP(A722,'[1]DANH SÁCH'!$B$8:$J$841,9,0)</f>
        <v>Dược</v>
      </c>
      <c r="AD722" s="47"/>
      <c r="AE722" s="69" t="str">
        <f>VLOOKUP(A722,'[1]DANH SÁCH'!$B$8:$AD$841,13,0)</f>
        <v>HĐ có thời hạn</v>
      </c>
      <c r="AF722" s="41"/>
      <c r="AG722" s="42">
        <f>VLOOKUP(A722,'[1]DANH SÁCH'!$B$8:$H$841,7,0)</f>
        <v>0</v>
      </c>
      <c r="AH722" s="45" t="s">
        <v>5310</v>
      </c>
      <c r="AI722" s="42">
        <v>2</v>
      </c>
      <c r="AJ722" s="70"/>
      <c r="AK722" s="69">
        <v>45663</v>
      </c>
      <c r="AL722" s="47" t="s">
        <v>101</v>
      </c>
      <c r="AM722" s="53" t="str">
        <f>VLOOKUP(A722,'[1]DANH SÁCH'!$B$8:$F$841,5,0)</f>
        <v>Dược sỹ TC</v>
      </c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65" t="s">
        <v>127</v>
      </c>
      <c r="AZ722" s="65"/>
      <c r="BA722" s="47"/>
      <c r="BB722" s="47"/>
      <c r="BC722" s="81"/>
      <c r="BD722" s="47"/>
    </row>
    <row r="723" spans="1:56" ht="20.399999999999999" x14ac:dyDescent="0.3">
      <c r="A723" s="109" t="s">
        <v>5311</v>
      </c>
      <c r="B723" s="42">
        <f t="shared" si="187"/>
        <v>717</v>
      </c>
      <c r="C723" s="155" t="s">
        <v>5312</v>
      </c>
      <c r="D723" s="109" t="s">
        <v>5311</v>
      </c>
      <c r="E723" s="64"/>
      <c r="F723" s="64"/>
      <c r="G723" s="49"/>
      <c r="H723" s="47"/>
      <c r="I723" s="156" t="s">
        <v>5313</v>
      </c>
      <c r="J723" s="66">
        <f ca="1">INT(DATEDIF(I723,'[1]Bieu 1a'!$J$2,"d")/365)</f>
        <v>41</v>
      </c>
      <c r="K723" s="46"/>
      <c r="L723" s="47"/>
      <c r="M723" s="56"/>
      <c r="N723" s="52"/>
      <c r="O723" s="56"/>
      <c r="P723" s="47"/>
      <c r="Q723" s="47"/>
      <c r="R723" s="49"/>
      <c r="S723" s="47"/>
      <c r="T723" s="47"/>
      <c r="U723" s="47"/>
      <c r="V723" s="56" t="s">
        <v>427</v>
      </c>
      <c r="W723" s="147">
        <v>44774</v>
      </c>
      <c r="X723" s="46"/>
      <c r="Y723" s="46"/>
      <c r="Z723" s="46"/>
      <c r="AA723" s="68">
        <f>VLOOKUP(A723,'[1]DANH SÁCH'!$B$8:$AD$841,12,0)</f>
        <v>0</v>
      </c>
      <c r="AB723" s="47"/>
      <c r="AC723" s="69" t="str">
        <f>VLOOKUP(A723,'[1]DANH SÁCH'!$B$8:$J$841,9,0)</f>
        <v>Truyền nhiễm</v>
      </c>
      <c r="AD723" s="47"/>
      <c r="AE723" s="69" t="str">
        <f>VLOOKUP(A723,'[1]DANH SÁCH'!$B$8:$AD$841,13,0)</f>
        <v>HĐ có thời hạn</v>
      </c>
      <c r="AF723" s="41"/>
      <c r="AG723" s="42">
        <f>VLOOKUP(A723,'[1]DANH SÁCH'!$B$8:$H$841,7,0)</f>
        <v>0</v>
      </c>
      <c r="AH723" s="45">
        <v>1.65</v>
      </c>
      <c r="AI723" s="42">
        <v>1</v>
      </c>
      <c r="AJ723" s="70"/>
      <c r="AK723" s="69">
        <v>45689</v>
      </c>
      <c r="AL723" s="47" t="s">
        <v>3622</v>
      </c>
      <c r="AM723" s="53" t="str">
        <f>VLOOKUP(A723,'[1]DANH SÁCH'!$B$8:$F$841,5,0)</f>
        <v>Hộ lý</v>
      </c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65" t="s">
        <v>298</v>
      </c>
      <c r="AZ723" s="65"/>
      <c r="BA723" s="47"/>
      <c r="BB723" s="47"/>
      <c r="BC723" s="81"/>
      <c r="BD723" s="47"/>
    </row>
    <row r="724" spans="1:56" ht="15.6" x14ac:dyDescent="0.3">
      <c r="A724" s="46" t="s">
        <v>5314</v>
      </c>
      <c r="B724" s="42">
        <f t="shared" si="187"/>
        <v>718</v>
      </c>
      <c r="C724" s="64" t="s">
        <v>5315</v>
      </c>
      <c r="D724" s="46" t="s">
        <v>5314</v>
      </c>
      <c r="E724" s="64"/>
      <c r="F724" s="64"/>
      <c r="G724" s="49"/>
      <c r="H724" s="47"/>
      <c r="I724" s="47" t="s">
        <v>5316</v>
      </c>
      <c r="J724" s="66">
        <f ca="1">INT(DATEDIF(I724,'[1]Bieu 1a'!$J$2,"d")/365)</f>
        <v>27</v>
      </c>
      <c r="K724" s="46"/>
      <c r="L724" s="47"/>
      <c r="M724" s="56"/>
      <c r="N724" s="52"/>
      <c r="O724" s="56"/>
      <c r="P724" s="47"/>
      <c r="Q724" s="47"/>
      <c r="R724" s="49"/>
      <c r="S724" s="47"/>
      <c r="T724" s="47"/>
      <c r="U724" s="47"/>
      <c r="V724" s="56" t="s">
        <v>5317</v>
      </c>
      <c r="W724" s="147">
        <v>44830</v>
      </c>
      <c r="X724" s="46"/>
      <c r="Y724" s="46"/>
      <c r="Z724" s="46"/>
      <c r="AA724" s="68">
        <f>VLOOKUP(A724,'[1]DANH SÁCH'!$B$8:$AD$841,12,0)</f>
        <v>0</v>
      </c>
      <c r="AB724" s="47"/>
      <c r="AC724" s="69" t="str">
        <f>VLOOKUP(A724,'[1]DANH SÁCH'!$B$8:$J$841,9,0)</f>
        <v>Dược</v>
      </c>
      <c r="AD724" s="47"/>
      <c r="AE724" s="69" t="str">
        <f>VLOOKUP(A724,'[1]DANH SÁCH'!$B$8:$AD$841,13,0)</f>
        <v>Viên chức</v>
      </c>
      <c r="AF724" s="41"/>
      <c r="AG724" s="42">
        <f>VLOOKUP(A724,'[1]DANH SÁCH'!$B$8:$H$841,7,0)</f>
        <v>0</v>
      </c>
      <c r="AH724" s="45" t="s">
        <v>5284</v>
      </c>
      <c r="AI724" s="42">
        <v>1</v>
      </c>
      <c r="AJ724" s="70"/>
      <c r="AK724" s="69">
        <v>45195</v>
      </c>
      <c r="AL724" s="71" t="s">
        <v>80</v>
      </c>
      <c r="AM724" s="72" t="str">
        <f>VLOOKUP(A724,'[1]DANH SÁCH'!$B$8:$F$841,5,0)</f>
        <v>Dược sỹ ĐH</v>
      </c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65" t="s">
        <v>127</v>
      </c>
      <c r="AZ724" s="65"/>
      <c r="BA724" s="6"/>
      <c r="BB724" s="6"/>
      <c r="BC724" s="7"/>
      <c r="BD724" s="6"/>
    </row>
    <row r="725" spans="1:56" ht="15.6" x14ac:dyDescent="0.3">
      <c r="A725" s="46" t="s">
        <v>5318</v>
      </c>
      <c r="B725" s="42">
        <f t="shared" si="187"/>
        <v>719</v>
      </c>
      <c r="C725" s="64" t="s">
        <v>5319</v>
      </c>
      <c r="D725" s="46" t="s">
        <v>5318</v>
      </c>
      <c r="E725" s="64"/>
      <c r="F725" s="64"/>
      <c r="G725" s="49"/>
      <c r="H725" s="47"/>
      <c r="I725" s="47" t="s">
        <v>5320</v>
      </c>
      <c r="J725" s="66">
        <f ca="1">INT(DATEDIF(I725,'[1]Bieu 1a'!$J$2,"d")/365)</f>
        <v>30</v>
      </c>
      <c r="K725" s="46"/>
      <c r="L725" s="47"/>
      <c r="M725" s="56"/>
      <c r="N725" s="52"/>
      <c r="O725" s="56"/>
      <c r="P725" s="47"/>
      <c r="Q725" s="47"/>
      <c r="R725" s="49"/>
      <c r="S725" s="47"/>
      <c r="T725" s="47"/>
      <c r="U725" s="47"/>
      <c r="V725" s="56" t="s">
        <v>3701</v>
      </c>
      <c r="W725" s="147">
        <v>44830</v>
      </c>
      <c r="X725" s="46"/>
      <c r="Y725" s="46"/>
      <c r="Z725" s="46"/>
      <c r="AA725" s="68">
        <f>VLOOKUP(A725,'[1]DANH SÁCH'!$B$8:$AD$841,12,0)</f>
        <v>0</v>
      </c>
      <c r="AB725" s="47"/>
      <c r="AC725" s="69" t="str">
        <f>VLOOKUP(A725,'[1]DANH SÁCH'!$B$8:$J$841,9,0)</f>
        <v>Dược</v>
      </c>
      <c r="AD725" s="47"/>
      <c r="AE725" s="69" t="str">
        <f>VLOOKUP(A725,'[1]DANH SÁCH'!$B$8:$AD$841,13,0)</f>
        <v>Viên chức</v>
      </c>
      <c r="AF725" s="46"/>
      <c r="AG725" s="42">
        <f>VLOOKUP(A725,'[1]DANH SÁCH'!$B$8:$H$841,7,0)</f>
        <v>0</v>
      </c>
      <c r="AH725" s="45" t="s">
        <v>5284</v>
      </c>
      <c r="AI725" s="42">
        <v>1</v>
      </c>
      <c r="AJ725" s="70"/>
      <c r="AK725" s="69">
        <v>45195</v>
      </c>
      <c r="AL725" s="71" t="s">
        <v>80</v>
      </c>
      <c r="AM725" s="72" t="str">
        <f>VLOOKUP(A725,'[1]DANH SÁCH'!$B$8:$F$841,5,0)</f>
        <v>Dược sỹ ĐH</v>
      </c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 t="s">
        <v>85</v>
      </c>
      <c r="AZ725" s="65"/>
      <c r="BA725" s="6"/>
      <c r="BB725" s="6"/>
      <c r="BC725" s="7"/>
      <c r="BD725" s="6"/>
    </row>
    <row r="726" spans="1:56" ht="20.399999999999999" x14ac:dyDescent="0.3">
      <c r="A726" s="46" t="s">
        <v>5321</v>
      </c>
      <c r="B726" s="42">
        <f t="shared" si="187"/>
        <v>720</v>
      </c>
      <c r="C726" s="64" t="s">
        <v>5322</v>
      </c>
      <c r="D726" s="46" t="s">
        <v>5321</v>
      </c>
      <c r="E726" s="64"/>
      <c r="F726" s="64"/>
      <c r="G726" s="49"/>
      <c r="H726" s="47"/>
      <c r="I726" s="47" t="s">
        <v>5323</v>
      </c>
      <c r="J726" s="66">
        <f ca="1">INT(DATEDIF(I726,'[1]Bieu 1a'!$J$2,"d")/365)</f>
        <v>35</v>
      </c>
      <c r="K726" s="46"/>
      <c r="L726" s="47"/>
      <c r="M726" s="56"/>
      <c r="N726" s="52"/>
      <c r="O726" s="56"/>
      <c r="P726" s="47"/>
      <c r="Q726" s="47"/>
      <c r="R726" s="49"/>
      <c r="S726" s="47"/>
      <c r="T726" s="47"/>
      <c r="U726" s="47"/>
      <c r="V726" s="56" t="s">
        <v>4898</v>
      </c>
      <c r="W726" s="147">
        <v>44837</v>
      </c>
      <c r="X726" s="46"/>
      <c r="Y726" s="46"/>
      <c r="Z726" s="46"/>
      <c r="AA726" s="68">
        <f>VLOOKUP(A726,'[1]DANH SÁCH'!$B$8:$AD$841,12,0)</f>
        <v>0</v>
      </c>
      <c r="AB726" s="47"/>
      <c r="AC726" s="69" t="str">
        <f>VLOOKUP(A726,'[1]DANH SÁCH'!$B$8:$J$841,9,0)</f>
        <v>Ngoại Thận - Tiết niệu</v>
      </c>
      <c r="AD726" s="47"/>
      <c r="AE726" s="69" t="str">
        <f>VLOOKUP(A726,'[1]DANH SÁCH'!$B$8:$AD$841,13,0)</f>
        <v>Viên chức</v>
      </c>
      <c r="AF726" s="46"/>
      <c r="AG726" s="42">
        <f>VLOOKUP(A726,'[1]DANH SÁCH'!$B$8:$H$841,7,0)</f>
        <v>0</v>
      </c>
      <c r="AH726" s="45" t="s">
        <v>5324</v>
      </c>
      <c r="AI726" s="42">
        <v>1</v>
      </c>
      <c r="AJ726" s="70"/>
      <c r="AK726" s="69">
        <v>45110</v>
      </c>
      <c r="AL726" s="71" t="s">
        <v>158</v>
      </c>
      <c r="AM726" s="53" t="str">
        <f>VLOOKUP(A726,'[1]DANH SÁCH'!$B$8:$F$841,5,0)</f>
        <v>Điều dưỡng CĐ</v>
      </c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 t="s">
        <v>85</v>
      </c>
      <c r="AZ726" s="65"/>
      <c r="BA726" s="6"/>
      <c r="BB726" s="6"/>
      <c r="BC726" s="7"/>
      <c r="BD726" s="6"/>
    </row>
    <row r="727" spans="1:56" ht="20.399999999999999" x14ac:dyDescent="0.3">
      <c r="A727" s="46" t="s">
        <v>5325</v>
      </c>
      <c r="B727" s="42">
        <f t="shared" si="187"/>
        <v>721</v>
      </c>
      <c r="C727" s="64" t="s">
        <v>5326</v>
      </c>
      <c r="D727" s="46" t="s">
        <v>5325</v>
      </c>
      <c r="E727" s="64"/>
      <c r="F727" s="64"/>
      <c r="G727" s="49"/>
      <c r="H727" s="47" t="s">
        <v>5327</v>
      </c>
      <c r="I727" s="47"/>
      <c r="J727" s="66">
        <f ca="1">INT(DATEDIF(H727,'[1]Bieu 1a'!$J$2,"d")/365)</f>
        <v>27</v>
      </c>
      <c r="K727" s="46"/>
      <c r="L727" s="47"/>
      <c r="M727" s="56"/>
      <c r="N727" s="52"/>
      <c r="O727" s="56"/>
      <c r="P727" s="47"/>
      <c r="Q727" s="47"/>
      <c r="R727" s="49"/>
      <c r="S727" s="47"/>
      <c r="T727" s="47"/>
      <c r="U727" s="47"/>
      <c r="V727" s="56" t="s">
        <v>5328</v>
      </c>
      <c r="W727" s="147">
        <v>44837</v>
      </c>
      <c r="X727" s="46"/>
      <c r="Y727" s="46"/>
      <c r="Z727" s="46"/>
      <c r="AA727" s="68">
        <f>VLOOKUP(A727,'[1]DANH SÁCH'!$B$8:$AD$841,12,0)</f>
        <v>0</v>
      </c>
      <c r="AB727" s="47"/>
      <c r="AC727" s="69" t="str">
        <f>VLOOKUP(A727,'[1]DANH SÁCH'!$B$8:$J$841,9,0)</f>
        <v>Cấp cứu</v>
      </c>
      <c r="AD727" s="47"/>
      <c r="AE727" s="69" t="str">
        <f>VLOOKUP(A727,'[1]DANH SÁCH'!$B$8:$AD$841,13,0)</f>
        <v>HĐ có thời hạn</v>
      </c>
      <c r="AF727" s="46"/>
      <c r="AG727" s="42">
        <f>VLOOKUP(A727,'[1]DANH SÁCH'!$B$8:$H$841,7,0)</f>
        <v>0</v>
      </c>
      <c r="AH727" s="45" t="s">
        <v>5324</v>
      </c>
      <c r="AI727" s="42">
        <v>1</v>
      </c>
      <c r="AJ727" s="70"/>
      <c r="AK727" s="69">
        <v>45110</v>
      </c>
      <c r="AL727" s="71" t="s">
        <v>158</v>
      </c>
      <c r="AM727" s="53" t="str">
        <f>VLOOKUP(A727,'[1]DANH SÁCH'!$B$8:$F$841,5,0)</f>
        <v>Điều dưỡng CĐ</v>
      </c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 t="s">
        <v>127</v>
      </c>
      <c r="AZ727" s="65"/>
      <c r="BA727" s="6"/>
      <c r="BB727" s="6"/>
      <c r="BC727" s="7"/>
      <c r="BD727" s="6"/>
    </row>
    <row r="728" spans="1:56" ht="20.399999999999999" x14ac:dyDescent="0.3">
      <c r="A728" s="46" t="s">
        <v>5329</v>
      </c>
      <c r="B728" s="42">
        <f t="shared" si="187"/>
        <v>722</v>
      </c>
      <c r="C728" s="64" t="s">
        <v>5330</v>
      </c>
      <c r="D728" s="46" t="s">
        <v>5329</v>
      </c>
      <c r="E728" s="64"/>
      <c r="F728" s="64"/>
      <c r="G728" s="49"/>
      <c r="H728" s="47"/>
      <c r="I728" s="47" t="s">
        <v>5331</v>
      </c>
      <c r="J728" s="66">
        <f ca="1">INT(DATEDIF(I728,'[1]Bieu 1a'!$J$2,"d")/365)</f>
        <v>25</v>
      </c>
      <c r="K728" s="46"/>
      <c r="L728" s="47"/>
      <c r="M728" s="56"/>
      <c r="N728" s="52"/>
      <c r="O728" s="56"/>
      <c r="P728" s="47"/>
      <c r="Q728" s="47"/>
      <c r="R728" s="49"/>
      <c r="S728" s="47"/>
      <c r="T728" s="47"/>
      <c r="U728" s="47"/>
      <c r="V728" s="56" t="s">
        <v>5332</v>
      </c>
      <c r="W728" s="147">
        <v>44837</v>
      </c>
      <c r="X728" s="46"/>
      <c r="Y728" s="46"/>
      <c r="Z728" s="46"/>
      <c r="AA728" s="68">
        <f>VLOOKUP(A728,'[1]DANH SÁCH'!$B$8:$AD$841,12,0)</f>
        <v>0</v>
      </c>
      <c r="AB728" s="47"/>
      <c r="AC728" s="69" t="str">
        <f>VLOOKUP(A728,'[1]DANH SÁCH'!$B$8:$J$841,9,0)</f>
        <v>Ngoại Thận - Tiết niệu</v>
      </c>
      <c r="AD728" s="47"/>
      <c r="AE728" s="69" t="str">
        <f>VLOOKUP(A728,'[1]DANH SÁCH'!$B$8:$AD$841,13,0)</f>
        <v>Viên chức</v>
      </c>
      <c r="AF728" s="46"/>
      <c r="AG728" s="42">
        <f>VLOOKUP(A728,'[1]DANH SÁCH'!$B$8:$H$841,7,0)</f>
        <v>0</v>
      </c>
      <c r="AH728" s="45" t="s">
        <v>5324</v>
      </c>
      <c r="AI728" s="42">
        <v>1</v>
      </c>
      <c r="AJ728" s="70"/>
      <c r="AK728" s="69">
        <v>45110</v>
      </c>
      <c r="AL728" s="71" t="s">
        <v>158</v>
      </c>
      <c r="AM728" s="53" t="str">
        <f>VLOOKUP(A728,'[1]DANH SÁCH'!$B$8:$F$841,5,0)</f>
        <v>Điều dưỡng CĐ</v>
      </c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 t="s">
        <v>85</v>
      </c>
      <c r="AZ728" s="65"/>
      <c r="BA728" s="6"/>
      <c r="BB728" s="6"/>
      <c r="BC728" s="7"/>
      <c r="BD728" s="6"/>
    </row>
    <row r="729" spans="1:56" ht="20.399999999999999" x14ac:dyDescent="0.3">
      <c r="A729" s="46" t="s">
        <v>5333</v>
      </c>
      <c r="B729" s="42">
        <f t="shared" si="187"/>
        <v>723</v>
      </c>
      <c r="C729" s="64" t="s">
        <v>5334</v>
      </c>
      <c r="D729" s="46" t="s">
        <v>5333</v>
      </c>
      <c r="E729" s="64"/>
      <c r="F729" s="64"/>
      <c r="G729" s="49"/>
      <c r="H729" s="47"/>
      <c r="I729" s="47" t="s">
        <v>5335</v>
      </c>
      <c r="J729" s="66">
        <f ca="1">INT(DATEDIF(I729,'[1]Bieu 1a'!$J$2,"d")/365)</f>
        <v>27</v>
      </c>
      <c r="K729" s="46"/>
      <c r="L729" s="47"/>
      <c r="M729" s="56"/>
      <c r="N729" s="52"/>
      <c r="O729" s="56"/>
      <c r="P729" s="47"/>
      <c r="Q729" s="47"/>
      <c r="R729" s="49"/>
      <c r="S729" s="47"/>
      <c r="T729" s="47"/>
      <c r="U729" s="47"/>
      <c r="V729" s="56" t="s">
        <v>5336</v>
      </c>
      <c r="W729" s="147">
        <v>44837</v>
      </c>
      <c r="X729" s="46"/>
      <c r="Y729" s="46"/>
      <c r="Z729" s="46"/>
      <c r="AA729" s="68">
        <f>VLOOKUP(A729,'[1]DANH SÁCH'!$B$8:$AD$841,12,0)</f>
        <v>0</v>
      </c>
      <c r="AB729" s="47"/>
      <c r="AC729" s="69" t="str">
        <f>VLOOKUP(A729,'[1]DANH SÁCH'!$B$8:$J$841,9,0)</f>
        <v>Truyền nhiễm</v>
      </c>
      <c r="AD729" s="47"/>
      <c r="AE729" s="69" t="str">
        <f>VLOOKUP(A729,'[1]DANH SÁCH'!$B$8:$AD$841,13,0)</f>
        <v>Viên chức</v>
      </c>
      <c r="AF729" s="46"/>
      <c r="AG729" s="42">
        <f>VLOOKUP(A729,'[1]DANH SÁCH'!$B$8:$H$841,7,0)</f>
        <v>0</v>
      </c>
      <c r="AH729" s="45" t="s">
        <v>5284</v>
      </c>
      <c r="AI729" s="42">
        <v>1</v>
      </c>
      <c r="AJ729" s="70"/>
      <c r="AK729" s="69">
        <v>45202</v>
      </c>
      <c r="AL729" s="71" t="s">
        <v>80</v>
      </c>
      <c r="AM729" s="72" t="str">
        <f>VLOOKUP(A729,'[1]DANH SÁCH'!$B$8:$F$841,5,0)</f>
        <v>Điều dưỡng ĐH</v>
      </c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 t="s">
        <v>127</v>
      </c>
      <c r="AZ729" s="65"/>
      <c r="BA729" s="6"/>
      <c r="BB729" s="6"/>
      <c r="BC729" s="7"/>
      <c r="BD729" s="6"/>
    </row>
    <row r="730" spans="1:56" ht="20.399999999999999" x14ac:dyDescent="0.3">
      <c r="A730" s="46" t="s">
        <v>5337</v>
      </c>
      <c r="B730" s="42">
        <f t="shared" si="187"/>
        <v>724</v>
      </c>
      <c r="C730" s="64" t="s">
        <v>5338</v>
      </c>
      <c r="D730" s="46" t="s">
        <v>5337</v>
      </c>
      <c r="E730" s="64"/>
      <c r="F730" s="64"/>
      <c r="G730" s="49"/>
      <c r="H730" s="47" t="s">
        <v>5339</v>
      </c>
      <c r="I730" s="47"/>
      <c r="J730" s="66">
        <f ca="1">INT(DATEDIF(H730,'[1]Bieu 1a'!$J$2,"d")/365)</f>
        <v>28</v>
      </c>
      <c r="K730" s="46"/>
      <c r="L730" s="47"/>
      <c r="M730" s="56"/>
      <c r="N730" s="52"/>
      <c r="O730" s="56"/>
      <c r="P730" s="47"/>
      <c r="Q730" s="47"/>
      <c r="R730" s="49"/>
      <c r="S730" s="47"/>
      <c r="T730" s="47"/>
      <c r="U730" s="47"/>
      <c r="V730" s="56" t="s">
        <v>4439</v>
      </c>
      <c r="W730" s="147">
        <v>44837</v>
      </c>
      <c r="X730" s="46"/>
      <c r="Y730" s="46"/>
      <c r="Z730" s="46"/>
      <c r="AA730" s="68">
        <f>VLOOKUP(A730,'[1]DANH SÁCH'!$B$8:$AD$841,12,0)</f>
        <v>0</v>
      </c>
      <c r="AB730" s="47"/>
      <c r="AC730" s="69" t="str">
        <f>VLOOKUP(A730,'[1]DANH SÁCH'!$B$8:$J$841,9,0)</f>
        <v>Chấn thương - Bỏng</v>
      </c>
      <c r="AD730" s="47"/>
      <c r="AE730" s="69" t="str">
        <f>VLOOKUP(A730,'[1]DANH SÁCH'!$B$8:$AD$841,13,0)</f>
        <v>Viên chức</v>
      </c>
      <c r="AF730" s="46"/>
      <c r="AG730" s="42">
        <f>VLOOKUP(A730,'[1]DANH SÁCH'!$B$8:$H$841,7,0)</f>
        <v>0</v>
      </c>
      <c r="AH730" s="45" t="s">
        <v>5324</v>
      </c>
      <c r="AI730" s="42">
        <v>1</v>
      </c>
      <c r="AJ730" s="70"/>
      <c r="AK730" s="69">
        <v>45110</v>
      </c>
      <c r="AL730" s="71" t="s">
        <v>158</v>
      </c>
      <c r="AM730" s="53" t="str">
        <f>VLOOKUP(A730,'[1]DANH SÁCH'!$B$8:$F$841,5,0)</f>
        <v>Điều dưỡng CĐ</v>
      </c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 t="s">
        <v>127</v>
      </c>
      <c r="AZ730" s="65"/>
      <c r="BA730" s="6"/>
      <c r="BB730" s="6"/>
      <c r="BC730" s="7"/>
      <c r="BD730" s="6"/>
    </row>
    <row r="731" spans="1:56" ht="20.399999999999999" x14ac:dyDescent="0.3">
      <c r="A731" s="46" t="s">
        <v>5340</v>
      </c>
      <c r="B731" s="42">
        <f t="shared" si="187"/>
        <v>725</v>
      </c>
      <c r="C731" s="64" t="s">
        <v>5341</v>
      </c>
      <c r="D731" s="46" t="s">
        <v>5340</v>
      </c>
      <c r="E731" s="64"/>
      <c r="F731" s="64"/>
      <c r="G731" s="49"/>
      <c r="H731" s="47"/>
      <c r="I731" s="47" t="s">
        <v>5342</v>
      </c>
      <c r="J731" s="66">
        <f ca="1">INT(DATEDIF(I731,'[1]Bieu 1a'!$J$2,"d")/365)</f>
        <v>24</v>
      </c>
      <c r="K731" s="46"/>
      <c r="L731" s="47"/>
      <c r="M731" s="56"/>
      <c r="N731" s="52"/>
      <c r="O731" s="56"/>
      <c r="P731" s="47"/>
      <c r="Q731" s="47"/>
      <c r="R731" s="49"/>
      <c r="S731" s="47"/>
      <c r="T731" s="47"/>
      <c r="U731" s="47"/>
      <c r="V731" s="56" t="s">
        <v>3701</v>
      </c>
      <c r="W731" s="147">
        <v>44837</v>
      </c>
      <c r="X731" s="46"/>
      <c r="Y731" s="46"/>
      <c r="Z731" s="46"/>
      <c r="AA731" s="68">
        <f>VLOOKUP(A731,'[1]DANH SÁCH'!$B$8:$AD$841,12,0)</f>
        <v>0</v>
      </c>
      <c r="AB731" s="47"/>
      <c r="AC731" s="69" t="str">
        <f>VLOOKUP(A731,'[1]DANH SÁCH'!$B$8:$J$841,9,0)</f>
        <v>HSTC-CĐ</v>
      </c>
      <c r="AD731" s="47"/>
      <c r="AE731" s="69" t="str">
        <f>VLOOKUP(A731,'[1]DANH SÁCH'!$B$8:$AD$841,13,0)</f>
        <v>Viên chức</v>
      </c>
      <c r="AF731" s="46"/>
      <c r="AG731" s="42">
        <f>VLOOKUP(A731,'[1]DANH SÁCH'!$B$8:$H$841,7,0)</f>
        <v>0</v>
      </c>
      <c r="AH731" s="45" t="s">
        <v>5324</v>
      </c>
      <c r="AI731" s="42">
        <v>1</v>
      </c>
      <c r="AJ731" s="70"/>
      <c r="AK731" s="69">
        <v>45110</v>
      </c>
      <c r="AL731" s="71" t="s">
        <v>158</v>
      </c>
      <c r="AM731" s="53" t="str">
        <f>VLOOKUP(A731,'[1]DANH SÁCH'!$B$8:$F$841,5,0)</f>
        <v>Điều dưỡng CĐ</v>
      </c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 t="s">
        <v>85</v>
      </c>
      <c r="AZ731" s="65"/>
      <c r="BA731" s="6"/>
      <c r="BB731" s="6"/>
      <c r="BC731" s="7"/>
      <c r="BD731" s="6"/>
    </row>
    <row r="732" spans="1:56" ht="20.399999999999999" x14ac:dyDescent="0.3">
      <c r="A732" s="46" t="s">
        <v>5343</v>
      </c>
      <c r="B732" s="42">
        <f t="shared" si="187"/>
        <v>726</v>
      </c>
      <c r="C732" s="64" t="s">
        <v>5344</v>
      </c>
      <c r="D732" s="46" t="s">
        <v>5343</v>
      </c>
      <c r="E732" s="64"/>
      <c r="F732" s="64"/>
      <c r="G732" s="49"/>
      <c r="H732" s="47"/>
      <c r="I732" s="47" t="s">
        <v>5345</v>
      </c>
      <c r="J732" s="66">
        <f ca="1">INT(DATEDIF(I732,'[1]Bieu 1a'!$J$2,"d")/365)</f>
        <v>24</v>
      </c>
      <c r="K732" s="46"/>
      <c r="L732" s="47"/>
      <c r="M732" s="56"/>
      <c r="N732" s="52"/>
      <c r="O732" s="56"/>
      <c r="P732" s="47"/>
      <c r="Q732" s="47"/>
      <c r="R732" s="49"/>
      <c r="S732" s="47"/>
      <c r="T732" s="47"/>
      <c r="U732" s="47"/>
      <c r="V732" s="56" t="s">
        <v>5346</v>
      </c>
      <c r="W732" s="147">
        <v>44837</v>
      </c>
      <c r="X732" s="46"/>
      <c r="Y732" s="46"/>
      <c r="Z732" s="46"/>
      <c r="AA732" s="68">
        <f>VLOOKUP(A732,'[1]DANH SÁCH'!$B$8:$AD$841,12,0)</f>
        <v>0</v>
      </c>
      <c r="AB732" s="47"/>
      <c r="AC732" s="69" t="str">
        <f>VLOOKUP(A732,'[1]DANH SÁCH'!$B$8:$J$841,9,0)</f>
        <v>Nhi</v>
      </c>
      <c r="AD732" s="47"/>
      <c r="AE732" s="69" t="str">
        <f>VLOOKUP(A732,'[1]DANH SÁCH'!$B$8:$AD$841,13,0)</f>
        <v>Viên chức</v>
      </c>
      <c r="AF732" s="46"/>
      <c r="AG732" s="42">
        <f>VLOOKUP(A732,'[1]DANH SÁCH'!$B$8:$H$841,7,0)</f>
        <v>0</v>
      </c>
      <c r="AH732" s="45" t="s">
        <v>5324</v>
      </c>
      <c r="AI732" s="42">
        <v>1</v>
      </c>
      <c r="AJ732" s="70"/>
      <c r="AK732" s="69">
        <v>45110</v>
      </c>
      <c r="AL732" s="71" t="s">
        <v>158</v>
      </c>
      <c r="AM732" s="53" t="str">
        <f>VLOOKUP(A732,'[1]DANH SÁCH'!$B$8:$F$841,5,0)</f>
        <v>Điều dưỡng CĐ</v>
      </c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 t="s">
        <v>127</v>
      </c>
      <c r="AZ732" s="65"/>
      <c r="BA732" s="6"/>
      <c r="BB732" s="6"/>
      <c r="BC732" s="7"/>
      <c r="BD732" s="6"/>
    </row>
    <row r="733" spans="1:56" ht="20.399999999999999" x14ac:dyDescent="0.3">
      <c r="A733" s="46" t="s">
        <v>5347</v>
      </c>
      <c r="B733" s="42">
        <f t="shared" si="187"/>
        <v>727</v>
      </c>
      <c r="C733" s="64" t="s">
        <v>1508</v>
      </c>
      <c r="D733" s="46" t="s">
        <v>5347</v>
      </c>
      <c r="E733" s="64"/>
      <c r="F733" s="64"/>
      <c r="G733" s="49"/>
      <c r="H733" s="47"/>
      <c r="I733" s="47" t="s">
        <v>5348</v>
      </c>
      <c r="J733" s="66">
        <f ca="1">INT(DATEDIF(I733,'[1]Bieu 1a'!$J$2,"d")/365)</f>
        <v>39</v>
      </c>
      <c r="K733" s="46"/>
      <c r="L733" s="47"/>
      <c r="M733" s="56"/>
      <c r="N733" s="52"/>
      <c r="O733" s="56"/>
      <c r="P733" s="47"/>
      <c r="Q733" s="47"/>
      <c r="R733" s="49"/>
      <c r="S733" s="47"/>
      <c r="T733" s="47"/>
      <c r="U733" s="47"/>
      <c r="V733" s="56" t="s">
        <v>5349</v>
      </c>
      <c r="W733" s="147">
        <v>44837</v>
      </c>
      <c r="X733" s="46"/>
      <c r="Y733" s="46"/>
      <c r="Z733" s="46"/>
      <c r="AA733" s="68">
        <f>VLOOKUP(A733,'[1]DANH SÁCH'!$B$8:$AD$841,12,0)</f>
        <v>0</v>
      </c>
      <c r="AB733" s="47"/>
      <c r="AC733" s="69" t="str">
        <f>VLOOKUP(A733,'[1]DANH SÁCH'!$B$8:$J$841,9,0)</f>
        <v>Nhi</v>
      </c>
      <c r="AD733" s="47"/>
      <c r="AE733" s="69" t="str">
        <f>VLOOKUP(A733,'[1]DANH SÁCH'!$B$8:$AD$841,13,0)</f>
        <v>HĐ có thời hạn</v>
      </c>
      <c r="AF733" s="46"/>
      <c r="AG733" s="42">
        <f>VLOOKUP(A733,'[1]DANH SÁCH'!$B$8:$H$841,7,0)</f>
        <v>0</v>
      </c>
      <c r="AH733" s="45">
        <v>1.65</v>
      </c>
      <c r="AI733" s="42">
        <v>1</v>
      </c>
      <c r="AJ733" s="70"/>
      <c r="AK733" s="69">
        <v>45689</v>
      </c>
      <c r="AL733" s="47" t="s">
        <v>3622</v>
      </c>
      <c r="AM733" s="53" t="str">
        <f>VLOOKUP(A733,'[1]DANH SÁCH'!$B$8:$F$841,5,0)</f>
        <v>Hộ Lý</v>
      </c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 t="s">
        <v>85</v>
      </c>
      <c r="AZ733" s="65"/>
      <c r="BA733" s="6"/>
      <c r="BB733" s="6"/>
      <c r="BC733" s="7"/>
      <c r="BD733" s="6"/>
    </row>
    <row r="734" spans="1:56" ht="20.399999999999999" x14ac:dyDescent="0.3">
      <c r="A734" s="46" t="s">
        <v>5350</v>
      </c>
      <c r="B734" s="42">
        <f t="shared" si="187"/>
        <v>728</v>
      </c>
      <c r="C734" s="64" t="s">
        <v>5351</v>
      </c>
      <c r="D734" s="46" t="s">
        <v>5350</v>
      </c>
      <c r="E734" s="64"/>
      <c r="F734" s="64"/>
      <c r="G734" s="49"/>
      <c r="H734" s="47" t="s">
        <v>5352</v>
      </c>
      <c r="I734" s="47"/>
      <c r="J734" s="66">
        <f ca="1">INT(DATEDIF(H734,'[1]Bieu 1a'!$J$2,"d")/365)</f>
        <v>46</v>
      </c>
      <c r="K734" s="46"/>
      <c r="L734" s="47"/>
      <c r="M734" s="56"/>
      <c r="N734" s="52"/>
      <c r="O734" s="56"/>
      <c r="P734" s="47"/>
      <c r="Q734" s="47"/>
      <c r="R734" s="49"/>
      <c r="S734" s="47"/>
      <c r="T734" s="47"/>
      <c r="U734" s="47"/>
      <c r="V734" s="56" t="s">
        <v>5353</v>
      </c>
      <c r="W734" s="147">
        <v>44837</v>
      </c>
      <c r="X734" s="46"/>
      <c r="Y734" s="46"/>
      <c r="Z734" s="46"/>
      <c r="AA734" s="68">
        <f>VLOOKUP(A734,'[1]DANH SÁCH'!$B$8:$AD$841,12,0)</f>
        <v>0</v>
      </c>
      <c r="AB734" s="47"/>
      <c r="AC734" s="69" t="str">
        <f>VLOOKUP(A734,'[1]DANH SÁCH'!$B$8:$J$841,9,0)</f>
        <v>HCQT</v>
      </c>
      <c r="AD734" s="47"/>
      <c r="AE734" s="69" t="str">
        <f>VLOOKUP(A734,'[1]DANH SÁCH'!$B$8:$AD$841,13,0)</f>
        <v>HĐ có thời hạn</v>
      </c>
      <c r="AF734" s="46"/>
      <c r="AG734" s="42">
        <f>VLOOKUP(A734,'[1]DANH SÁCH'!$B$8:$H$841,7,0)</f>
        <v>0</v>
      </c>
      <c r="AH734" s="45">
        <v>1.68</v>
      </c>
      <c r="AI734" s="42">
        <v>2</v>
      </c>
      <c r="AJ734" s="70"/>
      <c r="AK734" s="69">
        <v>45689</v>
      </c>
      <c r="AL734" s="47"/>
      <c r="AM734" s="53" t="str">
        <f>VLOOKUP(A734,'[1]DANH SÁCH'!$B$8:$F$841,5,0)</f>
        <v>Bảo vệ</v>
      </c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65" t="s">
        <v>127</v>
      </c>
      <c r="AZ734" s="65"/>
      <c r="BA734" s="6"/>
      <c r="BB734" s="6"/>
      <c r="BC734" s="7"/>
      <c r="BD734" s="6"/>
    </row>
    <row r="735" spans="1:56" ht="20.399999999999999" x14ac:dyDescent="0.3">
      <c r="A735" s="46" t="s">
        <v>5354</v>
      </c>
      <c r="B735" s="42">
        <f t="shared" si="187"/>
        <v>729</v>
      </c>
      <c r="C735" s="56" t="s">
        <v>5355</v>
      </c>
      <c r="D735" s="46" t="s">
        <v>5354</v>
      </c>
      <c r="E735" s="64"/>
      <c r="F735" s="64"/>
      <c r="G735" s="49"/>
      <c r="H735" s="47" t="s">
        <v>5356</v>
      </c>
      <c r="I735" s="47"/>
      <c r="J735" s="66">
        <f ca="1">INT(DATEDIF(H735,'[1]Bieu 1a'!$J$2,"d")/365)</f>
        <v>27</v>
      </c>
      <c r="K735" s="46"/>
      <c r="L735" s="47"/>
      <c r="M735" s="56"/>
      <c r="N735" s="52"/>
      <c r="O735" s="56"/>
      <c r="P735" s="47"/>
      <c r="Q735" s="47"/>
      <c r="R735" s="49"/>
      <c r="S735" s="47"/>
      <c r="T735" s="47"/>
      <c r="U735" s="47"/>
      <c r="V735" s="56" t="s">
        <v>5357</v>
      </c>
      <c r="W735" s="147">
        <v>44844</v>
      </c>
      <c r="X735" s="46"/>
      <c r="Y735" s="46"/>
      <c r="Z735" s="46"/>
      <c r="AA735" s="68">
        <f>VLOOKUP(A735,'[1]DANH SÁCH'!$B$8:$AD$841,12,0)</f>
        <v>0</v>
      </c>
      <c r="AB735" s="47"/>
      <c r="AC735" s="69" t="str">
        <f>VLOOKUP(A735,'[1]DANH SÁCH'!$B$8:$J$841,9,0)</f>
        <v>Ngoại Tiêu hóa</v>
      </c>
      <c r="AD735" s="47"/>
      <c r="AE735" s="69" t="str">
        <f>VLOOKUP(A735,'[1]DANH SÁCH'!$B$8:$AD$841,13,0)</f>
        <v>Viên chức</v>
      </c>
      <c r="AF735" s="46"/>
      <c r="AG735" s="42">
        <f>VLOOKUP(A735,'[1]DANH SÁCH'!$B$8:$H$841,7,0)</f>
        <v>0</v>
      </c>
      <c r="AH735" s="45">
        <v>2.67</v>
      </c>
      <c r="AI735" s="42">
        <v>2</v>
      </c>
      <c r="AJ735" s="70"/>
      <c r="AK735" s="69">
        <v>46032</v>
      </c>
      <c r="AL735" s="47" t="s">
        <v>80</v>
      </c>
      <c r="AM735" s="53" t="str">
        <f>VLOOKUP(A735,'[1]DANH SÁCH'!$B$8:$F$841,5,0)</f>
        <v>Bác sĩ</v>
      </c>
      <c r="AN735" s="47" t="s">
        <v>372</v>
      </c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 t="s">
        <v>127</v>
      </c>
      <c r="AZ735" s="65"/>
      <c r="BA735" s="6"/>
      <c r="BB735" s="6"/>
      <c r="BC735" s="7"/>
      <c r="BD735" s="6"/>
    </row>
    <row r="736" spans="1:56" ht="15.6" x14ac:dyDescent="0.3">
      <c r="A736" s="46" t="s">
        <v>5358</v>
      </c>
      <c r="B736" s="42">
        <f t="shared" si="187"/>
        <v>730</v>
      </c>
      <c r="C736" s="56" t="s">
        <v>5359</v>
      </c>
      <c r="D736" s="46" t="s">
        <v>5358</v>
      </c>
      <c r="E736" s="64"/>
      <c r="F736" s="64"/>
      <c r="G736" s="49"/>
      <c r="H736" s="47" t="s">
        <v>5360</v>
      </c>
      <c r="I736" s="47"/>
      <c r="J736" s="66">
        <f ca="1">INT(DATEDIF(H736,'[1]Bieu 1a'!$J$2,"d")/365)</f>
        <v>29</v>
      </c>
      <c r="K736" s="46"/>
      <c r="L736" s="47"/>
      <c r="M736" s="56"/>
      <c r="N736" s="52"/>
      <c r="O736" s="56"/>
      <c r="P736" s="47"/>
      <c r="Q736" s="47"/>
      <c r="R736" s="49"/>
      <c r="S736" s="47"/>
      <c r="T736" s="47"/>
      <c r="U736" s="47"/>
      <c r="V736" s="56" t="s">
        <v>5361</v>
      </c>
      <c r="W736" s="147">
        <v>44844</v>
      </c>
      <c r="X736" s="46"/>
      <c r="Y736" s="46"/>
      <c r="Z736" s="46"/>
      <c r="AA736" s="68" t="e">
        <f>VLOOKUP(A736,'[1]DANH SÁCH'!$B$8:$AD$841,12,0)</f>
        <v>#N/A</v>
      </c>
      <c r="AB736" s="47"/>
      <c r="AC736" s="69" t="e">
        <f>VLOOKUP(A736,'[1]DANH SÁCH'!$B$8:$J$841,9,0)</f>
        <v>#N/A</v>
      </c>
      <c r="AD736" s="47"/>
      <c r="AE736" s="69" t="e">
        <f>VLOOKUP(A736,'[1]DANH SÁCH'!$B$8:$AD$841,13,0)</f>
        <v>#N/A</v>
      </c>
      <c r="AF736" s="46"/>
      <c r="AG736" s="42" t="e">
        <f>VLOOKUP(A736,'[1]DANH SÁCH'!$B$8:$H$841,7,0)</f>
        <v>#N/A</v>
      </c>
      <c r="AH736" s="45" t="s">
        <v>5284</v>
      </c>
      <c r="AI736" s="42">
        <v>1</v>
      </c>
      <c r="AJ736" s="70"/>
      <c r="AK736" s="69">
        <v>45240</v>
      </c>
      <c r="AL736" s="47" t="s">
        <v>80</v>
      </c>
      <c r="AM736" s="53" t="e">
        <f>VLOOKUP(A736,'[1]DANH SÁCH'!$B$8:$F$841,5,0)</f>
        <v>#N/A</v>
      </c>
      <c r="AN736" s="47" t="s">
        <v>372</v>
      </c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 t="s">
        <v>85</v>
      </c>
      <c r="AZ736" s="65"/>
      <c r="BA736" s="6"/>
      <c r="BB736" s="6"/>
      <c r="BC736" s="7"/>
      <c r="BD736" s="6"/>
    </row>
    <row r="737" spans="1:56" ht="15.6" x14ac:dyDescent="0.3">
      <c r="A737" s="46" t="s">
        <v>5362</v>
      </c>
      <c r="B737" s="42">
        <f t="shared" si="187"/>
        <v>731</v>
      </c>
      <c r="C737" s="56" t="s">
        <v>1888</v>
      </c>
      <c r="D737" s="46" t="s">
        <v>5362</v>
      </c>
      <c r="E737" s="64"/>
      <c r="F737" s="64"/>
      <c r="G737" s="49"/>
      <c r="H737" s="47" t="s">
        <v>5363</v>
      </c>
      <c r="I737" s="47"/>
      <c r="J737" s="66">
        <f ca="1">INT(DATEDIF(H737,'[1]Bieu 1a'!$J$2,"d")/365)</f>
        <v>29</v>
      </c>
      <c r="K737" s="46"/>
      <c r="L737" s="47"/>
      <c r="M737" s="56"/>
      <c r="N737" s="52"/>
      <c r="O737" s="56"/>
      <c r="P737" s="47"/>
      <c r="Q737" s="47"/>
      <c r="R737" s="49"/>
      <c r="S737" s="47"/>
      <c r="T737" s="47"/>
      <c r="U737" s="47"/>
      <c r="V737" s="56" t="s">
        <v>5364</v>
      </c>
      <c r="W737" s="147">
        <v>44844</v>
      </c>
      <c r="X737" s="46"/>
      <c r="Y737" s="46"/>
      <c r="Z737" s="46"/>
      <c r="AA737" s="68">
        <f>VLOOKUP(A737,'[1]DANH SÁCH'!$B$8:$AD$841,12,0)</f>
        <v>0</v>
      </c>
      <c r="AB737" s="47"/>
      <c r="AC737" s="69" t="str">
        <f>VLOOKUP(A737,'[1]DANH SÁCH'!$B$8:$J$841,9,0)</f>
        <v>Ngoại TK-LN</v>
      </c>
      <c r="AD737" s="47"/>
      <c r="AE737" s="69" t="str">
        <f>VLOOKUP(A737,'[1]DANH SÁCH'!$B$8:$AD$841,13,0)</f>
        <v>Viên chức</v>
      </c>
      <c r="AF737" s="46"/>
      <c r="AG737" s="42">
        <f>VLOOKUP(A737,'[1]DANH SÁCH'!$B$8:$H$841,7,0)</f>
        <v>0</v>
      </c>
      <c r="AH737" s="45" t="e">
        <v>#N/A</v>
      </c>
      <c r="AI737" s="42" t="e">
        <v>#N/A</v>
      </c>
      <c r="AJ737" s="70"/>
      <c r="AK737" s="69" t="e">
        <v>#N/A</v>
      </c>
      <c r="AL737" s="47" t="s">
        <v>80</v>
      </c>
      <c r="AM737" s="53" t="str">
        <f>VLOOKUP(A737,'[1]DANH SÁCH'!$B$8:$F$841,5,0)</f>
        <v>Bác sĩ</v>
      </c>
      <c r="AN737" s="47" t="s">
        <v>372</v>
      </c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 t="s">
        <v>5365</v>
      </c>
      <c r="AZ737" s="65"/>
      <c r="BA737" s="6"/>
      <c r="BB737" s="6"/>
      <c r="BC737" s="7"/>
      <c r="BD737" s="6"/>
    </row>
    <row r="738" spans="1:56" ht="20.399999999999999" x14ac:dyDescent="0.3">
      <c r="A738" s="46" t="s">
        <v>5366</v>
      </c>
      <c r="B738" s="42">
        <f t="shared" si="187"/>
        <v>732</v>
      </c>
      <c r="C738" s="56" t="s">
        <v>5367</v>
      </c>
      <c r="D738" s="46" t="s">
        <v>5366</v>
      </c>
      <c r="E738" s="64"/>
      <c r="F738" s="64"/>
      <c r="G738" s="49"/>
      <c r="H738" s="47" t="s">
        <v>5368</v>
      </c>
      <c r="I738" s="47"/>
      <c r="J738" s="66">
        <f ca="1">INT(DATEDIF(H738,'[1]Bieu 1a'!$J$2,"d")/365)</f>
        <v>27</v>
      </c>
      <c r="K738" s="46"/>
      <c r="L738" s="47"/>
      <c r="M738" s="56"/>
      <c r="N738" s="52"/>
      <c r="O738" s="56"/>
      <c r="P738" s="47"/>
      <c r="Q738" s="47"/>
      <c r="R738" s="49"/>
      <c r="S738" s="47"/>
      <c r="T738" s="47"/>
      <c r="U738" s="47"/>
      <c r="V738" s="56" t="s">
        <v>5369</v>
      </c>
      <c r="W738" s="147">
        <v>44844</v>
      </c>
      <c r="X738" s="46"/>
      <c r="Y738" s="46"/>
      <c r="Z738" s="46"/>
      <c r="AA738" s="68">
        <f>VLOOKUP(A738,'[1]DANH SÁCH'!$B$8:$AD$841,12,0)</f>
        <v>0</v>
      </c>
      <c r="AB738" s="47"/>
      <c r="AC738" s="69" t="str">
        <f>VLOOKUP(A738,'[1]DANH SÁCH'!$B$8:$J$841,9,0)</f>
        <v>Chấn thương - Bỏng</v>
      </c>
      <c r="AD738" s="47"/>
      <c r="AE738" s="69" t="str">
        <f>VLOOKUP(A738,'[1]DANH SÁCH'!$B$8:$AD$841,13,0)</f>
        <v>Viên chức</v>
      </c>
      <c r="AF738" s="46"/>
      <c r="AG738" s="42">
        <f>VLOOKUP(A738,'[1]DANH SÁCH'!$B$8:$H$841,7,0)</f>
        <v>0</v>
      </c>
      <c r="AH738" s="45" t="s">
        <v>3781</v>
      </c>
      <c r="AI738" s="42">
        <v>2</v>
      </c>
      <c r="AJ738" s="70"/>
      <c r="AK738" s="69">
        <v>46032</v>
      </c>
      <c r="AL738" s="47" t="s">
        <v>80</v>
      </c>
      <c r="AM738" s="53" t="str">
        <f>VLOOKUP(A738,'[1]DANH SÁCH'!$B$8:$F$841,5,0)</f>
        <v>Bác sĩ</v>
      </c>
      <c r="AN738" s="47" t="s">
        <v>372</v>
      </c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 t="s">
        <v>127</v>
      </c>
      <c r="AZ738" s="65"/>
      <c r="BA738" s="6"/>
      <c r="BB738" s="6"/>
      <c r="BC738" s="7"/>
      <c r="BD738" s="6"/>
    </row>
    <row r="739" spans="1:56" ht="15.6" x14ac:dyDescent="0.3">
      <c r="A739" s="61" t="s">
        <v>5370</v>
      </c>
      <c r="B739" s="42">
        <f t="shared" si="187"/>
        <v>733</v>
      </c>
      <c r="C739" s="56" t="s">
        <v>5371</v>
      </c>
      <c r="D739" s="61" t="s">
        <v>5370</v>
      </c>
      <c r="E739" s="64"/>
      <c r="F739" s="64"/>
      <c r="G739" s="49"/>
      <c r="H739" s="47"/>
      <c r="I739" s="65">
        <v>35837</v>
      </c>
      <c r="J739" s="66">
        <f ca="1">INT(DATEDIF(I739,'[1]Bieu 1a'!$J$2,"d")/365)</f>
        <v>28</v>
      </c>
      <c r="K739" s="46"/>
      <c r="L739" s="47"/>
      <c r="M739" s="56"/>
      <c r="N739" s="52"/>
      <c r="O739" s="56"/>
      <c r="P739" s="47"/>
      <c r="Q739" s="47"/>
      <c r="R739" s="49"/>
      <c r="S739" s="47"/>
      <c r="T739" s="47"/>
      <c r="U739" s="47"/>
      <c r="V739" s="56" t="s">
        <v>5372</v>
      </c>
      <c r="W739" s="147">
        <v>44921</v>
      </c>
      <c r="X739" s="46"/>
      <c r="Y739" s="46"/>
      <c r="Z739" s="46"/>
      <c r="AA739" s="68">
        <f>VLOOKUP(A739,'[1]DANH SÁCH'!$B$8:$AD$841,12,0)</f>
        <v>0</v>
      </c>
      <c r="AB739" s="47"/>
      <c r="AC739" s="69" t="str">
        <f>VLOOKUP(A739,'[1]DANH SÁCH'!$B$8:$J$841,9,0)</f>
        <v>Dược</v>
      </c>
      <c r="AD739" s="47"/>
      <c r="AE739" s="69" t="str">
        <f>VLOOKUP(A739,'[1]DANH SÁCH'!$B$8:$AD$841,13,0)</f>
        <v>Viên chức</v>
      </c>
      <c r="AF739" s="46"/>
      <c r="AG739" s="42">
        <f>VLOOKUP(A739,'[1]DANH SÁCH'!$B$8:$H$841,7,0)</f>
        <v>0</v>
      </c>
      <c r="AH739" s="45" t="s">
        <v>5284</v>
      </c>
      <c r="AI739" s="42">
        <v>1</v>
      </c>
      <c r="AJ739" s="70"/>
      <c r="AK739" s="69">
        <v>45286</v>
      </c>
      <c r="AL739" s="71" t="s">
        <v>80</v>
      </c>
      <c r="AM739" s="53" t="str">
        <f>VLOOKUP(A739,'[1]DANH SÁCH'!$B$8:$F$841,5,0)</f>
        <v>Dược sỹ ĐH</v>
      </c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 t="s">
        <v>85</v>
      </c>
      <c r="AZ739" s="47"/>
      <c r="BA739" s="6"/>
      <c r="BB739" s="6"/>
      <c r="BC739" s="7"/>
      <c r="BD739" s="6"/>
    </row>
    <row r="740" spans="1:56" ht="15.6" x14ac:dyDescent="0.3">
      <c r="A740" s="42" t="s">
        <v>5373</v>
      </c>
      <c r="B740" s="42">
        <f t="shared" si="187"/>
        <v>734</v>
      </c>
      <c r="C740" s="64" t="s">
        <v>5374</v>
      </c>
      <c r="D740" s="42" t="s">
        <v>5373</v>
      </c>
      <c r="E740" s="64"/>
      <c r="F740" s="64"/>
      <c r="G740" s="49"/>
      <c r="H740" s="65">
        <v>35473</v>
      </c>
      <c r="I740" s="47"/>
      <c r="J740" s="66">
        <f ca="1">INT(DATEDIF(H740,'[1]Bieu 1a'!$J$2,"d")/365)</f>
        <v>29</v>
      </c>
      <c r="K740" s="46"/>
      <c r="L740" s="47"/>
      <c r="M740" s="56"/>
      <c r="N740" s="52"/>
      <c r="O740" s="56"/>
      <c r="P740" s="47"/>
      <c r="Q740" s="47"/>
      <c r="R740" s="49"/>
      <c r="S740" s="47"/>
      <c r="T740" s="47"/>
      <c r="U740" s="47"/>
      <c r="V740" s="56" t="s">
        <v>5375</v>
      </c>
      <c r="W740" s="67" t="s">
        <v>5376</v>
      </c>
      <c r="X740" s="46"/>
      <c r="Y740" s="46"/>
      <c r="Z740" s="46"/>
      <c r="AA740" s="68">
        <f>VLOOKUP(A740,'[1]DANH SÁCH'!$B$8:$AD$841,12,0)</f>
        <v>0</v>
      </c>
      <c r="AB740" s="47"/>
      <c r="AC740" s="69" t="str">
        <f>VLOOKUP(A740,'[1]DANH SÁCH'!$B$8:$J$841,9,0)</f>
        <v>GM-HS</v>
      </c>
      <c r="AD740" s="47"/>
      <c r="AE740" s="69" t="str">
        <f>VLOOKUP(A740,'[1]DANH SÁCH'!$B$8:$AD$841,13,0)</f>
        <v>Viên chức</v>
      </c>
      <c r="AF740" s="46"/>
      <c r="AG740" s="42">
        <f>VLOOKUP(A740,'[1]DANH SÁCH'!$B$8:$H$841,7,0)</f>
        <v>0</v>
      </c>
      <c r="AH740" s="45" t="s">
        <v>5284</v>
      </c>
      <c r="AI740" s="42">
        <v>1</v>
      </c>
      <c r="AJ740" s="70"/>
      <c r="AK740" s="69">
        <v>45116</v>
      </c>
      <c r="AL740" s="47" t="s">
        <v>80</v>
      </c>
      <c r="AM740" s="53" t="str">
        <f>VLOOKUP(A740,'[1]DANH SÁCH'!$B$8:$F$841,5,0)</f>
        <v>Bác sĩ</v>
      </c>
      <c r="AN740" s="47" t="s">
        <v>2301</v>
      </c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65" t="s">
        <v>127</v>
      </c>
      <c r="AZ740" s="65"/>
      <c r="BA740" s="6"/>
      <c r="BB740" s="6"/>
      <c r="BC740" s="7"/>
      <c r="BD740" s="6"/>
    </row>
    <row r="741" spans="1:56" ht="20.399999999999999" x14ac:dyDescent="0.3">
      <c r="A741" s="61" t="s">
        <v>5377</v>
      </c>
      <c r="B741" s="42">
        <f t="shared" si="187"/>
        <v>735</v>
      </c>
      <c r="C741" s="56" t="s">
        <v>5378</v>
      </c>
      <c r="D741" s="61" t="s">
        <v>5377</v>
      </c>
      <c r="E741" s="64"/>
      <c r="F741" s="64"/>
      <c r="G741" s="49"/>
      <c r="H741" s="65">
        <v>32791</v>
      </c>
      <c r="I741" s="47"/>
      <c r="J741" s="66">
        <f ca="1">INT(DATEDIF(H741,'[1]Bieu 1a'!$J$2,"d")/365)</f>
        <v>36</v>
      </c>
      <c r="K741" s="46"/>
      <c r="L741" s="47"/>
      <c r="M741" s="56"/>
      <c r="N741" s="52"/>
      <c r="O741" s="56"/>
      <c r="P741" s="47"/>
      <c r="Q741" s="47"/>
      <c r="R741" s="49"/>
      <c r="S741" s="47"/>
      <c r="T741" s="47"/>
      <c r="U741" s="47"/>
      <c r="V741" s="56" t="s">
        <v>5379</v>
      </c>
      <c r="W741" s="67" t="s">
        <v>5380</v>
      </c>
      <c r="X741" s="46"/>
      <c r="Y741" s="46"/>
      <c r="Z741" s="46"/>
      <c r="AA741" s="68">
        <f>VLOOKUP(A741,'[1]DANH SÁCH'!$B$8:$AD$841,12,0)</f>
        <v>0</v>
      </c>
      <c r="AB741" s="47"/>
      <c r="AC741" s="69" t="str">
        <f>VLOOKUP(A741,'[1]DANH SÁCH'!$B$8:$J$841,9,0)</f>
        <v>HCQT</v>
      </c>
      <c r="AD741" s="47"/>
      <c r="AE741" s="69" t="str">
        <f>VLOOKUP(A741,'[1]DANH SÁCH'!$B$8:$AD$841,13,0)</f>
        <v>HĐ có thời hạn</v>
      </c>
      <c r="AF741" s="46"/>
      <c r="AG741" s="42">
        <f>VLOOKUP(A741,'[1]DANH SÁCH'!$B$8:$H$841,7,0)</f>
        <v>0</v>
      </c>
      <c r="AH741" s="45">
        <v>1.68</v>
      </c>
      <c r="AI741" s="42">
        <v>2</v>
      </c>
      <c r="AJ741" s="70"/>
      <c r="AK741" s="69">
        <v>45689</v>
      </c>
      <c r="AL741" s="47"/>
      <c r="AM741" s="53" t="str">
        <f>VLOOKUP(A741,'[1]DANH SÁCH'!$B$8:$F$841,5,0)</f>
        <v>Bảo vệ</v>
      </c>
      <c r="AN741" s="47"/>
      <c r="AO741" s="47"/>
      <c r="AP741" s="47"/>
      <c r="AQ741" s="47"/>
      <c r="AR741" s="47"/>
      <c r="AS741" s="47"/>
      <c r="AT741" s="47"/>
      <c r="AU741" s="47"/>
      <c r="AV741" s="47"/>
      <c r="AW741" s="47" t="s">
        <v>3589</v>
      </c>
      <c r="AX741" s="47"/>
      <c r="AY741" s="47" t="s">
        <v>127</v>
      </c>
      <c r="AZ741" s="47"/>
      <c r="BA741" s="6"/>
      <c r="BB741" s="6"/>
      <c r="BC741" s="7"/>
      <c r="BD741" s="6"/>
    </row>
    <row r="742" spans="1:56" ht="20.399999999999999" x14ac:dyDescent="0.3">
      <c r="A742" s="61" t="s">
        <v>5381</v>
      </c>
      <c r="B742" s="42">
        <f t="shared" si="187"/>
        <v>736</v>
      </c>
      <c r="C742" s="110" t="s">
        <v>5382</v>
      </c>
      <c r="D742" s="61" t="s">
        <v>5381</v>
      </c>
      <c r="E742" s="64"/>
      <c r="F742" s="64"/>
      <c r="G742" s="49"/>
      <c r="H742" s="156" t="s">
        <v>5383</v>
      </c>
      <c r="I742" s="153">
        <v>0</v>
      </c>
      <c r="J742" s="66">
        <f ca="1">INT(DATEDIF(H742,'[1]Bieu 1a'!$J$2,"d")/365)</f>
        <v>30</v>
      </c>
      <c r="K742" s="46"/>
      <c r="L742" s="47"/>
      <c r="M742" s="56"/>
      <c r="N742" s="52"/>
      <c r="O742" s="56"/>
      <c r="P742" s="47"/>
      <c r="Q742" s="47"/>
      <c r="R742" s="49"/>
      <c r="S742" s="47"/>
      <c r="T742" s="47"/>
      <c r="U742" s="47"/>
      <c r="V742" s="56" t="s">
        <v>5384</v>
      </c>
      <c r="W742" s="147">
        <v>44991</v>
      </c>
      <c r="X742" s="46"/>
      <c r="Y742" s="46"/>
      <c r="Z742" s="46"/>
      <c r="AA742" s="68">
        <f>VLOOKUP(A742,'[1]DANH SÁCH'!$B$8:$AD$841,12,0)</f>
        <v>0</v>
      </c>
      <c r="AB742" s="47"/>
      <c r="AC742" s="69" t="str">
        <f>VLOOKUP(A742,'[1]DANH SÁCH'!$B$8:$J$841,9,0)</f>
        <v>Dược</v>
      </c>
      <c r="AD742" s="47"/>
      <c r="AE742" s="69" t="str">
        <f>VLOOKUP(A742,'[1]DANH SÁCH'!$B$8:$AD$841,13,0)</f>
        <v>HĐ có thời hạn</v>
      </c>
      <c r="AF742" s="46"/>
      <c r="AG742" s="42">
        <f>VLOOKUP(A742,'[1]DANH SÁCH'!$B$8:$H$841,7,0)</f>
        <v>0</v>
      </c>
      <c r="AH742" s="45" t="s">
        <v>5284</v>
      </c>
      <c r="AI742" s="42">
        <v>1</v>
      </c>
      <c r="AJ742" s="70"/>
      <c r="AK742" s="69">
        <v>45357</v>
      </c>
      <c r="AL742" s="47" t="s">
        <v>80</v>
      </c>
      <c r="AM742" s="53" t="str">
        <f>VLOOKUP(A742,'[1]DANH SÁCH'!$B$8:$F$841,5,0)</f>
        <v>Dược sỹ ĐH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 t="s">
        <v>87</v>
      </c>
      <c r="AZ742" s="47"/>
      <c r="BA742" s="47"/>
      <c r="BB742" s="47"/>
      <c r="BC742" s="81"/>
      <c r="BD742" s="47"/>
    </row>
    <row r="743" spans="1:56" x14ac:dyDescent="0.3">
      <c r="A743" s="61" t="s">
        <v>5385</v>
      </c>
      <c r="B743" s="42">
        <f t="shared" si="187"/>
        <v>737</v>
      </c>
      <c r="C743" s="110" t="s">
        <v>5386</v>
      </c>
      <c r="D743" s="61" t="s">
        <v>5385</v>
      </c>
      <c r="E743" s="64"/>
      <c r="F743" s="64"/>
      <c r="G743" s="49"/>
      <c r="H743" s="47"/>
      <c r="I743" s="156" t="s">
        <v>5387</v>
      </c>
      <c r="J743" s="66">
        <f ca="1">INT(DATEDIF(I743,'[1]Bieu 1a'!$J$2,"d")/365)</f>
        <v>29</v>
      </c>
      <c r="K743" s="46"/>
      <c r="L743" s="47"/>
      <c r="M743" s="56"/>
      <c r="N743" s="52"/>
      <c r="O743" s="56"/>
      <c r="P743" s="47"/>
      <c r="Q743" s="47"/>
      <c r="R743" s="49"/>
      <c r="S743" s="47"/>
      <c r="T743" s="47"/>
      <c r="U743" s="47"/>
      <c r="V743" s="56" t="s">
        <v>5388</v>
      </c>
      <c r="W743" s="147">
        <v>44991</v>
      </c>
      <c r="X743" s="46"/>
      <c r="Y743" s="46"/>
      <c r="Z743" s="46"/>
      <c r="AA743" s="68">
        <f>VLOOKUP(A743,'[1]DANH SÁCH'!$B$8:$AD$841,12,0)</f>
        <v>0</v>
      </c>
      <c r="AB743" s="47"/>
      <c r="AC743" s="69" t="str">
        <f>VLOOKUP(A743,'[1]DANH SÁCH'!$B$8:$J$841,9,0)</f>
        <v>CĐHA</v>
      </c>
      <c r="AD743" s="47"/>
      <c r="AE743" s="69" t="str">
        <f>VLOOKUP(A743,'[1]DANH SÁCH'!$B$8:$AD$841,13,0)</f>
        <v>Viên chức</v>
      </c>
      <c r="AF743" s="46"/>
      <c r="AG743" s="42">
        <f>VLOOKUP(A743,'[1]DANH SÁCH'!$B$8:$H$841,7,0)</f>
        <v>0</v>
      </c>
      <c r="AH743" s="45" t="s">
        <v>3781</v>
      </c>
      <c r="AI743" s="42">
        <v>2</v>
      </c>
      <c r="AJ743" s="70"/>
      <c r="AK743" s="69">
        <v>45758</v>
      </c>
      <c r="AL743" s="47" t="s">
        <v>80</v>
      </c>
      <c r="AM743" s="53" t="str">
        <f>VLOOKUP(A743,'[1]DANH SÁCH'!$B$8:$F$841,5,0)</f>
        <v>Bác sĩ</v>
      </c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 t="s">
        <v>127</v>
      </c>
      <c r="AZ743" s="47"/>
      <c r="BA743" s="47"/>
      <c r="BB743" s="47"/>
      <c r="BC743" s="81"/>
      <c r="BD743" s="47"/>
    </row>
    <row r="744" spans="1:56" ht="20.399999999999999" x14ac:dyDescent="0.3">
      <c r="A744" s="61" t="s">
        <v>5389</v>
      </c>
      <c r="B744" s="42">
        <f t="shared" si="187"/>
        <v>738</v>
      </c>
      <c r="C744" s="110" t="s">
        <v>5390</v>
      </c>
      <c r="D744" s="61" t="s">
        <v>5389</v>
      </c>
      <c r="E744" s="64"/>
      <c r="F744" s="64"/>
      <c r="G744" s="49"/>
      <c r="H744" s="156" t="s">
        <v>5391</v>
      </c>
      <c r="I744" s="153">
        <v>0</v>
      </c>
      <c r="J744" s="66">
        <f ca="1">INT(DATEDIF(H744,'[1]Bieu 1a'!$J$2,"d")/365)</f>
        <v>43</v>
      </c>
      <c r="K744" s="46"/>
      <c r="L744" s="47"/>
      <c r="M744" s="56"/>
      <c r="N744" s="52"/>
      <c r="O744" s="56"/>
      <c r="P744" s="47"/>
      <c r="Q744" s="47"/>
      <c r="R744" s="49"/>
      <c r="S744" s="47"/>
      <c r="T744" s="47"/>
      <c r="U744" s="47"/>
      <c r="V744" s="56" t="s">
        <v>5392</v>
      </c>
      <c r="W744" s="147">
        <v>44937</v>
      </c>
      <c r="X744" s="46"/>
      <c r="Y744" s="46"/>
      <c r="Z744" s="46"/>
      <c r="AA744" s="68">
        <f>VLOOKUP(A744,'[1]DANH SÁCH'!$B$8:$AD$841,12,0)</f>
        <v>0</v>
      </c>
      <c r="AB744" s="47"/>
      <c r="AC744" s="69" t="str">
        <f>VLOOKUP(A744,'[1]DANH SÁCH'!$B$8:$J$841,9,0)</f>
        <v>HCQT</v>
      </c>
      <c r="AD744" s="47"/>
      <c r="AE744" s="69" t="str">
        <f>VLOOKUP(A744,'[1]DANH SÁCH'!$B$8:$AD$841,13,0)</f>
        <v>HĐ có thời hạn</v>
      </c>
      <c r="AF744" s="46"/>
      <c r="AG744" s="42">
        <f>VLOOKUP(A744,'[1]DANH SÁCH'!$B$8:$H$841,7,0)</f>
        <v>0</v>
      </c>
      <c r="AH744" s="45">
        <v>1.68</v>
      </c>
      <c r="AI744" s="42">
        <v>2</v>
      </c>
      <c r="AJ744" s="70"/>
      <c r="AK744" s="69">
        <v>45689</v>
      </c>
      <c r="AL744" s="47"/>
      <c r="AM744" s="53" t="str">
        <f>VLOOKUP(A744,'[1]DANH SÁCH'!$B$8:$F$841,5,0)</f>
        <v>Bảo vệ</v>
      </c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 t="s">
        <v>87</v>
      </c>
      <c r="AZ744" s="47"/>
      <c r="BA744" s="47"/>
      <c r="BB744" s="47"/>
      <c r="BC744" s="81"/>
      <c r="BD744" s="47"/>
    </row>
    <row r="745" spans="1:56" ht="20.399999999999999" x14ac:dyDescent="0.3">
      <c r="A745" s="61" t="s">
        <v>5393</v>
      </c>
      <c r="B745" s="42">
        <f t="shared" si="187"/>
        <v>739</v>
      </c>
      <c r="C745" s="110" t="s">
        <v>5394</v>
      </c>
      <c r="D745" s="61" t="s">
        <v>5393</v>
      </c>
      <c r="E745" s="64"/>
      <c r="F745" s="64"/>
      <c r="G745" s="49"/>
      <c r="H745" s="156" t="s">
        <v>5395</v>
      </c>
      <c r="I745" s="153">
        <v>0</v>
      </c>
      <c r="J745" s="66">
        <f ca="1">INT(DATEDIF(H745,'[1]Bieu 1a'!$J$2,"d")/365)</f>
        <v>33</v>
      </c>
      <c r="K745" s="46"/>
      <c r="L745" s="47"/>
      <c r="M745" s="56"/>
      <c r="N745" s="52"/>
      <c r="O745" s="56"/>
      <c r="P745" s="47"/>
      <c r="Q745" s="47"/>
      <c r="R745" s="49"/>
      <c r="S745" s="47"/>
      <c r="T745" s="47"/>
      <c r="U745" s="47"/>
      <c r="V745" s="56" t="s">
        <v>5396</v>
      </c>
      <c r="W745" s="147">
        <v>45030</v>
      </c>
      <c r="X745" s="46"/>
      <c r="Y745" s="46"/>
      <c r="Z745" s="46"/>
      <c r="AA745" s="68">
        <f>VLOOKUP(A745,'[1]DANH SÁCH'!$B$8:$AD$841,12,0)</f>
        <v>0</v>
      </c>
      <c r="AB745" s="47"/>
      <c r="AC745" s="69" t="str">
        <f>VLOOKUP(A745,'[1]DANH SÁCH'!$B$8:$J$841,9,0)</f>
        <v>Răng hàm mặt</v>
      </c>
      <c r="AD745" s="47"/>
      <c r="AE745" s="69" t="str">
        <f>VLOOKUP(A745,'[1]DANH SÁCH'!$B$8:$AD$841,13,0)</f>
        <v>Viên chức</v>
      </c>
      <c r="AF745" s="46"/>
      <c r="AG745" s="42">
        <f>VLOOKUP(A745,'[1]DANH SÁCH'!$B$8:$H$841,7,0)</f>
        <v>0</v>
      </c>
      <c r="AH745" s="45" t="s">
        <v>5284</v>
      </c>
      <c r="AI745" s="42">
        <v>1</v>
      </c>
      <c r="AJ745" s="70"/>
      <c r="AK745" s="69">
        <v>45305</v>
      </c>
      <c r="AL745" s="47" t="s">
        <v>80</v>
      </c>
      <c r="AM745" s="53" t="str">
        <f>VLOOKUP(A745,'[1]DANH SÁCH'!$B$8:$F$841,5,0)</f>
        <v>Bác sĩ</v>
      </c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 t="s">
        <v>85</v>
      </c>
      <c r="AZ745" s="47"/>
      <c r="BA745" s="47"/>
      <c r="BB745" s="47"/>
      <c r="BC745" s="81"/>
      <c r="BD745" s="47"/>
    </row>
    <row r="746" spans="1:56" ht="20.399999999999999" x14ac:dyDescent="0.3">
      <c r="A746" s="61" t="s">
        <v>5397</v>
      </c>
      <c r="B746" s="42">
        <f t="shared" si="187"/>
        <v>740</v>
      </c>
      <c r="C746" s="110" t="s">
        <v>5398</v>
      </c>
      <c r="D746" s="61" t="s">
        <v>5397</v>
      </c>
      <c r="E746" s="64"/>
      <c r="F746" s="64"/>
      <c r="G746" s="49"/>
      <c r="H746" s="47">
        <v>0</v>
      </c>
      <c r="I746" s="156" t="s">
        <v>5399</v>
      </c>
      <c r="J746" s="66">
        <f ca="1">INT(DATEDIF(I746,'[1]Bieu 1a'!$J$2,"d")/365)</f>
        <v>30</v>
      </c>
      <c r="K746" s="46"/>
      <c r="L746" s="47"/>
      <c r="M746" s="56"/>
      <c r="N746" s="52"/>
      <c r="O746" s="56"/>
      <c r="P746" s="47"/>
      <c r="Q746" s="47"/>
      <c r="R746" s="49"/>
      <c r="S746" s="47"/>
      <c r="T746" s="47"/>
      <c r="U746" s="47"/>
      <c r="V746" s="56" t="s">
        <v>5400</v>
      </c>
      <c r="W746" s="147">
        <v>45030</v>
      </c>
      <c r="X746" s="46"/>
      <c r="Y746" s="46"/>
      <c r="Z746" s="46"/>
      <c r="AA746" s="68">
        <f>VLOOKUP(A746,'[1]DANH SÁCH'!$B$8:$AD$841,12,0)</f>
        <v>0</v>
      </c>
      <c r="AB746" s="47"/>
      <c r="AC746" s="69" t="str">
        <f>VLOOKUP(A746,'[1]DANH SÁCH'!$B$8:$J$841,9,0)</f>
        <v>CĐHA</v>
      </c>
      <c r="AD746" s="47"/>
      <c r="AE746" s="69" t="str">
        <f>VLOOKUP(A746,'[1]DANH SÁCH'!$B$8:$AD$841,13,0)</f>
        <v>HĐ có thời hạn</v>
      </c>
      <c r="AF746" s="46"/>
      <c r="AG746" s="42">
        <f>VLOOKUP(A746,'[1]DANH SÁCH'!$B$8:$H$841,7,0)</f>
        <v>0</v>
      </c>
      <c r="AH746" s="45" t="s">
        <v>5284</v>
      </c>
      <c r="AI746" s="42">
        <v>1</v>
      </c>
      <c r="AJ746" s="70"/>
      <c r="AK746" s="69">
        <v>45396</v>
      </c>
      <c r="AL746" s="47" t="s">
        <v>80</v>
      </c>
      <c r="AM746" s="53" t="str">
        <f>VLOOKUP(A746,'[1]DANH SÁCH'!$B$8:$F$841,5,0)</f>
        <v>Bác sĩ</v>
      </c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 t="s">
        <v>85</v>
      </c>
      <c r="AZ746" s="47"/>
      <c r="BA746" s="47"/>
      <c r="BB746" s="47"/>
      <c r="BC746" s="81"/>
      <c r="BD746" s="47"/>
    </row>
    <row r="747" spans="1:56" ht="20.399999999999999" x14ac:dyDescent="0.3">
      <c r="A747" s="61" t="s">
        <v>5401</v>
      </c>
      <c r="B747" s="42">
        <f t="shared" si="187"/>
        <v>741</v>
      </c>
      <c r="C747" s="110" t="s">
        <v>5402</v>
      </c>
      <c r="D747" s="61" t="s">
        <v>5401</v>
      </c>
      <c r="E747" s="64"/>
      <c r="F747" s="64"/>
      <c r="G747" s="49"/>
      <c r="H747" s="47">
        <v>0</v>
      </c>
      <c r="I747" s="156" t="s">
        <v>5403</v>
      </c>
      <c r="J747" s="66">
        <f ca="1">INT(DATEDIF(I747,'[1]Bieu 1a'!$J$2,"d")/365)</f>
        <v>29</v>
      </c>
      <c r="K747" s="46"/>
      <c r="L747" s="47"/>
      <c r="M747" s="56"/>
      <c r="N747" s="52"/>
      <c r="O747" s="56"/>
      <c r="P747" s="47"/>
      <c r="Q747" s="47"/>
      <c r="R747" s="49"/>
      <c r="S747" s="47"/>
      <c r="T747" s="47"/>
      <c r="U747" s="47"/>
      <c r="V747" s="56" t="s">
        <v>5404</v>
      </c>
      <c r="W747" s="147">
        <v>45030</v>
      </c>
      <c r="X747" s="46"/>
      <c r="Y747" s="46"/>
      <c r="Z747" s="46"/>
      <c r="AA747" s="68">
        <f>VLOOKUP(A747,'[1]DANH SÁCH'!$B$8:$AD$841,12,0)</f>
        <v>0</v>
      </c>
      <c r="AB747" s="47"/>
      <c r="AC747" s="69" t="str">
        <f>VLOOKUP(A747,'[1]DANH SÁCH'!$B$8:$J$841,9,0)</f>
        <v>HSTC-CĐ</v>
      </c>
      <c r="AD747" s="47"/>
      <c r="AE747" s="69" t="str">
        <f>VLOOKUP(A747,'[1]DANH SÁCH'!$B$8:$AD$841,13,0)</f>
        <v>HĐ có thời hạn</v>
      </c>
      <c r="AF747" s="46"/>
      <c r="AG747" s="42">
        <f>VLOOKUP(A747,'[1]DANH SÁCH'!$B$8:$H$841,7,0)</f>
        <v>0</v>
      </c>
      <c r="AH747" s="45" t="s">
        <v>5284</v>
      </c>
      <c r="AI747" s="42">
        <v>1</v>
      </c>
      <c r="AJ747" s="70"/>
      <c r="AK747" s="69">
        <v>45305</v>
      </c>
      <c r="AL747" s="47" t="s">
        <v>80</v>
      </c>
      <c r="AM747" s="53" t="str">
        <f>VLOOKUP(A747,'[1]DANH SÁCH'!$B$8:$F$841,5,0)</f>
        <v>Bác sĩ</v>
      </c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 t="s">
        <v>85</v>
      </c>
      <c r="AZ747" s="47"/>
      <c r="BA747" s="47"/>
      <c r="BB747" s="47"/>
      <c r="BC747" s="81"/>
      <c r="BD747" s="47"/>
    </row>
    <row r="748" spans="1:56" x14ac:dyDescent="0.3">
      <c r="A748" s="61" t="s">
        <v>5405</v>
      </c>
      <c r="B748" s="42">
        <f t="shared" si="187"/>
        <v>742</v>
      </c>
      <c r="C748" s="110" t="s">
        <v>5406</v>
      </c>
      <c r="D748" s="61" t="s">
        <v>5405</v>
      </c>
      <c r="E748" s="64"/>
      <c r="F748" s="64"/>
      <c r="G748" s="49"/>
      <c r="H748" s="47">
        <v>0</v>
      </c>
      <c r="I748" s="156" t="s">
        <v>5407</v>
      </c>
      <c r="J748" s="66">
        <f ca="1">INT(DATEDIF(I748,'[1]Bieu 1a'!$J$2,"d")/365)</f>
        <v>28</v>
      </c>
      <c r="K748" s="46"/>
      <c r="L748" s="47"/>
      <c r="M748" s="56"/>
      <c r="N748" s="52"/>
      <c r="O748" s="56"/>
      <c r="P748" s="47"/>
      <c r="Q748" s="47"/>
      <c r="R748" s="49"/>
      <c r="S748" s="47"/>
      <c r="T748" s="47"/>
      <c r="U748" s="47"/>
      <c r="V748" s="56" t="s">
        <v>5408</v>
      </c>
      <c r="W748" s="147">
        <v>45030</v>
      </c>
      <c r="X748" s="46"/>
      <c r="Y748" s="46"/>
      <c r="Z748" s="46"/>
      <c r="AA748" s="68">
        <f>VLOOKUP(A748,'[1]DANH SÁCH'!$B$8:$AD$841,12,0)</f>
        <v>0</v>
      </c>
      <c r="AB748" s="47"/>
      <c r="AC748" s="69" t="str">
        <f>VLOOKUP(A748,'[1]DANH SÁCH'!$B$8:$J$841,9,0)</f>
        <v>Tai mũi họng</v>
      </c>
      <c r="AD748" s="47"/>
      <c r="AE748" s="69" t="str">
        <f>VLOOKUP(A748,'[1]DANH SÁCH'!$B$8:$AD$841,13,0)</f>
        <v>Viên chức</v>
      </c>
      <c r="AF748" s="46"/>
      <c r="AG748" s="42">
        <f>VLOOKUP(A748,'[1]DANH SÁCH'!$B$8:$H$841,7,0)</f>
        <v>0</v>
      </c>
      <c r="AH748" s="45" t="s">
        <v>5284</v>
      </c>
      <c r="AI748" s="42">
        <v>1</v>
      </c>
      <c r="AJ748" s="70"/>
      <c r="AK748" s="69">
        <v>45305</v>
      </c>
      <c r="AL748" s="47" t="s">
        <v>80</v>
      </c>
      <c r="AM748" s="53" t="str">
        <f>VLOOKUP(A748,'[1]DANH SÁCH'!$B$8:$F$841,5,0)</f>
        <v>Bác sĩ</v>
      </c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 t="s">
        <v>127</v>
      </c>
      <c r="AZ748" s="47"/>
      <c r="BA748" s="47"/>
      <c r="BB748" s="47"/>
      <c r="BC748" s="81"/>
      <c r="BD748" s="47"/>
    </row>
    <row r="749" spans="1:56" ht="20.399999999999999" x14ac:dyDescent="0.3">
      <c r="A749" s="61" t="s">
        <v>5409</v>
      </c>
      <c r="B749" s="42">
        <f t="shared" si="187"/>
        <v>743</v>
      </c>
      <c r="C749" s="110" t="s">
        <v>5410</v>
      </c>
      <c r="D749" s="61" t="s">
        <v>5409</v>
      </c>
      <c r="E749" s="64"/>
      <c r="F749" s="64"/>
      <c r="G749" s="49"/>
      <c r="H749" s="47">
        <v>0</v>
      </c>
      <c r="I749" s="156" t="s">
        <v>5411</v>
      </c>
      <c r="J749" s="66">
        <f ca="1">INT(DATEDIF(I749,'[1]Bieu 1a'!$J$2,"d")/365)</f>
        <v>29</v>
      </c>
      <c r="K749" s="46"/>
      <c r="L749" s="47"/>
      <c r="M749" s="56"/>
      <c r="N749" s="52"/>
      <c r="O749" s="56"/>
      <c r="P749" s="47"/>
      <c r="Q749" s="47"/>
      <c r="R749" s="49"/>
      <c r="S749" s="47"/>
      <c r="T749" s="47"/>
      <c r="U749" s="47"/>
      <c r="V749" s="56" t="s">
        <v>4631</v>
      </c>
      <c r="W749" s="147">
        <v>45030</v>
      </c>
      <c r="X749" s="46"/>
      <c r="Y749" s="46"/>
      <c r="Z749" s="46"/>
      <c r="AA749" s="68">
        <f>VLOOKUP(A749,'[1]DANH SÁCH'!$B$8:$AD$841,12,0)</f>
        <v>0</v>
      </c>
      <c r="AB749" s="47"/>
      <c r="AC749" s="69" t="str">
        <f>VLOOKUP(A749,'[1]DANH SÁCH'!$B$8:$J$841,9,0)</f>
        <v>Tâm thần - Thần kinh</v>
      </c>
      <c r="AD749" s="47"/>
      <c r="AE749" s="69" t="str">
        <f>VLOOKUP(A749,'[1]DANH SÁCH'!$B$8:$AD$841,13,0)</f>
        <v>Viên chức</v>
      </c>
      <c r="AF749" s="46"/>
      <c r="AG749" s="42">
        <f>VLOOKUP(A749,'[1]DANH SÁCH'!$B$8:$H$841,7,0)</f>
        <v>0</v>
      </c>
      <c r="AH749" s="45" t="s">
        <v>5284</v>
      </c>
      <c r="AI749" s="42">
        <v>1</v>
      </c>
      <c r="AJ749" s="70"/>
      <c r="AK749" s="69">
        <v>45305</v>
      </c>
      <c r="AL749" s="47" t="s">
        <v>80</v>
      </c>
      <c r="AM749" s="53" t="str">
        <f>VLOOKUP(A749,'[1]DANH SÁCH'!$B$8:$F$841,5,0)</f>
        <v>Bác sĩ</v>
      </c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 t="s">
        <v>127</v>
      </c>
      <c r="AZ749" s="47"/>
      <c r="BA749" s="47"/>
      <c r="BB749" s="47"/>
      <c r="BC749" s="81"/>
      <c r="BD749" s="47"/>
    </row>
    <row r="750" spans="1:56" x14ac:dyDescent="0.3">
      <c r="A750" s="61" t="s">
        <v>5412</v>
      </c>
      <c r="B750" s="42">
        <f t="shared" si="187"/>
        <v>744</v>
      </c>
      <c r="C750" s="110" t="s">
        <v>5413</v>
      </c>
      <c r="D750" s="61" t="s">
        <v>5412</v>
      </c>
      <c r="E750" s="64"/>
      <c r="F750" s="64"/>
      <c r="G750" s="49"/>
      <c r="H750" s="47">
        <v>0</v>
      </c>
      <c r="I750" s="156" t="s">
        <v>5414</v>
      </c>
      <c r="J750" s="66">
        <f ca="1">INT(DATEDIF(I750,'[1]Bieu 1a'!$J$2,"d")/365)</f>
        <v>28</v>
      </c>
      <c r="K750" s="46"/>
      <c r="L750" s="47"/>
      <c r="M750" s="56"/>
      <c r="N750" s="52"/>
      <c r="O750" s="56"/>
      <c r="P750" s="47"/>
      <c r="Q750" s="47"/>
      <c r="R750" s="49"/>
      <c r="S750" s="47"/>
      <c r="T750" s="47"/>
      <c r="U750" s="47"/>
      <c r="V750" s="56" t="s">
        <v>4430</v>
      </c>
      <c r="W750" s="147">
        <v>45030</v>
      </c>
      <c r="X750" s="46"/>
      <c r="Y750" s="46"/>
      <c r="Z750" s="46"/>
      <c r="AA750" s="68">
        <f>VLOOKUP(A750,'[1]DANH SÁCH'!$B$8:$AD$841,12,0)</f>
        <v>0</v>
      </c>
      <c r="AB750" s="47"/>
      <c r="AC750" s="69" t="str">
        <f>VLOOKUP(A750,'[1]DANH SÁCH'!$B$8:$J$841,9,0)</f>
        <v>Cấp Cứu</v>
      </c>
      <c r="AD750" s="47"/>
      <c r="AE750" s="69" t="str">
        <f>VLOOKUP(A750,'[1]DANH SÁCH'!$B$8:$AD$841,13,0)</f>
        <v>Viên chức</v>
      </c>
      <c r="AF750" s="46"/>
      <c r="AG750" s="42">
        <f>VLOOKUP(A750,'[1]DANH SÁCH'!$B$8:$H$841,7,0)</f>
        <v>0</v>
      </c>
      <c r="AH750" s="45" t="s">
        <v>5284</v>
      </c>
      <c r="AI750" s="42">
        <v>1</v>
      </c>
      <c r="AJ750" s="70"/>
      <c r="AK750" s="69">
        <v>45305</v>
      </c>
      <c r="AL750" s="47" t="s">
        <v>80</v>
      </c>
      <c r="AM750" s="53" t="str">
        <f>VLOOKUP(A750,'[1]DANH SÁCH'!$B$8:$F$841,5,0)</f>
        <v>Bác sĩ</v>
      </c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 t="s">
        <v>85</v>
      </c>
      <c r="AZ750" s="47"/>
      <c r="BA750" s="47"/>
      <c r="BB750" s="47"/>
      <c r="BC750" s="81"/>
      <c r="BD750" s="47"/>
    </row>
    <row r="751" spans="1:56" ht="20.399999999999999" x14ac:dyDescent="0.3">
      <c r="A751" s="61" t="s">
        <v>5415</v>
      </c>
      <c r="B751" s="42">
        <f t="shared" si="187"/>
        <v>745</v>
      </c>
      <c r="C751" s="110" t="s">
        <v>5416</v>
      </c>
      <c r="D751" s="61" t="s">
        <v>5415</v>
      </c>
      <c r="E751" s="64"/>
      <c r="F751" s="64"/>
      <c r="G751" s="49"/>
      <c r="H751" s="47">
        <v>0</v>
      </c>
      <c r="I751" s="156" t="s">
        <v>5417</v>
      </c>
      <c r="J751" s="66">
        <f ca="1">INT(DATEDIF(I751,'[1]Bieu 1a'!$J$2,"d")/365)</f>
        <v>26</v>
      </c>
      <c r="K751" s="46"/>
      <c r="L751" s="47"/>
      <c r="M751" s="56"/>
      <c r="N751" s="52"/>
      <c r="O751" s="56"/>
      <c r="P751" s="47"/>
      <c r="Q751" s="47"/>
      <c r="R751" s="49"/>
      <c r="S751" s="47"/>
      <c r="T751" s="47"/>
      <c r="U751" s="47"/>
      <c r="V751" s="56" t="s">
        <v>542</v>
      </c>
      <c r="W751" s="147">
        <v>45030</v>
      </c>
      <c r="X751" s="46"/>
      <c r="Y751" s="46"/>
      <c r="Z751" s="46"/>
      <c r="AA751" s="68">
        <f>VLOOKUP(A751,'[1]DANH SÁCH'!$B$8:$AD$841,12,0)</f>
        <v>0</v>
      </c>
      <c r="AB751" s="47"/>
      <c r="AC751" s="69" t="str">
        <f>VLOOKUP(A751,'[1]DANH SÁCH'!$B$8:$J$841,9,0)</f>
        <v>Dinh dưỡng</v>
      </c>
      <c r="AD751" s="47"/>
      <c r="AE751" s="69" t="str">
        <f>VLOOKUP(A751,'[1]DANH SÁCH'!$B$8:$AD$841,13,0)</f>
        <v>Viên chức</v>
      </c>
      <c r="AF751" s="46"/>
      <c r="AG751" s="42">
        <f>VLOOKUP(A751,'[1]DANH SÁCH'!$B$8:$H$841,7,0)</f>
        <v>0</v>
      </c>
      <c r="AH751" s="45" t="s">
        <v>5284</v>
      </c>
      <c r="AI751" s="42">
        <v>1</v>
      </c>
      <c r="AJ751" s="70"/>
      <c r="AK751" s="69">
        <v>45396</v>
      </c>
      <c r="AL751" s="47" t="s">
        <v>80</v>
      </c>
      <c r="AM751" s="53" t="str">
        <f>VLOOKUP(A751,'[1]DANH SÁCH'!$B$8:$F$841,5,0)</f>
        <v>CN Dinh dưỡng</v>
      </c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 t="s">
        <v>87</v>
      </c>
      <c r="AZ751" s="47"/>
      <c r="BA751" s="47"/>
      <c r="BB751" s="47"/>
      <c r="BC751" s="81"/>
      <c r="BD751" s="47"/>
    </row>
    <row r="752" spans="1:56" ht="20.399999999999999" x14ac:dyDescent="0.3">
      <c r="A752" s="61" t="s">
        <v>5418</v>
      </c>
      <c r="B752" s="42">
        <f t="shared" si="187"/>
        <v>746</v>
      </c>
      <c r="C752" s="110" t="s">
        <v>5419</v>
      </c>
      <c r="D752" s="61" t="s">
        <v>5418</v>
      </c>
      <c r="E752" s="64"/>
      <c r="F752" s="64"/>
      <c r="G752" s="49"/>
      <c r="H752" s="156" t="s">
        <v>5420</v>
      </c>
      <c r="I752" s="64"/>
      <c r="J752" s="66">
        <f ca="1">INT(DATEDIF(H752,'[1]Bieu 1a'!$J$2,"d")/365)</f>
        <v>30</v>
      </c>
      <c r="K752" s="46"/>
      <c r="L752" s="47"/>
      <c r="M752" s="56"/>
      <c r="N752" s="52"/>
      <c r="O752" s="56"/>
      <c r="P752" s="47"/>
      <c r="Q752" s="47"/>
      <c r="R752" s="49"/>
      <c r="S752" s="47"/>
      <c r="T752" s="47"/>
      <c r="U752" s="47"/>
      <c r="V752" s="56" t="s">
        <v>5421</v>
      </c>
      <c r="W752" s="147">
        <v>45030</v>
      </c>
      <c r="X752" s="46"/>
      <c r="Y752" s="46"/>
      <c r="Z752" s="46"/>
      <c r="AA752" s="68">
        <f>VLOOKUP(A752,'[1]DANH SÁCH'!$B$8:$AD$841,12,0)</f>
        <v>0</v>
      </c>
      <c r="AB752" s="47"/>
      <c r="AC752" s="69" t="str">
        <f>VLOOKUP(A752,'[1]DANH SÁCH'!$B$8:$J$841,9,0)</f>
        <v>Chấn thương - Bỏng</v>
      </c>
      <c r="AD752" s="47"/>
      <c r="AE752" s="69" t="str">
        <f>VLOOKUP(A752,'[1]DANH SÁCH'!$B$8:$AD$841,13,0)</f>
        <v>Viên chức</v>
      </c>
      <c r="AF752" s="46"/>
      <c r="AG752" s="42">
        <f>VLOOKUP(A752,'[1]DANH SÁCH'!$B$8:$H$841,7,0)</f>
        <v>0</v>
      </c>
      <c r="AH752" s="45" t="s">
        <v>5324</v>
      </c>
      <c r="AI752" s="42">
        <v>1</v>
      </c>
      <c r="AJ752" s="70"/>
      <c r="AK752" s="69">
        <v>45305</v>
      </c>
      <c r="AL752" s="71" t="s">
        <v>158</v>
      </c>
      <c r="AM752" s="53" t="str">
        <f>VLOOKUP(A752,'[1]DANH SÁCH'!$B$8:$F$841,5,0)</f>
        <v>Điều dưỡng CĐ</v>
      </c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 t="s">
        <v>85</v>
      </c>
      <c r="AZ752" s="47"/>
      <c r="BA752" s="47"/>
      <c r="BB752" s="47"/>
      <c r="BC752" s="81"/>
      <c r="BD752" s="47"/>
    </row>
    <row r="753" spans="1:56" ht="20.399999999999999" x14ac:dyDescent="0.3">
      <c r="A753" s="61" t="s">
        <v>5422</v>
      </c>
      <c r="B753" s="42">
        <f t="shared" si="187"/>
        <v>747</v>
      </c>
      <c r="C753" s="110" t="s">
        <v>5423</v>
      </c>
      <c r="D753" s="61" t="s">
        <v>5422</v>
      </c>
      <c r="E753" s="64"/>
      <c r="F753" s="64"/>
      <c r="G753" s="49"/>
      <c r="H753" s="47">
        <v>0</v>
      </c>
      <c r="I753" s="156" t="s">
        <v>5424</v>
      </c>
      <c r="J753" s="66">
        <f ca="1">INT(DATEDIF(I753,'[1]Bieu 1a'!$J$2,"d")/365)</f>
        <v>25</v>
      </c>
      <c r="K753" s="46"/>
      <c r="L753" s="47"/>
      <c r="M753" s="56"/>
      <c r="N753" s="52"/>
      <c r="O753" s="56"/>
      <c r="P753" s="47"/>
      <c r="Q753" s="47"/>
      <c r="R753" s="49"/>
      <c r="S753" s="47"/>
      <c r="T753" s="47"/>
      <c r="U753" s="47"/>
      <c r="V753" s="56" t="s">
        <v>5425</v>
      </c>
      <c r="W753" s="147">
        <v>45030</v>
      </c>
      <c r="X753" s="46"/>
      <c r="Y753" s="46"/>
      <c r="Z753" s="46"/>
      <c r="AA753" s="68">
        <f>VLOOKUP(A753,'[1]DANH SÁCH'!$B$8:$AD$841,12,0)</f>
        <v>0</v>
      </c>
      <c r="AB753" s="47"/>
      <c r="AC753" s="69" t="str">
        <f>VLOOKUP(A753,'[1]DANH SÁCH'!$B$8:$J$841,9,0)</f>
        <v>Chấn thương - Bỏng</v>
      </c>
      <c r="AD753" s="47"/>
      <c r="AE753" s="69" t="str">
        <f>VLOOKUP(A753,'[1]DANH SÁCH'!$B$8:$AD$841,13,0)</f>
        <v>HĐ có thời hạn</v>
      </c>
      <c r="AF753" s="46"/>
      <c r="AG753" s="42">
        <f>VLOOKUP(A753,'[1]DANH SÁCH'!$B$8:$H$841,7,0)</f>
        <v>0</v>
      </c>
      <c r="AH753" s="45" t="s">
        <v>5284</v>
      </c>
      <c r="AI753" s="42">
        <v>1</v>
      </c>
      <c r="AJ753" s="70"/>
      <c r="AK753" s="69">
        <v>45396</v>
      </c>
      <c r="AL753" s="47" t="s">
        <v>80</v>
      </c>
      <c r="AM753" s="53" t="str">
        <f>VLOOKUP(A753,'[1]DANH SÁCH'!$B$8:$F$841,5,0)</f>
        <v>Điều dưỡng ĐH</v>
      </c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 t="s">
        <v>87</v>
      </c>
      <c r="AZ753" s="47"/>
      <c r="BA753" s="47"/>
      <c r="BB753" s="47"/>
      <c r="BC753" s="81"/>
      <c r="BD753" s="47"/>
    </row>
    <row r="754" spans="1:56" ht="20.399999999999999" x14ac:dyDescent="0.3">
      <c r="A754" s="61" t="s">
        <v>5426</v>
      </c>
      <c r="B754" s="42">
        <f t="shared" si="187"/>
        <v>748</v>
      </c>
      <c r="C754" s="110" t="s">
        <v>5427</v>
      </c>
      <c r="D754" s="61" t="s">
        <v>5426</v>
      </c>
      <c r="E754" s="64"/>
      <c r="F754" s="64"/>
      <c r="G754" s="49"/>
      <c r="H754" s="65">
        <v>24257</v>
      </c>
      <c r="I754" s="153"/>
      <c r="J754" s="66">
        <f ca="1">INT(DATEDIF(H754,'[1]Bieu 1a'!$J$2,"d")/365)</f>
        <v>60</v>
      </c>
      <c r="K754" s="46"/>
      <c r="L754" s="47"/>
      <c r="M754" s="56"/>
      <c r="N754" s="52"/>
      <c r="O754" s="56"/>
      <c r="P754" s="47"/>
      <c r="Q754" s="47"/>
      <c r="R754" s="49"/>
      <c r="S754" s="47"/>
      <c r="T754" s="47"/>
      <c r="U754" s="47"/>
      <c r="V754" s="56" t="s">
        <v>5428</v>
      </c>
      <c r="W754" s="147">
        <v>45100</v>
      </c>
      <c r="X754" s="46"/>
      <c r="Y754" s="46"/>
      <c r="Z754" s="46"/>
      <c r="AA754" s="68">
        <f>VLOOKUP(A754,'[1]DANH SÁCH'!$B$8:$AD$841,12,0)</f>
        <v>0</v>
      </c>
      <c r="AB754" s="47"/>
      <c r="AC754" s="69" t="str">
        <f>VLOOKUP(A754,'[1]DANH SÁCH'!$B$8:$J$841,9,0)</f>
        <v>HCQT</v>
      </c>
      <c r="AD754" s="47"/>
      <c r="AE754" s="69" t="str">
        <f>VLOOKUP(A754,'[1]DANH SÁCH'!$B$8:$AD$841,13,0)</f>
        <v>HĐ có thời hạn</v>
      </c>
      <c r="AF754" s="46"/>
      <c r="AG754" s="42">
        <f>VLOOKUP(A754,'[1]DANH SÁCH'!$B$8:$H$841,7,0)</f>
        <v>0</v>
      </c>
      <c r="AH754" s="45">
        <v>1.68</v>
      </c>
      <c r="AI754" s="42">
        <v>2</v>
      </c>
      <c r="AJ754" s="70"/>
      <c r="AK754" s="69">
        <v>45689</v>
      </c>
      <c r="AL754" s="47"/>
      <c r="AM754" s="53" t="str">
        <f>VLOOKUP(A754,'[1]DANH SÁCH'!$B$8:$F$841,5,0)</f>
        <v>Bảo vệ</v>
      </c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 t="s">
        <v>85</v>
      </c>
      <c r="AZ754" s="47"/>
      <c r="BA754" s="47"/>
      <c r="BB754" s="47"/>
      <c r="BC754" s="81"/>
      <c r="BD754" s="47"/>
    </row>
    <row r="755" spans="1:56" ht="20.399999999999999" x14ac:dyDescent="0.3">
      <c r="A755" s="61" t="s">
        <v>5429</v>
      </c>
      <c r="B755" s="42">
        <f t="shared" si="187"/>
        <v>749</v>
      </c>
      <c r="C755" s="110" t="s">
        <v>5430</v>
      </c>
      <c r="D755" s="61" t="s">
        <v>5429</v>
      </c>
      <c r="E755" s="64"/>
      <c r="F755" s="64"/>
      <c r="G755" s="49"/>
      <c r="H755" s="47">
        <v>0</v>
      </c>
      <c r="I755" s="153">
        <v>28508</v>
      </c>
      <c r="J755" s="66">
        <f ca="1">INT(DATEDIF(I755,'[1]Bieu 1a'!$J$2,"d")/365)</f>
        <v>48</v>
      </c>
      <c r="K755" s="46"/>
      <c r="L755" s="47"/>
      <c r="M755" s="56"/>
      <c r="N755" s="52"/>
      <c r="O755" s="56"/>
      <c r="P755" s="47"/>
      <c r="Q755" s="47"/>
      <c r="R755" s="49"/>
      <c r="S755" s="47"/>
      <c r="T755" s="47"/>
      <c r="U755" s="47"/>
      <c r="V755" s="56" t="s">
        <v>5431</v>
      </c>
      <c r="W755" s="147">
        <v>45112</v>
      </c>
      <c r="X755" s="46"/>
      <c r="Y755" s="46"/>
      <c r="Z755" s="46"/>
      <c r="AA755" s="68">
        <f>VLOOKUP(A755,'[1]DANH SÁCH'!$B$8:$AD$841,12,0)</f>
        <v>0</v>
      </c>
      <c r="AB755" s="47"/>
      <c r="AC755" s="69" t="str">
        <f>VLOOKUP(A755,'[1]DANH SÁCH'!$B$8:$J$841,9,0)</f>
        <v>GM-HS</v>
      </c>
      <c r="AD755" s="47"/>
      <c r="AE755" s="69" t="str">
        <f>VLOOKUP(A755,'[1]DANH SÁCH'!$B$8:$AD$841,13,0)</f>
        <v>HĐ có thời hạn</v>
      </c>
      <c r="AF755" s="46"/>
      <c r="AG755" s="42">
        <f>VLOOKUP(A755,'[1]DANH SÁCH'!$B$8:$H$841,7,0)</f>
        <v>0</v>
      </c>
      <c r="AH755" s="45">
        <v>1.65</v>
      </c>
      <c r="AI755" s="42">
        <v>1</v>
      </c>
      <c r="AJ755" s="70"/>
      <c r="AK755" s="69">
        <v>45689</v>
      </c>
      <c r="AL755" s="47"/>
      <c r="AM755" s="53" t="str">
        <f>VLOOKUP(A755,'[1]DANH SÁCH'!$B$8:$F$841,5,0)</f>
        <v>Hộ lý</v>
      </c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 t="s">
        <v>85</v>
      </c>
      <c r="AZ755" s="47"/>
      <c r="BA755" s="47"/>
      <c r="BB755" s="47"/>
      <c r="BC755" s="81"/>
      <c r="BD755" s="47"/>
    </row>
    <row r="756" spans="1:56" ht="20.399999999999999" x14ac:dyDescent="0.3">
      <c r="A756" s="109" t="s">
        <v>5432</v>
      </c>
      <c r="B756" s="42">
        <f t="shared" si="187"/>
        <v>750</v>
      </c>
      <c r="C756" s="155" t="s">
        <v>5433</v>
      </c>
      <c r="D756" s="109" t="s">
        <v>5432</v>
      </c>
      <c r="E756" s="64"/>
      <c r="F756" s="64"/>
      <c r="G756" s="49" t="s">
        <v>5434</v>
      </c>
      <c r="H756" s="47"/>
      <c r="I756" s="156" t="s">
        <v>5435</v>
      </c>
      <c r="J756" s="66">
        <f ca="1">INT(DATEDIF(I756,'[1]Bieu 1a'!$J$2,"d")/365)</f>
        <v>29</v>
      </c>
      <c r="K756" s="46"/>
      <c r="L756" s="47"/>
      <c r="M756" s="56"/>
      <c r="N756" s="52"/>
      <c r="O756" s="56"/>
      <c r="P756" s="47"/>
      <c r="Q756" s="47"/>
      <c r="R756" s="49"/>
      <c r="S756" s="47"/>
      <c r="T756" s="47"/>
      <c r="U756" s="47"/>
      <c r="V756" s="56" t="s">
        <v>3872</v>
      </c>
      <c r="W756" s="186">
        <v>45243</v>
      </c>
      <c r="X756" s="46"/>
      <c r="Y756" s="46"/>
      <c r="Z756" s="46"/>
      <c r="AA756" s="68">
        <f>VLOOKUP(A756,'[1]DANH SÁCH'!$B$8:$AD$841,12,0)</f>
        <v>0</v>
      </c>
      <c r="AB756" s="47"/>
      <c r="AC756" s="69" t="str">
        <f>VLOOKUP(A756,'[1]DANH SÁCH'!$B$8:$J$841,9,0)</f>
        <v>Nội Thận-TN-LM</v>
      </c>
      <c r="AD756" s="47"/>
      <c r="AE756" s="69" t="str">
        <f>VLOOKUP(A756,'[1]DANH SÁCH'!$B$8:$AD$841,13,0)</f>
        <v>Viên chức</v>
      </c>
      <c r="AF756" s="46"/>
      <c r="AG756" s="47"/>
      <c r="AH756" s="45" t="s">
        <v>5284</v>
      </c>
      <c r="AI756" s="42">
        <v>1</v>
      </c>
      <c r="AJ756" s="70"/>
      <c r="AK756" s="69">
        <v>45517</v>
      </c>
      <c r="AL756" s="47" t="s">
        <v>80</v>
      </c>
      <c r="AM756" s="53" t="str">
        <f>VLOOKUP(A756,'[1]DANH SÁCH'!$B$8:$F$841,5,0)</f>
        <v>Bác sĩ</v>
      </c>
      <c r="AN756" s="47" t="s">
        <v>372</v>
      </c>
      <c r="AO756" s="47"/>
      <c r="AP756" s="47"/>
      <c r="AQ756" s="47"/>
      <c r="AR756" s="47"/>
      <c r="AS756" s="47"/>
      <c r="AT756" s="47"/>
      <c r="AU756" s="47" t="s">
        <v>5436</v>
      </c>
      <c r="AV756" s="47"/>
      <c r="AW756" s="47" t="s">
        <v>3589</v>
      </c>
      <c r="AX756" s="47"/>
      <c r="AY756" s="47" t="s">
        <v>85</v>
      </c>
      <c r="AZ756" s="47"/>
      <c r="BA756" s="47"/>
      <c r="BB756" s="47"/>
      <c r="BC756" s="81"/>
      <c r="BD756" s="47"/>
    </row>
    <row r="757" spans="1:56" ht="20.399999999999999" x14ac:dyDescent="0.3">
      <c r="A757" s="109" t="s">
        <v>5437</v>
      </c>
      <c r="B757" s="42">
        <f t="shared" si="187"/>
        <v>751</v>
      </c>
      <c r="C757" s="155" t="s">
        <v>5438</v>
      </c>
      <c r="D757" s="109" t="s">
        <v>5437</v>
      </c>
      <c r="E757" s="64"/>
      <c r="F757" s="64"/>
      <c r="G757" s="49" t="s">
        <v>5439</v>
      </c>
      <c r="H757" s="47"/>
      <c r="I757" s="156" t="s">
        <v>5440</v>
      </c>
      <c r="J757" s="66">
        <f ca="1">INT(DATEDIF(I757,'[1]Bieu 1a'!$J$2,"d")/365)</f>
        <v>26</v>
      </c>
      <c r="K757" s="46"/>
      <c r="L757" s="47"/>
      <c r="M757" s="56"/>
      <c r="N757" s="52"/>
      <c r="O757" s="56"/>
      <c r="P757" s="47"/>
      <c r="Q757" s="47"/>
      <c r="R757" s="49"/>
      <c r="S757" s="47"/>
      <c r="T757" s="47"/>
      <c r="U757" s="47"/>
      <c r="V757" s="56" t="s">
        <v>5441</v>
      </c>
      <c r="W757" s="186">
        <v>45260</v>
      </c>
      <c r="X757" s="46"/>
      <c r="Y757" s="46"/>
      <c r="Z757" s="46"/>
      <c r="AA757" s="68">
        <f>VLOOKUP(A757,'[1]DANH SÁCH'!$B$8:$AD$841,12,0)</f>
        <v>0</v>
      </c>
      <c r="AB757" s="47"/>
      <c r="AC757" s="69" t="str">
        <f>VLOOKUP(A757,'[1]DANH SÁCH'!$B$8:$J$841,9,0)</f>
        <v>Chấn thương - Bỏng</v>
      </c>
      <c r="AD757" s="47"/>
      <c r="AE757" s="69" t="str">
        <f>VLOOKUP(A757,'[1]DANH SÁCH'!$B$8:$AD$841,13,0)</f>
        <v>Viên chức</v>
      </c>
      <c r="AF757" s="46"/>
      <c r="AG757" s="47"/>
      <c r="AH757" s="45" t="s">
        <v>5284</v>
      </c>
      <c r="AI757" s="42">
        <v>1</v>
      </c>
      <c r="AJ757" s="70"/>
      <c r="AK757" s="69">
        <v>45602</v>
      </c>
      <c r="AL757" s="47" t="s">
        <v>80</v>
      </c>
      <c r="AM757" s="53" t="str">
        <f>VLOOKUP(A757,'[1]DANH SÁCH'!$B$8:$F$841,5,0)</f>
        <v>Điều dưỡng ĐH</v>
      </c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 t="s">
        <v>85</v>
      </c>
      <c r="AZ757" s="47"/>
      <c r="BA757" s="47"/>
      <c r="BB757" s="47"/>
      <c r="BC757" s="81"/>
      <c r="BD757" s="47"/>
    </row>
    <row r="758" spans="1:56" ht="20.399999999999999" x14ac:dyDescent="0.3">
      <c r="A758" s="109" t="s">
        <v>5442</v>
      </c>
      <c r="B758" s="42">
        <f t="shared" si="187"/>
        <v>752</v>
      </c>
      <c r="C758" s="155" t="s">
        <v>5443</v>
      </c>
      <c r="D758" s="109" t="s">
        <v>5442</v>
      </c>
      <c r="E758" s="64"/>
      <c r="F758" s="64"/>
      <c r="G758" s="49" t="s">
        <v>5444</v>
      </c>
      <c r="H758" s="47"/>
      <c r="I758" s="156" t="s">
        <v>5445</v>
      </c>
      <c r="J758" s="66">
        <f ca="1">INT(DATEDIF(I758,'[1]Bieu 1a'!$J$2,"d")/365)</f>
        <v>32</v>
      </c>
      <c r="K758" s="46"/>
      <c r="L758" s="47"/>
      <c r="M758" s="56"/>
      <c r="N758" s="52"/>
      <c r="O758" s="56"/>
      <c r="P758" s="47"/>
      <c r="Q758" s="47"/>
      <c r="R758" s="49"/>
      <c r="S758" s="47"/>
      <c r="T758" s="47"/>
      <c r="U758" s="47"/>
      <c r="V758" s="56" t="s">
        <v>5446</v>
      </c>
      <c r="W758" s="186">
        <v>45260</v>
      </c>
      <c r="X758" s="46"/>
      <c r="Y758" s="46"/>
      <c r="Z758" s="46"/>
      <c r="AA758" s="68">
        <f>VLOOKUP(A758,'[1]DANH SÁCH'!$B$8:$AD$841,12,0)</f>
        <v>0</v>
      </c>
      <c r="AB758" s="47"/>
      <c r="AC758" s="69" t="str">
        <f>VLOOKUP(A758,'[1]DANH SÁCH'!$B$8:$J$841,9,0)</f>
        <v>Nội Tiêu hóa</v>
      </c>
      <c r="AD758" s="47"/>
      <c r="AE758" s="69" t="str">
        <f>VLOOKUP(A758,'[1]DANH SÁCH'!$B$8:$AD$841,13,0)</f>
        <v>Viên chức</v>
      </c>
      <c r="AF758" s="46"/>
      <c r="AG758" s="47"/>
      <c r="AH758" s="45" t="s">
        <v>5284</v>
      </c>
      <c r="AI758" s="42">
        <v>1</v>
      </c>
      <c r="AJ758" s="70"/>
      <c r="AK758" s="69">
        <v>45510</v>
      </c>
      <c r="AL758" s="47" t="s">
        <v>80</v>
      </c>
      <c r="AM758" s="53" t="str">
        <f>VLOOKUP(A758,'[1]DANH SÁCH'!$B$8:$F$841,5,0)</f>
        <v>Bác sĩ</v>
      </c>
      <c r="AN758" s="47" t="s">
        <v>372</v>
      </c>
      <c r="AO758" s="47"/>
      <c r="AP758" s="47"/>
      <c r="AQ758" s="47"/>
      <c r="AR758" s="47"/>
      <c r="AS758" s="47"/>
      <c r="AT758" s="47"/>
      <c r="AU758" s="47" t="s">
        <v>1230</v>
      </c>
      <c r="AV758" s="47"/>
      <c r="AW758" s="47" t="s">
        <v>3589</v>
      </c>
      <c r="AX758" s="47"/>
      <c r="AY758" s="47" t="s">
        <v>127</v>
      </c>
      <c r="AZ758" s="47"/>
      <c r="BA758" s="47"/>
      <c r="BB758" s="47"/>
      <c r="BC758" s="81"/>
      <c r="BD758" s="47"/>
    </row>
    <row r="759" spans="1:56" ht="20.399999999999999" x14ac:dyDescent="0.3">
      <c r="A759" s="109" t="s">
        <v>5447</v>
      </c>
      <c r="B759" s="42">
        <f t="shared" si="187"/>
        <v>753</v>
      </c>
      <c r="C759" s="155" t="s">
        <v>5448</v>
      </c>
      <c r="D759" s="109" t="s">
        <v>5447</v>
      </c>
      <c r="E759" s="64"/>
      <c r="F759" s="64"/>
      <c r="G759" s="49" t="s">
        <v>5449</v>
      </c>
      <c r="H759" s="156" t="s">
        <v>5450</v>
      </c>
      <c r="I759" s="47"/>
      <c r="J759" s="66">
        <f ca="1">INT(DATEDIF(H759,'[1]Bieu 1a'!$J$2,"d")/365)</f>
        <v>27</v>
      </c>
      <c r="K759" s="46"/>
      <c r="L759" s="47"/>
      <c r="M759" s="56"/>
      <c r="N759" s="52"/>
      <c r="O759" s="56"/>
      <c r="P759" s="47"/>
      <c r="Q759" s="47"/>
      <c r="R759" s="49"/>
      <c r="S759" s="47"/>
      <c r="T759" s="47"/>
      <c r="U759" s="47"/>
      <c r="V759" s="56" t="s">
        <v>5451</v>
      </c>
      <c r="W759" s="186">
        <v>45260</v>
      </c>
      <c r="X759" s="46"/>
      <c r="Y759" s="46"/>
      <c r="Z759" s="46"/>
      <c r="AA759" s="68">
        <f>VLOOKUP(A759,'[1]DANH SÁCH'!$B$8:$AD$841,12,0)</f>
        <v>0</v>
      </c>
      <c r="AB759" s="47"/>
      <c r="AC759" s="69" t="str">
        <f>VLOOKUP(A759,'[1]DANH SÁCH'!$B$8:$J$841,9,0)</f>
        <v>Nội Tổng hợp</v>
      </c>
      <c r="AD759" s="47"/>
      <c r="AE759" s="69" t="str">
        <f>VLOOKUP(A759,'[1]DANH SÁCH'!$B$8:$AD$841,13,0)</f>
        <v>Viên chức</v>
      </c>
      <c r="AF759" s="46"/>
      <c r="AG759" s="47"/>
      <c r="AH759" s="45" t="s">
        <v>5284</v>
      </c>
      <c r="AI759" s="42">
        <v>1</v>
      </c>
      <c r="AJ759" s="70"/>
      <c r="AK759" s="69">
        <v>45510</v>
      </c>
      <c r="AL759" s="47" t="s">
        <v>80</v>
      </c>
      <c r="AM759" s="53" t="str">
        <f>VLOOKUP(A759,'[1]DANH SÁCH'!$B$8:$F$841,5,0)</f>
        <v>Bác sĩ</v>
      </c>
      <c r="AN759" s="47" t="s">
        <v>372</v>
      </c>
      <c r="AO759" s="47"/>
      <c r="AP759" s="47"/>
      <c r="AQ759" s="47"/>
      <c r="AR759" s="47"/>
      <c r="AS759" s="47"/>
      <c r="AT759" s="47"/>
      <c r="AU759" s="47" t="s">
        <v>5452</v>
      </c>
      <c r="AV759" s="47"/>
      <c r="AW759" s="47" t="s">
        <v>3589</v>
      </c>
      <c r="AX759" s="47"/>
      <c r="AY759" s="47" t="s">
        <v>87</v>
      </c>
      <c r="AZ759" s="47"/>
      <c r="BA759" s="47"/>
      <c r="BB759" s="47"/>
      <c r="BC759" s="81"/>
      <c r="BD759" s="47"/>
    </row>
    <row r="760" spans="1:56" ht="20.399999999999999" x14ac:dyDescent="0.3">
      <c r="A760" s="109" t="s">
        <v>5453</v>
      </c>
      <c r="B760" s="42">
        <f t="shared" si="187"/>
        <v>754</v>
      </c>
      <c r="C760" s="155" t="s">
        <v>5454</v>
      </c>
      <c r="D760" s="109" t="s">
        <v>5453</v>
      </c>
      <c r="E760" s="64"/>
      <c r="F760" s="64"/>
      <c r="G760" s="49" t="s">
        <v>5455</v>
      </c>
      <c r="H760" s="156" t="s">
        <v>5456</v>
      </c>
      <c r="I760" s="47"/>
      <c r="J760" s="66">
        <f ca="1">INT(DATEDIF(H760,'[1]Bieu 1a'!$J$2,"d")/365)</f>
        <v>27</v>
      </c>
      <c r="K760" s="46"/>
      <c r="L760" s="47"/>
      <c r="M760" s="56"/>
      <c r="N760" s="52"/>
      <c r="O760" s="56"/>
      <c r="P760" s="47"/>
      <c r="Q760" s="47"/>
      <c r="R760" s="49"/>
      <c r="S760" s="47"/>
      <c r="T760" s="47"/>
      <c r="U760" s="47"/>
      <c r="V760" s="56" t="s">
        <v>1021</v>
      </c>
      <c r="W760" s="186">
        <v>45260</v>
      </c>
      <c r="X760" s="46"/>
      <c r="Y760" s="46"/>
      <c r="Z760" s="46"/>
      <c r="AA760" s="68">
        <f>VLOOKUP(A760,'[1]DANH SÁCH'!$B$8:$AD$841,12,0)</f>
        <v>0</v>
      </c>
      <c r="AB760" s="47"/>
      <c r="AC760" s="69" t="str">
        <f>VLOOKUP(A760,'[1]DANH SÁCH'!$B$8:$J$841,9,0)</f>
        <v>Ngoại TK-LN</v>
      </c>
      <c r="AD760" s="47"/>
      <c r="AE760" s="69" t="str">
        <f>VLOOKUP(A760,'[1]DANH SÁCH'!$B$8:$AD$841,13,0)</f>
        <v>Viên chức</v>
      </c>
      <c r="AF760" s="46"/>
      <c r="AG760" s="47"/>
      <c r="AH760" s="45" t="s">
        <v>5284</v>
      </c>
      <c r="AI760" s="42">
        <v>1</v>
      </c>
      <c r="AJ760" s="70"/>
      <c r="AK760" s="69">
        <v>45510</v>
      </c>
      <c r="AL760" s="47" t="s">
        <v>80</v>
      </c>
      <c r="AM760" s="53" t="str">
        <f>VLOOKUP(A760,'[1]DANH SÁCH'!$B$8:$F$841,5,0)</f>
        <v>Bác sĩ</v>
      </c>
      <c r="AN760" s="47" t="s">
        <v>372</v>
      </c>
      <c r="AO760" s="47"/>
      <c r="AP760" s="47"/>
      <c r="AQ760" s="47"/>
      <c r="AR760" s="47"/>
      <c r="AS760" s="47"/>
      <c r="AT760" s="47"/>
      <c r="AU760" s="47" t="s">
        <v>4522</v>
      </c>
      <c r="AV760" s="47"/>
      <c r="AW760" s="47" t="s">
        <v>3589</v>
      </c>
      <c r="AX760" s="47"/>
      <c r="AY760" s="47" t="s">
        <v>85</v>
      </c>
      <c r="AZ760" s="47"/>
      <c r="BA760" s="47"/>
      <c r="BB760" s="47"/>
      <c r="BC760" s="81"/>
      <c r="BD760" s="47"/>
    </row>
    <row r="761" spans="1:56" ht="20.399999999999999" x14ac:dyDescent="0.3">
      <c r="A761" s="109" t="s">
        <v>5457</v>
      </c>
      <c r="B761" s="42">
        <f t="shared" si="187"/>
        <v>755</v>
      </c>
      <c r="C761" s="155" t="s">
        <v>5458</v>
      </c>
      <c r="D761" s="109" t="s">
        <v>5457</v>
      </c>
      <c r="E761" s="64"/>
      <c r="F761" s="64"/>
      <c r="G761" s="49" t="s">
        <v>5459</v>
      </c>
      <c r="H761" s="47"/>
      <c r="I761" s="156" t="s">
        <v>5460</v>
      </c>
      <c r="J761" s="66">
        <f ca="1">INT(DATEDIF(I761,'[1]Bieu 1a'!$J$2,"d")/365)</f>
        <v>28</v>
      </c>
      <c r="K761" s="46"/>
      <c r="L761" s="47"/>
      <c r="M761" s="56"/>
      <c r="N761" s="52"/>
      <c r="O761" s="56"/>
      <c r="P761" s="47"/>
      <c r="Q761" s="47"/>
      <c r="R761" s="49"/>
      <c r="S761" s="47"/>
      <c r="T761" s="47"/>
      <c r="U761" s="47"/>
      <c r="V761" s="56" t="s">
        <v>3701</v>
      </c>
      <c r="W761" s="186">
        <v>45260</v>
      </c>
      <c r="X761" s="46"/>
      <c r="Y761" s="46"/>
      <c r="Z761" s="46"/>
      <c r="AA761" s="68">
        <f>VLOOKUP(A761,'[1]DANH SÁCH'!$B$8:$AD$841,12,0)</f>
        <v>0</v>
      </c>
      <c r="AB761" s="47"/>
      <c r="AC761" s="69" t="str">
        <f>VLOOKUP(A761,'[1]DANH SÁCH'!$B$8:$J$841,9,0)</f>
        <v>Nhi</v>
      </c>
      <c r="AD761" s="47"/>
      <c r="AE761" s="69" t="str">
        <f>VLOOKUP(A761,'[1]DANH SÁCH'!$B$8:$AD$841,13,0)</f>
        <v>Viên chức</v>
      </c>
      <c r="AF761" s="46"/>
      <c r="AG761" s="47"/>
      <c r="AH761" s="45" t="s">
        <v>5284</v>
      </c>
      <c r="AI761" s="42">
        <v>1</v>
      </c>
      <c r="AJ761" s="70"/>
      <c r="AK761" s="69">
        <v>45510</v>
      </c>
      <c r="AL761" s="47" t="s">
        <v>80</v>
      </c>
      <c r="AM761" s="53" t="str">
        <f>VLOOKUP(A761,'[1]DANH SÁCH'!$B$8:$F$841,5,0)</f>
        <v>Bác sĩ</v>
      </c>
      <c r="AN761" s="47" t="s">
        <v>372</v>
      </c>
      <c r="AO761" s="47"/>
      <c r="AP761" s="47"/>
      <c r="AQ761" s="47"/>
      <c r="AR761" s="47"/>
      <c r="AS761" s="47"/>
      <c r="AT761" s="47"/>
      <c r="AU761" s="47" t="s">
        <v>5452</v>
      </c>
      <c r="AV761" s="47"/>
      <c r="AW761" s="47"/>
      <c r="AX761" s="47"/>
      <c r="AY761" s="47" t="s">
        <v>85</v>
      </c>
      <c r="AZ761" s="47"/>
      <c r="BA761" s="47"/>
      <c r="BB761" s="47"/>
      <c r="BC761" s="81"/>
      <c r="BD761" s="47"/>
    </row>
    <row r="762" spans="1:56" ht="20.399999999999999" x14ac:dyDescent="0.3">
      <c r="A762" s="109" t="s">
        <v>5461</v>
      </c>
      <c r="B762" s="42">
        <f t="shared" si="187"/>
        <v>756</v>
      </c>
      <c r="C762" s="155" t="s">
        <v>5462</v>
      </c>
      <c r="D762" s="109" t="s">
        <v>5461</v>
      </c>
      <c r="E762" s="64"/>
      <c r="F762" s="64"/>
      <c r="G762" s="49" t="s">
        <v>5463</v>
      </c>
      <c r="H762" s="47"/>
      <c r="I762" s="156" t="s">
        <v>5464</v>
      </c>
      <c r="J762" s="66">
        <f ca="1">INT(DATEDIF(I762,'[1]Bieu 1a'!$J$2,"d")/365)</f>
        <v>28</v>
      </c>
      <c r="K762" s="46"/>
      <c r="L762" s="47"/>
      <c r="M762" s="56"/>
      <c r="N762" s="52"/>
      <c r="O762" s="56"/>
      <c r="P762" s="47"/>
      <c r="Q762" s="47"/>
      <c r="R762" s="49"/>
      <c r="S762" s="47"/>
      <c r="T762" s="47"/>
      <c r="U762" s="47"/>
      <c r="V762" s="56" t="s">
        <v>5465</v>
      </c>
      <c r="W762" s="186">
        <v>45260</v>
      </c>
      <c r="X762" s="46"/>
      <c r="Y762" s="46"/>
      <c r="Z762" s="46"/>
      <c r="AA762" s="68">
        <f>VLOOKUP(A762,'[1]DANH SÁCH'!$B$8:$AD$841,12,0)</f>
        <v>0</v>
      </c>
      <c r="AB762" s="47"/>
      <c r="AC762" s="69" t="str">
        <f>VLOOKUP(A762,'[1]DANH SÁCH'!$B$8:$J$841,9,0)</f>
        <v>Nhi</v>
      </c>
      <c r="AD762" s="47"/>
      <c r="AE762" s="69" t="str">
        <f>VLOOKUP(A762,'[1]DANH SÁCH'!$B$8:$AD$841,13,0)</f>
        <v>Viên chức</v>
      </c>
      <c r="AF762" s="46"/>
      <c r="AG762" s="47"/>
      <c r="AH762" s="45" t="s">
        <v>5284</v>
      </c>
      <c r="AI762" s="42">
        <v>1</v>
      </c>
      <c r="AJ762" s="70"/>
      <c r="AK762" s="69">
        <v>45510</v>
      </c>
      <c r="AL762" s="47" t="s">
        <v>80</v>
      </c>
      <c r="AM762" s="53" t="str">
        <f>VLOOKUP(A762,'[1]DANH SÁCH'!$B$8:$F$841,5,0)</f>
        <v>Bác sĩ</v>
      </c>
      <c r="AN762" s="47" t="s">
        <v>372</v>
      </c>
      <c r="AO762" s="47"/>
      <c r="AP762" s="47"/>
      <c r="AQ762" s="47"/>
      <c r="AR762" s="47"/>
      <c r="AS762" s="47"/>
      <c r="AT762" s="47"/>
      <c r="AU762" s="47" t="s">
        <v>5466</v>
      </c>
      <c r="AV762" s="47"/>
      <c r="AW762" s="47"/>
      <c r="AX762" s="47"/>
      <c r="AY762" s="47" t="s">
        <v>127</v>
      </c>
      <c r="AZ762" s="47"/>
      <c r="BA762" s="47"/>
      <c r="BB762" s="47"/>
      <c r="BC762" s="81"/>
      <c r="BD762" s="47"/>
    </row>
    <row r="763" spans="1:56" x14ac:dyDescent="0.3">
      <c r="A763" s="109" t="s">
        <v>5467</v>
      </c>
      <c r="B763" s="42">
        <f t="shared" si="187"/>
        <v>757</v>
      </c>
      <c r="C763" s="155" t="s">
        <v>5468</v>
      </c>
      <c r="D763" s="109" t="s">
        <v>5467</v>
      </c>
      <c r="E763" s="64"/>
      <c r="F763" s="64"/>
      <c r="G763" s="156" t="s">
        <v>5469</v>
      </c>
      <c r="H763" s="47"/>
      <c r="I763" s="156" t="s">
        <v>5470</v>
      </c>
      <c r="J763" s="66">
        <f ca="1">INT(DATEDIF(I763,'[1]Bieu 1a'!$J$2,"d")/365)</f>
        <v>33</v>
      </c>
      <c r="K763" s="109" t="s">
        <v>5469</v>
      </c>
      <c r="L763" s="156" t="s">
        <v>5471</v>
      </c>
      <c r="M763" s="56"/>
      <c r="N763" s="52"/>
      <c r="O763" s="56"/>
      <c r="P763" s="47"/>
      <c r="Q763" s="47"/>
      <c r="R763" s="49"/>
      <c r="S763" s="47"/>
      <c r="T763" s="47"/>
      <c r="U763" s="47"/>
      <c r="V763" s="56" t="s">
        <v>4297</v>
      </c>
      <c r="W763" s="177">
        <v>45261</v>
      </c>
      <c r="X763" s="46"/>
      <c r="Y763" s="46"/>
      <c r="Z763" s="46"/>
      <c r="AA763" s="68">
        <f>VLOOKUP(A763,'[1]DANH SÁCH'!$B$8:$AD$841,12,0)</f>
        <v>0</v>
      </c>
      <c r="AB763" s="47"/>
      <c r="AC763" s="69" t="str">
        <f>VLOOKUP(A763,'[1]DANH SÁCH'!$B$8:$J$841,9,0)</f>
        <v>Cấp cứu</v>
      </c>
      <c r="AD763" s="47"/>
      <c r="AE763" s="69" t="str">
        <f>VLOOKUP(A763,'[1]DANH SÁCH'!$B$8:$AD$841,13,0)</f>
        <v>Viên chức</v>
      </c>
      <c r="AF763" s="46"/>
      <c r="AG763" s="47"/>
      <c r="AH763" s="45" t="s">
        <v>5284</v>
      </c>
      <c r="AI763" s="42">
        <v>1</v>
      </c>
      <c r="AJ763" s="70"/>
      <c r="AK763" s="69">
        <v>45536</v>
      </c>
      <c r="AL763" s="47" t="s">
        <v>80</v>
      </c>
      <c r="AM763" s="53" t="str">
        <f>VLOOKUP(A763,'[1]DANH SÁCH'!$B$8:$F$841,5,0)</f>
        <v>Bác sĩ</v>
      </c>
      <c r="AN763" s="47" t="s">
        <v>372</v>
      </c>
      <c r="AO763" s="47"/>
      <c r="AP763" s="47"/>
      <c r="AQ763" s="47"/>
      <c r="AR763" s="47"/>
      <c r="AS763" s="47"/>
      <c r="AT763" s="47"/>
      <c r="AU763" s="47" t="s">
        <v>5472</v>
      </c>
      <c r="AV763" s="47"/>
      <c r="AW763" s="47" t="s">
        <v>3589</v>
      </c>
      <c r="AX763" s="47"/>
      <c r="AY763" s="47" t="s">
        <v>87</v>
      </c>
      <c r="AZ763" s="47"/>
      <c r="BA763" s="47"/>
      <c r="BB763" s="47"/>
      <c r="BC763" s="81"/>
      <c r="BD763" s="47"/>
    </row>
    <row r="764" spans="1:56" ht="20.399999999999999" x14ac:dyDescent="0.3">
      <c r="A764" s="109" t="s">
        <v>5473</v>
      </c>
      <c r="B764" s="42">
        <f t="shared" si="187"/>
        <v>758</v>
      </c>
      <c r="C764" s="155" t="s">
        <v>5474</v>
      </c>
      <c r="D764" s="109" t="s">
        <v>5473</v>
      </c>
      <c r="E764" s="64"/>
      <c r="F764" s="64"/>
      <c r="G764" s="156" t="s">
        <v>5475</v>
      </c>
      <c r="H764" s="47"/>
      <c r="I764" s="156" t="s">
        <v>5476</v>
      </c>
      <c r="J764" s="66">
        <f ca="1">INT(DATEDIF(I764,'[1]Bieu 1a'!$J$2,"d")/365)</f>
        <v>24</v>
      </c>
      <c r="K764" s="109" t="s">
        <v>5475</v>
      </c>
      <c r="L764" s="156" t="s">
        <v>5477</v>
      </c>
      <c r="M764" s="56"/>
      <c r="N764" s="52"/>
      <c r="O764" s="56"/>
      <c r="P764" s="47"/>
      <c r="Q764" s="47"/>
      <c r="R764" s="49"/>
      <c r="S764" s="47"/>
      <c r="T764" s="47"/>
      <c r="U764" s="47"/>
      <c r="V764" s="56" t="s">
        <v>3701</v>
      </c>
      <c r="W764" s="177">
        <v>45250</v>
      </c>
      <c r="X764" s="46"/>
      <c r="Y764" s="46"/>
      <c r="Z764" s="46"/>
      <c r="AA764" s="68">
        <f>VLOOKUP(A764,'[1]DANH SÁCH'!$B$8:$AD$841,12,0)</f>
        <v>0</v>
      </c>
      <c r="AB764" s="47"/>
      <c r="AC764" s="69" t="str">
        <f>VLOOKUP(A764,'[1]DANH SÁCH'!$B$8:$J$841,9,0)</f>
        <v>Cấp cứu</v>
      </c>
      <c r="AD764" s="47"/>
      <c r="AE764" s="69" t="str">
        <f>VLOOKUP(A764,'[1]DANH SÁCH'!$B$8:$AD$841,13,0)</f>
        <v>Viên chức</v>
      </c>
      <c r="AF764" s="46"/>
      <c r="AG764" s="47"/>
      <c r="AH764" s="45" t="s">
        <v>5284</v>
      </c>
      <c r="AI764" s="42">
        <v>1</v>
      </c>
      <c r="AJ764" s="70"/>
      <c r="AK764" s="69">
        <v>45616</v>
      </c>
      <c r="AL764" s="47" t="s">
        <v>80</v>
      </c>
      <c r="AM764" s="53" t="str">
        <f>VLOOKUP(A764,'[1]DANH SÁCH'!$B$8:$F$841,5,0)</f>
        <v>Điều dưỡng ĐH</v>
      </c>
      <c r="AN764" s="47"/>
      <c r="AO764" s="47"/>
      <c r="AP764" s="47"/>
      <c r="AQ764" s="47"/>
      <c r="AR764" s="47"/>
      <c r="AS764" s="47"/>
      <c r="AT764" s="47"/>
      <c r="AU764" s="47" t="s">
        <v>5478</v>
      </c>
      <c r="AV764" s="47"/>
      <c r="AW764" s="47" t="s">
        <v>3589</v>
      </c>
      <c r="AX764" s="47"/>
      <c r="AY764" s="47" t="s">
        <v>85</v>
      </c>
      <c r="AZ764" s="47"/>
      <c r="BA764" s="47"/>
      <c r="BB764" s="47"/>
      <c r="BC764" s="81"/>
      <c r="BD764" s="47"/>
    </row>
    <row r="765" spans="1:56" ht="20.399999999999999" x14ac:dyDescent="0.3">
      <c r="A765" s="109" t="s">
        <v>5479</v>
      </c>
      <c r="B765" s="42">
        <f t="shared" si="187"/>
        <v>759</v>
      </c>
      <c r="C765" s="155" t="s">
        <v>5480</v>
      </c>
      <c r="D765" s="109" t="s">
        <v>5479</v>
      </c>
      <c r="E765" s="64"/>
      <c r="F765" s="64"/>
      <c r="G765" s="156" t="s">
        <v>5481</v>
      </c>
      <c r="H765" s="47"/>
      <c r="I765" s="156" t="s">
        <v>5482</v>
      </c>
      <c r="J765" s="66">
        <f ca="1">INT(DATEDIF(I765,'[1]Bieu 1a'!$J$2,"d")/365)</f>
        <v>23</v>
      </c>
      <c r="K765" s="109" t="s">
        <v>5481</v>
      </c>
      <c r="L765" s="156" t="s">
        <v>5483</v>
      </c>
      <c r="M765" s="56"/>
      <c r="N765" s="52"/>
      <c r="O765" s="56"/>
      <c r="P765" s="47"/>
      <c r="Q765" s="47"/>
      <c r="R765" s="49"/>
      <c r="S765" s="47"/>
      <c r="T765" s="47"/>
      <c r="U765" s="47"/>
      <c r="V765" s="56" t="s">
        <v>4538</v>
      </c>
      <c r="W765" s="177">
        <v>45250</v>
      </c>
      <c r="X765" s="46"/>
      <c r="Y765" s="46"/>
      <c r="Z765" s="46"/>
      <c r="AA765" s="68">
        <f>VLOOKUP(A765,'[1]DANH SÁCH'!$B$8:$AD$841,12,0)</f>
        <v>0</v>
      </c>
      <c r="AB765" s="47"/>
      <c r="AC765" s="69" t="str">
        <f>VLOOKUP(A765,'[1]DANH SÁCH'!$B$8:$J$841,9,0)</f>
        <v>Ngoại Thận - Tiết niệu</v>
      </c>
      <c r="AD765" s="47"/>
      <c r="AE765" s="69" t="str">
        <f>VLOOKUP(A765,'[1]DANH SÁCH'!$B$8:$AD$841,13,0)</f>
        <v>HĐ có thời hạn</v>
      </c>
      <c r="AF765" s="46"/>
      <c r="AG765" s="47"/>
      <c r="AH765" s="45" t="s">
        <v>5324</v>
      </c>
      <c r="AI765" s="42">
        <v>1</v>
      </c>
      <c r="AJ765" s="70"/>
      <c r="AK765" s="69">
        <v>45524</v>
      </c>
      <c r="AL765" s="47" t="s">
        <v>80</v>
      </c>
      <c r="AM765" s="53" t="str">
        <f>VLOOKUP(A765,'[1]DANH SÁCH'!$B$8:$F$841,5,0)</f>
        <v>Điều dưỡng CĐ</v>
      </c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 t="s">
        <v>85</v>
      </c>
      <c r="AZ765" s="47"/>
      <c r="BA765" s="47"/>
      <c r="BB765" s="47"/>
      <c r="BC765" s="81"/>
      <c r="BD765" s="47"/>
    </row>
    <row r="766" spans="1:56" ht="20.399999999999999" x14ac:dyDescent="0.3">
      <c r="A766" s="109" t="s">
        <v>5484</v>
      </c>
      <c r="B766" s="42">
        <f t="shared" si="187"/>
        <v>760</v>
      </c>
      <c r="C766" s="155" t="s">
        <v>5485</v>
      </c>
      <c r="D766" s="109" t="s">
        <v>5484</v>
      </c>
      <c r="E766" s="64"/>
      <c r="F766" s="64"/>
      <c r="G766" s="156" t="s">
        <v>5486</v>
      </c>
      <c r="H766" s="47"/>
      <c r="I766" s="156" t="s">
        <v>5487</v>
      </c>
      <c r="J766" s="66">
        <f ca="1">INT(DATEDIF(I766,'[1]Bieu 1a'!$J$2,"d")/365)</f>
        <v>23</v>
      </c>
      <c r="K766" s="109" t="s">
        <v>5486</v>
      </c>
      <c r="L766" s="156" t="s">
        <v>5488</v>
      </c>
      <c r="M766" s="56"/>
      <c r="N766" s="52"/>
      <c r="O766" s="56"/>
      <c r="P766" s="47"/>
      <c r="Q766" s="47"/>
      <c r="R766" s="49"/>
      <c r="S766" s="47"/>
      <c r="T766" s="47"/>
      <c r="U766" s="47"/>
      <c r="V766" s="56" t="s">
        <v>5489</v>
      </c>
      <c r="W766" s="177">
        <v>45250</v>
      </c>
      <c r="X766" s="46"/>
      <c r="Y766" s="46"/>
      <c r="Z766" s="46"/>
      <c r="AA766" s="68">
        <f>VLOOKUP(A766,'[1]DANH SÁCH'!$B$8:$AD$841,12,0)</f>
        <v>0</v>
      </c>
      <c r="AB766" s="47"/>
      <c r="AC766" s="69" t="str">
        <f>VLOOKUP(A766,'[1]DANH SÁCH'!$B$8:$J$841,9,0)</f>
        <v>HSTC-CĐ</v>
      </c>
      <c r="AD766" s="47"/>
      <c r="AE766" s="69" t="str">
        <f>VLOOKUP(A766,'[1]DANH SÁCH'!$B$8:$AD$841,13,0)</f>
        <v>Viên chức</v>
      </c>
      <c r="AF766" s="46"/>
      <c r="AG766" s="47"/>
      <c r="AH766" s="45" t="s">
        <v>5324</v>
      </c>
      <c r="AI766" s="42">
        <v>1</v>
      </c>
      <c r="AJ766" s="70"/>
      <c r="AK766" s="69">
        <v>45524</v>
      </c>
      <c r="AL766" s="47" t="s">
        <v>80</v>
      </c>
      <c r="AM766" s="53" t="str">
        <f>VLOOKUP(A766,'[1]DANH SÁCH'!$B$8:$F$841,5,0)</f>
        <v>Điều dưỡng CĐ</v>
      </c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 t="s">
        <v>87</v>
      </c>
      <c r="AZ766" s="47"/>
      <c r="BA766" s="47"/>
      <c r="BB766" s="47"/>
      <c r="BC766" s="81"/>
      <c r="BD766" s="47"/>
    </row>
    <row r="767" spans="1:56" x14ac:dyDescent="0.3">
      <c r="A767" s="109" t="s">
        <v>5490</v>
      </c>
      <c r="B767" s="42">
        <f t="shared" si="187"/>
        <v>761</v>
      </c>
      <c r="C767" s="155" t="s">
        <v>5491</v>
      </c>
      <c r="D767" s="109" t="s">
        <v>5490</v>
      </c>
      <c r="E767" s="64"/>
      <c r="F767" s="64"/>
      <c r="G767" s="156" t="s">
        <v>5492</v>
      </c>
      <c r="H767" s="47"/>
      <c r="I767" s="156" t="s">
        <v>5493</v>
      </c>
      <c r="J767" s="66">
        <f ca="1">INT(DATEDIF(I767,'[1]Bieu 1a'!$J$2,"d")/365)</f>
        <v>24</v>
      </c>
      <c r="K767" s="109" t="s">
        <v>5492</v>
      </c>
      <c r="L767" s="156" t="s">
        <v>5494</v>
      </c>
      <c r="M767" s="56"/>
      <c r="N767" s="52"/>
      <c r="O767" s="56"/>
      <c r="P767" s="47"/>
      <c r="Q767" s="47"/>
      <c r="R767" s="49"/>
      <c r="S767" s="47"/>
      <c r="T767" s="47"/>
      <c r="U767" s="47"/>
      <c r="V767" s="56" t="s">
        <v>5495</v>
      </c>
      <c r="W767" s="177">
        <v>45250</v>
      </c>
      <c r="X767" s="46"/>
      <c r="Y767" s="46"/>
      <c r="Z767" s="46"/>
      <c r="AA767" s="68" t="e">
        <f>VLOOKUP(A767,'[1]DANH SÁCH'!$B$8:$AD$841,12,0)</f>
        <v>#N/A</v>
      </c>
      <c r="AB767" s="47"/>
      <c r="AC767" s="69" t="e">
        <f>VLOOKUP(A767,'[1]DANH SÁCH'!$B$8:$J$841,9,0)</f>
        <v>#N/A</v>
      </c>
      <c r="AD767" s="47"/>
      <c r="AE767" s="69" t="e">
        <f>VLOOKUP(A767,'[1]DANH SÁCH'!$B$8:$AD$841,13,0)</f>
        <v>#N/A</v>
      </c>
      <c r="AF767" s="46"/>
      <c r="AG767" s="47"/>
      <c r="AH767" s="45" t="s">
        <v>5324</v>
      </c>
      <c r="AI767" s="42">
        <v>1</v>
      </c>
      <c r="AJ767" s="70"/>
      <c r="AK767" s="69">
        <v>45524</v>
      </c>
      <c r="AL767" s="47" t="s">
        <v>80</v>
      </c>
      <c r="AM767" s="53" t="e">
        <f>VLOOKUP(A767,'[1]DANH SÁCH'!$B$8:$F$841,5,0)</f>
        <v>#N/A</v>
      </c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 t="s">
        <v>127</v>
      </c>
      <c r="AZ767" s="47"/>
      <c r="BA767" s="47"/>
      <c r="BB767" s="47"/>
      <c r="BC767" s="81"/>
      <c r="BD767" s="47"/>
    </row>
    <row r="768" spans="1:56" x14ac:dyDescent="0.3">
      <c r="A768" s="109" t="s">
        <v>5496</v>
      </c>
      <c r="B768" s="42">
        <f t="shared" si="187"/>
        <v>762</v>
      </c>
      <c r="C768" s="155" t="s">
        <v>5497</v>
      </c>
      <c r="D768" s="109" t="s">
        <v>5496</v>
      </c>
      <c r="E768" s="64"/>
      <c r="F768" s="64"/>
      <c r="G768" s="156" t="s">
        <v>5498</v>
      </c>
      <c r="H768" s="47"/>
      <c r="I768" s="156" t="s">
        <v>5499</v>
      </c>
      <c r="J768" s="66">
        <f ca="1">INT(DATEDIF(I768,'[1]Bieu 1a'!$J$2,"d")/365)</f>
        <v>26</v>
      </c>
      <c r="K768" s="109" t="s">
        <v>5498</v>
      </c>
      <c r="L768" s="156" t="s">
        <v>5500</v>
      </c>
      <c r="M768" s="56"/>
      <c r="N768" s="52"/>
      <c r="O768" s="56"/>
      <c r="P768" s="47"/>
      <c r="Q768" s="47"/>
      <c r="R768" s="49"/>
      <c r="S768" s="47"/>
      <c r="T768" s="47"/>
      <c r="U768" s="47"/>
      <c r="V768" s="56" t="s">
        <v>5451</v>
      </c>
      <c r="W768" s="177">
        <v>45252</v>
      </c>
      <c r="X768" s="46"/>
      <c r="Y768" s="46"/>
      <c r="Z768" s="46"/>
      <c r="AA768" s="68">
        <f>VLOOKUP(A768,'[1]DANH SÁCH'!$B$8:$AD$841,12,0)</f>
        <v>0</v>
      </c>
      <c r="AB768" s="47"/>
      <c r="AC768" s="69" t="str">
        <f>VLOOKUP(A768,'[1]DANH SÁCH'!$B$8:$J$841,9,0)</f>
        <v>Cấp Cứu</v>
      </c>
      <c r="AD768" s="47"/>
      <c r="AE768" s="69" t="str">
        <f>VLOOKUP(A768,'[1]DANH SÁCH'!$B$8:$AD$841,13,0)</f>
        <v>Viên chức</v>
      </c>
      <c r="AF768" s="46"/>
      <c r="AG768" s="47"/>
      <c r="AH768" s="45" t="s">
        <v>5284</v>
      </c>
      <c r="AI768" s="42">
        <v>1</v>
      </c>
      <c r="AJ768" s="70"/>
      <c r="AK768" s="69">
        <v>45536</v>
      </c>
      <c r="AL768" s="47" t="s">
        <v>80</v>
      </c>
      <c r="AM768" s="53" t="str">
        <f>VLOOKUP(A768,'[1]DANH SÁCH'!$B$8:$F$841,5,0)</f>
        <v>Bác sĩ</v>
      </c>
      <c r="AN768" s="47"/>
      <c r="AO768" s="47"/>
      <c r="AP768" s="47"/>
      <c r="AQ768" s="47"/>
      <c r="AR768" s="47"/>
      <c r="AS768" s="47"/>
      <c r="AT768" s="47"/>
      <c r="AU768" s="47" t="s">
        <v>5436</v>
      </c>
      <c r="AV768" s="47"/>
      <c r="AW768" s="47" t="s">
        <v>3589</v>
      </c>
      <c r="AX768" s="47"/>
      <c r="AY768" s="47" t="s">
        <v>127</v>
      </c>
      <c r="AZ768" s="47"/>
      <c r="BA768" s="47"/>
      <c r="BB768" s="47"/>
      <c r="BC768" s="81"/>
      <c r="BD768" s="47"/>
    </row>
    <row r="769" spans="1:56" ht="20.399999999999999" x14ac:dyDescent="0.3">
      <c r="A769" s="109" t="s">
        <v>5501</v>
      </c>
      <c r="B769" s="42">
        <f t="shared" si="187"/>
        <v>763</v>
      </c>
      <c r="C769" s="155" t="s">
        <v>5502</v>
      </c>
      <c r="D769" s="109" t="s">
        <v>5501</v>
      </c>
      <c r="E769" s="64"/>
      <c r="F769" s="64"/>
      <c r="G769" s="156" t="s">
        <v>5503</v>
      </c>
      <c r="H769" s="47"/>
      <c r="I769" s="156" t="s">
        <v>5504</v>
      </c>
      <c r="J769" s="66">
        <f ca="1">INT(DATEDIF(I769,'[1]Bieu 1a'!$J$2,"d")/365)</f>
        <v>24</v>
      </c>
      <c r="K769" s="109" t="s">
        <v>5503</v>
      </c>
      <c r="L769" s="156" t="s">
        <v>5505</v>
      </c>
      <c r="M769" s="56"/>
      <c r="N769" s="52"/>
      <c r="O769" s="56"/>
      <c r="P769" s="47"/>
      <c r="Q769" s="47"/>
      <c r="R769" s="49"/>
      <c r="S769" s="47"/>
      <c r="T769" s="47"/>
      <c r="U769" s="47"/>
      <c r="V769" s="56" t="s">
        <v>5506</v>
      </c>
      <c r="W769" s="177">
        <v>45271</v>
      </c>
      <c r="X769" s="46"/>
      <c r="Y769" s="46"/>
      <c r="Z769" s="46"/>
      <c r="AA769" s="68">
        <f>VLOOKUP(A769,'[1]DANH SÁCH'!$B$8:$AD$841,12,0)</f>
        <v>0</v>
      </c>
      <c r="AB769" s="47"/>
      <c r="AC769" s="69" t="str">
        <f>VLOOKUP(A769,'[1]DANH SÁCH'!$B$8:$J$841,9,0)</f>
        <v>Chấn thương - Bỏng</v>
      </c>
      <c r="AD769" s="47"/>
      <c r="AE769" s="69" t="str">
        <f>VLOOKUP(A769,'[1]DANH SÁCH'!$B$8:$AD$841,13,0)</f>
        <v>HĐ có thời hạn</v>
      </c>
      <c r="AF769" s="46"/>
      <c r="AG769" s="47"/>
      <c r="AH769" s="45" t="s">
        <v>5284</v>
      </c>
      <c r="AI769" s="42">
        <v>1</v>
      </c>
      <c r="AJ769" s="70"/>
      <c r="AK769" s="69">
        <v>45637</v>
      </c>
      <c r="AL769" s="47" t="s">
        <v>80</v>
      </c>
      <c r="AM769" s="53" t="str">
        <f>VLOOKUP(A769,'[1]DANH SÁCH'!$B$8:$F$841,5,0)</f>
        <v>Điều dưỡng ĐH</v>
      </c>
      <c r="AN769" s="47"/>
      <c r="AO769" s="47"/>
      <c r="AP769" s="47"/>
      <c r="AQ769" s="47"/>
      <c r="AR769" s="47"/>
      <c r="AS769" s="47"/>
      <c r="AT769" s="47"/>
      <c r="AU769" s="47" t="s">
        <v>5452</v>
      </c>
      <c r="AV769" s="47"/>
      <c r="AW769" s="47" t="s">
        <v>3589</v>
      </c>
      <c r="AX769" s="47"/>
      <c r="AY769" s="47" t="s">
        <v>85</v>
      </c>
      <c r="AZ769" s="47"/>
      <c r="BA769" s="47"/>
      <c r="BB769" s="47"/>
      <c r="BC769" s="81"/>
      <c r="BD769" s="47"/>
    </row>
    <row r="770" spans="1:56" ht="20.399999999999999" x14ac:dyDescent="0.3">
      <c r="A770" s="61" t="s">
        <v>5507</v>
      </c>
      <c r="B770" s="42">
        <f t="shared" si="187"/>
        <v>764</v>
      </c>
      <c r="C770" s="56" t="s">
        <v>5508</v>
      </c>
      <c r="D770" s="61" t="s">
        <v>5507</v>
      </c>
      <c r="E770" s="47"/>
      <c r="F770" s="47"/>
      <c r="G770" s="42"/>
      <c r="H770" s="42"/>
      <c r="I770" s="69">
        <v>35455</v>
      </c>
      <c r="J770" s="66">
        <f ca="1">INT(DATEDIF(I770,'[1]Bieu 1a'!$J$2,"d")/365)</f>
        <v>29</v>
      </c>
      <c r="K770" s="42"/>
      <c r="L770" s="42"/>
      <c r="M770" s="53"/>
      <c r="N770" s="42"/>
      <c r="O770" s="69"/>
      <c r="P770" s="69"/>
      <c r="Q770" s="147"/>
      <c r="R770" s="49"/>
      <c r="S770" s="42"/>
      <c r="T770" s="42"/>
      <c r="U770" s="42"/>
      <c r="V770" s="56" t="s">
        <v>542</v>
      </c>
      <c r="W770" s="41" t="s">
        <v>5509</v>
      </c>
      <c r="X770" s="42" t="s">
        <v>5510</v>
      </c>
      <c r="Y770" s="42" t="s">
        <v>5510</v>
      </c>
      <c r="Z770" s="42"/>
      <c r="AA770" s="68">
        <f>VLOOKUP(A770,'[1]DANH SÁCH'!$B$8:$AD$841,12,0)</f>
        <v>0</v>
      </c>
      <c r="AB770" s="47"/>
      <c r="AC770" s="69" t="str">
        <f>VLOOKUP(A770,'[1]DANH SÁCH'!$B$8:$J$841,9,0)</f>
        <v>Nhi</v>
      </c>
      <c r="AD770" s="47"/>
      <c r="AE770" s="69" t="str">
        <f>VLOOKUP(A770,'[1]DANH SÁCH'!$B$8:$AD$841,13,0)</f>
        <v>HĐ có thời hạn</v>
      </c>
      <c r="AF770" s="46"/>
      <c r="AG770" s="47"/>
      <c r="AH770" s="45" t="s">
        <v>5284</v>
      </c>
      <c r="AI770" s="42">
        <v>1</v>
      </c>
      <c r="AJ770" s="70"/>
      <c r="AK770" s="69">
        <v>45399</v>
      </c>
      <c r="AL770" s="47" t="s">
        <v>80</v>
      </c>
      <c r="AM770" s="53" t="str">
        <f>VLOOKUP(A770,'[1]DANH SÁCH'!$B$8:$F$841,5,0)</f>
        <v>Bác sĩ</v>
      </c>
      <c r="AN770" s="47" t="s">
        <v>372</v>
      </c>
      <c r="AO770" s="47"/>
      <c r="AP770" s="47"/>
      <c r="AQ770" s="47"/>
      <c r="AR770" s="47"/>
      <c r="AS770" s="47"/>
      <c r="AT770" s="47"/>
      <c r="AU770" s="47"/>
      <c r="AV770" s="47"/>
      <c r="AW770" s="47" t="s">
        <v>3589</v>
      </c>
      <c r="AX770" s="47"/>
      <c r="AY770" s="47" t="s">
        <v>85</v>
      </c>
      <c r="AZ770" s="47"/>
      <c r="BA770" s="47"/>
      <c r="BB770" s="47"/>
      <c r="BC770" s="81"/>
      <c r="BD770" s="47"/>
    </row>
    <row r="771" spans="1:56" ht="20.399999999999999" x14ac:dyDescent="0.3">
      <c r="A771" s="61" t="s">
        <v>5511</v>
      </c>
      <c r="B771" s="42">
        <f t="shared" si="187"/>
        <v>765</v>
      </c>
      <c r="C771" s="56" t="s">
        <v>5512</v>
      </c>
      <c r="D771" s="61" t="s">
        <v>5511</v>
      </c>
      <c r="E771" s="47"/>
      <c r="F771" s="47"/>
      <c r="G771" s="42"/>
      <c r="H771" s="69">
        <v>29677</v>
      </c>
      <c r="I771" s="64"/>
      <c r="J771" s="66">
        <f ca="1">INT(DATEDIF(H771,'[1]Bieu 1a'!$J$2,"d")/365)</f>
        <v>45</v>
      </c>
      <c r="K771" s="42"/>
      <c r="L771" s="42"/>
      <c r="M771" s="53"/>
      <c r="N771" s="42"/>
      <c r="O771" s="69"/>
      <c r="P771" s="69"/>
      <c r="Q771" s="147"/>
      <c r="R771" s="49"/>
      <c r="S771" s="42"/>
      <c r="T771" s="42" t="s">
        <v>5510</v>
      </c>
      <c r="U771" s="42" t="s">
        <v>5510</v>
      </c>
      <c r="V771" s="56" t="s">
        <v>5513</v>
      </c>
      <c r="W771" s="41" t="s">
        <v>5514</v>
      </c>
      <c r="X771" s="42" t="s">
        <v>5510</v>
      </c>
      <c r="Y771" s="42" t="s">
        <v>5510</v>
      </c>
      <c r="Z771" s="42"/>
      <c r="AA771" s="68">
        <f>VLOOKUP(A771,'[1]DANH SÁCH'!$B$8:$AD$841,12,0)</f>
        <v>0</v>
      </c>
      <c r="AB771" s="47"/>
      <c r="AC771" s="69" t="str">
        <f>VLOOKUP(A771,'[1]DANH SÁCH'!$B$8:$J$841,9,0)</f>
        <v>HCQT</v>
      </c>
      <c r="AD771" s="47"/>
      <c r="AE771" s="69" t="str">
        <f>VLOOKUP(A771,'[1]DANH SÁCH'!$B$8:$AD$841,13,0)</f>
        <v>HĐ có thời hạn</v>
      </c>
      <c r="AF771" s="46"/>
      <c r="AG771" s="47"/>
      <c r="AH771" s="45">
        <v>1.68</v>
      </c>
      <c r="AI771" s="42">
        <v>2</v>
      </c>
      <c r="AJ771" s="70"/>
      <c r="AK771" s="69">
        <v>45689</v>
      </c>
      <c r="AL771" s="47"/>
      <c r="AM771" s="53" t="str">
        <f>VLOOKUP(A771,'[1]DANH SÁCH'!$B$8:$F$841,5,0)</f>
        <v>Bảo vệ</v>
      </c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 t="s">
        <v>85</v>
      </c>
      <c r="AZ771" s="47"/>
      <c r="BA771" s="47"/>
      <c r="BB771" s="47"/>
      <c r="BC771" s="81"/>
      <c r="BD771" s="47"/>
    </row>
    <row r="772" spans="1:56" ht="20.399999999999999" x14ac:dyDescent="0.3">
      <c r="A772" s="61" t="s">
        <v>5515</v>
      </c>
      <c r="B772" s="42">
        <f t="shared" ref="B772:B797" si="200">ROW()-6</f>
        <v>766</v>
      </c>
      <c r="C772" s="56" t="s">
        <v>5516</v>
      </c>
      <c r="D772" s="61" t="s">
        <v>5515</v>
      </c>
      <c r="E772" s="47"/>
      <c r="F772" s="47"/>
      <c r="G772" s="42"/>
      <c r="H772" s="69">
        <v>31520</v>
      </c>
      <c r="I772" s="64"/>
      <c r="J772" s="66">
        <f ca="1">INT(DATEDIF(H772,'[1]Bieu 1a'!$J$2,"d")/365)</f>
        <v>40</v>
      </c>
      <c r="K772" s="42"/>
      <c r="L772" s="42"/>
      <c r="M772" s="53"/>
      <c r="N772" s="42"/>
      <c r="O772" s="69"/>
      <c r="P772" s="69"/>
      <c r="Q772" s="147"/>
      <c r="R772" s="49"/>
      <c r="S772" s="42"/>
      <c r="T772" s="42" t="s">
        <v>5510</v>
      </c>
      <c r="U772" s="42" t="s">
        <v>5510</v>
      </c>
      <c r="V772" s="56" t="s">
        <v>5506</v>
      </c>
      <c r="W772" s="41" t="s">
        <v>5514</v>
      </c>
      <c r="X772" s="42" t="s">
        <v>5510</v>
      </c>
      <c r="Y772" s="42" t="s">
        <v>5510</v>
      </c>
      <c r="Z772" s="42"/>
      <c r="AA772" s="68">
        <f>VLOOKUP(A772,'[1]DANH SÁCH'!$B$8:$AD$841,12,0)</f>
        <v>0</v>
      </c>
      <c r="AB772" s="47"/>
      <c r="AC772" s="69" t="str">
        <f>VLOOKUP(A772,'[1]DANH SÁCH'!$B$8:$J$841,9,0)</f>
        <v>HCQT</v>
      </c>
      <c r="AD772" s="47"/>
      <c r="AE772" s="69" t="str">
        <f>VLOOKUP(A772,'[1]DANH SÁCH'!$B$8:$AD$841,13,0)</f>
        <v>HĐ có thời hạn</v>
      </c>
      <c r="AF772" s="46"/>
      <c r="AG772" s="47"/>
      <c r="AH772" s="45">
        <v>1.68</v>
      </c>
      <c r="AI772" s="42">
        <v>2</v>
      </c>
      <c r="AJ772" s="70"/>
      <c r="AK772" s="69">
        <v>45689</v>
      </c>
      <c r="AL772" s="47"/>
      <c r="AM772" s="53" t="str">
        <f>VLOOKUP(A772,'[1]DANH SÁCH'!$B$8:$F$841,5,0)</f>
        <v>Bảo vệ</v>
      </c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 t="s">
        <v>85</v>
      </c>
      <c r="AZ772" s="47"/>
      <c r="BA772" s="47"/>
      <c r="BB772" s="47"/>
      <c r="BC772" s="81"/>
      <c r="BD772" s="47"/>
    </row>
    <row r="773" spans="1:56" ht="20.399999999999999" x14ac:dyDescent="0.3">
      <c r="A773" s="61" t="s">
        <v>5517</v>
      </c>
      <c r="B773" s="42">
        <f t="shared" si="200"/>
        <v>767</v>
      </c>
      <c r="C773" s="56" t="s">
        <v>5518</v>
      </c>
      <c r="D773" s="61" t="s">
        <v>5517</v>
      </c>
      <c r="E773" s="47"/>
      <c r="F773" s="47"/>
      <c r="G773" s="42"/>
      <c r="H773" s="69">
        <v>25949</v>
      </c>
      <c r="I773" s="42"/>
      <c r="J773" s="66">
        <f ca="1">INT(DATEDIF(H773,'[1]Bieu 1a'!$J$2,"d")/365)</f>
        <v>55</v>
      </c>
      <c r="K773" s="42"/>
      <c r="L773" s="42"/>
      <c r="M773" s="53"/>
      <c r="N773" s="42"/>
      <c r="O773" s="69"/>
      <c r="P773" s="69"/>
      <c r="Q773" s="147"/>
      <c r="R773" s="49"/>
      <c r="S773" s="42"/>
      <c r="T773" s="42" t="s">
        <v>5510</v>
      </c>
      <c r="U773" s="42" t="s">
        <v>5510</v>
      </c>
      <c r="V773" s="56" t="s">
        <v>5519</v>
      </c>
      <c r="W773" s="41" t="s">
        <v>5514</v>
      </c>
      <c r="X773" s="42" t="s">
        <v>5510</v>
      </c>
      <c r="Y773" s="42" t="s">
        <v>5510</v>
      </c>
      <c r="Z773" s="42"/>
      <c r="AA773" s="68">
        <f>VLOOKUP(A773,'[1]DANH SÁCH'!$B$8:$AD$841,12,0)</f>
        <v>0</v>
      </c>
      <c r="AB773" s="47"/>
      <c r="AC773" s="69" t="str">
        <f>VLOOKUP(A773,'[1]DANH SÁCH'!$B$8:$J$841,9,0)</f>
        <v>HCQT</v>
      </c>
      <c r="AD773" s="47"/>
      <c r="AE773" s="69" t="str">
        <f>VLOOKUP(A773,'[1]DANH SÁCH'!$B$8:$AD$841,13,0)</f>
        <v>HĐ có thời hạn</v>
      </c>
      <c r="AF773" s="46"/>
      <c r="AG773" s="47"/>
      <c r="AH773" s="45">
        <v>1.54</v>
      </c>
      <c r="AI773" s="42">
        <v>4</v>
      </c>
      <c r="AJ773" s="70"/>
      <c r="AK773" s="69">
        <v>45689</v>
      </c>
      <c r="AL773" s="47"/>
      <c r="AM773" s="53" t="str">
        <f>VLOOKUP(A773,'[1]DANH SÁCH'!$B$8:$F$841,5,0)</f>
        <v>NVPV</v>
      </c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 t="s">
        <v>85</v>
      </c>
      <c r="AZ773" s="47"/>
      <c r="BA773" s="47"/>
      <c r="BB773" s="47"/>
      <c r="BC773" s="81"/>
      <c r="BD773" s="47"/>
    </row>
    <row r="774" spans="1:56" ht="20.399999999999999" x14ac:dyDescent="0.3">
      <c r="A774" s="42" t="s">
        <v>5520</v>
      </c>
      <c r="B774" s="42">
        <f t="shared" si="200"/>
        <v>768</v>
      </c>
      <c r="C774" s="110" t="s">
        <v>5521</v>
      </c>
      <c r="D774" s="42" t="s">
        <v>5520</v>
      </c>
      <c r="E774" s="47"/>
      <c r="F774" s="47"/>
      <c r="G774" s="42"/>
      <c r="H774" s="69">
        <v>35592</v>
      </c>
      <c r="I774" s="42"/>
      <c r="J774" s="66">
        <f ca="1">INT(DATEDIF(H774,'[1]Bieu 1a'!$J$2,"d")/365)</f>
        <v>29</v>
      </c>
      <c r="K774" s="42"/>
      <c r="L774" s="42"/>
      <c r="M774" s="53"/>
      <c r="N774" s="42"/>
      <c r="O774" s="69"/>
      <c r="P774" s="69"/>
      <c r="Q774" s="147"/>
      <c r="R774" s="49"/>
      <c r="S774" s="42"/>
      <c r="T774" s="42"/>
      <c r="U774" s="42"/>
      <c r="V774" s="56" t="s">
        <v>5522</v>
      </c>
      <c r="W774" s="41" t="s">
        <v>5523</v>
      </c>
      <c r="X774" s="41" t="s">
        <v>5524</v>
      </c>
      <c r="Y774" s="42"/>
      <c r="Z774" s="42"/>
      <c r="AA774" s="68">
        <f>VLOOKUP(A774,'[1]DANH SÁCH'!$B$8:$AD$841,12,0)</f>
        <v>0</v>
      </c>
      <c r="AB774" s="47"/>
      <c r="AC774" s="69" t="str">
        <f>VLOOKUP(A774,'[1]DANH SÁCH'!$B$8:$J$841,9,0)</f>
        <v>Ngoại Thận - Tiết niệu</v>
      </c>
      <c r="AD774" s="47"/>
      <c r="AE774" s="69" t="str">
        <f>VLOOKUP(A774,'[1]DANH SÁCH'!$B$8:$AD$841,13,0)</f>
        <v>Viên chức</v>
      </c>
      <c r="AF774" s="46"/>
      <c r="AG774" s="47"/>
      <c r="AH774" s="45" t="e">
        <v>#N/A</v>
      </c>
      <c r="AI774" s="42" t="e">
        <v>#N/A</v>
      </c>
      <c r="AJ774" s="70"/>
      <c r="AK774" s="69" t="e">
        <v>#N/A</v>
      </c>
      <c r="AL774" s="47" t="s">
        <v>80</v>
      </c>
      <c r="AM774" s="53" t="str">
        <f>VLOOKUP(A774,'[1]DANH SÁCH'!$B$8:$F$841,5,0)</f>
        <v>Bác sĩ</v>
      </c>
      <c r="AN774" s="47" t="s">
        <v>372</v>
      </c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 t="s">
        <v>85</v>
      </c>
      <c r="AZ774" s="47"/>
      <c r="BA774" s="47"/>
      <c r="BB774" s="47"/>
      <c r="BC774" s="81"/>
      <c r="BD774" s="47"/>
    </row>
    <row r="775" spans="1:56" ht="20.399999999999999" x14ac:dyDescent="0.3">
      <c r="A775" s="109" t="s">
        <v>5525</v>
      </c>
      <c r="B775" s="42">
        <f t="shared" si="200"/>
        <v>769</v>
      </c>
      <c r="C775" s="155" t="s">
        <v>5526</v>
      </c>
      <c r="D775" s="47"/>
      <c r="E775" s="64"/>
      <c r="F775" s="64"/>
      <c r="G775" s="49"/>
      <c r="H775" s="47"/>
      <c r="I775" s="156" t="s">
        <v>5527</v>
      </c>
      <c r="J775" s="66">
        <f ca="1">INT(DATEDIF(I775,'[1]Bieu 1a'!$J$2,"d")/365)</f>
        <v>37</v>
      </c>
      <c r="K775" s="46"/>
      <c r="L775" s="47"/>
      <c r="M775" s="56"/>
      <c r="N775" s="52"/>
      <c r="O775" s="56"/>
      <c r="P775" s="47"/>
      <c r="Q775" s="47"/>
      <c r="R775" s="49"/>
      <c r="S775" s="47"/>
      <c r="T775" s="47"/>
      <c r="U775" s="47"/>
      <c r="V775" s="56" t="s">
        <v>5528</v>
      </c>
      <c r="W775" s="177">
        <v>45293</v>
      </c>
      <c r="X775" s="46"/>
      <c r="Y775" s="46"/>
      <c r="Z775" s="46"/>
      <c r="AA775" s="68">
        <f>VLOOKUP(A775,'[1]DANH SÁCH'!$B$8:$AD$841,12,0)</f>
        <v>0</v>
      </c>
      <c r="AB775" s="47"/>
      <c r="AC775" s="69" t="str">
        <f>VLOOKUP(A775,'[1]DANH SÁCH'!$B$8:$J$841,9,0)</f>
        <v>KSNK</v>
      </c>
      <c r="AD775" s="47"/>
      <c r="AE775" s="69" t="str">
        <f>VLOOKUP(A775,'[1]DANH SÁCH'!$B$8:$AD$841,13,0)</f>
        <v>HĐ có thời hạn</v>
      </c>
      <c r="AF775" s="46"/>
      <c r="AG775" s="47"/>
      <c r="AH775" s="45" t="e">
        <v>#N/A</v>
      </c>
      <c r="AI775" s="42" t="e">
        <v>#N/A</v>
      </c>
      <c r="AJ775" s="70"/>
      <c r="AK775" s="69" t="e">
        <v>#N/A</v>
      </c>
      <c r="AL775" s="47"/>
      <c r="AM775" s="53" t="str">
        <f>VLOOKUP(A775,'[1]DANH SÁCH'!$B$8:$F$841,5,0)</f>
        <v>NVPV</v>
      </c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81"/>
      <c r="BD775" s="47"/>
    </row>
    <row r="776" spans="1:56" ht="20.399999999999999" x14ac:dyDescent="0.3">
      <c r="A776" s="109" t="s">
        <v>5529</v>
      </c>
      <c r="B776" s="42">
        <f t="shared" si="200"/>
        <v>770</v>
      </c>
      <c r="C776" s="155" t="s">
        <v>5530</v>
      </c>
      <c r="D776" s="47"/>
      <c r="E776" s="64"/>
      <c r="F776" s="64"/>
      <c r="G776" s="49"/>
      <c r="H776" s="47"/>
      <c r="I776" s="156" t="s">
        <v>5531</v>
      </c>
      <c r="J776" s="66">
        <f ca="1">INT(DATEDIF(I776,'[1]Bieu 1a'!$J$2,"d")/365)</f>
        <v>25</v>
      </c>
      <c r="K776" s="46"/>
      <c r="L776" s="47"/>
      <c r="M776" s="56"/>
      <c r="N776" s="52"/>
      <c r="O776" s="56"/>
      <c r="P776" s="47"/>
      <c r="Q776" s="47"/>
      <c r="R776" s="49"/>
      <c r="S776" s="47"/>
      <c r="T776" s="47"/>
      <c r="U776" s="47"/>
      <c r="V776" s="56" t="s">
        <v>5336</v>
      </c>
      <c r="W776" s="177">
        <v>45293</v>
      </c>
      <c r="X776" s="46"/>
      <c r="Y776" s="46"/>
      <c r="Z776" s="46"/>
      <c r="AA776" s="68">
        <f>VLOOKUP(A776,'[1]DANH SÁCH'!$B$8:$AD$841,12,0)</f>
        <v>0</v>
      </c>
      <c r="AB776" s="47"/>
      <c r="AC776" s="69" t="str">
        <f>VLOOKUP(A776,'[1]DANH SÁCH'!$B$8:$J$841,9,0)</f>
        <v>Ngoại TK-LN</v>
      </c>
      <c r="AD776" s="47"/>
      <c r="AE776" s="69" t="str">
        <f>VLOOKUP(A776,'[1]DANH SÁCH'!$B$8:$AD$841,13,0)</f>
        <v>Viên chức</v>
      </c>
      <c r="AF776" s="46"/>
      <c r="AG776" s="47"/>
      <c r="AH776" s="45" t="s">
        <v>5284</v>
      </c>
      <c r="AI776" s="42">
        <v>1</v>
      </c>
      <c r="AJ776" s="70"/>
      <c r="AK776" s="69">
        <v>45659</v>
      </c>
      <c r="AL776" s="47" t="s">
        <v>80</v>
      </c>
      <c r="AM776" s="53" t="str">
        <f>VLOOKUP(A776,'[1]DANH SÁCH'!$B$8:$F$841,5,0)</f>
        <v>Điều dưỡng ĐH</v>
      </c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81"/>
      <c r="BD776" s="47"/>
    </row>
    <row r="777" spans="1:56" x14ac:dyDescent="0.3">
      <c r="A777" s="109" t="s">
        <v>5532</v>
      </c>
      <c r="B777" s="42">
        <f t="shared" si="200"/>
        <v>771</v>
      </c>
      <c r="C777" s="155" t="s">
        <v>701</v>
      </c>
      <c r="D777" s="47"/>
      <c r="E777" s="64"/>
      <c r="F777" s="64"/>
      <c r="G777" s="49"/>
      <c r="H777" s="47"/>
      <c r="I777" s="156" t="s">
        <v>5533</v>
      </c>
      <c r="J777" s="66">
        <f ca="1">INT(DATEDIF(I777,'[1]Bieu 1a'!$J$2,"d")/365)</f>
        <v>29</v>
      </c>
      <c r="K777" s="46"/>
      <c r="L777" s="47"/>
      <c r="M777" s="56"/>
      <c r="N777" s="52"/>
      <c r="O777" s="56"/>
      <c r="P777" s="47"/>
      <c r="Q777" s="47"/>
      <c r="R777" s="49"/>
      <c r="S777" s="47"/>
      <c r="T777" s="47"/>
      <c r="U777" s="47"/>
      <c r="V777" s="56" t="s">
        <v>5534</v>
      </c>
      <c r="W777" s="177">
        <v>45337</v>
      </c>
      <c r="X777" s="46"/>
      <c r="Y777" s="46"/>
      <c r="Z777" s="46"/>
      <c r="AA777" s="68">
        <f>VLOOKUP(A777,'[1]DANH SÁCH'!$B$8:$AD$841,12,0)</f>
        <v>0</v>
      </c>
      <c r="AB777" s="47"/>
      <c r="AC777" s="69" t="str">
        <f>VLOOKUP(A777,'[1]DANH SÁCH'!$B$8:$J$841,9,0)</f>
        <v>Dược</v>
      </c>
      <c r="AD777" s="47"/>
      <c r="AE777" s="69" t="str">
        <f>VLOOKUP(A777,'[1]DANH SÁCH'!$B$8:$AD$841,13,0)</f>
        <v>Viên chức</v>
      </c>
      <c r="AF777" s="46"/>
      <c r="AG777" s="47"/>
      <c r="AH777" s="45" t="s">
        <v>5284</v>
      </c>
      <c r="AI777" s="42" t="s">
        <v>5535</v>
      </c>
      <c r="AJ777" s="70"/>
      <c r="AK777" s="69">
        <v>45703</v>
      </c>
      <c r="AL777" s="47" t="s">
        <v>80</v>
      </c>
      <c r="AM777" s="53" t="str">
        <f>VLOOKUP(A777,'[1]DANH SÁCH'!$B$8:$F$841,5,0)</f>
        <v>Dược sỹ ĐH</v>
      </c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186" t="s">
        <v>5536</v>
      </c>
      <c r="AZ777" s="47"/>
      <c r="BA777" s="47"/>
      <c r="BB777" s="47"/>
      <c r="BC777" s="81"/>
      <c r="BD777" s="47"/>
    </row>
    <row r="778" spans="1:56" ht="20.399999999999999" x14ac:dyDescent="0.3">
      <c r="A778" s="109" t="s">
        <v>5537</v>
      </c>
      <c r="B778" s="42">
        <f t="shared" si="200"/>
        <v>772</v>
      </c>
      <c r="C778" s="155" t="s">
        <v>5538</v>
      </c>
      <c r="D778" s="47"/>
      <c r="E778" s="64"/>
      <c r="F778" s="64"/>
      <c r="G778" s="49"/>
      <c r="H778" s="47"/>
      <c r="I778" s="156" t="s">
        <v>5539</v>
      </c>
      <c r="J778" s="66">
        <f ca="1">INT(DATEDIF(I778,'[1]Bieu 1a'!$J$2,"d")/365)</f>
        <v>32</v>
      </c>
      <c r="K778" s="46"/>
      <c r="L778" s="47"/>
      <c r="M778" s="56"/>
      <c r="N778" s="52"/>
      <c r="O778" s="56"/>
      <c r="P778" s="47"/>
      <c r="Q778" s="47"/>
      <c r="R778" s="49"/>
      <c r="S778" s="47"/>
      <c r="T778" s="47"/>
      <c r="U778" s="47"/>
      <c r="V778" s="56" t="s">
        <v>4061</v>
      </c>
      <c r="W778" s="177">
        <v>45323</v>
      </c>
      <c r="X778" s="46"/>
      <c r="Y778" s="46"/>
      <c r="Z778" s="46"/>
      <c r="AA778" s="68">
        <f>VLOOKUP(A778,'[1]DANH SÁCH'!$B$8:$AD$841,12,0)</f>
        <v>0</v>
      </c>
      <c r="AB778" s="47"/>
      <c r="AC778" s="69" t="str">
        <f>VLOOKUP(A778,'[1]DANH SÁCH'!$B$8:$J$841,9,0)</f>
        <v>Nội Tổng hợp</v>
      </c>
      <c r="AD778" s="47"/>
      <c r="AE778" s="69" t="str">
        <f>VLOOKUP(A778,'[1]DANH SÁCH'!$B$8:$AD$841,13,0)</f>
        <v>Viên chức</v>
      </c>
      <c r="AF778" s="46"/>
      <c r="AG778" s="47"/>
      <c r="AH778" s="45" t="s">
        <v>5324</v>
      </c>
      <c r="AI778" s="42">
        <v>1</v>
      </c>
      <c r="AJ778" s="70"/>
      <c r="AK778" s="69">
        <v>45597</v>
      </c>
      <c r="AL778" s="47" t="s">
        <v>158</v>
      </c>
      <c r="AM778" s="53" t="str">
        <f>VLOOKUP(A778,'[1]DANH SÁCH'!$B$8:$F$841,5,0)</f>
        <v>Điều dưỡng CĐ</v>
      </c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186" t="s">
        <v>298</v>
      </c>
      <c r="AZ778" s="47"/>
      <c r="BA778" s="47"/>
      <c r="BB778" s="47"/>
      <c r="BC778" s="81"/>
      <c r="BD778" s="47"/>
    </row>
    <row r="779" spans="1:56" x14ac:dyDescent="0.3">
      <c r="A779" s="109" t="s">
        <v>5540</v>
      </c>
      <c r="B779" s="42">
        <f t="shared" si="200"/>
        <v>773</v>
      </c>
      <c r="C779" s="155" t="s">
        <v>5541</v>
      </c>
      <c r="D779" s="47"/>
      <c r="E779" s="64"/>
      <c r="F779" s="64"/>
      <c r="G779" s="49"/>
      <c r="H779" s="156" t="s">
        <v>5542</v>
      </c>
      <c r="I779" s="47"/>
      <c r="J779" s="66">
        <f ca="1">INT(DATEDIF(H779,'[1]Bieu 1a'!$J$2,"d")/365)</f>
        <v>29</v>
      </c>
      <c r="K779" s="46"/>
      <c r="L779" s="47"/>
      <c r="M779" s="56"/>
      <c r="N779" s="52"/>
      <c r="O779" s="56"/>
      <c r="P779" s="47"/>
      <c r="Q779" s="47"/>
      <c r="R779" s="49"/>
      <c r="S779" s="47"/>
      <c r="T779" s="47"/>
      <c r="U779" s="47"/>
      <c r="V779" s="56" t="s">
        <v>5543</v>
      </c>
      <c r="W779" s="177">
        <v>45323</v>
      </c>
      <c r="X779" s="46"/>
      <c r="Y779" s="46"/>
      <c r="Z779" s="46"/>
      <c r="AA779" s="68" t="e">
        <f>VLOOKUP(A779,'[1]DANH SÁCH'!$B$8:$AD$841,12,0)</f>
        <v>#N/A</v>
      </c>
      <c r="AB779" s="47"/>
      <c r="AC779" s="69" t="e">
        <f>VLOOKUP(A779,'[1]DANH SÁCH'!$B$8:$J$841,9,0)</f>
        <v>#N/A</v>
      </c>
      <c r="AD779" s="47"/>
      <c r="AE779" s="69" t="e">
        <f>VLOOKUP(A779,'[1]DANH SÁCH'!$B$8:$AD$841,13,0)</f>
        <v>#N/A</v>
      </c>
      <c r="AF779" s="46"/>
      <c r="AG779" s="47"/>
      <c r="AH779" s="45" t="s">
        <v>5284</v>
      </c>
      <c r="AI779" s="42">
        <v>1</v>
      </c>
      <c r="AJ779" s="70"/>
      <c r="AK779" s="69">
        <v>45597</v>
      </c>
      <c r="AL779" s="47" t="s">
        <v>80</v>
      </c>
      <c r="AM779" s="53" t="e">
        <f>VLOOKUP(A779,'[1]DANH SÁCH'!$B$8:$F$841,5,0)</f>
        <v>#N/A</v>
      </c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186" t="s">
        <v>298</v>
      </c>
      <c r="AZ779" s="47"/>
      <c r="BA779" s="47"/>
      <c r="BB779" s="47"/>
      <c r="BC779" s="81"/>
      <c r="BD779" s="47"/>
    </row>
    <row r="780" spans="1:56" ht="20.399999999999999" x14ac:dyDescent="0.3">
      <c r="A780" s="109" t="s">
        <v>5544</v>
      </c>
      <c r="B780" s="42">
        <f t="shared" si="200"/>
        <v>774</v>
      </c>
      <c r="C780" s="155" t="s">
        <v>5545</v>
      </c>
      <c r="D780" s="47"/>
      <c r="E780" s="64"/>
      <c r="F780" s="64"/>
      <c r="G780" s="49"/>
      <c r="H780" s="47"/>
      <c r="I780" s="156" t="s">
        <v>5546</v>
      </c>
      <c r="J780" s="66">
        <f ca="1">INT(DATEDIF(I780,'[1]Bieu 1a'!$J$2,"d")/365)</f>
        <v>27</v>
      </c>
      <c r="K780" s="46"/>
      <c r="L780" s="47"/>
      <c r="M780" s="56"/>
      <c r="N780" s="52"/>
      <c r="O780" s="56"/>
      <c r="P780" s="47"/>
      <c r="Q780" s="47"/>
      <c r="R780" s="49"/>
      <c r="S780" s="47"/>
      <c r="T780" s="47"/>
      <c r="U780" s="47"/>
      <c r="V780" s="56" t="s">
        <v>5547</v>
      </c>
      <c r="W780" s="177">
        <v>45337</v>
      </c>
      <c r="X780" s="46"/>
      <c r="Y780" s="46"/>
      <c r="Z780" s="46"/>
      <c r="AA780" s="68">
        <f>VLOOKUP(A780,'[1]DANH SÁCH'!$B$8:$AD$841,12,0)</f>
        <v>0</v>
      </c>
      <c r="AB780" s="47"/>
      <c r="AC780" s="69" t="str">
        <f>VLOOKUP(A780,'[1]DANH SÁCH'!$B$8:$J$841,9,0)</f>
        <v>Lão - CXK</v>
      </c>
      <c r="AD780" s="47"/>
      <c r="AE780" s="69" t="str">
        <f>VLOOKUP(A780,'[1]DANH SÁCH'!$B$8:$AD$841,13,0)</f>
        <v>HĐ có thời hạn</v>
      </c>
      <c r="AF780" s="46"/>
      <c r="AG780" s="47"/>
      <c r="AH780" s="45" t="s">
        <v>5284</v>
      </c>
      <c r="AI780" s="42">
        <v>1</v>
      </c>
      <c r="AJ780" s="70"/>
      <c r="AK780" s="69">
        <v>45641</v>
      </c>
      <c r="AL780" s="47" t="s">
        <v>80</v>
      </c>
      <c r="AM780" s="53" t="str">
        <f>VLOOKUP(A780,'[1]DANH SÁCH'!$B$8:$F$841,5,0)</f>
        <v>Bác sĩ</v>
      </c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186"/>
      <c r="AZ780" s="47"/>
      <c r="BA780" s="47"/>
      <c r="BB780" s="47"/>
      <c r="BC780" s="81"/>
      <c r="BD780" s="47"/>
    </row>
    <row r="781" spans="1:56" x14ac:dyDescent="0.3">
      <c r="A781" s="61" t="s">
        <v>5548</v>
      </c>
      <c r="B781" s="42">
        <f t="shared" si="200"/>
        <v>775</v>
      </c>
      <c r="C781" s="64" t="s">
        <v>5549</v>
      </c>
      <c r="D781" s="47"/>
      <c r="E781" s="64"/>
      <c r="F781" s="64"/>
      <c r="G781" s="49" t="s">
        <v>5550</v>
      </c>
      <c r="H781" s="47"/>
      <c r="I781" s="47" t="s">
        <v>5551</v>
      </c>
      <c r="J781" s="66">
        <f ca="1">INT(DATEDIF(I781,'[1]Bieu 1a'!$J$2,"d")/365)</f>
        <v>28</v>
      </c>
      <c r="K781" s="46" t="s">
        <v>5550</v>
      </c>
      <c r="L781" s="47" t="s">
        <v>5552</v>
      </c>
      <c r="M781" s="56" t="s">
        <v>532</v>
      </c>
      <c r="N781" s="52"/>
      <c r="O781" s="56"/>
      <c r="P781" s="47"/>
      <c r="Q781" s="47"/>
      <c r="R781" s="49"/>
      <c r="S781" s="47"/>
      <c r="T781" s="47"/>
      <c r="U781" s="47"/>
      <c r="V781" s="56" t="s">
        <v>5553</v>
      </c>
      <c r="W781" s="67" t="s">
        <v>5554</v>
      </c>
      <c r="X781" s="46"/>
      <c r="Y781" s="46"/>
      <c r="Z781" s="46"/>
      <c r="AA781" s="68">
        <f>VLOOKUP(A781,'[1]DANH SÁCH'!$B$8:$AD$841,12,0)</f>
        <v>0</v>
      </c>
      <c r="AB781" s="47"/>
      <c r="AC781" s="69" t="str">
        <f>VLOOKUP(A781,'[1]DANH SÁCH'!$B$8:$J$841,9,0)</f>
        <v>CĐHA</v>
      </c>
      <c r="AD781" s="47"/>
      <c r="AE781" s="69" t="str">
        <f>VLOOKUP(A781,'[1]DANH SÁCH'!$B$8:$AD$841,13,0)</f>
        <v>Viên chức</v>
      </c>
      <c r="AF781" s="46"/>
      <c r="AG781" s="47"/>
      <c r="AH781" s="45" t="s">
        <v>5284</v>
      </c>
      <c r="AI781" s="42">
        <v>1</v>
      </c>
      <c r="AJ781" s="70"/>
      <c r="AK781" s="69">
        <v>45659</v>
      </c>
      <c r="AL781" s="47" t="s">
        <v>80</v>
      </c>
      <c r="AM781" s="53" t="str">
        <f>VLOOKUP(A781,'[1]DANH SÁCH'!$B$8:$F$841,5,0)</f>
        <v>Bác sĩ</v>
      </c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81"/>
      <c r="BD781" s="47"/>
    </row>
    <row r="782" spans="1:56" ht="20.399999999999999" x14ac:dyDescent="0.3">
      <c r="A782" s="61" t="s">
        <v>5555</v>
      </c>
      <c r="B782" s="42">
        <f t="shared" si="200"/>
        <v>776</v>
      </c>
      <c r="C782" s="49" t="s">
        <v>5556</v>
      </c>
      <c r="D782" s="47"/>
      <c r="E782" s="64"/>
      <c r="F782" s="64"/>
      <c r="G782" s="49" t="s">
        <v>5557</v>
      </c>
      <c r="H782" s="47"/>
      <c r="I782" s="47" t="s">
        <v>5546</v>
      </c>
      <c r="J782" s="66">
        <f ca="1">INT(DATEDIF(I782,'[1]Bieu 1a'!$J$2,"d")/365)</f>
        <v>27</v>
      </c>
      <c r="K782" s="46" t="s">
        <v>5557</v>
      </c>
      <c r="L782" s="47" t="s">
        <v>5182</v>
      </c>
      <c r="M782" s="56" t="s">
        <v>3778</v>
      </c>
      <c r="N782" s="52"/>
      <c r="O782" s="56"/>
      <c r="P782" s="47"/>
      <c r="Q782" s="47"/>
      <c r="R782" s="49"/>
      <c r="S782" s="47"/>
      <c r="T782" s="47"/>
      <c r="U782" s="47"/>
      <c r="V782" s="56" t="s">
        <v>5558</v>
      </c>
      <c r="W782" s="67" t="s">
        <v>5559</v>
      </c>
      <c r="X782" s="46"/>
      <c r="Y782" s="46"/>
      <c r="Z782" s="46"/>
      <c r="AA782" s="68">
        <f>VLOOKUP(A782,'[1]DANH SÁCH'!$B$8:$AD$841,12,0)</f>
        <v>0</v>
      </c>
      <c r="AB782" s="47"/>
      <c r="AC782" s="69" t="str">
        <f>VLOOKUP(A782,'[1]DANH SÁCH'!$B$8:$J$841,9,0)</f>
        <v>Ngoại Tiêu hóa</v>
      </c>
      <c r="AD782" s="47"/>
      <c r="AE782" s="69" t="str">
        <f>VLOOKUP(A782,'[1]DANH SÁCH'!$B$8:$AD$841,13,0)</f>
        <v>Viên chức</v>
      </c>
      <c r="AF782" s="46"/>
      <c r="AG782" s="47"/>
      <c r="AH782" s="45" t="s">
        <v>4054</v>
      </c>
      <c r="AI782" s="42">
        <v>2</v>
      </c>
      <c r="AJ782" s="70"/>
      <c r="AK782" s="69">
        <v>45629</v>
      </c>
      <c r="AL782" s="47" t="s">
        <v>158</v>
      </c>
      <c r="AM782" s="53" t="str">
        <f>VLOOKUP(A782,'[1]DANH SÁCH'!$B$8:$F$841,5,0)</f>
        <v>Điều dưỡng CĐ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 t="s">
        <v>942</v>
      </c>
      <c r="AZ782" s="47"/>
      <c r="BA782" s="47"/>
      <c r="BB782" s="47"/>
      <c r="BC782" s="81"/>
      <c r="BD782" s="47"/>
    </row>
    <row r="783" spans="1:56" ht="20.399999999999999" x14ac:dyDescent="0.3">
      <c r="A783" s="61" t="s">
        <v>5560</v>
      </c>
      <c r="B783" s="42">
        <f t="shared" si="200"/>
        <v>777</v>
      </c>
      <c r="C783" s="64" t="s">
        <v>5561</v>
      </c>
      <c r="D783" s="47"/>
      <c r="E783" s="64"/>
      <c r="F783" s="64"/>
      <c r="G783" s="49" t="s">
        <v>5562</v>
      </c>
      <c r="H783" s="47" t="s">
        <v>5563</v>
      </c>
      <c r="I783" s="64"/>
      <c r="J783" s="66">
        <f ca="1">INT(DATEDIF(H783,'[1]Bieu 1a'!$J$2,"d")/365)</f>
        <v>30</v>
      </c>
      <c r="K783" s="46" t="s">
        <v>5562</v>
      </c>
      <c r="L783" s="47" t="s">
        <v>5564</v>
      </c>
      <c r="M783" s="56" t="s">
        <v>532</v>
      </c>
      <c r="N783" s="52"/>
      <c r="O783" s="56"/>
      <c r="P783" s="47"/>
      <c r="Q783" s="47"/>
      <c r="R783" s="49"/>
      <c r="S783" s="47"/>
      <c r="T783" s="47"/>
      <c r="U783" s="47"/>
      <c r="V783" s="56" t="s">
        <v>5565</v>
      </c>
      <c r="W783" s="67" t="s">
        <v>5566</v>
      </c>
      <c r="X783" s="46"/>
      <c r="Y783" s="46"/>
      <c r="Z783" s="46"/>
      <c r="AA783" s="68">
        <f>VLOOKUP(A783,'[1]DANH SÁCH'!$B$8:$AD$841,12,0)</f>
        <v>0</v>
      </c>
      <c r="AB783" s="47"/>
      <c r="AC783" s="69" t="str">
        <f>VLOOKUP(A783,'[1]DANH SÁCH'!$B$8:$J$841,9,0)</f>
        <v>Chấn thương - Bỏng</v>
      </c>
      <c r="AD783" s="47"/>
      <c r="AE783" s="69" t="str">
        <f>VLOOKUP(A783,'[1]DANH SÁCH'!$B$8:$AD$841,13,0)</f>
        <v>HĐ có thời hạn</v>
      </c>
      <c r="AF783" s="46"/>
      <c r="AG783" s="47"/>
      <c r="AH783" s="45" t="s">
        <v>5284</v>
      </c>
      <c r="AI783" s="42">
        <v>1</v>
      </c>
      <c r="AJ783" s="70"/>
      <c r="AK783" s="69">
        <v>45658</v>
      </c>
      <c r="AL783" s="47" t="s">
        <v>80</v>
      </c>
      <c r="AM783" s="53" t="str">
        <f>VLOOKUP(A783,'[1]DANH SÁCH'!$B$8:$F$841,5,0)</f>
        <v>Bác sĩ</v>
      </c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81"/>
      <c r="BD783" s="47"/>
    </row>
    <row r="784" spans="1:56" ht="20.399999999999999" x14ac:dyDescent="0.3">
      <c r="A784" s="61" t="s">
        <v>5567</v>
      </c>
      <c r="B784" s="42">
        <f t="shared" si="200"/>
        <v>778</v>
      </c>
      <c r="C784" s="64" t="s">
        <v>5568</v>
      </c>
      <c r="D784" s="47"/>
      <c r="E784" s="64"/>
      <c r="F784" s="64"/>
      <c r="G784" s="49" t="s">
        <v>5569</v>
      </c>
      <c r="H784" s="65">
        <v>37564</v>
      </c>
      <c r="I784" s="47"/>
      <c r="J784" s="66">
        <f ca="1">INT(DATEDIF(H784,'[1]Bieu 1a'!$J$2,"d")/365)</f>
        <v>23</v>
      </c>
      <c r="K784" s="46" t="s">
        <v>5569</v>
      </c>
      <c r="L784" s="47" t="s">
        <v>5570</v>
      </c>
      <c r="M784" s="56" t="s">
        <v>532</v>
      </c>
      <c r="N784" s="52"/>
      <c r="O784" s="56"/>
      <c r="P784" s="47"/>
      <c r="Q784" s="47"/>
      <c r="R784" s="49"/>
      <c r="S784" s="47"/>
      <c r="T784" s="47"/>
      <c r="U784" s="47"/>
      <c r="V784" s="56" t="s">
        <v>5571</v>
      </c>
      <c r="W784" s="67" t="s">
        <v>5566</v>
      </c>
      <c r="X784" s="46"/>
      <c r="Y784" s="46"/>
      <c r="Z784" s="46"/>
      <c r="AA784" s="68">
        <f>VLOOKUP(A784,'[1]DANH SÁCH'!$B$8:$AD$841,12,0)</f>
        <v>0</v>
      </c>
      <c r="AB784" s="47"/>
      <c r="AC784" s="69" t="str">
        <f>VLOOKUP(A784,'[1]DANH SÁCH'!$B$8:$J$841,9,0)</f>
        <v>CĐHA</v>
      </c>
      <c r="AD784" s="47"/>
      <c r="AE784" s="69" t="str">
        <f>VLOOKUP(A784,'[1]DANH SÁCH'!$B$8:$AD$841,13,0)</f>
        <v>HĐ có thời hạn</v>
      </c>
      <c r="AF784" s="46"/>
      <c r="AG784" s="47"/>
      <c r="AH784" s="45" t="s">
        <v>5324</v>
      </c>
      <c r="AI784" s="42">
        <v>1</v>
      </c>
      <c r="AJ784" s="70"/>
      <c r="AK784" s="69">
        <v>45658</v>
      </c>
      <c r="AL784" s="47" t="s">
        <v>158</v>
      </c>
      <c r="AM784" s="53" t="str">
        <f>VLOOKUP(A784,'[1]DANH SÁCH'!$B$8:$F$841,5,0)</f>
        <v>KTY CĐ</v>
      </c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 t="s">
        <v>87</v>
      </c>
      <c r="AZ784" s="47"/>
      <c r="BA784" s="47"/>
      <c r="BB784" s="47"/>
      <c r="BC784" s="81"/>
      <c r="BD784" s="47"/>
    </row>
    <row r="785" spans="1:56" x14ac:dyDescent="0.3">
      <c r="A785" s="61" t="s">
        <v>5572</v>
      </c>
      <c r="B785" s="42">
        <f t="shared" si="200"/>
        <v>779</v>
      </c>
      <c r="C785" s="64" t="s">
        <v>5573</v>
      </c>
      <c r="D785" s="47"/>
      <c r="E785" s="64"/>
      <c r="F785" s="64"/>
      <c r="G785" s="49" t="s">
        <v>5574</v>
      </c>
      <c r="H785" s="47" t="s">
        <v>5575</v>
      </c>
      <c r="I785" s="47"/>
      <c r="J785" s="66">
        <f ca="1">INT(DATEDIF(H785,'[1]Bieu 1a'!$J$2,"d")/365)</f>
        <v>27</v>
      </c>
      <c r="K785" s="46" t="s">
        <v>5574</v>
      </c>
      <c r="L785" s="47" t="s">
        <v>5576</v>
      </c>
      <c r="M785" s="56" t="s">
        <v>532</v>
      </c>
      <c r="N785" s="52"/>
      <c r="O785" s="56"/>
      <c r="P785" s="47"/>
      <c r="Q785" s="47"/>
      <c r="R785" s="49"/>
      <c r="S785" s="47"/>
      <c r="T785" s="47"/>
      <c r="U785" s="47"/>
      <c r="V785" s="56" t="s">
        <v>5577</v>
      </c>
      <c r="W785" s="67" t="s">
        <v>5578</v>
      </c>
      <c r="X785" s="46"/>
      <c r="Y785" s="46"/>
      <c r="Z785" s="46"/>
      <c r="AA785" s="68">
        <f>VLOOKUP(A785,'[1]DANH SÁCH'!$B$8:$AD$841,12,0)</f>
        <v>0</v>
      </c>
      <c r="AB785" s="47"/>
      <c r="AC785" s="69" t="str">
        <f>VLOOKUP(A785,'[1]DANH SÁCH'!$B$8:$J$841,9,0)</f>
        <v>Mắt</v>
      </c>
      <c r="AD785" s="47"/>
      <c r="AE785" s="69" t="str">
        <f>VLOOKUP(A785,'[1]DANH SÁCH'!$B$8:$AD$841,13,0)</f>
        <v>Viên chức</v>
      </c>
      <c r="AF785" s="46"/>
      <c r="AG785" s="47"/>
      <c r="AH785" s="45" t="s">
        <v>5284</v>
      </c>
      <c r="AI785" s="42" t="s">
        <v>5579</v>
      </c>
      <c r="AJ785" s="70"/>
      <c r="AK785" s="69">
        <v>45748</v>
      </c>
      <c r="AL785" s="47" t="s">
        <v>80</v>
      </c>
      <c r="AM785" s="53" t="str">
        <f>VLOOKUP(A785,'[1]DANH SÁCH'!$B$8:$F$841,5,0)</f>
        <v>Bác sĩ</v>
      </c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186" t="s">
        <v>298</v>
      </c>
      <c r="AZ785" s="47"/>
      <c r="BA785" s="47"/>
      <c r="BB785" s="47"/>
      <c r="BC785" s="81"/>
      <c r="BD785" s="47"/>
    </row>
    <row r="786" spans="1:56" x14ac:dyDescent="0.3">
      <c r="A786" s="61" t="s">
        <v>5580</v>
      </c>
      <c r="B786" s="42">
        <f t="shared" si="200"/>
        <v>780</v>
      </c>
      <c r="C786" s="64" t="s">
        <v>5581</v>
      </c>
      <c r="D786" s="47"/>
      <c r="E786" s="64"/>
      <c r="F786" s="64"/>
      <c r="G786" s="49" t="s">
        <v>5582</v>
      </c>
      <c r="H786" s="47" t="s">
        <v>5583</v>
      </c>
      <c r="I786" s="47"/>
      <c r="J786" s="66">
        <f ca="1">INT(DATEDIF(H786,'[1]Bieu 1a'!$J$2,"d")/365)</f>
        <v>29</v>
      </c>
      <c r="K786" s="46" t="s">
        <v>5582</v>
      </c>
      <c r="L786" s="47" t="s">
        <v>5584</v>
      </c>
      <c r="M786" s="56" t="s">
        <v>532</v>
      </c>
      <c r="N786" s="52"/>
      <c r="O786" s="56"/>
      <c r="P786" s="47"/>
      <c r="Q786" s="47"/>
      <c r="R786" s="49"/>
      <c r="S786" s="47"/>
      <c r="T786" s="47"/>
      <c r="U786" s="47"/>
      <c r="V786" s="56" t="s">
        <v>5585</v>
      </c>
      <c r="W786" s="67" t="s">
        <v>5578</v>
      </c>
      <c r="X786" s="46"/>
      <c r="Y786" s="46"/>
      <c r="Z786" s="46"/>
      <c r="AA786" s="68">
        <f>VLOOKUP(A786,'[1]DANH SÁCH'!$B$8:$AD$841,12,0)</f>
        <v>0</v>
      </c>
      <c r="AB786" s="47"/>
      <c r="AC786" s="69" t="str">
        <f>VLOOKUP(A786,'[1]DANH SÁCH'!$B$8:$J$841,9,0)</f>
        <v>HSTC-CĐ</v>
      </c>
      <c r="AD786" s="47"/>
      <c r="AE786" s="69" t="str">
        <f>VLOOKUP(A786,'[1]DANH SÁCH'!$B$8:$AD$841,13,0)</f>
        <v>Viên chức</v>
      </c>
      <c r="AF786" s="46"/>
      <c r="AG786" s="47"/>
      <c r="AH786" s="45" t="s">
        <v>5284</v>
      </c>
      <c r="AI786" s="42" t="s">
        <v>5579</v>
      </c>
      <c r="AJ786" s="70"/>
      <c r="AK786" s="69">
        <v>45748</v>
      </c>
      <c r="AL786" s="47" t="s">
        <v>80</v>
      </c>
      <c r="AM786" s="53" t="str">
        <f>VLOOKUP(A786,'[1]DANH SÁCH'!$B$8:$F$841,5,0)</f>
        <v>Bác sĩ</v>
      </c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186" t="s">
        <v>298</v>
      </c>
      <c r="AZ786" s="47"/>
      <c r="BA786" s="47"/>
      <c r="BB786" s="47"/>
      <c r="BC786" s="81"/>
      <c r="BD786" s="47"/>
    </row>
    <row r="787" spans="1:56" x14ac:dyDescent="0.3">
      <c r="A787" s="61" t="s">
        <v>5586</v>
      </c>
      <c r="B787" s="42">
        <f t="shared" si="200"/>
        <v>781</v>
      </c>
      <c r="C787" s="64" t="s">
        <v>5587</v>
      </c>
      <c r="D787" s="47"/>
      <c r="E787" s="64"/>
      <c r="F787" s="64"/>
      <c r="G787" s="49" t="s">
        <v>5588</v>
      </c>
      <c r="H787" s="47"/>
      <c r="I787" s="47" t="s">
        <v>5589</v>
      </c>
      <c r="J787" s="66">
        <f ca="1">INT(DATEDIF(I787,'[1]Bieu 1a'!$J$2,"d")/365)</f>
        <v>29</v>
      </c>
      <c r="K787" s="46" t="s">
        <v>5588</v>
      </c>
      <c r="L787" s="47" t="s">
        <v>5590</v>
      </c>
      <c r="M787" s="56" t="s">
        <v>532</v>
      </c>
      <c r="N787" s="52"/>
      <c r="O787" s="56"/>
      <c r="P787" s="47"/>
      <c r="Q787" s="47"/>
      <c r="R787" s="49"/>
      <c r="S787" s="47"/>
      <c r="T787" s="47"/>
      <c r="U787" s="47"/>
      <c r="V787" s="56" t="s">
        <v>879</v>
      </c>
      <c r="W787" s="67" t="s">
        <v>5578</v>
      </c>
      <c r="X787" s="46"/>
      <c r="Y787" s="46"/>
      <c r="Z787" s="46"/>
      <c r="AA787" s="68">
        <f>VLOOKUP(A787,'[1]DANH SÁCH'!$B$8:$AD$841,12,0)</f>
        <v>0</v>
      </c>
      <c r="AB787" s="47"/>
      <c r="AC787" s="69" t="str">
        <f>VLOOKUP(A787,'[1]DANH SÁCH'!$B$8:$J$841,9,0)</f>
        <v>Nhi</v>
      </c>
      <c r="AD787" s="47"/>
      <c r="AE787" s="69" t="str">
        <f>VLOOKUP(A787,'[1]DANH SÁCH'!$B$8:$AD$841,13,0)</f>
        <v>Viên chức</v>
      </c>
      <c r="AF787" s="46"/>
      <c r="AG787" s="47"/>
      <c r="AH787" s="45" t="s">
        <v>5284</v>
      </c>
      <c r="AI787" s="42" t="s">
        <v>5579</v>
      </c>
      <c r="AJ787" s="70"/>
      <c r="AK787" s="69">
        <v>45748</v>
      </c>
      <c r="AL787" s="47" t="s">
        <v>80</v>
      </c>
      <c r="AM787" s="53" t="str">
        <f>VLOOKUP(A787,'[1]DANH SÁCH'!$B$8:$F$841,5,0)</f>
        <v>Bác sĩ</v>
      </c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186" t="s">
        <v>5536</v>
      </c>
      <c r="AZ787" s="47"/>
      <c r="BA787" s="47"/>
      <c r="BB787" s="47"/>
      <c r="BC787" s="81"/>
      <c r="BD787" s="47"/>
    </row>
    <row r="788" spans="1:56" x14ac:dyDescent="0.3">
      <c r="A788" s="61" t="s">
        <v>5591</v>
      </c>
      <c r="B788" s="42">
        <f t="shared" si="200"/>
        <v>782</v>
      </c>
      <c r="C788" s="64" t="s">
        <v>150</v>
      </c>
      <c r="D788" s="47"/>
      <c r="E788" s="64"/>
      <c r="F788" s="64"/>
      <c r="G788" s="49" t="s">
        <v>5592</v>
      </c>
      <c r="H788" s="47"/>
      <c r="I788" s="47" t="s">
        <v>5593</v>
      </c>
      <c r="J788" s="66">
        <f ca="1">INT(DATEDIF(I788,'[1]Bieu 1a'!$J$2,"d")/365)</f>
        <v>29</v>
      </c>
      <c r="K788" s="46" t="s">
        <v>5592</v>
      </c>
      <c r="L788" s="47" t="s">
        <v>5594</v>
      </c>
      <c r="M788" s="56" t="s">
        <v>532</v>
      </c>
      <c r="N788" s="52"/>
      <c r="O788" s="56"/>
      <c r="P788" s="47"/>
      <c r="Q788" s="47"/>
      <c r="R788" s="49"/>
      <c r="S788" s="47"/>
      <c r="T788" s="47"/>
      <c r="U788" s="47"/>
      <c r="V788" s="56" t="s">
        <v>5595</v>
      </c>
      <c r="W788" s="67" t="s">
        <v>5578</v>
      </c>
      <c r="X788" s="46"/>
      <c r="Y788" s="46"/>
      <c r="Z788" s="46"/>
      <c r="AA788" s="68">
        <f>VLOOKUP(A788,'[1]DANH SÁCH'!$B$8:$AD$841,12,0)</f>
        <v>0</v>
      </c>
      <c r="AB788" s="47"/>
      <c r="AC788" s="69" t="str">
        <f>VLOOKUP(A788,'[1]DANH SÁCH'!$B$8:$J$841,9,0)</f>
        <v>Lão - CXK</v>
      </c>
      <c r="AD788" s="47"/>
      <c r="AE788" s="69" t="str">
        <f>VLOOKUP(A788,'[1]DANH SÁCH'!$B$8:$AD$841,13,0)</f>
        <v>Viên chức</v>
      </c>
      <c r="AF788" s="46"/>
      <c r="AG788" s="47"/>
      <c r="AH788" s="45" t="s">
        <v>5284</v>
      </c>
      <c r="AI788" s="42">
        <v>1</v>
      </c>
      <c r="AJ788" s="70"/>
      <c r="AK788" s="69">
        <v>45474</v>
      </c>
      <c r="AL788" s="47" t="s">
        <v>80</v>
      </c>
      <c r="AM788" s="53" t="str">
        <f>VLOOKUP(A788,'[1]DANH SÁCH'!$B$8:$F$841,5,0)</f>
        <v>Thạc sỹ</v>
      </c>
      <c r="AN788" s="47" t="s">
        <v>138</v>
      </c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186" t="s">
        <v>298</v>
      </c>
      <c r="AZ788" s="47"/>
      <c r="BA788" s="47"/>
      <c r="BB788" s="47"/>
      <c r="BC788" s="81"/>
      <c r="BD788" s="47"/>
    </row>
    <row r="789" spans="1:56" ht="20.399999999999999" x14ac:dyDescent="0.3">
      <c r="A789" s="61" t="s">
        <v>5596</v>
      </c>
      <c r="B789" s="42">
        <f t="shared" si="200"/>
        <v>783</v>
      </c>
      <c r="C789" s="64" t="s">
        <v>5597</v>
      </c>
      <c r="D789" s="47"/>
      <c r="E789" s="64"/>
      <c r="F789" s="64"/>
      <c r="G789" s="49"/>
      <c r="H789" s="47"/>
      <c r="I789" s="156" t="s">
        <v>5598</v>
      </c>
      <c r="J789" s="66">
        <f ca="1">INT(DATEDIF(I789,'[1]Bieu 1a'!$J$2,"d")/365)</f>
        <v>25</v>
      </c>
      <c r="K789" s="156" t="s">
        <v>5599</v>
      </c>
      <c r="L789" s="156" t="s">
        <v>5600</v>
      </c>
      <c r="M789" s="94" t="s">
        <v>532</v>
      </c>
      <c r="N789" s="52"/>
      <c r="O789" s="56"/>
      <c r="P789" s="47"/>
      <c r="Q789" s="47"/>
      <c r="R789" s="49"/>
      <c r="S789" s="47"/>
      <c r="T789" s="47"/>
      <c r="U789" s="47"/>
      <c r="V789" s="56" t="s">
        <v>5601</v>
      </c>
      <c r="W789" s="62">
        <v>45540</v>
      </c>
      <c r="X789" s="46"/>
      <c r="Y789" s="46"/>
      <c r="Z789" s="46"/>
      <c r="AA789" s="68">
        <f>VLOOKUP(A789,'[1]DANH SÁCH'!$B$8:$AD$841,12,0)</f>
        <v>0</v>
      </c>
      <c r="AB789" s="47"/>
      <c r="AC789" s="69" t="str">
        <f>VLOOKUP(A789,'[1]DANH SÁCH'!$B$8:$J$841,9,0)</f>
        <v>Ngoại Thận - Tiết niệu</v>
      </c>
      <c r="AD789" s="47"/>
      <c r="AE789" s="69" t="str">
        <f>VLOOKUP(A789,'[1]DANH SÁCH'!$B$8:$AD$841,13,0)</f>
        <v>Viên chức</v>
      </c>
      <c r="AF789" s="46"/>
      <c r="AG789" s="47"/>
      <c r="AH789" s="45" t="s">
        <v>5284</v>
      </c>
      <c r="AI789" s="42" t="s">
        <v>5535</v>
      </c>
      <c r="AJ789" s="70"/>
      <c r="AK789" s="69">
        <v>45905</v>
      </c>
      <c r="AL789" s="47" t="s">
        <v>80</v>
      </c>
      <c r="AM789" s="53" t="str">
        <f>VLOOKUP(A789,'[1]DANH SÁCH'!$B$8:$F$841,5,0)</f>
        <v>Điều dưỡng ĐH</v>
      </c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81"/>
      <c r="BD789" s="47"/>
    </row>
    <row r="790" spans="1:56" ht="20.399999999999999" x14ac:dyDescent="0.3">
      <c r="A790" s="61" t="s">
        <v>5602</v>
      </c>
      <c r="B790" s="42">
        <f t="shared" si="200"/>
        <v>784</v>
      </c>
      <c r="C790" s="64" t="s">
        <v>5603</v>
      </c>
      <c r="D790" s="47"/>
      <c r="E790" s="64"/>
      <c r="F790" s="64"/>
      <c r="G790" s="49"/>
      <c r="H790" s="47"/>
      <c r="I790" s="156" t="s">
        <v>5604</v>
      </c>
      <c r="J790" s="66">
        <f ca="1">INT(DATEDIF(I790,'[1]Bieu 1a'!$J$2,"d")/365)</f>
        <v>23</v>
      </c>
      <c r="K790" s="156" t="s">
        <v>5605</v>
      </c>
      <c r="L790" s="186">
        <v>44311</v>
      </c>
      <c r="M790" s="94" t="s">
        <v>532</v>
      </c>
      <c r="N790" s="52"/>
      <c r="O790" s="56"/>
      <c r="P790" s="47"/>
      <c r="Q790" s="47"/>
      <c r="R790" s="49"/>
      <c r="S790" s="47"/>
      <c r="T790" s="47"/>
      <c r="U790" s="47"/>
      <c r="V790" s="56" t="s">
        <v>5606</v>
      </c>
      <c r="W790" s="62">
        <v>45580</v>
      </c>
      <c r="X790" s="46"/>
      <c r="Y790" s="46"/>
      <c r="Z790" s="46"/>
      <c r="AA790" s="68">
        <f>VLOOKUP(A790,'[1]DANH SÁCH'!$B$8:$AD$841,12,0)</f>
        <v>0</v>
      </c>
      <c r="AB790" s="47"/>
      <c r="AC790" s="69" t="str">
        <f>VLOOKUP(A790,'[1]DANH SÁCH'!$B$8:$J$841,9,0)</f>
        <v>Lão - CXK</v>
      </c>
      <c r="AD790" s="47"/>
      <c r="AE790" s="69" t="str">
        <f>VLOOKUP(A790,'[1]DANH SÁCH'!$B$8:$AD$841,13,0)</f>
        <v>Viên chức</v>
      </c>
      <c r="AF790" s="46"/>
      <c r="AG790" s="47"/>
      <c r="AH790" s="45" t="s">
        <v>5324</v>
      </c>
      <c r="AI790" s="42" t="s">
        <v>5535</v>
      </c>
      <c r="AJ790" s="70"/>
      <c r="AK790" s="69">
        <v>45853</v>
      </c>
      <c r="AL790" s="47" t="s">
        <v>158</v>
      </c>
      <c r="AM790" s="53" t="str">
        <f>VLOOKUP(A790,'[1]DANH SÁCH'!$B$8:$F$841,5,0)</f>
        <v>Điều dưỡng CĐ</v>
      </c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81"/>
      <c r="BD790" s="47"/>
    </row>
    <row r="791" spans="1:56" ht="20.399999999999999" x14ac:dyDescent="0.3">
      <c r="A791" s="61" t="s">
        <v>5607</v>
      </c>
      <c r="B791" s="42">
        <f t="shared" si="200"/>
        <v>785</v>
      </c>
      <c r="C791" s="64" t="s">
        <v>5608</v>
      </c>
      <c r="D791" s="47"/>
      <c r="E791" s="64"/>
      <c r="F791" s="64"/>
      <c r="G791" s="49"/>
      <c r="H791" s="47"/>
      <c r="I791" s="156" t="s">
        <v>5609</v>
      </c>
      <c r="J791" s="66">
        <f ca="1">INT(DATEDIF(I791,'[1]Bieu 1a'!$J$2,"d")/365)</f>
        <v>23</v>
      </c>
      <c r="K791" s="156" t="s">
        <v>5610</v>
      </c>
      <c r="L791" s="156" t="s">
        <v>5611</v>
      </c>
      <c r="M791" s="94" t="s">
        <v>532</v>
      </c>
      <c r="N791" s="52"/>
      <c r="O791" s="56"/>
      <c r="P791" s="47"/>
      <c r="Q791" s="47"/>
      <c r="R791" s="49"/>
      <c r="S791" s="47"/>
      <c r="T791" s="47"/>
      <c r="U791" s="47"/>
      <c r="V791" s="56" t="s">
        <v>5612</v>
      </c>
      <c r="W791" s="62">
        <v>45597</v>
      </c>
      <c r="X791" s="46"/>
      <c r="Y791" s="46"/>
      <c r="Z791" s="46"/>
      <c r="AA791" s="68">
        <f>VLOOKUP(A791,'[1]DANH SÁCH'!$B$8:$AD$841,12,0)</f>
        <v>0</v>
      </c>
      <c r="AB791" s="47"/>
      <c r="AC791" s="69" t="str">
        <f>VLOOKUP(A791,'[1]DANH SÁCH'!$B$8:$J$841,9,0)</f>
        <v>HSTC-CĐ</v>
      </c>
      <c r="AD791" s="47"/>
      <c r="AE791" s="69" t="str">
        <f>VLOOKUP(A791,'[1]DANH SÁCH'!$B$8:$AD$841,13,0)</f>
        <v>HĐ có thời hạn</v>
      </c>
      <c r="AF791" s="46"/>
      <c r="AG791" s="47"/>
      <c r="AH791" s="45" t="s">
        <v>5324</v>
      </c>
      <c r="AI791" s="42" t="s">
        <v>5535</v>
      </c>
      <c r="AJ791" s="70"/>
      <c r="AK791" s="69">
        <v>45870</v>
      </c>
      <c r="AL791" s="47" t="s">
        <v>158</v>
      </c>
      <c r="AM791" s="53" t="str">
        <f>VLOOKUP(A791,'[1]DANH SÁCH'!$B$8:$F$841,5,0)</f>
        <v>Điều dưỡng CĐ</v>
      </c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81"/>
      <c r="BD791" s="47"/>
    </row>
    <row r="792" spans="1:56" ht="20.399999999999999" x14ac:dyDescent="0.3">
      <c r="A792" s="61" t="s">
        <v>5613</v>
      </c>
      <c r="B792" s="42">
        <f t="shared" si="200"/>
        <v>786</v>
      </c>
      <c r="C792" s="64" t="s">
        <v>5614</v>
      </c>
      <c r="D792" s="47"/>
      <c r="E792" s="64"/>
      <c r="F792" s="64"/>
      <c r="G792" s="49"/>
      <c r="H792" s="156" t="s">
        <v>5615</v>
      </c>
      <c r="I792" s="47"/>
      <c r="J792" s="66">
        <f ca="1">INT(DATEDIF(H792,'[1]Bieu 1a'!$J$2,"d")/365)</f>
        <v>23</v>
      </c>
      <c r="K792" s="156" t="s">
        <v>5616</v>
      </c>
      <c r="L792" s="156" t="s">
        <v>5617</v>
      </c>
      <c r="M792" s="94" t="s">
        <v>532</v>
      </c>
      <c r="N792" s="52"/>
      <c r="O792" s="56"/>
      <c r="P792" s="47"/>
      <c r="Q792" s="47"/>
      <c r="R792" s="49"/>
      <c r="S792" s="47"/>
      <c r="T792" s="47"/>
      <c r="U792" s="47"/>
      <c r="V792" s="56" t="s">
        <v>5612</v>
      </c>
      <c r="W792" s="62">
        <v>45597</v>
      </c>
      <c r="X792" s="46"/>
      <c r="Y792" s="46"/>
      <c r="Z792" s="46"/>
      <c r="AA792" s="68">
        <f>VLOOKUP(A792,'[1]DANH SÁCH'!$B$8:$AD$841,12,0)</f>
        <v>0</v>
      </c>
      <c r="AB792" s="47"/>
      <c r="AC792" s="69" t="str">
        <f>VLOOKUP(A792,'[1]DANH SÁCH'!$B$8:$J$841,9,0)</f>
        <v>Chấn thương - Bỏng</v>
      </c>
      <c r="AD792" s="47"/>
      <c r="AE792" s="69" t="str">
        <f>VLOOKUP(A792,'[1]DANH SÁCH'!$B$8:$AD$841,13,0)</f>
        <v>Viên chức</v>
      </c>
      <c r="AF792" s="46"/>
      <c r="AG792" s="47"/>
      <c r="AH792" s="45" t="s">
        <v>5324</v>
      </c>
      <c r="AI792" s="42" t="s">
        <v>5535</v>
      </c>
      <c r="AJ792" s="70"/>
      <c r="AK792" s="69">
        <v>45870</v>
      </c>
      <c r="AL792" s="47" t="s">
        <v>158</v>
      </c>
      <c r="AM792" s="53" t="str">
        <f>VLOOKUP(A792,'[1]DANH SÁCH'!$B$8:$F$841,5,0)</f>
        <v>Điều dưỡng CĐ</v>
      </c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81"/>
      <c r="BD792" s="47"/>
    </row>
    <row r="793" spans="1:56" x14ac:dyDescent="0.3">
      <c r="A793" s="61" t="s">
        <v>5618</v>
      </c>
      <c r="B793" s="42">
        <f t="shared" si="200"/>
        <v>787</v>
      </c>
      <c r="C793" s="64" t="s">
        <v>5619</v>
      </c>
      <c r="D793" s="47"/>
      <c r="E793" s="64"/>
      <c r="F793" s="64"/>
      <c r="G793" s="49"/>
      <c r="H793" s="156" t="s">
        <v>5620</v>
      </c>
      <c r="I793" s="47"/>
      <c r="J793" s="66">
        <f ca="1">INT(DATEDIF(H793,'[1]Bieu 1a'!$J$2,"d")/365)</f>
        <v>24</v>
      </c>
      <c r="K793" s="156" t="s">
        <v>5621</v>
      </c>
      <c r="L793" s="156" t="s">
        <v>5622</v>
      </c>
      <c r="M793" s="94" t="s">
        <v>532</v>
      </c>
      <c r="N793" s="52"/>
      <c r="O793" s="56"/>
      <c r="P793" s="47"/>
      <c r="Q793" s="47"/>
      <c r="R793" s="49"/>
      <c r="S793" s="47"/>
      <c r="T793" s="47"/>
      <c r="U793" s="47"/>
      <c r="V793" s="56" t="s">
        <v>5623</v>
      </c>
      <c r="W793" s="62">
        <v>45597</v>
      </c>
      <c r="X793" s="46"/>
      <c r="Y793" s="46"/>
      <c r="Z793" s="46"/>
      <c r="AA793" s="68" t="e">
        <f>VLOOKUP(A793,'[1]DANH SÁCH'!$B$8:$AD$841,12,0)</f>
        <v>#N/A</v>
      </c>
      <c r="AB793" s="47"/>
      <c r="AC793" s="69" t="e">
        <f>VLOOKUP(A793,'[1]DANH SÁCH'!$B$8:$J$841,9,0)</f>
        <v>#N/A</v>
      </c>
      <c r="AD793" s="47"/>
      <c r="AE793" s="69" t="e">
        <f>VLOOKUP(A793,'[1]DANH SÁCH'!$B$8:$AD$841,13,0)</f>
        <v>#N/A</v>
      </c>
      <c r="AF793" s="46"/>
      <c r="AG793" s="47"/>
      <c r="AH793" s="45" t="s">
        <v>5324</v>
      </c>
      <c r="AI793" s="42" t="s">
        <v>5535</v>
      </c>
      <c r="AJ793" s="70"/>
      <c r="AK793" s="69">
        <v>45870</v>
      </c>
      <c r="AL793" s="47" t="s">
        <v>158</v>
      </c>
      <c r="AM793" s="53" t="e">
        <f>VLOOKUP(A793,'[1]DANH SÁCH'!$B$8:$F$841,5,0)</f>
        <v>#N/A</v>
      </c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81"/>
      <c r="BD793" s="47"/>
    </row>
    <row r="794" spans="1:56" ht="20.399999999999999" x14ac:dyDescent="0.3">
      <c r="A794" s="61" t="s">
        <v>5624</v>
      </c>
      <c r="B794" s="42">
        <f t="shared" si="200"/>
        <v>788</v>
      </c>
      <c r="C794" s="64" t="s">
        <v>5625</v>
      </c>
      <c r="D794" s="47"/>
      <c r="E794" s="64"/>
      <c r="F794" s="64"/>
      <c r="G794" s="49"/>
      <c r="H794" s="47"/>
      <c r="I794" s="156" t="s">
        <v>5626</v>
      </c>
      <c r="J794" s="66">
        <f ca="1">INT(DATEDIF(I794,'[1]Bieu 1a'!$J$2,"d")/365)</f>
        <v>22</v>
      </c>
      <c r="K794" s="156" t="s">
        <v>5627</v>
      </c>
      <c r="L794" s="156" t="s">
        <v>5295</v>
      </c>
      <c r="M794" s="94" t="s">
        <v>532</v>
      </c>
      <c r="N794" s="52"/>
      <c r="O794" s="56"/>
      <c r="P794" s="47"/>
      <c r="Q794" s="47"/>
      <c r="R794" s="49"/>
      <c r="S794" s="47"/>
      <c r="T794" s="47"/>
      <c r="U794" s="47"/>
      <c r="V794" s="56" t="s">
        <v>4473</v>
      </c>
      <c r="W794" s="62">
        <v>45597</v>
      </c>
      <c r="X794" s="46"/>
      <c r="Y794" s="46"/>
      <c r="Z794" s="46"/>
      <c r="AA794" s="68">
        <f>VLOOKUP(A794,'[1]DANH SÁCH'!$B$8:$AD$841,12,0)</f>
        <v>0</v>
      </c>
      <c r="AB794" s="47"/>
      <c r="AC794" s="69" t="str">
        <f>VLOOKUP(A794,'[1]DANH SÁCH'!$B$8:$J$841,9,0)</f>
        <v>Ngoại Tiêu hóa</v>
      </c>
      <c r="AD794" s="47"/>
      <c r="AE794" s="69" t="str">
        <f>VLOOKUP(A794,'[1]DANH SÁCH'!$B$8:$AD$841,13,0)</f>
        <v>HĐ có thời hạn</v>
      </c>
      <c r="AF794" s="46"/>
      <c r="AG794" s="47"/>
      <c r="AH794" s="45" t="s">
        <v>5324</v>
      </c>
      <c r="AI794" s="42" t="s">
        <v>5535</v>
      </c>
      <c r="AJ794" s="70"/>
      <c r="AK794" s="69">
        <v>45870</v>
      </c>
      <c r="AL794" s="47" t="s">
        <v>158</v>
      </c>
      <c r="AM794" s="53" t="str">
        <f>VLOOKUP(A794,'[1]DANH SÁCH'!$B$8:$F$841,5,0)</f>
        <v>Điều dưỡng CĐ</v>
      </c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81"/>
      <c r="BD794" s="47"/>
    </row>
    <row r="795" spans="1:56" ht="20.399999999999999" x14ac:dyDescent="0.3">
      <c r="A795" s="61" t="s">
        <v>5628</v>
      </c>
      <c r="B795" s="42">
        <f t="shared" si="200"/>
        <v>789</v>
      </c>
      <c r="C795" s="64" t="s">
        <v>5629</v>
      </c>
      <c r="D795" s="47"/>
      <c r="E795" s="64"/>
      <c r="F795" s="64"/>
      <c r="G795" s="49"/>
      <c r="H795" s="47"/>
      <c r="I795" s="156" t="s">
        <v>5630</v>
      </c>
      <c r="J795" s="66">
        <f ca="1">INT(DATEDIF(I795,'[1]Bieu 1a'!$J$2,"d")/365)</f>
        <v>34</v>
      </c>
      <c r="K795" s="156" t="s">
        <v>5631</v>
      </c>
      <c r="L795" s="156" t="s">
        <v>5632</v>
      </c>
      <c r="M795" s="94" t="s">
        <v>532</v>
      </c>
      <c r="N795" s="52"/>
      <c r="O795" s="56"/>
      <c r="P795" s="47"/>
      <c r="Q795" s="47"/>
      <c r="R795" s="49"/>
      <c r="S795" s="47"/>
      <c r="T795" s="47"/>
      <c r="U795" s="47"/>
      <c r="V795" s="56" t="s">
        <v>3822</v>
      </c>
      <c r="W795" s="62">
        <v>45597</v>
      </c>
      <c r="X795" s="46"/>
      <c r="Y795" s="46"/>
      <c r="Z795" s="46"/>
      <c r="AA795" s="68">
        <f>VLOOKUP(A795,'[1]DANH SÁCH'!$B$8:$AD$841,12,0)</f>
        <v>0</v>
      </c>
      <c r="AB795" s="47"/>
      <c r="AC795" s="69" t="str">
        <f>VLOOKUP(A795,'[1]DANH SÁCH'!$B$8:$J$841,9,0)</f>
        <v>Nội Tiêu hóa</v>
      </c>
      <c r="AD795" s="47"/>
      <c r="AE795" s="69" t="str">
        <f>VLOOKUP(A795,'[1]DANH SÁCH'!$B$8:$AD$841,13,0)</f>
        <v>Viên chức</v>
      </c>
      <c r="AF795" s="46"/>
      <c r="AG795" s="47"/>
      <c r="AH795" s="45" t="s">
        <v>5324</v>
      </c>
      <c r="AI795" s="42" t="s">
        <v>5535</v>
      </c>
      <c r="AJ795" s="70"/>
      <c r="AK795" s="69">
        <v>45870</v>
      </c>
      <c r="AL795" s="47" t="s">
        <v>158</v>
      </c>
      <c r="AM795" s="53" t="str">
        <f>VLOOKUP(A795,'[1]DANH SÁCH'!$B$8:$F$841,5,0)</f>
        <v>Điều dưỡng CĐ</v>
      </c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81"/>
      <c r="BD795" s="47"/>
    </row>
    <row r="796" spans="1:56" ht="20.399999999999999" x14ac:dyDescent="0.3">
      <c r="A796" s="61" t="s">
        <v>5633</v>
      </c>
      <c r="B796" s="42">
        <f t="shared" si="200"/>
        <v>790</v>
      </c>
      <c r="C796" s="64" t="s">
        <v>5634</v>
      </c>
      <c r="D796" s="47"/>
      <c r="E796" s="64"/>
      <c r="F796" s="64"/>
      <c r="G796" s="49"/>
      <c r="H796" s="47"/>
      <c r="I796" s="156" t="s">
        <v>5635</v>
      </c>
      <c r="J796" s="66">
        <f ca="1">INT(DATEDIF(I796,'[1]Bieu 1a'!$J$2,"d")/365)</f>
        <v>24</v>
      </c>
      <c r="K796" s="156" t="s">
        <v>5636</v>
      </c>
      <c r="L796" s="156" t="s">
        <v>5637</v>
      </c>
      <c r="M796" s="94" t="s">
        <v>532</v>
      </c>
      <c r="N796" s="52"/>
      <c r="O796" s="56"/>
      <c r="P796" s="47"/>
      <c r="Q796" s="47"/>
      <c r="R796" s="49"/>
      <c r="S796" s="47"/>
      <c r="T796" s="47"/>
      <c r="U796" s="47"/>
      <c r="V796" s="56" t="s">
        <v>5638</v>
      </c>
      <c r="W796" s="62">
        <v>45597</v>
      </c>
      <c r="X796" s="46"/>
      <c r="Y796" s="46"/>
      <c r="Z796" s="46"/>
      <c r="AA796" s="68">
        <f>VLOOKUP(A796,'[1]DANH SÁCH'!$B$8:$AD$841,12,0)</f>
        <v>0</v>
      </c>
      <c r="AB796" s="47"/>
      <c r="AC796" s="69" t="str">
        <f>VLOOKUP(A796,'[1]DANH SÁCH'!$B$8:$J$841,9,0)</f>
        <v>Nội Tổng hợp</v>
      </c>
      <c r="AD796" s="47"/>
      <c r="AE796" s="69" t="str">
        <f>VLOOKUP(A796,'[1]DANH SÁCH'!$B$8:$AD$841,13,0)</f>
        <v>Viên chức</v>
      </c>
      <c r="AF796" s="46"/>
      <c r="AG796" s="47"/>
      <c r="AH796" s="45" t="s">
        <v>5324</v>
      </c>
      <c r="AI796" s="42" t="s">
        <v>5535</v>
      </c>
      <c r="AJ796" s="70"/>
      <c r="AK796" s="69">
        <v>45870</v>
      </c>
      <c r="AL796" s="47" t="s">
        <v>158</v>
      </c>
      <c r="AM796" s="53" t="str">
        <f>VLOOKUP(A796,'[1]DANH SÁCH'!$B$8:$F$841,5,0)</f>
        <v>Điều dưỡng CĐ</v>
      </c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81"/>
      <c r="BD796" s="47"/>
    </row>
    <row r="797" spans="1:56" ht="20.399999999999999" x14ac:dyDescent="0.3">
      <c r="A797" s="47" t="s">
        <v>5639</v>
      </c>
      <c r="B797" s="42">
        <f t="shared" si="200"/>
        <v>791</v>
      </c>
      <c r="C797" s="72" t="s">
        <v>5640</v>
      </c>
      <c r="D797" s="64" t="s">
        <v>5639</v>
      </c>
      <c r="E797" s="61" t="s">
        <v>5641</v>
      </c>
      <c r="F797" s="64"/>
      <c r="G797" s="56" t="s">
        <v>5642</v>
      </c>
      <c r="H797" s="47"/>
      <c r="I797" s="154" t="s">
        <v>5643</v>
      </c>
      <c r="J797" s="66">
        <f ca="1">INT(DATEDIF(I797,'[1]Bieu 1a'!$J$2,"d")/365)</f>
        <v>28</v>
      </c>
      <c r="K797" s="155" t="s">
        <v>5644</v>
      </c>
      <c r="L797" s="156" t="s">
        <v>5645</v>
      </c>
      <c r="M797" s="53" t="s">
        <v>67</v>
      </c>
      <c r="N797" s="52"/>
      <c r="O797" s="109" t="s">
        <v>292</v>
      </c>
      <c r="P797" s="47"/>
      <c r="Q797" s="47"/>
      <c r="R797" s="49"/>
      <c r="S797" s="109" t="s">
        <v>292</v>
      </c>
      <c r="T797" s="47"/>
      <c r="U797" s="47"/>
      <c r="V797" s="56" t="s">
        <v>5646</v>
      </c>
      <c r="W797" s="67" t="s">
        <v>4120</v>
      </c>
      <c r="X797" s="46"/>
      <c r="Y797" s="46"/>
      <c r="Z797" s="46"/>
      <c r="AA797" s="68">
        <f>VLOOKUP(A797,'[1]DANH SÁCH'!$B$8:$AD$841,12,0)</f>
        <v>0</v>
      </c>
      <c r="AB797" s="49" t="s">
        <v>5647</v>
      </c>
      <c r="AC797" s="69" t="s">
        <v>5648</v>
      </c>
      <c r="AD797" s="69">
        <v>0</v>
      </c>
      <c r="AE797" s="69" t="str">
        <f>VLOOKUP(A797,'[1]DANH SÁCH'!$B$8:$AD$841,13,0)</f>
        <v>Viên chức</v>
      </c>
      <c r="AF797" s="41"/>
      <c r="AG797" s="42">
        <v>0</v>
      </c>
      <c r="AH797" s="45" t="e">
        <v>#N/A</v>
      </c>
      <c r="AI797" s="42" t="e">
        <v>#N/A</v>
      </c>
      <c r="AJ797" s="70"/>
      <c r="AK797" s="69" t="e">
        <v>#N/A</v>
      </c>
      <c r="AL797" s="47" t="s">
        <v>80</v>
      </c>
      <c r="AM797" s="72" t="str">
        <f>VLOOKUP(A797,'[1]DANH SÁCH'!$B$8:$F$841,5,0)</f>
        <v>Điều dưỡng ĐH</v>
      </c>
      <c r="AN797" s="157"/>
      <c r="AO797" s="53" t="s">
        <v>4121</v>
      </c>
      <c r="AP797" s="53"/>
      <c r="AQ797" s="72" t="s">
        <v>113</v>
      </c>
      <c r="AR797" s="47"/>
      <c r="AS797" s="47"/>
      <c r="AT797" s="47"/>
      <c r="AU797" s="47"/>
      <c r="AV797" s="47"/>
      <c r="AW797" s="47"/>
      <c r="AX797" s="47"/>
      <c r="AY797" s="156" t="s">
        <v>85</v>
      </c>
      <c r="AZ797" s="65"/>
      <c r="BA797" s="74"/>
      <c r="BB797" s="74"/>
      <c r="BC797" s="43"/>
      <c r="BD797" s="125"/>
    </row>
    <row r="798" spans="1:56" ht="20.399999999999999" x14ac:dyDescent="0.3">
      <c r="A798" s="47" t="s">
        <v>5649</v>
      </c>
      <c r="B798" s="47"/>
      <c r="C798" s="64" t="s">
        <v>5650</v>
      </c>
      <c r="D798" s="47" t="s">
        <v>5649</v>
      </c>
      <c r="E798" s="64"/>
      <c r="F798" s="64"/>
      <c r="G798" s="49"/>
      <c r="H798" s="47"/>
      <c r="I798" s="47" t="s">
        <v>5651</v>
      </c>
      <c r="J798" s="66">
        <f ca="1">INT(DATEDIF(I798,'[1]Bieu 1a'!$J$2,"d")/365)</f>
        <v>43</v>
      </c>
      <c r="K798" s="47" t="s">
        <v>5652</v>
      </c>
      <c r="L798" s="47" t="s">
        <v>5653</v>
      </c>
      <c r="M798" s="56" t="s">
        <v>532</v>
      </c>
      <c r="N798" s="52"/>
      <c r="O798" s="56"/>
      <c r="P798" s="47"/>
      <c r="Q798" s="47"/>
      <c r="R798" s="49"/>
      <c r="S798" s="47"/>
      <c r="T798" s="47"/>
      <c r="U798" s="47"/>
      <c r="V798" s="56" t="s">
        <v>5654</v>
      </c>
      <c r="W798" s="147">
        <v>45770</v>
      </c>
      <c r="X798" s="46"/>
      <c r="Y798" s="46"/>
      <c r="Z798" s="46"/>
      <c r="AA798" s="68">
        <f>VLOOKUP(A798,'[1]DANH SÁCH'!$B$8:$AD$841,12,0)</f>
        <v>0</v>
      </c>
      <c r="AB798" s="47"/>
      <c r="AC798" s="47" t="s">
        <v>5655</v>
      </c>
      <c r="AD798" s="47"/>
      <c r="AE798" s="69" t="str">
        <f>VLOOKUP(A798,'[1]DANH SÁCH'!$B$8:$AD$841,13,0)</f>
        <v>HĐ có thời hạn</v>
      </c>
      <c r="AF798" s="46"/>
      <c r="AG798" s="47"/>
      <c r="AH798" s="45" t="s">
        <v>5656</v>
      </c>
      <c r="AI798" s="42">
        <v>4</v>
      </c>
      <c r="AJ798" s="70"/>
      <c r="AK798" s="69">
        <v>45770</v>
      </c>
      <c r="AL798" s="47"/>
      <c r="AM798" s="47" t="s">
        <v>5657</v>
      </c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81"/>
      <c r="BD798" s="47"/>
    </row>
    <row r="799" spans="1:56" ht="20.399999999999999" x14ac:dyDescent="0.3">
      <c r="A799" s="47" t="s">
        <v>5658</v>
      </c>
      <c r="B799" s="47"/>
      <c r="C799" s="64" t="s">
        <v>5659</v>
      </c>
      <c r="D799" s="47" t="s">
        <v>5658</v>
      </c>
      <c r="E799" s="64"/>
      <c r="F799" s="64"/>
      <c r="G799" s="49"/>
      <c r="H799" s="47"/>
      <c r="I799" s="47" t="s">
        <v>5660</v>
      </c>
      <c r="J799" s="66">
        <f ca="1">INT(DATEDIF(I799,'[1]Bieu 1a'!$J$2,"d")/365)</f>
        <v>31</v>
      </c>
      <c r="K799" s="47" t="s">
        <v>5661</v>
      </c>
      <c r="L799" s="47" t="s">
        <v>5662</v>
      </c>
      <c r="M799" s="56" t="s">
        <v>532</v>
      </c>
      <c r="N799" s="52"/>
      <c r="O799" s="56"/>
      <c r="P799" s="47"/>
      <c r="Q799" s="47"/>
      <c r="R799" s="49"/>
      <c r="S799" s="47"/>
      <c r="T799" s="47"/>
      <c r="U799" s="47"/>
      <c r="V799" s="56" t="s">
        <v>5663</v>
      </c>
      <c r="W799" s="147">
        <v>45839</v>
      </c>
      <c r="X799" s="46"/>
      <c r="Y799" s="46"/>
      <c r="Z799" s="46"/>
      <c r="AA799" s="68">
        <f>VLOOKUP(A799,'[1]DANH SÁCH'!$B$8:$AD$841,12,0)</f>
        <v>0</v>
      </c>
      <c r="AB799" s="47"/>
      <c r="AC799" s="47" t="s">
        <v>5664</v>
      </c>
      <c r="AD799" s="47"/>
      <c r="AE799" s="69" t="str">
        <f>VLOOKUP(A799,'[1]DANH SÁCH'!$B$8:$AD$841,13,0)</f>
        <v>HĐ có thời hạn</v>
      </c>
      <c r="AF799" s="46"/>
      <c r="AG799" s="47"/>
      <c r="AH799" s="45">
        <v>2.34</v>
      </c>
      <c r="AI799" s="42">
        <v>1</v>
      </c>
      <c r="AJ799" s="70"/>
      <c r="AK799" s="69">
        <v>45839</v>
      </c>
      <c r="AL799" s="47" t="s">
        <v>80</v>
      </c>
      <c r="AM799" s="47" t="s">
        <v>4021</v>
      </c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81"/>
      <c r="BD799" s="47"/>
    </row>
    <row r="800" spans="1:56" x14ac:dyDescent="0.3">
      <c r="A800" s="47" t="s">
        <v>5665</v>
      </c>
      <c r="B800" s="47"/>
      <c r="C800" s="64" t="s">
        <v>5666</v>
      </c>
      <c r="D800" s="47" t="s">
        <v>5665</v>
      </c>
      <c r="E800" s="64"/>
      <c r="F800" s="64"/>
      <c r="G800" s="49"/>
      <c r="H800" s="47" t="s">
        <v>5667</v>
      </c>
      <c r="I800" s="64"/>
      <c r="J800" s="66">
        <f ca="1">INT(DATEDIF(H800,'[1]Bieu 1a'!$J$2,"d")/365)</f>
        <v>29</v>
      </c>
      <c r="K800" s="47" t="s">
        <v>5668</v>
      </c>
      <c r="L800" s="47" t="s">
        <v>5669</v>
      </c>
      <c r="M800" s="56" t="s">
        <v>532</v>
      </c>
      <c r="N800" s="52"/>
      <c r="O800" s="56"/>
      <c r="P800" s="47"/>
      <c r="Q800" s="47"/>
      <c r="R800" s="49"/>
      <c r="S800" s="47"/>
      <c r="T800" s="47"/>
      <c r="U800" s="47"/>
      <c r="V800" s="56" t="s">
        <v>5670</v>
      </c>
      <c r="W800" s="147">
        <v>45854</v>
      </c>
      <c r="X800" s="46"/>
      <c r="Y800" s="46"/>
      <c r="Z800" s="46"/>
      <c r="AA800" s="68">
        <f>VLOOKUP(A800,'[1]DANH SÁCH'!$B$8:$AD$841,12,0)</f>
        <v>0</v>
      </c>
      <c r="AB800" s="47"/>
      <c r="AC800" s="47" t="s">
        <v>5671</v>
      </c>
      <c r="AD800" s="47"/>
      <c r="AE800" s="69" t="str">
        <f>VLOOKUP(A800,'[1]DANH SÁCH'!$B$8:$AD$841,13,0)</f>
        <v>Viên chức</v>
      </c>
      <c r="AF800" s="46"/>
      <c r="AG800" s="47"/>
      <c r="AH800" s="45" t="s">
        <v>5672</v>
      </c>
      <c r="AI800" s="42" t="s">
        <v>5535</v>
      </c>
      <c r="AJ800" s="70"/>
      <c r="AK800" s="69">
        <v>46128</v>
      </c>
      <c r="AL800" s="47" t="s">
        <v>158</v>
      </c>
      <c r="AM800" s="47" t="s">
        <v>1147</v>
      </c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81"/>
      <c r="BD800" s="47"/>
    </row>
    <row r="801" spans="1:56" x14ac:dyDescent="0.3">
      <c r="A801" s="47" t="s">
        <v>5673</v>
      </c>
      <c r="B801" s="47"/>
      <c r="C801" s="64" t="s">
        <v>5674</v>
      </c>
      <c r="D801" s="47" t="s">
        <v>5673</v>
      </c>
      <c r="E801" s="64"/>
      <c r="F801" s="64"/>
      <c r="G801" s="49"/>
      <c r="H801" s="47"/>
      <c r="I801" s="47" t="s">
        <v>5675</v>
      </c>
      <c r="J801" s="66">
        <f ca="1">INT(DATEDIF(I801,'[1]Bieu 1a'!$J$2,"d")/365)</f>
        <v>25</v>
      </c>
      <c r="K801" s="47" t="s">
        <v>5676</v>
      </c>
      <c r="L801" s="47" t="s">
        <v>5677</v>
      </c>
      <c r="M801" s="56" t="s">
        <v>532</v>
      </c>
      <c r="N801" s="52"/>
      <c r="O801" s="56"/>
      <c r="P801" s="47"/>
      <c r="Q801" s="47"/>
      <c r="R801" s="49"/>
      <c r="S801" s="47"/>
      <c r="T801" s="47"/>
      <c r="U801" s="47"/>
      <c r="V801" s="56" t="s">
        <v>5678</v>
      </c>
      <c r="W801" s="147">
        <v>45894</v>
      </c>
      <c r="X801" s="46"/>
      <c r="Y801" s="46"/>
      <c r="Z801" s="46"/>
      <c r="AA801" s="68">
        <f>VLOOKUP(A801,'[1]DANH SÁCH'!$B$8:$AD$841,12,0)</f>
        <v>0</v>
      </c>
      <c r="AB801" s="47"/>
      <c r="AC801" s="47" t="s">
        <v>5679</v>
      </c>
      <c r="AD801" s="47"/>
      <c r="AE801" s="69" t="str">
        <f>VLOOKUP(A801,'[1]DANH SÁCH'!$B$8:$AD$841,13,0)</f>
        <v>Viên chức</v>
      </c>
      <c r="AF801" s="46"/>
      <c r="AG801" s="47"/>
      <c r="AH801" s="45" t="s">
        <v>5672</v>
      </c>
      <c r="AI801" s="42" t="s">
        <v>5535</v>
      </c>
      <c r="AJ801" s="70"/>
      <c r="AK801" s="69">
        <v>46167</v>
      </c>
      <c r="AL801" s="47" t="s">
        <v>158</v>
      </c>
      <c r="AM801" s="47" t="s">
        <v>1147</v>
      </c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81"/>
      <c r="BD801" s="47"/>
    </row>
    <row r="802" spans="1:56" x14ac:dyDescent="0.3">
      <c r="A802" s="47" t="s">
        <v>5680</v>
      </c>
      <c r="B802" s="47"/>
      <c r="C802" s="64" t="s">
        <v>5681</v>
      </c>
      <c r="D802" s="47" t="s">
        <v>5680</v>
      </c>
      <c r="E802" s="64"/>
      <c r="F802" s="64"/>
      <c r="G802" s="49"/>
      <c r="H802" s="47" t="s">
        <v>5682</v>
      </c>
      <c r="I802" s="64"/>
      <c r="J802" s="66">
        <f ca="1">INT(DATEDIF(H802,'[1]Bieu 1a'!$J$2,"d")/365)</f>
        <v>39</v>
      </c>
      <c r="K802" s="47" t="s">
        <v>5683</v>
      </c>
      <c r="L802" s="47" t="s">
        <v>5684</v>
      </c>
      <c r="M802" s="56" t="s">
        <v>532</v>
      </c>
      <c r="N802" s="52"/>
      <c r="O802" s="56"/>
      <c r="P802" s="47"/>
      <c r="Q802" s="47"/>
      <c r="R802" s="49"/>
      <c r="S802" s="47"/>
      <c r="T802" s="47"/>
      <c r="U802" s="47"/>
      <c r="V802" s="56" t="s">
        <v>5685</v>
      </c>
      <c r="W802" s="147">
        <v>45915</v>
      </c>
      <c r="X802" s="46"/>
      <c r="Y802" s="46"/>
      <c r="Z802" s="46"/>
      <c r="AA802" s="68">
        <f>VLOOKUP(A802,'[1]DANH SÁCH'!$B$8:$AD$841,12,0)</f>
        <v>0</v>
      </c>
      <c r="AB802" s="47"/>
      <c r="AC802" s="47" t="s">
        <v>5686</v>
      </c>
      <c r="AD802" s="47"/>
      <c r="AE802" s="69" t="str">
        <f>VLOOKUP(A802,'[1]DANH SÁCH'!$B$8:$AD$841,13,0)</f>
        <v>Viên chức</v>
      </c>
      <c r="AF802" s="46"/>
      <c r="AG802" s="47"/>
      <c r="AH802" s="45" t="s">
        <v>5672</v>
      </c>
      <c r="AI802" s="42" t="s">
        <v>5535</v>
      </c>
      <c r="AJ802" s="70"/>
      <c r="AK802" s="69">
        <v>46188</v>
      </c>
      <c r="AL802" s="47" t="s">
        <v>158</v>
      </c>
      <c r="AM802" s="47" t="s">
        <v>1147</v>
      </c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81"/>
      <c r="BD802" s="47"/>
    </row>
    <row r="803" spans="1:56" ht="20.399999999999999" x14ac:dyDescent="0.3">
      <c r="A803" s="47" t="s">
        <v>5687</v>
      </c>
      <c r="B803" s="47"/>
      <c r="C803" s="64" t="s">
        <v>5688</v>
      </c>
      <c r="D803" s="47" t="s">
        <v>5687</v>
      </c>
      <c r="E803" s="64"/>
      <c r="F803" s="64"/>
      <c r="G803" s="49"/>
      <c r="H803" s="65">
        <v>25492</v>
      </c>
      <c r="I803" s="64"/>
      <c r="J803" s="66">
        <f ca="1">INT(DATEDIF(H803,'[1]Bieu 1a'!$J$2,"d")/365)</f>
        <v>56</v>
      </c>
      <c r="K803" s="47" t="s">
        <v>5689</v>
      </c>
      <c r="L803" s="47" t="s">
        <v>5690</v>
      </c>
      <c r="M803" s="56" t="s">
        <v>532</v>
      </c>
      <c r="N803" s="52"/>
      <c r="O803" s="56"/>
      <c r="P803" s="47"/>
      <c r="Q803" s="47"/>
      <c r="R803" s="49"/>
      <c r="S803" s="47"/>
      <c r="T803" s="47"/>
      <c r="U803" s="47"/>
      <c r="V803" s="56" t="s">
        <v>5691</v>
      </c>
      <c r="W803" s="147">
        <v>45919</v>
      </c>
      <c r="X803" s="46"/>
      <c r="Y803" s="46"/>
      <c r="Z803" s="46"/>
      <c r="AA803" s="68">
        <f>VLOOKUP(A803,'[1]DANH SÁCH'!$B$8:$AD$841,12,0)</f>
        <v>0</v>
      </c>
      <c r="AB803" s="47"/>
      <c r="AC803" s="47" t="s">
        <v>5664</v>
      </c>
      <c r="AD803" s="47"/>
      <c r="AE803" s="69" t="str">
        <f>VLOOKUP(A803,'[1]DANH SÁCH'!$B$8:$AD$841,13,0)</f>
        <v>HĐ có thời hạn</v>
      </c>
      <c r="AF803" s="46"/>
      <c r="AG803" s="47"/>
      <c r="AH803" s="45" t="e">
        <v>#N/A</v>
      </c>
      <c r="AI803" s="42" t="e">
        <v>#N/A</v>
      </c>
      <c r="AJ803" s="70"/>
      <c r="AK803" s="69" t="e">
        <v>#N/A</v>
      </c>
      <c r="AL803" s="47" t="s">
        <v>5692</v>
      </c>
      <c r="AM803" s="47" t="s">
        <v>5692</v>
      </c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81"/>
      <c r="BD803" s="47"/>
    </row>
    <row r="804" spans="1:56" ht="20.399999999999999" x14ac:dyDescent="0.3">
      <c r="A804" s="47" t="s">
        <v>5693</v>
      </c>
      <c r="B804" s="47"/>
      <c r="C804" s="64" t="s">
        <v>5694</v>
      </c>
      <c r="D804" s="47" t="s">
        <v>5693</v>
      </c>
      <c r="E804" s="64"/>
      <c r="F804" s="64"/>
      <c r="G804" s="49"/>
      <c r="H804" s="47"/>
      <c r="I804" s="47" t="s">
        <v>5695</v>
      </c>
      <c r="J804" s="66">
        <f ca="1">INT(DATEDIF(I804,'[1]Bieu 1a'!$J$2,"d")/365)</f>
        <v>23</v>
      </c>
      <c r="K804" s="47" t="s">
        <v>5696</v>
      </c>
      <c r="L804" s="47" t="s">
        <v>5697</v>
      </c>
      <c r="M804" s="56" t="s">
        <v>532</v>
      </c>
      <c r="N804" s="52"/>
      <c r="O804" s="56"/>
      <c r="P804" s="47"/>
      <c r="Q804" s="47"/>
      <c r="R804" s="49"/>
      <c r="S804" s="47"/>
      <c r="T804" s="47"/>
      <c r="U804" s="47"/>
      <c r="V804" s="56" t="s">
        <v>5698</v>
      </c>
      <c r="W804" s="147">
        <v>45922</v>
      </c>
      <c r="X804" s="46"/>
      <c r="Y804" s="46"/>
      <c r="Z804" s="46"/>
      <c r="AA804" s="68">
        <f>VLOOKUP(A804,'[1]DANH SÁCH'!$B$8:$AD$841,12,0)</f>
        <v>0</v>
      </c>
      <c r="AB804" s="47"/>
      <c r="AC804" s="47" t="s">
        <v>5699</v>
      </c>
      <c r="AD804" s="47"/>
      <c r="AE804" s="69" t="str">
        <f>VLOOKUP(A804,'[1]DANH SÁCH'!$B$8:$AD$841,13,0)</f>
        <v>HĐ có thời hạn</v>
      </c>
      <c r="AF804" s="46"/>
      <c r="AG804" s="47"/>
      <c r="AH804" s="45" t="s">
        <v>5672</v>
      </c>
      <c r="AI804" s="42" t="s">
        <v>5535</v>
      </c>
      <c r="AJ804" s="70"/>
      <c r="AK804" s="69">
        <v>46195</v>
      </c>
      <c r="AL804" s="47" t="s">
        <v>158</v>
      </c>
      <c r="AM804" s="47" t="s">
        <v>1147</v>
      </c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81"/>
      <c r="BD804" s="47"/>
    </row>
    <row r="805" spans="1:56" x14ac:dyDescent="0.3">
      <c r="A805" s="47" t="s">
        <v>5700</v>
      </c>
      <c r="B805" s="47"/>
      <c r="C805" s="64" t="s">
        <v>493</v>
      </c>
      <c r="D805" s="47" t="s">
        <v>5700</v>
      </c>
      <c r="E805" s="64"/>
      <c r="F805" s="64"/>
      <c r="G805" s="49"/>
      <c r="H805" s="47"/>
      <c r="I805" s="47" t="s">
        <v>5701</v>
      </c>
      <c r="J805" s="66">
        <f ca="1">INT(DATEDIF(I805,'[1]Bieu 1a'!$J$2,"d")/365)</f>
        <v>32</v>
      </c>
      <c r="K805" s="47" t="s">
        <v>5702</v>
      </c>
      <c r="L805" s="47" t="s">
        <v>5703</v>
      </c>
      <c r="M805" s="56" t="s">
        <v>532</v>
      </c>
      <c r="N805" s="52"/>
      <c r="O805" s="56"/>
      <c r="P805" s="47"/>
      <c r="Q805" s="47"/>
      <c r="R805" s="49"/>
      <c r="S805" s="47"/>
      <c r="T805" s="47"/>
      <c r="U805" s="47"/>
      <c r="V805" s="56" t="s">
        <v>5704</v>
      </c>
      <c r="W805" s="147">
        <v>45931</v>
      </c>
      <c r="X805" s="46"/>
      <c r="Y805" s="46"/>
      <c r="Z805" s="46"/>
      <c r="AA805" s="68">
        <f>VLOOKUP(A805,'[1]DANH SÁCH'!$B$8:$AD$841,12,0)</f>
        <v>0</v>
      </c>
      <c r="AB805" s="47"/>
      <c r="AC805" s="47" t="s">
        <v>5705</v>
      </c>
      <c r="AD805" s="47"/>
      <c r="AE805" s="69" t="str">
        <f>VLOOKUP(A805,'[1]DANH SÁCH'!$B$8:$AD$841,13,0)</f>
        <v>Viên chức</v>
      </c>
      <c r="AF805" s="46"/>
      <c r="AG805" s="47"/>
      <c r="AH805" s="45">
        <v>2.34</v>
      </c>
      <c r="AI805" s="42" t="s">
        <v>5706</v>
      </c>
      <c r="AJ805" s="70"/>
      <c r="AK805" s="69">
        <v>45931</v>
      </c>
      <c r="AL805" s="47" t="s">
        <v>80</v>
      </c>
      <c r="AM805" s="47" t="s">
        <v>5707</v>
      </c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81"/>
      <c r="BD805" s="47"/>
    </row>
    <row r="806" spans="1:56" ht="61.2" x14ac:dyDescent="0.3">
      <c r="A806" s="47" t="s">
        <v>5708</v>
      </c>
      <c r="B806" s="47"/>
      <c r="C806" s="64" t="s">
        <v>5709</v>
      </c>
      <c r="D806" s="47" t="s">
        <v>5708</v>
      </c>
      <c r="E806" s="64"/>
      <c r="F806" s="64"/>
      <c r="G806" s="49"/>
      <c r="H806" s="47"/>
      <c r="I806" s="47" t="s">
        <v>5710</v>
      </c>
      <c r="J806" s="66">
        <f ca="1">INT(DATEDIF(I806,'[1]Bieu 1a'!$J$2,"d")/365)</f>
        <v>23</v>
      </c>
      <c r="K806" s="47" t="s">
        <v>5711</v>
      </c>
      <c r="L806" s="47" t="s">
        <v>5712</v>
      </c>
      <c r="M806" s="56" t="s">
        <v>532</v>
      </c>
      <c r="N806" s="52"/>
      <c r="O806" s="56"/>
      <c r="P806" s="47"/>
      <c r="Q806" s="47"/>
      <c r="R806" s="49"/>
      <c r="S806" s="47"/>
      <c r="T806" s="47"/>
      <c r="U806" s="47"/>
      <c r="V806" s="56" t="s">
        <v>5713</v>
      </c>
      <c r="W806" s="147">
        <v>45931</v>
      </c>
      <c r="X806" s="46"/>
      <c r="Y806" s="46"/>
      <c r="Z806" s="46"/>
      <c r="AA806" s="68">
        <f>VLOOKUP(A806,'[1]DANH SÁCH'!$B$8:$AD$841,12,0)</f>
        <v>0</v>
      </c>
      <c r="AB806" s="47"/>
      <c r="AC806" s="47" t="s">
        <v>5714</v>
      </c>
      <c r="AD806" s="47"/>
      <c r="AE806" s="69" t="str">
        <f>VLOOKUP(A806,'[1]DANH SÁCH'!$B$8:$AD$841,13,0)</f>
        <v>Viên chức</v>
      </c>
      <c r="AF806" s="46"/>
      <c r="AG806" s="47"/>
      <c r="AH806" s="45">
        <v>2.34</v>
      </c>
      <c r="AI806" s="42" t="s">
        <v>5715</v>
      </c>
      <c r="AJ806" s="70"/>
      <c r="AK806" s="69">
        <v>46296</v>
      </c>
      <c r="AL806" s="47" t="s">
        <v>80</v>
      </c>
      <c r="AM806" s="47" t="s">
        <v>1147</v>
      </c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81"/>
      <c r="BD806" s="47"/>
    </row>
    <row r="807" spans="1:56" ht="61.2" x14ac:dyDescent="0.3">
      <c r="A807" s="47" t="s">
        <v>5716</v>
      </c>
      <c r="B807" s="47"/>
      <c r="C807" s="64" t="s">
        <v>5717</v>
      </c>
      <c r="D807" s="47" t="s">
        <v>5716</v>
      </c>
      <c r="E807" s="64"/>
      <c r="F807" s="64"/>
      <c r="G807" s="49"/>
      <c r="H807" s="47"/>
      <c r="I807" s="47" t="s">
        <v>5718</v>
      </c>
      <c r="J807" s="66">
        <f ca="1">INT(DATEDIF(I807,'[1]Bieu 1a'!$J$2,"d")/365)</f>
        <v>28</v>
      </c>
      <c r="K807" s="47" t="s">
        <v>5719</v>
      </c>
      <c r="L807" s="47" t="s">
        <v>5720</v>
      </c>
      <c r="M807" s="56" t="s">
        <v>532</v>
      </c>
      <c r="N807" s="52"/>
      <c r="O807" s="56"/>
      <c r="P807" s="47"/>
      <c r="Q807" s="47"/>
      <c r="R807" s="49"/>
      <c r="S807" s="47"/>
      <c r="T807" s="47"/>
      <c r="U807" s="47"/>
      <c r="V807" s="56" t="s">
        <v>5721</v>
      </c>
      <c r="W807" s="147">
        <v>45931</v>
      </c>
      <c r="X807" s="46"/>
      <c r="Y807" s="46"/>
      <c r="Z807" s="46"/>
      <c r="AA807" s="68">
        <f>VLOOKUP(A807,'[1]DANH SÁCH'!$B$8:$AD$841,12,0)</f>
        <v>0</v>
      </c>
      <c r="AB807" s="47"/>
      <c r="AC807" s="47" t="s">
        <v>5722</v>
      </c>
      <c r="AD807" s="47"/>
      <c r="AE807" s="69" t="str">
        <f>VLOOKUP(A807,'[1]DANH SÁCH'!$B$8:$AD$841,13,0)</f>
        <v>Viên chức</v>
      </c>
      <c r="AF807" s="46"/>
      <c r="AG807" s="47"/>
      <c r="AH807" s="45" t="s">
        <v>5672</v>
      </c>
      <c r="AI807" s="42" t="s">
        <v>5723</v>
      </c>
      <c r="AJ807" s="70"/>
      <c r="AK807" s="69">
        <v>46204</v>
      </c>
      <c r="AL807" s="47" t="s">
        <v>158</v>
      </c>
      <c r="AM807" s="47" t="s">
        <v>1147</v>
      </c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81"/>
      <c r="BD807" s="47"/>
    </row>
    <row r="808" spans="1:56" ht="20.399999999999999" x14ac:dyDescent="0.3">
      <c r="A808" s="47" t="s">
        <v>5724</v>
      </c>
      <c r="B808" s="47"/>
      <c r="C808" s="64" t="s">
        <v>5725</v>
      </c>
      <c r="D808" s="47" t="s">
        <v>5724</v>
      </c>
      <c r="E808" s="64"/>
      <c r="F808" s="64"/>
      <c r="G808" s="49"/>
      <c r="H808" s="47" t="s">
        <v>5726</v>
      </c>
      <c r="I808" s="64"/>
      <c r="J808" s="66">
        <f ca="1">INT(DATEDIF(H808,'[1]Bieu 1a'!$J$2,"d")/365)</f>
        <v>48</v>
      </c>
      <c r="K808" s="47" t="s">
        <v>5727</v>
      </c>
      <c r="L808" s="47" t="s">
        <v>5728</v>
      </c>
      <c r="M808" s="56" t="s">
        <v>532</v>
      </c>
      <c r="N808" s="52"/>
      <c r="O808" s="56"/>
      <c r="P808" s="47"/>
      <c r="Q808" s="47"/>
      <c r="R808" s="49"/>
      <c r="S808" s="47"/>
      <c r="T808" s="47"/>
      <c r="U808" s="47"/>
      <c r="V808" s="56" t="s">
        <v>5729</v>
      </c>
      <c r="W808" s="147">
        <v>45938</v>
      </c>
      <c r="X808" s="46"/>
      <c r="Y808" s="46"/>
      <c r="Z808" s="46"/>
      <c r="AA808" s="68">
        <f>VLOOKUP(A808,'[1]DANH SÁCH'!$B$8:$AD$841,12,0)</f>
        <v>0</v>
      </c>
      <c r="AB808" s="47"/>
      <c r="AC808" s="47" t="s">
        <v>5664</v>
      </c>
      <c r="AD808" s="47"/>
      <c r="AE808" s="69" t="str">
        <f>VLOOKUP(A808,'[1]DANH SÁCH'!$B$8:$AD$841,13,0)</f>
        <v>HĐ có thời hạn</v>
      </c>
      <c r="AF808" s="46"/>
      <c r="AG808" s="47"/>
      <c r="AH808" s="45">
        <v>2.67</v>
      </c>
      <c r="AI808" s="42" t="s">
        <v>5730</v>
      </c>
      <c r="AJ808" s="70"/>
      <c r="AK808" s="69">
        <v>45938</v>
      </c>
      <c r="AL808" s="47" t="s">
        <v>80</v>
      </c>
      <c r="AM808" s="47" t="s">
        <v>5731</v>
      </c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81"/>
      <c r="BD808" s="47"/>
    </row>
    <row r="809" spans="1:56" ht="20.399999999999999" x14ac:dyDescent="0.3">
      <c r="A809" s="47" t="s">
        <v>5732</v>
      </c>
      <c r="B809" s="47"/>
      <c r="C809" s="64" t="s">
        <v>5733</v>
      </c>
      <c r="D809" s="47" t="s">
        <v>5732</v>
      </c>
      <c r="E809" s="64"/>
      <c r="F809" s="64"/>
      <c r="G809" s="49"/>
      <c r="H809" s="47" t="s">
        <v>5734</v>
      </c>
      <c r="I809" s="64"/>
      <c r="J809" s="66">
        <f ca="1">INT(DATEDIF(H809,'[1]Bieu 1a'!$J$2,"d")/365)</f>
        <v>57</v>
      </c>
      <c r="K809" s="47" t="s">
        <v>5735</v>
      </c>
      <c r="L809" s="47" t="s">
        <v>5736</v>
      </c>
      <c r="M809" s="56" t="s">
        <v>532</v>
      </c>
      <c r="N809" s="52"/>
      <c r="O809" s="56"/>
      <c r="P809" s="47"/>
      <c r="Q809" s="47"/>
      <c r="R809" s="49"/>
      <c r="S809" s="47"/>
      <c r="T809" s="47"/>
      <c r="U809" s="47"/>
      <c r="V809" s="56" t="s">
        <v>5737</v>
      </c>
      <c r="W809" s="147">
        <v>45962</v>
      </c>
      <c r="X809" s="46"/>
      <c r="Y809" s="46"/>
      <c r="Z809" s="46"/>
      <c r="AA809" s="68">
        <f>VLOOKUP(A809,'[1]DANH SÁCH'!$B$8:$AD$841,12,0)</f>
        <v>0</v>
      </c>
      <c r="AB809" s="47"/>
      <c r="AC809" s="47" t="s">
        <v>5664</v>
      </c>
      <c r="AD809" s="47"/>
      <c r="AE809" s="69" t="str">
        <f>VLOOKUP(A809,'[1]DANH SÁCH'!$B$8:$AD$841,13,0)</f>
        <v>HĐ có thời hạn</v>
      </c>
      <c r="AF809" s="46"/>
      <c r="AG809" s="47"/>
      <c r="AH809" s="45" t="e">
        <v>#N/A</v>
      </c>
      <c r="AI809" s="42" t="e">
        <v>#N/A</v>
      </c>
      <c r="AJ809" s="70"/>
      <c r="AK809" s="69" t="e">
        <v>#N/A</v>
      </c>
      <c r="AL809" s="47"/>
      <c r="AM809" s="47" t="s">
        <v>5692</v>
      </c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81"/>
      <c r="BD809" s="47"/>
    </row>
    <row r="810" spans="1:56" ht="81.599999999999994" x14ac:dyDescent="0.3">
      <c r="A810" s="47" t="s">
        <v>5738</v>
      </c>
      <c r="B810" s="47"/>
      <c r="C810" s="64" t="s">
        <v>5739</v>
      </c>
      <c r="D810" s="47" t="s">
        <v>5738</v>
      </c>
      <c r="E810" s="64"/>
      <c r="F810" s="64"/>
      <c r="G810" s="49"/>
      <c r="H810" s="47" t="s">
        <v>5740</v>
      </c>
      <c r="I810" s="64"/>
      <c r="J810" s="66">
        <f ca="1">INT(DATEDIF(H810,'[1]Bieu 1a'!$J$2,"d")/365)</f>
        <v>25</v>
      </c>
      <c r="K810" s="47" t="s">
        <v>5741</v>
      </c>
      <c r="L810" s="47" t="s">
        <v>5742</v>
      </c>
      <c r="M810" s="56" t="s">
        <v>532</v>
      </c>
      <c r="N810" s="52"/>
      <c r="O810" s="56"/>
      <c r="P810" s="47"/>
      <c r="Q810" s="47"/>
      <c r="R810" s="49"/>
      <c r="S810" s="47"/>
      <c r="T810" s="47"/>
      <c r="U810" s="47"/>
      <c r="V810" s="56" t="s">
        <v>5743</v>
      </c>
      <c r="W810" s="147">
        <v>45964</v>
      </c>
      <c r="X810" s="46"/>
      <c r="Y810" s="46"/>
      <c r="Z810" s="46"/>
      <c r="AA810" s="68">
        <f>VLOOKUP(A810,'[1]DANH SÁCH'!$B$8:$AD$841,12,0)</f>
        <v>0</v>
      </c>
      <c r="AB810" s="47"/>
      <c r="AC810" s="47" t="s">
        <v>5744</v>
      </c>
      <c r="AD810" s="47"/>
      <c r="AE810" s="69" t="str">
        <f>VLOOKUP(A810,'[1]DANH SÁCH'!$B$8:$AD$841,13,0)</f>
        <v>Viên chức</v>
      </c>
      <c r="AF810" s="46"/>
      <c r="AG810" s="47"/>
      <c r="AH810" s="45">
        <v>2.34</v>
      </c>
      <c r="AI810" s="42" t="s">
        <v>5745</v>
      </c>
      <c r="AJ810" s="70"/>
      <c r="AK810" s="69">
        <v>46237</v>
      </c>
      <c r="AL810" s="47" t="s">
        <v>80</v>
      </c>
      <c r="AM810" s="47" t="s">
        <v>5746</v>
      </c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81"/>
      <c r="BD810" s="47"/>
    </row>
    <row r="811" spans="1:56" ht="61.2" x14ac:dyDescent="0.3">
      <c r="A811" s="47" t="s">
        <v>5747</v>
      </c>
      <c r="B811" s="47"/>
      <c r="C811" s="64" t="s">
        <v>5748</v>
      </c>
      <c r="D811" s="47" t="s">
        <v>5747</v>
      </c>
      <c r="E811" s="64"/>
      <c r="F811" s="64"/>
      <c r="G811" s="49"/>
      <c r="H811" s="47"/>
      <c r="I811" s="47" t="s">
        <v>5749</v>
      </c>
      <c r="J811" s="66">
        <f ca="1">INT(DATEDIF(I811,'[1]Bieu 1a'!$J$2,"d")/365)</f>
        <v>27</v>
      </c>
      <c r="K811" s="47" t="s">
        <v>5750</v>
      </c>
      <c r="L811" s="47" t="s">
        <v>5751</v>
      </c>
      <c r="M811" s="56" t="s">
        <v>532</v>
      </c>
      <c r="N811" s="52"/>
      <c r="O811" s="56"/>
      <c r="P811" s="47"/>
      <c r="Q811" s="47"/>
      <c r="R811" s="49"/>
      <c r="S811" s="47"/>
      <c r="T811" s="47"/>
      <c r="U811" s="47"/>
      <c r="V811" s="56" t="s">
        <v>5752</v>
      </c>
      <c r="W811" s="147">
        <v>45964</v>
      </c>
      <c r="X811" s="46"/>
      <c r="Y811" s="46"/>
      <c r="Z811" s="46"/>
      <c r="AA811" s="68" t="e">
        <f>VLOOKUP(A811,'[1]DANH SÁCH'!$B$8:$AD$841,12,0)</f>
        <v>#N/A</v>
      </c>
      <c r="AB811" s="47"/>
      <c r="AC811" s="47" t="s">
        <v>5753</v>
      </c>
      <c r="AD811" s="47"/>
      <c r="AE811" s="69" t="e">
        <f>VLOOKUP(A811,'[1]DANH SÁCH'!$B$8:$AD$841,13,0)</f>
        <v>#N/A</v>
      </c>
      <c r="AF811" s="46"/>
      <c r="AG811" s="47"/>
      <c r="AH811" s="45">
        <v>2.34</v>
      </c>
      <c r="AI811" s="42" t="s">
        <v>5754</v>
      </c>
      <c r="AJ811" s="70"/>
      <c r="AK811" s="69">
        <v>46237</v>
      </c>
      <c r="AL811" s="47" t="s">
        <v>80</v>
      </c>
      <c r="AM811" s="47" t="s">
        <v>5746</v>
      </c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81"/>
      <c r="BD811" s="47"/>
    </row>
    <row r="812" spans="1:56" ht="61.2" x14ac:dyDescent="0.3">
      <c r="A812" s="47" t="s">
        <v>5755</v>
      </c>
      <c r="B812" s="47"/>
      <c r="C812" s="64" t="s">
        <v>5756</v>
      </c>
      <c r="D812" s="47" t="s">
        <v>5755</v>
      </c>
      <c r="E812" s="64"/>
      <c r="F812" s="64"/>
      <c r="G812" s="49"/>
      <c r="H812" s="47" t="s">
        <v>5757</v>
      </c>
      <c r="I812" s="64"/>
      <c r="J812" s="66">
        <f ca="1">INT(DATEDIF(H812,'[1]Bieu 1a'!$J$2,"d")/365)</f>
        <v>29</v>
      </c>
      <c r="K812" s="47" t="s">
        <v>5758</v>
      </c>
      <c r="L812" s="47" t="s">
        <v>5697</v>
      </c>
      <c r="M812" s="56" t="s">
        <v>532</v>
      </c>
      <c r="N812" s="52"/>
      <c r="O812" s="56"/>
      <c r="P812" s="47"/>
      <c r="Q812" s="47"/>
      <c r="R812" s="49"/>
      <c r="S812" s="47"/>
      <c r="T812" s="47"/>
      <c r="U812" s="47"/>
      <c r="V812" s="56" t="s">
        <v>5759</v>
      </c>
      <c r="W812" s="147">
        <v>45964</v>
      </c>
      <c r="X812" s="46"/>
      <c r="Y812" s="46"/>
      <c r="Z812" s="46"/>
      <c r="AA812" s="68">
        <f>VLOOKUP(A812,'[1]DANH SÁCH'!$B$8:$AD$841,12,0)</f>
        <v>0</v>
      </c>
      <c r="AB812" s="47"/>
      <c r="AC812" s="47" t="s">
        <v>5760</v>
      </c>
      <c r="AD812" s="47"/>
      <c r="AE812" s="69" t="str">
        <f>VLOOKUP(A812,'[1]DANH SÁCH'!$B$8:$AD$841,13,0)</f>
        <v>HĐ có thời hạn</v>
      </c>
      <c r="AF812" s="46"/>
      <c r="AG812" s="47"/>
      <c r="AH812" s="45">
        <v>2.34</v>
      </c>
      <c r="AI812" s="42" t="s">
        <v>5754</v>
      </c>
      <c r="AJ812" s="70"/>
      <c r="AK812" s="69">
        <v>46237</v>
      </c>
      <c r="AL812" s="47" t="s">
        <v>80</v>
      </c>
      <c r="AM812" s="47" t="s">
        <v>5746</v>
      </c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81"/>
      <c r="BD812" s="47"/>
    </row>
    <row r="813" spans="1:56" ht="61.2" x14ac:dyDescent="0.3">
      <c r="A813" s="47" t="s">
        <v>5761</v>
      </c>
      <c r="B813" s="47"/>
      <c r="C813" s="64" t="s">
        <v>5762</v>
      </c>
      <c r="D813" s="47" t="s">
        <v>5761</v>
      </c>
      <c r="E813" s="64"/>
      <c r="F813" s="64"/>
      <c r="G813" s="49"/>
      <c r="H813" s="47" t="s">
        <v>5763</v>
      </c>
      <c r="I813" s="64"/>
      <c r="J813" s="66">
        <f ca="1">INT(DATEDIF(H813,'[1]Bieu 1a'!$J$2,"d")/365)</f>
        <v>27</v>
      </c>
      <c r="K813" s="47" t="s">
        <v>5764</v>
      </c>
      <c r="L813" s="47" t="s">
        <v>5765</v>
      </c>
      <c r="M813" s="56" t="s">
        <v>532</v>
      </c>
      <c r="N813" s="52"/>
      <c r="O813" s="56"/>
      <c r="P813" s="47"/>
      <c r="Q813" s="47"/>
      <c r="R813" s="49"/>
      <c r="S813" s="47"/>
      <c r="T813" s="47"/>
      <c r="U813" s="47"/>
      <c r="V813" s="56" t="s">
        <v>5766</v>
      </c>
      <c r="W813" s="147">
        <v>45964</v>
      </c>
      <c r="X813" s="46"/>
      <c r="Y813" s="46"/>
      <c r="Z813" s="46"/>
      <c r="AA813" s="68">
        <f>VLOOKUP(A813,'[1]DANH SÁCH'!$B$8:$AD$841,12,0)</f>
        <v>0</v>
      </c>
      <c r="AB813" s="47"/>
      <c r="AC813" s="47" t="s">
        <v>5767</v>
      </c>
      <c r="AD813" s="47"/>
      <c r="AE813" s="69" t="str">
        <f>VLOOKUP(A813,'[1]DANH SÁCH'!$B$8:$AD$841,13,0)</f>
        <v>HĐ có thời hạn</v>
      </c>
      <c r="AF813" s="46"/>
      <c r="AG813" s="47"/>
      <c r="AH813" s="45">
        <v>2.34</v>
      </c>
      <c r="AI813" s="42" t="s">
        <v>5754</v>
      </c>
      <c r="AJ813" s="70"/>
      <c r="AK813" s="69">
        <v>46237</v>
      </c>
      <c r="AL813" s="47" t="s">
        <v>80</v>
      </c>
      <c r="AM813" s="47" t="s">
        <v>5746</v>
      </c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81"/>
      <c r="BD813" s="47"/>
    </row>
    <row r="814" spans="1:56" ht="61.2" x14ac:dyDescent="0.3">
      <c r="A814" s="47" t="s">
        <v>5768</v>
      </c>
      <c r="B814" s="47"/>
      <c r="C814" s="64" t="s">
        <v>5769</v>
      </c>
      <c r="D814" s="47" t="s">
        <v>5768</v>
      </c>
      <c r="E814" s="64"/>
      <c r="F814" s="64"/>
      <c r="G814" s="49"/>
      <c r="H814" s="47"/>
      <c r="I814" s="47" t="s">
        <v>5770</v>
      </c>
      <c r="J814" s="66">
        <f ca="1">INT(DATEDIF(I814,'[1]Bieu 1a'!$J$2,"d")/365)</f>
        <v>27</v>
      </c>
      <c r="K814" s="47" t="s">
        <v>5771</v>
      </c>
      <c r="L814" s="47" t="s">
        <v>5772</v>
      </c>
      <c r="M814" s="56" t="s">
        <v>532</v>
      </c>
      <c r="N814" s="52"/>
      <c r="O814" s="56"/>
      <c r="P814" s="47"/>
      <c r="Q814" s="47"/>
      <c r="R814" s="49"/>
      <c r="S814" s="47"/>
      <c r="T814" s="47"/>
      <c r="U814" s="47"/>
      <c r="V814" s="56" t="s">
        <v>5773</v>
      </c>
      <c r="W814" s="147">
        <v>45964</v>
      </c>
      <c r="X814" s="46"/>
      <c r="Y814" s="46"/>
      <c r="Z814" s="46"/>
      <c r="AA814" s="68">
        <f>VLOOKUP(A814,'[1]DANH SÁCH'!$B$8:$AD$841,12,0)</f>
        <v>0</v>
      </c>
      <c r="AB814" s="47"/>
      <c r="AC814" s="47" t="s">
        <v>5774</v>
      </c>
      <c r="AD814" s="47"/>
      <c r="AE814" s="69" t="str">
        <f>VLOOKUP(A814,'[1]DANH SÁCH'!$B$8:$AD$841,13,0)</f>
        <v>Viên chức</v>
      </c>
      <c r="AF814" s="46"/>
      <c r="AG814" s="47"/>
      <c r="AH814" s="45">
        <v>2.34</v>
      </c>
      <c r="AI814" s="42" t="s">
        <v>5754</v>
      </c>
      <c r="AJ814" s="70"/>
      <c r="AK814" s="69">
        <v>46237</v>
      </c>
      <c r="AL814" s="47" t="s">
        <v>80</v>
      </c>
      <c r="AM814" s="47" t="s">
        <v>5746</v>
      </c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81"/>
      <c r="BD814" s="47"/>
    </row>
    <row r="815" spans="1:56" ht="61.2" x14ac:dyDescent="0.3">
      <c r="A815" s="47" t="s">
        <v>5775</v>
      </c>
      <c r="B815" s="47"/>
      <c r="C815" s="64" t="s">
        <v>5776</v>
      </c>
      <c r="D815" s="47" t="s">
        <v>5775</v>
      </c>
      <c r="E815" s="64"/>
      <c r="F815" s="64"/>
      <c r="G815" s="49"/>
      <c r="H815" s="47"/>
      <c r="I815" s="47" t="s">
        <v>5777</v>
      </c>
      <c r="J815" s="66">
        <f ca="1">INT(DATEDIF(I815,'[1]Bieu 1a'!$J$2,"d")/365)</f>
        <v>30</v>
      </c>
      <c r="K815" s="47" t="s">
        <v>5778</v>
      </c>
      <c r="L815" s="47" t="s">
        <v>5779</v>
      </c>
      <c r="M815" s="56" t="s">
        <v>532</v>
      </c>
      <c r="N815" s="52"/>
      <c r="O815" s="56"/>
      <c r="P815" s="47"/>
      <c r="Q815" s="47"/>
      <c r="R815" s="49"/>
      <c r="S815" s="47"/>
      <c r="T815" s="47"/>
      <c r="U815" s="47"/>
      <c r="V815" s="56" t="s">
        <v>5780</v>
      </c>
      <c r="W815" s="147">
        <v>45964</v>
      </c>
      <c r="X815" s="46"/>
      <c r="Y815" s="46"/>
      <c r="Z815" s="46"/>
      <c r="AA815" s="68">
        <f>VLOOKUP(A815,'[1]DANH SÁCH'!$B$8:$AD$841,12,0)</f>
        <v>0</v>
      </c>
      <c r="AB815" s="47"/>
      <c r="AC815" s="47" t="s">
        <v>5781</v>
      </c>
      <c r="AD815" s="47"/>
      <c r="AE815" s="69" t="str">
        <f>VLOOKUP(A815,'[1]DANH SÁCH'!$B$8:$AD$841,13,0)</f>
        <v>HĐ có thời hạn</v>
      </c>
      <c r="AF815" s="46"/>
      <c r="AG815" s="47"/>
      <c r="AH815" s="45">
        <v>2.34</v>
      </c>
      <c r="AI815" s="42" t="s">
        <v>5754</v>
      </c>
      <c r="AJ815" s="70"/>
      <c r="AK815" s="69">
        <v>46237</v>
      </c>
      <c r="AL815" s="47" t="s">
        <v>80</v>
      </c>
      <c r="AM815" s="47" t="s">
        <v>5746</v>
      </c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81"/>
      <c r="BD815" s="47"/>
    </row>
    <row r="816" spans="1:56" x14ac:dyDescent="0.3">
      <c r="A816" s="47" t="s">
        <v>5782</v>
      </c>
      <c r="B816" s="47"/>
      <c r="C816" s="64" t="s">
        <v>5783</v>
      </c>
      <c r="D816" s="47" t="s">
        <v>5782</v>
      </c>
      <c r="E816" s="64"/>
      <c r="F816" s="64"/>
      <c r="G816" s="49"/>
      <c r="H816" s="47"/>
      <c r="I816" s="47" t="s">
        <v>5784</v>
      </c>
      <c r="J816" s="66">
        <f ca="1">INT(DATEDIF(I816,'[1]Bieu 1a'!$J$2,"d")/365)</f>
        <v>26</v>
      </c>
      <c r="K816" s="47" t="s">
        <v>5785</v>
      </c>
      <c r="L816" s="47" t="s">
        <v>5786</v>
      </c>
      <c r="M816" s="56" t="s">
        <v>5787</v>
      </c>
      <c r="N816" s="52"/>
      <c r="O816" s="56"/>
      <c r="P816" s="47"/>
      <c r="Q816" s="47"/>
      <c r="R816" s="49"/>
      <c r="S816" s="47"/>
      <c r="T816" s="47"/>
      <c r="U816" s="47"/>
      <c r="V816" s="56" t="s">
        <v>5788</v>
      </c>
      <c r="W816" s="147">
        <v>45964</v>
      </c>
      <c r="X816" s="46"/>
      <c r="Y816" s="46"/>
      <c r="Z816" s="46"/>
      <c r="AA816" s="68">
        <f>VLOOKUP(A816,'[1]DANH SÁCH'!$B$8:$AD$841,12,0)</f>
        <v>0</v>
      </c>
      <c r="AB816" s="47"/>
      <c r="AC816" s="47" t="s">
        <v>5686</v>
      </c>
      <c r="AD816" s="47"/>
      <c r="AE816" s="69" t="str">
        <f>VLOOKUP(A816,'[1]DANH SÁCH'!$B$8:$AD$841,13,0)</f>
        <v>Viên chức</v>
      </c>
      <c r="AF816" s="46"/>
      <c r="AG816" s="47"/>
      <c r="AH816" s="45" t="e">
        <v>#N/A</v>
      </c>
      <c r="AI816" s="42" t="e">
        <v>#N/A</v>
      </c>
      <c r="AJ816" s="70"/>
      <c r="AK816" s="69" t="e">
        <v>#N/A</v>
      </c>
      <c r="AL816" s="47" t="s">
        <v>158</v>
      </c>
      <c r="AM816" s="47" t="s">
        <v>1147</v>
      </c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81"/>
      <c r="BD816" s="47"/>
    </row>
    <row r="817" spans="1:56" ht="61.2" x14ac:dyDescent="0.3">
      <c r="A817" s="47" t="s">
        <v>5789</v>
      </c>
      <c r="B817" s="47"/>
      <c r="C817" s="64" t="s">
        <v>5790</v>
      </c>
      <c r="D817" s="47" t="s">
        <v>5789</v>
      </c>
      <c r="E817" s="64"/>
      <c r="F817" s="64"/>
      <c r="G817" s="49"/>
      <c r="H817" s="47"/>
      <c r="I817" s="47" t="s">
        <v>5791</v>
      </c>
      <c r="J817" s="66">
        <f ca="1">INT(DATEDIF(I817,'[1]Bieu 1a'!$J$2,"d")/365)</f>
        <v>21</v>
      </c>
      <c r="K817" s="47" t="s">
        <v>5792</v>
      </c>
      <c r="L817" s="47" t="s">
        <v>5793</v>
      </c>
      <c r="M817" s="56" t="s">
        <v>532</v>
      </c>
      <c r="N817" s="52"/>
      <c r="O817" s="56"/>
      <c r="P817" s="47"/>
      <c r="Q817" s="47"/>
      <c r="R817" s="49"/>
      <c r="S817" s="47"/>
      <c r="T817" s="47"/>
      <c r="U817" s="47"/>
      <c r="V817" s="56" t="s">
        <v>5794</v>
      </c>
      <c r="W817" s="147">
        <v>45964</v>
      </c>
      <c r="X817" s="46"/>
      <c r="Y817" s="46"/>
      <c r="Z817" s="46"/>
      <c r="AA817" s="68">
        <f>VLOOKUP(A817,'[1]DANH SÁCH'!$B$8:$AD$841,12,0)</f>
        <v>0</v>
      </c>
      <c r="AB817" s="47"/>
      <c r="AC817" s="47" t="s">
        <v>5781</v>
      </c>
      <c r="AD817" s="47"/>
      <c r="AE817" s="69" t="str">
        <f>VLOOKUP(A817,'[1]DANH SÁCH'!$B$8:$AD$841,13,0)</f>
        <v>HĐ có thời hạn</v>
      </c>
      <c r="AF817" s="46"/>
      <c r="AG817" s="47"/>
      <c r="AH817" s="45" t="s">
        <v>5324</v>
      </c>
      <c r="AI817" s="42" t="s">
        <v>5754</v>
      </c>
      <c r="AJ817" s="70"/>
      <c r="AK817" s="69">
        <v>46237</v>
      </c>
      <c r="AL817" s="47" t="s">
        <v>158</v>
      </c>
      <c r="AM817" s="47" t="s">
        <v>1147</v>
      </c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81"/>
      <c r="BD817" s="47"/>
    </row>
    <row r="818" spans="1:56" ht="61.2" x14ac:dyDescent="0.3">
      <c r="A818" s="47" t="s">
        <v>5795</v>
      </c>
      <c r="B818" s="47"/>
      <c r="C818" s="64" t="s">
        <v>5796</v>
      </c>
      <c r="D818" s="47" t="s">
        <v>5795</v>
      </c>
      <c r="E818" s="64"/>
      <c r="F818" s="64"/>
      <c r="G818" s="49"/>
      <c r="H818" s="47"/>
      <c r="I818" s="47" t="s">
        <v>5797</v>
      </c>
      <c r="J818" s="66">
        <f ca="1">INT(DATEDIF(I818,'[1]Bieu 1a'!$J$2,"d")/365)</f>
        <v>22</v>
      </c>
      <c r="K818" s="47" t="s">
        <v>5798</v>
      </c>
      <c r="L818" s="47" t="s">
        <v>5594</v>
      </c>
      <c r="M818" s="56" t="s">
        <v>532</v>
      </c>
      <c r="N818" s="52"/>
      <c r="O818" s="56"/>
      <c r="P818" s="47"/>
      <c r="Q818" s="47"/>
      <c r="R818" s="49"/>
      <c r="S818" s="47"/>
      <c r="T818" s="47"/>
      <c r="U818" s="47"/>
      <c r="V818" s="56" t="s">
        <v>5799</v>
      </c>
      <c r="W818" s="147">
        <v>45964</v>
      </c>
      <c r="X818" s="46"/>
      <c r="Y818" s="46"/>
      <c r="Z818" s="46"/>
      <c r="AA818" s="68">
        <f>VLOOKUP(A818,'[1]DANH SÁCH'!$B$8:$AD$841,12,0)</f>
        <v>0</v>
      </c>
      <c r="AB818" s="47"/>
      <c r="AC818" s="47" t="s">
        <v>5781</v>
      </c>
      <c r="AD818" s="47"/>
      <c r="AE818" s="69" t="str">
        <f>VLOOKUP(A818,'[1]DANH SÁCH'!$B$8:$AD$841,13,0)</f>
        <v>Viên chức</v>
      </c>
      <c r="AF818" s="46"/>
      <c r="AG818" s="47"/>
      <c r="AH818" s="45" t="s">
        <v>5672</v>
      </c>
      <c r="AI818" s="42" t="s">
        <v>5754</v>
      </c>
      <c r="AJ818" s="70"/>
      <c r="AK818" s="69">
        <v>46237</v>
      </c>
      <c r="AL818" s="47" t="s">
        <v>158</v>
      </c>
      <c r="AM818" s="47" t="s">
        <v>1147</v>
      </c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81"/>
      <c r="BD818" s="47"/>
    </row>
    <row r="819" spans="1:56" ht="20.399999999999999" x14ac:dyDescent="0.3">
      <c r="A819" s="47" t="s">
        <v>5800</v>
      </c>
      <c r="B819" s="47"/>
      <c r="C819" s="64" t="s">
        <v>4042</v>
      </c>
      <c r="D819" s="47" t="s">
        <v>5800</v>
      </c>
      <c r="E819" s="64"/>
      <c r="F819" s="64"/>
      <c r="G819" s="49"/>
      <c r="H819" s="47"/>
      <c r="I819" s="47" t="s">
        <v>5801</v>
      </c>
      <c r="J819" s="66">
        <f ca="1">INT(DATEDIF(I819,'[1]Bieu 1a'!$J$2,"d")/365)</f>
        <v>21</v>
      </c>
      <c r="K819" s="47" t="s">
        <v>5802</v>
      </c>
      <c r="L819" s="47" t="s">
        <v>5803</v>
      </c>
      <c r="M819" s="56" t="s">
        <v>532</v>
      </c>
      <c r="N819" s="52"/>
      <c r="O819" s="56"/>
      <c r="P819" s="47"/>
      <c r="Q819" s="47"/>
      <c r="R819" s="49"/>
      <c r="S819" s="47"/>
      <c r="T819" s="47"/>
      <c r="U819" s="47"/>
      <c r="V819" s="56" t="s">
        <v>5804</v>
      </c>
      <c r="W819" s="147">
        <v>45964</v>
      </c>
      <c r="X819" s="46"/>
      <c r="Y819" s="46"/>
      <c r="Z819" s="46"/>
      <c r="AA819" s="68">
        <f>VLOOKUP(A819,'[1]DANH SÁCH'!$B$8:$AD$841,12,0)</f>
        <v>0</v>
      </c>
      <c r="AB819" s="47"/>
      <c r="AC819" s="47" t="s">
        <v>5679</v>
      </c>
      <c r="AD819" s="47"/>
      <c r="AE819" s="69" t="str">
        <f>VLOOKUP(A819,'[1]DANH SÁCH'!$B$8:$AD$841,13,0)</f>
        <v>HĐ có thời hạn</v>
      </c>
      <c r="AF819" s="46"/>
      <c r="AG819" s="47"/>
      <c r="AH819" s="45" t="s">
        <v>1841</v>
      </c>
      <c r="AI819" s="42">
        <v>3</v>
      </c>
      <c r="AJ819" s="70"/>
      <c r="AK819" s="127" t="s">
        <v>4047</v>
      </c>
      <c r="AL819" s="47" t="s">
        <v>158</v>
      </c>
      <c r="AM819" s="47" t="s">
        <v>1147</v>
      </c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81"/>
      <c r="BD819" s="47"/>
    </row>
    <row r="820" spans="1:56" ht="61.2" x14ac:dyDescent="0.3">
      <c r="A820" s="47" t="s">
        <v>5805</v>
      </c>
      <c r="B820" s="47"/>
      <c r="C820" s="64" t="s">
        <v>5806</v>
      </c>
      <c r="D820" s="47" t="s">
        <v>5805</v>
      </c>
      <c r="E820" s="64"/>
      <c r="F820" s="64"/>
      <c r="G820" s="49"/>
      <c r="H820" s="47"/>
      <c r="I820" s="47" t="s">
        <v>5807</v>
      </c>
      <c r="J820" s="66">
        <f ca="1">INT(DATEDIF(I820,'[1]Bieu 1a'!$J$2,"d")/365)</f>
        <v>22</v>
      </c>
      <c r="K820" s="47" t="s">
        <v>5808</v>
      </c>
      <c r="L820" s="47" t="s">
        <v>5720</v>
      </c>
      <c r="M820" s="56" t="s">
        <v>532</v>
      </c>
      <c r="N820" s="52"/>
      <c r="O820" s="56"/>
      <c r="P820" s="47"/>
      <c r="Q820" s="47"/>
      <c r="R820" s="49"/>
      <c r="S820" s="47"/>
      <c r="T820" s="47"/>
      <c r="U820" s="47"/>
      <c r="V820" s="56" t="s">
        <v>5766</v>
      </c>
      <c r="W820" s="147">
        <v>45964</v>
      </c>
      <c r="X820" s="46"/>
      <c r="Y820" s="46"/>
      <c r="Z820" s="46"/>
      <c r="AA820" s="68">
        <f>VLOOKUP(A820,'[1]DANH SÁCH'!$B$8:$AD$841,12,0)</f>
        <v>0</v>
      </c>
      <c r="AB820" s="47"/>
      <c r="AC820" s="47" t="s">
        <v>5714</v>
      </c>
      <c r="AD820" s="47"/>
      <c r="AE820" s="69" t="str">
        <f>VLOOKUP(A820,'[1]DANH SÁCH'!$B$8:$AD$841,13,0)</f>
        <v>HĐ có thời hạn</v>
      </c>
      <c r="AF820" s="46"/>
      <c r="AG820" s="47"/>
      <c r="AH820" s="45" t="s">
        <v>5672</v>
      </c>
      <c r="AI820" s="42" t="s">
        <v>5754</v>
      </c>
      <c r="AJ820" s="70"/>
      <c r="AK820" s="69">
        <v>46237</v>
      </c>
      <c r="AL820" s="47" t="s">
        <v>158</v>
      </c>
      <c r="AM820" s="47" t="s">
        <v>1147</v>
      </c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81"/>
      <c r="BD820" s="47"/>
    </row>
    <row r="821" spans="1:56" ht="61.2" x14ac:dyDescent="0.3">
      <c r="A821" s="47" t="s">
        <v>5809</v>
      </c>
      <c r="B821" s="47"/>
      <c r="C821" s="64" t="s">
        <v>5810</v>
      </c>
      <c r="D821" s="47" t="s">
        <v>5809</v>
      </c>
      <c r="E821" s="64"/>
      <c r="F821" s="64"/>
      <c r="G821" s="49"/>
      <c r="H821" s="47"/>
      <c r="I821" s="47" t="s">
        <v>5811</v>
      </c>
      <c r="J821" s="66">
        <f ca="1">INT(DATEDIF(I821,'[1]Bieu 1a'!$J$2,"d")/365)</f>
        <v>23</v>
      </c>
      <c r="K821" s="47" t="s">
        <v>5812</v>
      </c>
      <c r="L821" s="47" t="s">
        <v>5813</v>
      </c>
      <c r="M821" s="56" t="s">
        <v>532</v>
      </c>
      <c r="N821" s="52"/>
      <c r="O821" s="56"/>
      <c r="P821" s="47"/>
      <c r="Q821" s="47"/>
      <c r="R821" s="49"/>
      <c r="S821" s="47"/>
      <c r="T821" s="47"/>
      <c r="U821" s="47"/>
      <c r="V821" s="56" t="s">
        <v>5814</v>
      </c>
      <c r="W821" s="147">
        <v>45964</v>
      </c>
      <c r="X821" s="46"/>
      <c r="Y821" s="46"/>
      <c r="Z821" s="46"/>
      <c r="AA821" s="68">
        <f>VLOOKUP(A821,'[1]DANH SÁCH'!$B$8:$AD$841,12,0)</f>
        <v>0</v>
      </c>
      <c r="AB821" s="47"/>
      <c r="AC821" s="47" t="s">
        <v>5744</v>
      </c>
      <c r="AD821" s="47"/>
      <c r="AE821" s="69" t="str">
        <f>VLOOKUP(A821,'[1]DANH SÁCH'!$B$8:$AD$841,13,0)</f>
        <v>Viên chức</v>
      </c>
      <c r="AF821" s="46"/>
      <c r="AG821" s="47"/>
      <c r="AH821" s="45" t="s">
        <v>5672</v>
      </c>
      <c r="AI821" s="42" t="s">
        <v>5754</v>
      </c>
      <c r="AJ821" s="70"/>
      <c r="AK821" s="69">
        <v>46237</v>
      </c>
      <c r="AL821" s="47" t="s">
        <v>158</v>
      </c>
      <c r="AM821" s="47" t="s">
        <v>1147</v>
      </c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81"/>
      <c r="BD821" s="47"/>
    </row>
    <row r="822" spans="1:56" x14ac:dyDescent="0.3">
      <c r="A822" s="47" t="s">
        <v>5815</v>
      </c>
      <c r="B822" s="47"/>
      <c r="C822" s="64" t="s">
        <v>5816</v>
      </c>
      <c r="D822" s="47" t="s">
        <v>5815</v>
      </c>
      <c r="E822" s="64"/>
      <c r="F822" s="64"/>
      <c r="G822" s="49"/>
      <c r="H822" s="47" t="s">
        <v>5817</v>
      </c>
      <c r="I822" s="64"/>
      <c r="J822" s="66">
        <f ca="1">INT(DATEDIF(H822,'[1]Bieu 1a'!$J$2,"d")/365)</f>
        <v>22</v>
      </c>
      <c r="K822" s="47" t="s">
        <v>5818</v>
      </c>
      <c r="L822" s="47" t="s">
        <v>5819</v>
      </c>
      <c r="M822" s="56" t="s">
        <v>532</v>
      </c>
      <c r="N822" s="52"/>
      <c r="O822" s="56"/>
      <c r="P822" s="47"/>
      <c r="Q822" s="47"/>
      <c r="R822" s="49"/>
      <c r="S822" s="47"/>
      <c r="T822" s="47"/>
      <c r="U822" s="47"/>
      <c r="V822" s="56" t="s">
        <v>5820</v>
      </c>
      <c r="W822" s="147">
        <v>45964</v>
      </c>
      <c r="X822" s="46"/>
      <c r="Y822" s="46"/>
      <c r="Z822" s="46"/>
      <c r="AA822" s="68">
        <f>VLOOKUP(A822,'[1]DANH SÁCH'!$B$8:$AD$841,12,0)</f>
        <v>0</v>
      </c>
      <c r="AB822" s="47"/>
      <c r="AC822" s="47" t="s">
        <v>5714</v>
      </c>
      <c r="AD822" s="47"/>
      <c r="AE822" s="69" t="str">
        <f>VLOOKUP(A822,'[1]DANH SÁCH'!$B$8:$AD$841,13,0)</f>
        <v>Viên chức</v>
      </c>
      <c r="AF822" s="46"/>
      <c r="AG822" s="47"/>
      <c r="AH822" s="45">
        <v>2.1</v>
      </c>
      <c r="AI822" s="42" t="s">
        <v>5535</v>
      </c>
      <c r="AJ822" s="70"/>
      <c r="AK822" s="69">
        <v>46237</v>
      </c>
      <c r="AL822" s="47" t="s">
        <v>158</v>
      </c>
      <c r="AM822" s="47" t="s">
        <v>1147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81"/>
      <c r="BD822" s="47"/>
    </row>
    <row r="823" spans="1:56" ht="61.2" x14ac:dyDescent="0.3">
      <c r="A823" s="47" t="s">
        <v>5821</v>
      </c>
      <c r="B823" s="47"/>
      <c r="C823" s="64" t="s">
        <v>3362</v>
      </c>
      <c r="D823" s="47" t="s">
        <v>5821</v>
      </c>
      <c r="E823" s="64"/>
      <c r="F823" s="64"/>
      <c r="G823" s="49"/>
      <c r="H823" s="47"/>
      <c r="I823" s="47" t="s">
        <v>5822</v>
      </c>
      <c r="J823" s="66">
        <f ca="1">INT(DATEDIF(I823,'[1]Bieu 1a'!$J$2,"d")/365)</f>
        <v>25</v>
      </c>
      <c r="K823" s="47" t="s">
        <v>5823</v>
      </c>
      <c r="L823" s="47" t="s">
        <v>5824</v>
      </c>
      <c r="M823" s="56" t="s">
        <v>532</v>
      </c>
      <c r="N823" s="52"/>
      <c r="O823" s="56"/>
      <c r="P823" s="47"/>
      <c r="Q823" s="47"/>
      <c r="R823" s="49"/>
      <c r="S823" s="47"/>
      <c r="T823" s="47"/>
      <c r="U823" s="47"/>
      <c r="V823" s="56" t="s">
        <v>5825</v>
      </c>
      <c r="W823" s="147">
        <v>45950</v>
      </c>
      <c r="X823" s="46"/>
      <c r="Y823" s="46"/>
      <c r="Z823" s="46"/>
      <c r="AA823" s="68" t="e">
        <f>VLOOKUP(A823,'[1]DANH SÁCH'!$B$8:$AD$841,12,0)</f>
        <v>#N/A</v>
      </c>
      <c r="AB823" s="47"/>
      <c r="AC823" s="47" t="s">
        <v>5826</v>
      </c>
      <c r="AD823" s="47"/>
      <c r="AE823" s="69" t="e">
        <f>VLOOKUP(A823,'[1]DANH SÁCH'!$B$8:$AD$841,13,0)</f>
        <v>#N/A</v>
      </c>
      <c r="AF823" s="46"/>
      <c r="AG823" s="47"/>
      <c r="AH823" s="45" t="s">
        <v>5672</v>
      </c>
      <c r="AI823" s="42" t="s">
        <v>5827</v>
      </c>
      <c r="AJ823" s="70"/>
      <c r="AK823" s="69">
        <v>46223</v>
      </c>
      <c r="AL823" s="47" t="s">
        <v>158</v>
      </c>
      <c r="AM823" s="47" t="s">
        <v>1147</v>
      </c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81"/>
      <c r="BD823" s="47"/>
    </row>
    <row r="824" spans="1:56" ht="61.2" x14ac:dyDescent="0.3">
      <c r="A824" s="47" t="s">
        <v>5828</v>
      </c>
      <c r="B824" s="47"/>
      <c r="C824" s="64" t="s">
        <v>5829</v>
      </c>
      <c r="D824" s="47" t="s">
        <v>5828</v>
      </c>
      <c r="E824" s="64"/>
      <c r="F824" s="64"/>
      <c r="G824" s="49"/>
      <c r="H824" s="47"/>
      <c r="I824" s="47" t="s">
        <v>5830</v>
      </c>
      <c r="J824" s="66">
        <f ca="1">INT(DATEDIF(I824,'[1]Bieu 1a'!$J$2,"d")/365)</f>
        <v>21</v>
      </c>
      <c r="K824" s="47" t="s">
        <v>5831</v>
      </c>
      <c r="L824" s="47" t="s">
        <v>5832</v>
      </c>
      <c r="M824" s="56" t="s">
        <v>532</v>
      </c>
      <c r="N824" s="52"/>
      <c r="O824" s="56"/>
      <c r="P824" s="47"/>
      <c r="Q824" s="47"/>
      <c r="R824" s="49"/>
      <c r="S824" s="47"/>
      <c r="T824" s="47"/>
      <c r="U824" s="47"/>
      <c r="V824" s="56" t="s">
        <v>5833</v>
      </c>
      <c r="W824" s="147">
        <v>45964</v>
      </c>
      <c r="X824" s="46"/>
      <c r="Y824" s="46"/>
      <c r="Z824" s="46"/>
      <c r="AA824" s="68">
        <f>VLOOKUP(A824,'[1]DANH SÁCH'!$B$8:$AD$841,12,0)</f>
        <v>0</v>
      </c>
      <c r="AB824" s="47"/>
      <c r="AC824" s="47" t="s">
        <v>5781</v>
      </c>
      <c r="AD824" s="47"/>
      <c r="AE824" s="69" t="str">
        <f>VLOOKUP(A824,'[1]DANH SÁCH'!$B$8:$AD$841,13,0)</f>
        <v>HĐ có thời hạn</v>
      </c>
      <c r="AF824" s="46"/>
      <c r="AG824" s="47"/>
      <c r="AH824" s="45" t="s">
        <v>5672</v>
      </c>
      <c r="AI824" s="42" t="s">
        <v>5754</v>
      </c>
      <c r="AJ824" s="70"/>
      <c r="AK824" s="69">
        <v>46237</v>
      </c>
      <c r="AL824" s="47" t="s">
        <v>158</v>
      </c>
      <c r="AM824" s="47" t="s">
        <v>1147</v>
      </c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81"/>
      <c r="BD824" s="47"/>
    </row>
    <row r="825" spans="1:56" x14ac:dyDescent="0.3">
      <c r="A825" s="47" t="s">
        <v>5834</v>
      </c>
      <c r="B825" s="47"/>
      <c r="C825" s="64" t="s">
        <v>5835</v>
      </c>
      <c r="D825" s="47" t="s">
        <v>5834</v>
      </c>
      <c r="E825" s="64"/>
      <c r="F825" s="64"/>
      <c r="G825" s="49"/>
      <c r="H825" s="47"/>
      <c r="I825" s="47" t="s">
        <v>5836</v>
      </c>
      <c r="J825" s="66">
        <f ca="1">INT(DATEDIF(I825,'[1]Bieu 1a'!$J$2,"d")/365)</f>
        <v>25</v>
      </c>
      <c r="K825" s="47" t="s">
        <v>5837</v>
      </c>
      <c r="L825" s="47" t="s">
        <v>5838</v>
      </c>
      <c r="M825" s="56" t="s">
        <v>532</v>
      </c>
      <c r="N825" s="52"/>
      <c r="O825" s="56"/>
      <c r="P825" s="47"/>
      <c r="Q825" s="47"/>
      <c r="R825" s="49"/>
      <c r="S825" s="47"/>
      <c r="T825" s="47"/>
      <c r="U825" s="47"/>
      <c r="V825" s="56" t="s">
        <v>5839</v>
      </c>
      <c r="W825" s="147">
        <v>45971</v>
      </c>
      <c r="X825" s="46"/>
      <c r="Y825" s="46"/>
      <c r="Z825" s="46"/>
      <c r="AA825" s="68">
        <f>VLOOKUP(A825,'[1]DANH SÁCH'!$B$8:$AD$841,12,0)</f>
        <v>0</v>
      </c>
      <c r="AB825" s="47"/>
      <c r="AC825" s="47" t="s">
        <v>5714</v>
      </c>
      <c r="AD825" s="47"/>
      <c r="AE825" s="69" t="str">
        <f>VLOOKUP(A825,'[1]DANH SÁCH'!$B$8:$AD$841,13,0)</f>
        <v>Viên chức</v>
      </c>
      <c r="AF825" s="46"/>
      <c r="AG825" s="47"/>
      <c r="AH825" s="45" t="e">
        <v>#N/A</v>
      </c>
      <c r="AI825" s="42" t="e">
        <v>#N/A</v>
      </c>
      <c r="AJ825" s="70"/>
      <c r="AK825" s="69" t="e">
        <v>#N/A</v>
      </c>
      <c r="AL825" s="47" t="s">
        <v>80</v>
      </c>
      <c r="AM825" s="47" t="s">
        <v>5746</v>
      </c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81"/>
      <c r="BD825" s="47"/>
    </row>
    <row r="826" spans="1:56" ht="20.399999999999999" x14ac:dyDescent="0.3">
      <c r="A826" s="47" t="s">
        <v>5840</v>
      </c>
      <c r="B826" s="47"/>
      <c r="C826" s="64" t="s">
        <v>5841</v>
      </c>
      <c r="D826" s="47" t="s">
        <v>5840</v>
      </c>
      <c r="E826" s="64"/>
      <c r="F826" s="64"/>
      <c r="G826" s="49"/>
      <c r="H826" s="47"/>
      <c r="I826" s="47" t="s">
        <v>5842</v>
      </c>
      <c r="J826" s="66">
        <f ca="1">INT(DATEDIF(I826,'[1]Bieu 1a'!$J$2,"d")/365)</f>
        <v>24</v>
      </c>
      <c r="K826" s="47" t="s">
        <v>5843</v>
      </c>
      <c r="L826" s="47" t="s">
        <v>5844</v>
      </c>
      <c r="M826" s="56" t="s">
        <v>532</v>
      </c>
      <c r="N826" s="52"/>
      <c r="O826" s="56"/>
      <c r="P826" s="47"/>
      <c r="Q826" s="47"/>
      <c r="R826" s="49"/>
      <c r="S826" s="47"/>
      <c r="T826" s="47"/>
      <c r="U826" s="47"/>
      <c r="V826" s="56" t="s">
        <v>5845</v>
      </c>
      <c r="W826" s="147">
        <v>45972</v>
      </c>
      <c r="X826" s="46"/>
      <c r="Y826" s="46"/>
      <c r="Z826" s="46"/>
      <c r="AA826" s="68">
        <f>VLOOKUP(A826,'[1]DANH SÁCH'!$B$8:$AD$841,12,0)</f>
        <v>0</v>
      </c>
      <c r="AB826" s="47"/>
      <c r="AC826" s="47" t="s">
        <v>5714</v>
      </c>
      <c r="AD826" s="47"/>
      <c r="AE826" s="69" t="str">
        <f>VLOOKUP(A826,'[1]DANH SÁCH'!$B$8:$AD$841,13,0)</f>
        <v>HĐ có thời hạn</v>
      </c>
      <c r="AF826" s="46"/>
      <c r="AG826" s="47"/>
      <c r="AH826" s="45">
        <v>2.34</v>
      </c>
      <c r="AI826" s="42" t="s">
        <v>5535</v>
      </c>
      <c r="AJ826" s="70"/>
      <c r="AK826" s="69">
        <v>46337</v>
      </c>
      <c r="AL826" s="47" t="s">
        <v>80</v>
      </c>
      <c r="AM826" s="47" t="s">
        <v>1147</v>
      </c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81"/>
      <c r="BD826" s="47"/>
    </row>
    <row r="827" spans="1:56" x14ac:dyDescent="0.3">
      <c r="A827" s="47" t="s">
        <v>5846</v>
      </c>
      <c r="B827" s="47"/>
      <c r="C827" s="64" t="s">
        <v>1554</v>
      </c>
      <c r="D827" s="47" t="s">
        <v>5846</v>
      </c>
      <c r="E827" s="64"/>
      <c r="F827" s="64"/>
      <c r="G827" s="49"/>
      <c r="H827" s="47"/>
      <c r="I827" s="47" t="s">
        <v>5847</v>
      </c>
      <c r="J827" s="66">
        <f ca="1">INT(DATEDIF(I827,'[1]Bieu 1a'!$J$2,"d")/365)</f>
        <v>30</v>
      </c>
      <c r="K827" s="47" t="s">
        <v>5848</v>
      </c>
      <c r="L827" s="47" t="s">
        <v>5849</v>
      </c>
      <c r="M827" s="56" t="s">
        <v>532</v>
      </c>
      <c r="N827" s="52"/>
      <c r="O827" s="56"/>
      <c r="P827" s="47"/>
      <c r="Q827" s="47"/>
      <c r="R827" s="49"/>
      <c r="S827" s="47"/>
      <c r="T827" s="47"/>
      <c r="U827" s="47"/>
      <c r="V827" s="56" t="s">
        <v>5850</v>
      </c>
      <c r="W827" s="147">
        <v>45972</v>
      </c>
      <c r="X827" s="46"/>
      <c r="Y827" s="46"/>
      <c r="Z827" s="46"/>
      <c r="AA827" s="68">
        <f>VLOOKUP(A827,'[1]DANH SÁCH'!$B$8:$AD$841,12,0)</f>
        <v>0</v>
      </c>
      <c r="AB827" s="47"/>
      <c r="AC827" s="47" t="s">
        <v>5744</v>
      </c>
      <c r="AD827" s="47"/>
      <c r="AE827" s="69" t="str">
        <f>VLOOKUP(A827,'[1]DANH SÁCH'!$B$8:$AD$841,13,0)</f>
        <v>Viên chức</v>
      </c>
      <c r="AF827" s="46"/>
      <c r="AG827" s="47"/>
      <c r="AH827" s="45">
        <v>2.1</v>
      </c>
      <c r="AI827" s="42">
        <v>1</v>
      </c>
      <c r="AJ827" s="70"/>
      <c r="AK827" s="69">
        <v>45972</v>
      </c>
      <c r="AL827" s="47" t="s">
        <v>158</v>
      </c>
      <c r="AM827" s="47" t="s">
        <v>1147</v>
      </c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81"/>
      <c r="BD827" s="47"/>
    </row>
    <row r="828" spans="1:56" x14ac:dyDescent="0.3">
      <c r="A828" s="47" t="s">
        <v>5851</v>
      </c>
      <c r="B828" s="47"/>
      <c r="C828" s="64" t="s">
        <v>5852</v>
      </c>
      <c r="D828" s="47" t="s">
        <v>5851</v>
      </c>
      <c r="E828" s="64"/>
      <c r="F828" s="64"/>
      <c r="G828" s="49"/>
      <c r="H828" s="47" t="s">
        <v>5853</v>
      </c>
      <c r="I828" s="64"/>
      <c r="J828" s="66">
        <f ca="1">INT(DATEDIF(H828,'[1]Bieu 1a'!$J$2,"d")/365)</f>
        <v>26</v>
      </c>
      <c r="K828" s="47" t="s">
        <v>5854</v>
      </c>
      <c r="L828" s="47" t="s">
        <v>5855</v>
      </c>
      <c r="M828" s="56" t="s">
        <v>532</v>
      </c>
      <c r="N828" s="52"/>
      <c r="O828" s="56"/>
      <c r="P828" s="47"/>
      <c r="Q828" s="47"/>
      <c r="R828" s="49"/>
      <c r="S828" s="47"/>
      <c r="T828" s="47"/>
      <c r="U828" s="47"/>
      <c r="V828" s="56" t="s">
        <v>5856</v>
      </c>
      <c r="W828" s="147">
        <v>45978</v>
      </c>
      <c r="X828" s="46"/>
      <c r="Y828" s="46"/>
      <c r="Z828" s="46"/>
      <c r="AA828" s="68">
        <f>VLOOKUP(A828,'[1]DANH SÁCH'!$B$8:$AD$841,12,0)</f>
        <v>0</v>
      </c>
      <c r="AB828" s="47"/>
      <c r="AC828" s="47" t="s">
        <v>5699</v>
      </c>
      <c r="AD828" s="47"/>
      <c r="AE828" s="69" t="str">
        <f>VLOOKUP(A828,'[1]DANH SÁCH'!$B$8:$AD$841,13,0)</f>
        <v>Viên chức</v>
      </c>
      <c r="AF828" s="46"/>
      <c r="AG828" s="47"/>
      <c r="AH828" s="45">
        <v>2.34</v>
      </c>
      <c r="AI828" s="42" t="s">
        <v>5535</v>
      </c>
      <c r="AJ828" s="70"/>
      <c r="AK828" s="69">
        <v>46251</v>
      </c>
      <c r="AL828" s="47" t="s">
        <v>80</v>
      </c>
      <c r="AM828" s="47" t="s">
        <v>5746</v>
      </c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81"/>
      <c r="BD828" s="47"/>
    </row>
    <row r="829" spans="1:56" ht="20.399999999999999" x14ac:dyDescent="0.3">
      <c r="A829" s="47" t="s">
        <v>5857</v>
      </c>
      <c r="B829" s="47"/>
      <c r="C829" s="64" t="s">
        <v>5858</v>
      </c>
      <c r="D829" s="47" t="s">
        <v>5857</v>
      </c>
      <c r="E829" s="64"/>
      <c r="F829" s="64"/>
      <c r="G829" s="49"/>
      <c r="H829" s="47"/>
      <c r="I829" s="47" t="s">
        <v>5859</v>
      </c>
      <c r="J829" s="66">
        <f ca="1">INT(DATEDIF(I829,'[1]Bieu 1a'!$J$2,"d")/365)</f>
        <v>22</v>
      </c>
      <c r="K829" s="47" t="s">
        <v>5860</v>
      </c>
      <c r="L829" s="47" t="s">
        <v>5861</v>
      </c>
      <c r="M829" s="56" t="s">
        <v>532</v>
      </c>
      <c r="N829" s="52"/>
      <c r="O829" s="56"/>
      <c r="P829" s="47"/>
      <c r="Q829" s="47"/>
      <c r="R829" s="49"/>
      <c r="S829" s="47"/>
      <c r="T829" s="47"/>
      <c r="U829" s="47"/>
      <c r="V829" s="56" t="s">
        <v>5862</v>
      </c>
      <c r="W829" s="147">
        <v>45985</v>
      </c>
      <c r="X829" s="46"/>
      <c r="Y829" s="46"/>
      <c r="Z829" s="46"/>
      <c r="AA829" s="68">
        <f>VLOOKUP(A829,'[1]DANH SÁCH'!$B$8:$AD$841,12,0)</f>
        <v>0</v>
      </c>
      <c r="AB829" s="47"/>
      <c r="AC829" s="47" t="s">
        <v>5744</v>
      </c>
      <c r="AD829" s="47"/>
      <c r="AE829" s="69" t="str">
        <f>VLOOKUP(A829,'[1]DANH SÁCH'!$B$8:$AD$841,13,0)</f>
        <v>HĐ có thời hạn</v>
      </c>
      <c r="AF829" s="46"/>
      <c r="AG829" s="47"/>
      <c r="AH829" s="45">
        <v>2.1</v>
      </c>
      <c r="AI829" s="42" t="s">
        <v>5535</v>
      </c>
      <c r="AJ829" s="70"/>
      <c r="AK829" s="69">
        <v>46258</v>
      </c>
      <c r="AL829" s="47" t="s">
        <v>158</v>
      </c>
      <c r="AM829" s="47" t="s">
        <v>1147</v>
      </c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81"/>
      <c r="BD829" s="47"/>
    </row>
    <row r="830" spans="1:56" x14ac:dyDescent="0.3">
      <c r="A830" s="47" t="s">
        <v>5863</v>
      </c>
      <c r="B830" s="47"/>
      <c r="C830" s="64" t="s">
        <v>5864</v>
      </c>
      <c r="D830" s="47" t="s">
        <v>5863</v>
      </c>
      <c r="E830" s="64"/>
      <c r="F830" s="64"/>
      <c r="G830" s="49"/>
      <c r="H830" s="47"/>
      <c r="I830" s="47" t="s">
        <v>5865</v>
      </c>
      <c r="J830" s="66">
        <f ca="1">INT(DATEDIF(I830,'[1]Bieu 1a'!$J$2,"d")/365)</f>
        <v>23</v>
      </c>
      <c r="K830" s="47" t="s">
        <v>5866</v>
      </c>
      <c r="L830" s="47" t="s">
        <v>5505</v>
      </c>
      <c r="M830" s="56" t="s">
        <v>532</v>
      </c>
      <c r="N830" s="52"/>
      <c r="O830" s="56"/>
      <c r="P830" s="47"/>
      <c r="Q830" s="47"/>
      <c r="R830" s="49"/>
      <c r="S830" s="47"/>
      <c r="T830" s="47"/>
      <c r="U830" s="47"/>
      <c r="V830" s="56" t="s">
        <v>5867</v>
      </c>
      <c r="W830" s="147">
        <v>45992</v>
      </c>
      <c r="X830" s="46"/>
      <c r="Y830" s="46"/>
      <c r="Z830" s="46"/>
      <c r="AA830" s="68">
        <f>VLOOKUP(A830,'[1]DANH SÁCH'!$B$8:$AD$841,12,0)</f>
        <v>0</v>
      </c>
      <c r="AB830" s="47"/>
      <c r="AC830" s="47" t="s">
        <v>5868</v>
      </c>
      <c r="AD830" s="47"/>
      <c r="AE830" s="69" t="str">
        <f>VLOOKUP(A830,'[1]DANH SÁCH'!$B$8:$AD$841,13,0)</f>
        <v>Viên chức</v>
      </c>
      <c r="AF830" s="46"/>
      <c r="AG830" s="47"/>
      <c r="AH830" s="45">
        <v>2.34</v>
      </c>
      <c r="AI830" s="42" t="s">
        <v>5535</v>
      </c>
      <c r="AJ830" s="70"/>
      <c r="AK830" s="69">
        <v>46357</v>
      </c>
      <c r="AL830" s="47" t="s">
        <v>80</v>
      </c>
      <c r="AM830" s="47" t="s">
        <v>5868</v>
      </c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81"/>
      <c r="BD830" s="47"/>
    </row>
    <row r="831" spans="1:56" x14ac:dyDescent="0.3">
      <c r="A831" s="47" t="s">
        <v>5869</v>
      </c>
      <c r="B831" s="47"/>
      <c r="C831" s="64" t="s">
        <v>5870</v>
      </c>
      <c r="D831" s="47" t="s">
        <v>5869</v>
      </c>
      <c r="E831" s="64"/>
      <c r="F831" s="64"/>
      <c r="G831" s="49"/>
      <c r="H831" s="47"/>
      <c r="I831" s="47" t="s">
        <v>5871</v>
      </c>
      <c r="J831" s="66">
        <f ca="1">INT(DATEDIF(I831,'[1]Bieu 1a'!$J$2,"d")/365)</f>
        <v>34</v>
      </c>
      <c r="K831" s="47" t="s">
        <v>5872</v>
      </c>
      <c r="L831" s="47" t="s">
        <v>5697</v>
      </c>
      <c r="M831" s="56" t="s">
        <v>532</v>
      </c>
      <c r="N831" s="52"/>
      <c r="O831" s="56"/>
      <c r="P831" s="47"/>
      <c r="Q831" s="47"/>
      <c r="R831" s="49"/>
      <c r="S831" s="47"/>
      <c r="T831" s="47"/>
      <c r="U831" s="47"/>
      <c r="V831" s="56" t="s">
        <v>5873</v>
      </c>
      <c r="W831" s="147">
        <v>45992</v>
      </c>
      <c r="X831" s="46"/>
      <c r="Y831" s="46"/>
      <c r="Z831" s="46"/>
      <c r="AA831" s="68">
        <f>VLOOKUP(A831,'[1]DANH SÁCH'!$B$8:$AD$841,12,0)</f>
        <v>0</v>
      </c>
      <c r="AB831" s="47"/>
      <c r="AC831" s="47" t="s">
        <v>5868</v>
      </c>
      <c r="AD831" s="47"/>
      <c r="AE831" s="69" t="str">
        <f>VLOOKUP(A831,'[1]DANH SÁCH'!$B$8:$AD$841,13,0)</f>
        <v>Viên chức</v>
      </c>
      <c r="AF831" s="46"/>
      <c r="AG831" s="47"/>
      <c r="AH831" s="45">
        <v>2.1</v>
      </c>
      <c r="AI831" s="42" t="s">
        <v>5535</v>
      </c>
      <c r="AJ831" s="70"/>
      <c r="AK831" s="69">
        <v>46266</v>
      </c>
      <c r="AL831" s="47" t="s">
        <v>158</v>
      </c>
      <c r="AM831" s="47" t="s">
        <v>5868</v>
      </c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81"/>
      <c r="BD831" s="47"/>
    </row>
    <row r="832" spans="1:56" ht="20.399999999999999" x14ac:dyDescent="0.3">
      <c r="A832" s="46" t="s">
        <v>5874</v>
      </c>
      <c r="B832" s="47"/>
      <c r="C832" s="64" t="s">
        <v>5875</v>
      </c>
      <c r="D832" s="46" t="s">
        <v>5874</v>
      </c>
      <c r="E832" s="10"/>
      <c r="F832" s="10"/>
      <c r="G832" s="151"/>
      <c r="H832" s="47"/>
      <c r="I832" s="47" t="s">
        <v>5876</v>
      </c>
      <c r="J832" s="66">
        <f ca="1">INT(DATEDIF(I832,'[1]Bieu 1a'!$J$2,"d")/365)</f>
        <v>23</v>
      </c>
      <c r="K832" s="47" t="s">
        <v>5877</v>
      </c>
      <c r="L832" s="47" t="s">
        <v>5878</v>
      </c>
      <c r="M832" s="56" t="s">
        <v>532</v>
      </c>
      <c r="N832" s="95"/>
      <c r="O832" s="96"/>
      <c r="P832" s="6"/>
      <c r="Q832" s="6"/>
      <c r="R832" s="6"/>
      <c r="S832" s="6"/>
      <c r="T832" s="6"/>
      <c r="U832" s="47"/>
      <c r="V832" s="153" t="s">
        <v>5879</v>
      </c>
      <c r="W832" s="147">
        <v>45783</v>
      </c>
      <c r="X832" s="97"/>
      <c r="Y832" s="97"/>
      <c r="Z832" s="97"/>
      <c r="AA832" s="68">
        <f>VLOOKUP(A832,'[1]DANH SÁCH'!$B$8:$AD$841,12,0)</f>
        <v>0</v>
      </c>
      <c r="AB832" s="47"/>
      <c r="AC832" s="47" t="s">
        <v>5744</v>
      </c>
      <c r="AD832" s="6"/>
      <c r="AE832" s="69" t="str">
        <f>VLOOKUP(A832,'[1]DANH SÁCH'!$B$8:$AD$841,13,0)</f>
        <v>HĐ có thời hạn</v>
      </c>
      <c r="AF832" s="97"/>
      <c r="AG832" s="6"/>
      <c r="AH832" s="45" t="s">
        <v>5324</v>
      </c>
      <c r="AI832" s="42" t="s">
        <v>5535</v>
      </c>
      <c r="AJ832" s="70"/>
      <c r="AK832" s="69">
        <v>46059</v>
      </c>
      <c r="AL832" s="47" t="s">
        <v>158</v>
      </c>
      <c r="AM832" s="47" t="s">
        <v>1147</v>
      </c>
      <c r="AN832" s="6"/>
      <c r="AO832" s="6"/>
      <c r="AP832" s="6"/>
      <c r="AQ832" s="6"/>
      <c r="AR832" s="6"/>
      <c r="AS832" s="6"/>
      <c r="AT832" s="6"/>
      <c r="AU832" s="47"/>
      <c r="AV832" s="6"/>
      <c r="AW832" s="47"/>
      <c r="AX832" s="6"/>
      <c r="AY832" s="73"/>
      <c r="AZ832" s="6"/>
      <c r="BA832" s="6"/>
      <c r="BB832" s="6"/>
      <c r="BC832" s="7"/>
      <c r="BD832" s="6"/>
    </row>
    <row r="833" spans="1:56" ht="15.6" x14ac:dyDescent="0.3">
      <c r="A833" s="46" t="s">
        <v>5880</v>
      </c>
      <c r="B833" s="47"/>
      <c r="C833" s="64" t="s">
        <v>5881</v>
      </c>
      <c r="D833" s="46" t="s">
        <v>5880</v>
      </c>
      <c r="E833" s="10"/>
      <c r="F833" s="10"/>
      <c r="G833" s="151"/>
      <c r="H833" s="47"/>
      <c r="I833" s="47" t="s">
        <v>5882</v>
      </c>
      <c r="J833" s="66">
        <f ca="1">INT(DATEDIF(I833,'[1]Bieu 1a'!$J$2,"d")/365)</f>
        <v>24</v>
      </c>
      <c r="K833" s="47" t="s">
        <v>5883</v>
      </c>
      <c r="L833" s="47" t="s">
        <v>5884</v>
      </c>
      <c r="M833" s="56" t="s">
        <v>532</v>
      </c>
      <c r="N833" s="95"/>
      <c r="O833" s="96"/>
      <c r="P833" s="6"/>
      <c r="Q833" s="6"/>
      <c r="R833" s="6"/>
      <c r="S833" s="6"/>
      <c r="T833" s="6"/>
      <c r="U833" s="47"/>
      <c r="V833" s="153" t="s">
        <v>5885</v>
      </c>
      <c r="W833" s="147">
        <v>45339</v>
      </c>
      <c r="X833" s="97"/>
      <c r="Y833" s="97"/>
      <c r="Z833" s="97"/>
      <c r="AA833" s="68" t="e">
        <f>VLOOKUP(A833,'[1]DANH SÁCH'!$B$8:$AD$841,12,0)</f>
        <v>#N/A</v>
      </c>
      <c r="AB833" s="47"/>
      <c r="AC833" s="47" t="s">
        <v>5886</v>
      </c>
      <c r="AD833" s="6"/>
      <c r="AE833" s="69" t="e">
        <f>VLOOKUP(A833,'[1]DANH SÁCH'!$B$8:$AD$841,13,0)</f>
        <v>#N/A</v>
      </c>
      <c r="AF833" s="97"/>
      <c r="AG833" s="6"/>
      <c r="AH833" s="45" t="s">
        <v>5284</v>
      </c>
      <c r="AI833" s="42" t="s">
        <v>5579</v>
      </c>
      <c r="AJ833" s="70"/>
      <c r="AK833" s="69">
        <v>45705</v>
      </c>
      <c r="AL833" s="47" t="s">
        <v>80</v>
      </c>
      <c r="AM833" s="47" t="s">
        <v>1147</v>
      </c>
      <c r="AN833" s="6"/>
      <c r="AO833" s="6"/>
      <c r="AP833" s="6"/>
      <c r="AQ833" s="6"/>
      <c r="AR833" s="6"/>
      <c r="AS833" s="6"/>
      <c r="AT833" s="6"/>
      <c r="AU833" s="47"/>
      <c r="AV833" s="6"/>
      <c r="AW833" s="47"/>
      <c r="AX833" s="6"/>
      <c r="AY833" s="73"/>
      <c r="AZ833" s="6"/>
      <c r="BA833" s="6"/>
      <c r="BB833" s="6"/>
      <c r="BC833" s="7"/>
      <c r="BD833" s="6"/>
    </row>
    <row r="834" spans="1:56" ht="20.399999999999999" x14ac:dyDescent="0.3">
      <c r="A834" s="46" t="s">
        <v>5887</v>
      </c>
      <c r="B834" s="47"/>
      <c r="C834" s="64" t="s">
        <v>5888</v>
      </c>
      <c r="D834" s="46" t="s">
        <v>5887</v>
      </c>
      <c r="E834" s="10"/>
      <c r="F834" s="10"/>
      <c r="G834" s="151"/>
      <c r="H834" s="47"/>
      <c r="I834" s="47" t="s">
        <v>5889</v>
      </c>
      <c r="J834" s="66">
        <f ca="1">INT(DATEDIF(I834,'[1]Bieu 1a'!$J$2,"d")/365)</f>
        <v>31</v>
      </c>
      <c r="K834" s="47" t="s">
        <v>5890</v>
      </c>
      <c r="L834" s="47" t="s">
        <v>5662</v>
      </c>
      <c r="M834" s="56" t="s">
        <v>532</v>
      </c>
      <c r="N834" s="95"/>
      <c r="O834" s="96"/>
      <c r="P834" s="6"/>
      <c r="Q834" s="6"/>
      <c r="R834" s="6"/>
      <c r="S834" s="6"/>
      <c r="T834" s="6"/>
      <c r="U834" s="47"/>
      <c r="V834" s="153" t="s">
        <v>5891</v>
      </c>
      <c r="W834" s="147">
        <v>45783</v>
      </c>
      <c r="X834" s="97"/>
      <c r="Y834" s="97"/>
      <c r="Z834" s="97"/>
      <c r="AA834" s="68">
        <f>VLOOKUP(A834,'[1]DANH SÁCH'!$B$8:$AD$841,12,0)</f>
        <v>0</v>
      </c>
      <c r="AB834" s="47"/>
      <c r="AC834" s="47" t="s">
        <v>5892</v>
      </c>
      <c r="AD834" s="6"/>
      <c r="AE834" s="69" t="str">
        <f>VLOOKUP(A834,'[1]DANH SÁCH'!$B$8:$AD$841,13,0)</f>
        <v>HĐ có thời hạn</v>
      </c>
      <c r="AF834" s="97"/>
      <c r="AG834" s="6"/>
      <c r="AH834" s="45" t="s">
        <v>5284</v>
      </c>
      <c r="AI834" s="42">
        <v>1</v>
      </c>
      <c r="AJ834" s="70"/>
      <c r="AK834" s="69">
        <v>45783</v>
      </c>
      <c r="AL834" s="47" t="s">
        <v>80</v>
      </c>
      <c r="AM834" s="47" t="s">
        <v>1147</v>
      </c>
      <c r="AN834" s="6"/>
      <c r="AO834" s="6"/>
      <c r="AP834" s="6"/>
      <c r="AQ834" s="6"/>
      <c r="AR834" s="6"/>
      <c r="AS834" s="6"/>
      <c r="AT834" s="6"/>
      <c r="AU834" s="47"/>
      <c r="AV834" s="6"/>
      <c r="AW834" s="47"/>
      <c r="AX834" s="6"/>
      <c r="AY834" s="73"/>
      <c r="AZ834" s="6"/>
      <c r="BA834" s="6"/>
      <c r="BB834" s="6"/>
      <c r="BC834" s="7"/>
      <c r="BD834" s="6"/>
    </row>
    <row r="835" spans="1:56" ht="15.6" x14ac:dyDescent="0.3">
      <c r="A835" s="46" t="s">
        <v>5893</v>
      </c>
      <c r="B835" s="47"/>
      <c r="C835" s="64" t="s">
        <v>5894</v>
      </c>
      <c r="D835" s="46" t="s">
        <v>5893</v>
      </c>
      <c r="E835" s="10"/>
      <c r="F835" s="10"/>
      <c r="G835" s="151"/>
      <c r="H835" s="47"/>
      <c r="I835" s="47" t="s">
        <v>321</v>
      </c>
      <c r="J835" s="66">
        <f ca="1">INT(DATEDIF(I835,'[1]Bieu 1a'!$J$2,"d")/365)</f>
        <v>22</v>
      </c>
      <c r="K835" s="47" t="s">
        <v>5895</v>
      </c>
      <c r="L835" s="47" t="s">
        <v>5896</v>
      </c>
      <c r="M835" s="56" t="s">
        <v>532</v>
      </c>
      <c r="N835" s="95"/>
      <c r="O835" s="96"/>
      <c r="P835" s="6"/>
      <c r="Q835" s="6"/>
      <c r="R835" s="6"/>
      <c r="S835" s="6"/>
      <c r="T835" s="6"/>
      <c r="U835" s="47"/>
      <c r="V835" s="153" t="s">
        <v>5897</v>
      </c>
      <c r="W835" s="147">
        <v>45698</v>
      </c>
      <c r="X835" s="97"/>
      <c r="Y835" s="97"/>
      <c r="Z835" s="97"/>
      <c r="AA835" s="68">
        <f>VLOOKUP(A835,'[1]DANH SÁCH'!$B$8:$AD$841,12,0)</f>
        <v>0</v>
      </c>
      <c r="AB835" s="47"/>
      <c r="AC835" s="47" t="s">
        <v>5781</v>
      </c>
      <c r="AD835" s="6"/>
      <c r="AE835" s="69" t="str">
        <f>VLOOKUP(A835,'[1]DANH SÁCH'!$B$8:$AD$841,13,0)</f>
        <v>Viên chức</v>
      </c>
      <c r="AF835" s="97"/>
      <c r="AG835" s="6"/>
      <c r="AH835" s="45" t="s">
        <v>5324</v>
      </c>
      <c r="AI835" s="42" t="s">
        <v>5579</v>
      </c>
      <c r="AJ835" s="70"/>
      <c r="AK835" s="69">
        <v>45971</v>
      </c>
      <c r="AL835" s="47" t="s">
        <v>158</v>
      </c>
      <c r="AM835" s="47" t="s">
        <v>1147</v>
      </c>
      <c r="AN835" s="6"/>
      <c r="AO835" s="6"/>
      <c r="AP835" s="6"/>
      <c r="AQ835" s="6"/>
      <c r="AR835" s="6"/>
      <c r="AS835" s="6"/>
      <c r="AT835" s="6"/>
      <c r="AU835" s="47"/>
      <c r="AV835" s="6"/>
      <c r="AW835" s="47"/>
      <c r="AX835" s="6"/>
      <c r="AY835" s="73"/>
      <c r="AZ835" s="6"/>
      <c r="BA835" s="6"/>
      <c r="BB835" s="6"/>
      <c r="BC835" s="7"/>
      <c r="BD835" s="6"/>
    </row>
    <row r="836" spans="1:56" ht="15.6" x14ac:dyDescent="0.3">
      <c r="A836" s="46" t="s">
        <v>5898</v>
      </c>
      <c r="B836" s="47"/>
      <c r="C836" s="64" t="s">
        <v>5899</v>
      </c>
      <c r="D836" s="46" t="s">
        <v>5898</v>
      </c>
      <c r="E836" s="10"/>
      <c r="F836" s="10"/>
      <c r="G836" s="151"/>
      <c r="H836" s="47"/>
      <c r="I836" s="47" t="s">
        <v>5900</v>
      </c>
      <c r="J836" s="66">
        <f ca="1">INT(DATEDIF(I836,'[1]Bieu 1a'!$J$2,"d")/365)</f>
        <v>26</v>
      </c>
      <c r="K836" s="47" t="s">
        <v>5901</v>
      </c>
      <c r="L836" s="47" t="s">
        <v>5902</v>
      </c>
      <c r="M836" s="56" t="s">
        <v>532</v>
      </c>
      <c r="N836" s="95"/>
      <c r="O836" s="96"/>
      <c r="P836" s="6"/>
      <c r="Q836" s="6"/>
      <c r="R836" s="6"/>
      <c r="S836" s="6"/>
      <c r="T836" s="6"/>
      <c r="U836" s="47"/>
      <c r="V836" s="153" t="s">
        <v>5903</v>
      </c>
      <c r="W836" s="147">
        <v>45783</v>
      </c>
      <c r="X836" s="97"/>
      <c r="Y836" s="97"/>
      <c r="Z836" s="97"/>
      <c r="AA836" s="68" t="e">
        <f>VLOOKUP(A836,'[1]DANH SÁCH'!$B$8:$AD$841,12,0)</f>
        <v>#N/A</v>
      </c>
      <c r="AB836" s="47"/>
      <c r="AC836" s="47" t="s">
        <v>5774</v>
      </c>
      <c r="AD836" s="6"/>
      <c r="AE836" s="69" t="e">
        <f>VLOOKUP(A836,'[1]DANH SÁCH'!$B$8:$AD$841,13,0)</f>
        <v>#N/A</v>
      </c>
      <c r="AF836" s="97"/>
      <c r="AG836" s="6"/>
      <c r="AH836" s="45" t="s">
        <v>5324</v>
      </c>
      <c r="AI836" s="42">
        <v>1</v>
      </c>
      <c r="AJ836" s="70"/>
      <c r="AK836" s="69">
        <v>45783</v>
      </c>
      <c r="AL836" s="47" t="s">
        <v>158</v>
      </c>
      <c r="AM836" s="47" t="s">
        <v>1147</v>
      </c>
      <c r="AN836" s="6"/>
      <c r="AO836" s="6"/>
      <c r="AP836" s="6"/>
      <c r="AQ836" s="6"/>
      <c r="AR836" s="6"/>
      <c r="AS836" s="6"/>
      <c r="AT836" s="6"/>
      <c r="AU836" s="47"/>
      <c r="AV836" s="6"/>
      <c r="AW836" s="47"/>
      <c r="AX836" s="6"/>
      <c r="AY836" s="73"/>
      <c r="AZ836" s="6"/>
      <c r="BA836" s="6"/>
      <c r="BB836" s="6"/>
      <c r="BC836" s="7"/>
      <c r="BD836" s="6"/>
    </row>
    <row r="837" spans="1:56" ht="15.6" x14ac:dyDescent="0.3">
      <c r="A837" s="46" t="s">
        <v>5904</v>
      </c>
      <c r="B837" s="47"/>
      <c r="C837" s="64" t="s">
        <v>5905</v>
      </c>
      <c r="D837" s="46" t="s">
        <v>5904</v>
      </c>
      <c r="E837" s="10"/>
      <c r="F837" s="10"/>
      <c r="G837" s="151"/>
      <c r="H837" s="47"/>
      <c r="I837" s="47" t="s">
        <v>5906</v>
      </c>
      <c r="J837" s="66">
        <f ca="1">INT(DATEDIF(I837,'[1]Bieu 1a'!$J$2,"d")/365)</f>
        <v>23</v>
      </c>
      <c r="K837" s="47" t="s">
        <v>5907</v>
      </c>
      <c r="L837" s="47" t="s">
        <v>5908</v>
      </c>
      <c r="M837" s="56" t="s">
        <v>532</v>
      </c>
      <c r="N837" s="95"/>
      <c r="O837" s="96"/>
      <c r="P837" s="6"/>
      <c r="Q837" s="6"/>
      <c r="R837" s="6"/>
      <c r="S837" s="6"/>
      <c r="T837" s="6"/>
      <c r="U837" s="47"/>
      <c r="V837" s="153" t="s">
        <v>5909</v>
      </c>
      <c r="W837" s="147">
        <v>45783</v>
      </c>
      <c r="X837" s="97"/>
      <c r="Y837" s="97"/>
      <c r="Z837" s="97"/>
      <c r="AA837" s="68">
        <f>VLOOKUP(A837,'[1]DANH SÁCH'!$B$8:$AD$841,12,0)</f>
        <v>0</v>
      </c>
      <c r="AB837" s="47"/>
      <c r="AC837" s="47" t="s">
        <v>5722</v>
      </c>
      <c r="AD837" s="6"/>
      <c r="AE837" s="69" t="str">
        <f>VLOOKUP(A837,'[1]DANH SÁCH'!$B$8:$AD$841,13,0)</f>
        <v>Viên chức</v>
      </c>
      <c r="AF837" s="97"/>
      <c r="AG837" s="6"/>
      <c r="AH837" s="45" t="s">
        <v>5324</v>
      </c>
      <c r="AI837" s="42" t="s">
        <v>5535</v>
      </c>
      <c r="AJ837" s="70"/>
      <c r="AK837" s="69">
        <v>46059</v>
      </c>
      <c r="AL837" s="47" t="s">
        <v>158</v>
      </c>
      <c r="AM837" s="47" t="s">
        <v>1147</v>
      </c>
      <c r="AN837" s="6"/>
      <c r="AO837" s="6"/>
      <c r="AP837" s="6"/>
      <c r="AQ837" s="6"/>
      <c r="AR837" s="6"/>
      <c r="AS837" s="6"/>
      <c r="AT837" s="6"/>
      <c r="AU837" s="47"/>
      <c r="AV837" s="6"/>
      <c r="AW837" s="47"/>
      <c r="AX837" s="6"/>
      <c r="AY837" s="73"/>
      <c r="AZ837" s="6"/>
      <c r="BA837" s="6"/>
      <c r="BB837" s="6"/>
      <c r="BC837" s="7"/>
      <c r="BD837" s="6"/>
    </row>
    <row r="838" spans="1:56" ht="20.399999999999999" x14ac:dyDescent="0.3">
      <c r="A838" s="46" t="s">
        <v>5910</v>
      </c>
      <c r="B838" s="47"/>
      <c r="C838" s="64" t="s">
        <v>5911</v>
      </c>
      <c r="D838" s="46" t="s">
        <v>5910</v>
      </c>
      <c r="E838" s="10"/>
      <c r="F838" s="10"/>
      <c r="G838" s="151"/>
      <c r="H838" s="47"/>
      <c r="I838" s="47" t="s">
        <v>5912</v>
      </c>
      <c r="J838" s="66">
        <f ca="1">INT(DATEDIF(I838,'[1]Bieu 1a'!$J$2,"d")/365)</f>
        <v>26</v>
      </c>
      <c r="K838" s="47" t="s">
        <v>5913</v>
      </c>
      <c r="L838" s="47" t="s">
        <v>5914</v>
      </c>
      <c r="M838" s="56" t="s">
        <v>532</v>
      </c>
      <c r="N838" s="95"/>
      <c r="O838" s="96"/>
      <c r="P838" s="6"/>
      <c r="Q838" s="6"/>
      <c r="R838" s="6"/>
      <c r="S838" s="6"/>
      <c r="T838" s="6"/>
      <c r="U838" s="47"/>
      <c r="V838" s="153" t="s">
        <v>5915</v>
      </c>
      <c r="W838" s="147">
        <v>45810</v>
      </c>
      <c r="X838" s="97"/>
      <c r="Y838" s="97"/>
      <c r="Z838" s="97"/>
      <c r="AA838" s="68">
        <f>VLOOKUP(A838,'[1]DANH SÁCH'!$B$8:$AD$841,12,0)</f>
        <v>0</v>
      </c>
      <c r="AB838" s="47"/>
      <c r="AC838" s="47" t="s">
        <v>5826</v>
      </c>
      <c r="AD838" s="6"/>
      <c r="AE838" s="69" t="str">
        <f>VLOOKUP(A838,'[1]DANH SÁCH'!$B$8:$AD$841,13,0)</f>
        <v>HĐ có thời hạn</v>
      </c>
      <c r="AF838" s="97"/>
      <c r="AG838" s="6"/>
      <c r="AH838" s="45" t="s">
        <v>5324</v>
      </c>
      <c r="AI838" s="42" t="s">
        <v>5535</v>
      </c>
      <c r="AJ838" s="70"/>
      <c r="AK838" s="69">
        <v>46059</v>
      </c>
      <c r="AL838" s="47" t="s">
        <v>158</v>
      </c>
      <c r="AM838" s="47" t="s">
        <v>1147</v>
      </c>
      <c r="AN838" s="6"/>
      <c r="AO838" s="6"/>
      <c r="AP838" s="6"/>
      <c r="AQ838" s="6"/>
      <c r="AR838" s="6"/>
      <c r="AS838" s="6"/>
      <c r="AT838" s="6"/>
      <c r="AU838" s="47"/>
      <c r="AV838" s="6"/>
      <c r="AW838" s="47"/>
      <c r="AX838" s="6"/>
      <c r="AY838" s="73"/>
      <c r="AZ838" s="6"/>
      <c r="BA838" s="6"/>
      <c r="BB838" s="6"/>
      <c r="BC838" s="7"/>
      <c r="BD838" s="6"/>
    </row>
    <row r="839" spans="1:56" ht="20.399999999999999" x14ac:dyDescent="0.3">
      <c r="A839" s="46" t="s">
        <v>5916</v>
      </c>
      <c r="B839" s="47"/>
      <c r="C839" s="64" t="s">
        <v>1508</v>
      </c>
      <c r="D839" s="46" t="s">
        <v>5916</v>
      </c>
      <c r="E839" s="10"/>
      <c r="F839" s="10"/>
      <c r="G839" s="151"/>
      <c r="H839" s="47"/>
      <c r="I839" s="47" t="s">
        <v>5917</v>
      </c>
      <c r="J839" s="66">
        <f ca="1">INT(DATEDIF(I839,'[1]Bieu 1a'!$J$2,"d")/365)</f>
        <v>51</v>
      </c>
      <c r="K839" s="47" t="s">
        <v>5918</v>
      </c>
      <c r="L839" s="47" t="s">
        <v>5919</v>
      </c>
      <c r="M839" s="56" t="s">
        <v>532</v>
      </c>
      <c r="N839" s="95"/>
      <c r="O839" s="96"/>
      <c r="P839" s="6"/>
      <c r="Q839" s="6"/>
      <c r="R839" s="6"/>
      <c r="S839" s="6"/>
      <c r="T839" s="6"/>
      <c r="U839" s="47"/>
      <c r="V839" s="153" t="s">
        <v>5920</v>
      </c>
      <c r="W839" s="147">
        <v>45748</v>
      </c>
      <c r="X839" s="97"/>
      <c r="Y839" s="97"/>
      <c r="Z839" s="97"/>
      <c r="AA839" s="68">
        <f>VLOOKUP(A839,'[1]DANH SÁCH'!$B$8:$AD$841,12,0)</f>
        <v>0</v>
      </c>
      <c r="AB839" s="47"/>
      <c r="AC839" s="47" t="s">
        <v>5826</v>
      </c>
      <c r="AD839" s="6"/>
      <c r="AE839" s="69" t="str">
        <f>VLOOKUP(A839,'[1]DANH SÁCH'!$B$8:$AD$841,13,0)</f>
        <v>HĐ có thời hạn</v>
      </c>
      <c r="AF839" s="97"/>
      <c r="AG839" s="6"/>
      <c r="AH839" s="45">
        <v>1.65</v>
      </c>
      <c r="AI839" s="42">
        <v>1</v>
      </c>
      <c r="AJ839" s="70"/>
      <c r="AK839" s="69">
        <v>45689</v>
      </c>
      <c r="AL839" s="47"/>
      <c r="AM839" s="47" t="s">
        <v>5921</v>
      </c>
      <c r="AN839" s="6"/>
      <c r="AO839" s="6"/>
      <c r="AP839" s="6"/>
      <c r="AQ839" s="6"/>
      <c r="AR839" s="6"/>
      <c r="AS839" s="6"/>
      <c r="AT839" s="6"/>
      <c r="AU839" s="47"/>
      <c r="AV839" s="6"/>
      <c r="AW839" s="47"/>
      <c r="AX839" s="6"/>
      <c r="AY839" s="73"/>
      <c r="AZ839" s="6"/>
      <c r="BA839" s="6"/>
      <c r="BB839" s="6"/>
      <c r="BC839" s="7"/>
      <c r="BD839" s="6"/>
    </row>
    <row r="840" spans="1:56" ht="20.399999999999999" x14ac:dyDescent="0.3">
      <c r="A840" s="46" t="s">
        <v>5922</v>
      </c>
      <c r="B840" s="47"/>
      <c r="C840" s="64" t="s">
        <v>5923</v>
      </c>
      <c r="D840" s="46" t="s">
        <v>5922</v>
      </c>
      <c r="E840" s="10"/>
      <c r="F840" s="10"/>
      <c r="G840" s="151"/>
      <c r="H840" s="47"/>
      <c r="I840" s="47" t="s">
        <v>5924</v>
      </c>
      <c r="J840" s="66">
        <f ca="1">INT(DATEDIF(I840,'[1]Bieu 1a'!$J$2,"d")/365)</f>
        <v>27</v>
      </c>
      <c r="K840" s="47" t="s">
        <v>5925</v>
      </c>
      <c r="L840" s="47" t="s">
        <v>5926</v>
      </c>
      <c r="M840" s="56" t="s">
        <v>532</v>
      </c>
      <c r="N840" s="95"/>
      <c r="O840" s="96"/>
      <c r="P840" s="6"/>
      <c r="Q840" s="6"/>
      <c r="R840" s="6"/>
      <c r="S840" s="6"/>
      <c r="T840" s="6"/>
      <c r="U840" s="47"/>
      <c r="V840" s="153" t="s">
        <v>5927</v>
      </c>
      <c r="W840" s="147">
        <v>45698</v>
      </c>
      <c r="X840" s="97"/>
      <c r="Y840" s="97"/>
      <c r="Z840" s="97"/>
      <c r="AA840" s="68">
        <f>VLOOKUP(A840,'[1]DANH SÁCH'!$B$8:$AD$841,12,0)</f>
        <v>0</v>
      </c>
      <c r="AB840" s="47"/>
      <c r="AC840" s="47" t="s">
        <v>5686</v>
      </c>
      <c r="AD840" s="6"/>
      <c r="AE840" s="69" t="str">
        <f>VLOOKUP(A840,'[1]DANH SÁCH'!$B$8:$AD$841,13,0)</f>
        <v>HĐ có thời hạn</v>
      </c>
      <c r="AF840" s="97"/>
      <c r="AG840" s="6"/>
      <c r="AH840" s="45" t="s">
        <v>5284</v>
      </c>
      <c r="AI840" s="42">
        <v>1</v>
      </c>
      <c r="AJ840" s="70"/>
      <c r="AK840" s="69">
        <v>45698</v>
      </c>
      <c r="AL840" s="47" t="s">
        <v>80</v>
      </c>
      <c r="AM840" s="47" t="s">
        <v>1147</v>
      </c>
      <c r="AN840" s="6"/>
      <c r="AO840" s="6"/>
      <c r="AP840" s="6"/>
      <c r="AQ840" s="6"/>
      <c r="AR840" s="6"/>
      <c r="AS840" s="6"/>
      <c r="AT840" s="6"/>
      <c r="AU840" s="47"/>
      <c r="AV840" s="6"/>
      <c r="AW840" s="47"/>
      <c r="AX840" s="6"/>
      <c r="AY840" s="73"/>
      <c r="AZ840" s="6"/>
      <c r="BA840" s="6"/>
      <c r="BB840" s="6"/>
      <c r="BC840" s="7"/>
      <c r="BD840" s="6"/>
    </row>
    <row r="841" spans="1:56" ht="20.399999999999999" x14ac:dyDescent="0.3">
      <c r="A841" s="46" t="s">
        <v>5928</v>
      </c>
      <c r="B841" s="47"/>
      <c r="C841" s="64" t="s">
        <v>5929</v>
      </c>
      <c r="D841" s="46" t="s">
        <v>5928</v>
      </c>
      <c r="E841" s="10"/>
      <c r="F841" s="10"/>
      <c r="G841" s="151"/>
      <c r="H841" s="47"/>
      <c r="I841" s="47" t="s">
        <v>5930</v>
      </c>
      <c r="J841" s="66">
        <f ca="1">INT(DATEDIF(I841,'[1]Bieu 1a'!$J$2,"d")/365)</f>
        <v>26</v>
      </c>
      <c r="K841" s="47" t="s">
        <v>5931</v>
      </c>
      <c r="L841" s="47" t="s">
        <v>5824</v>
      </c>
      <c r="M841" s="56" t="s">
        <v>532</v>
      </c>
      <c r="N841" s="95"/>
      <c r="O841" s="96"/>
      <c r="P841" s="6"/>
      <c r="Q841" s="6"/>
      <c r="R841" s="6"/>
      <c r="S841" s="6"/>
      <c r="T841" s="6"/>
      <c r="U841" s="47"/>
      <c r="V841" s="153" t="s">
        <v>5932</v>
      </c>
      <c r="W841" s="147">
        <v>45673</v>
      </c>
      <c r="X841" s="97"/>
      <c r="Y841" s="97"/>
      <c r="Z841" s="97"/>
      <c r="AA841" s="68">
        <f>VLOOKUP(A841,'[1]DANH SÁCH'!$B$8:$AD$841,12,0)</f>
        <v>0</v>
      </c>
      <c r="AB841" s="47"/>
      <c r="AC841" s="47" t="s">
        <v>5686</v>
      </c>
      <c r="AD841" s="6"/>
      <c r="AE841" s="69" t="str">
        <f>VLOOKUP(A841,'[1]DANH SÁCH'!$B$8:$AD$841,13,0)</f>
        <v>HĐ có thời hạn</v>
      </c>
      <c r="AF841" s="97"/>
      <c r="AG841" s="6"/>
      <c r="AH841" s="45" t="s">
        <v>5324</v>
      </c>
      <c r="AI841" s="42" t="s">
        <v>5579</v>
      </c>
      <c r="AJ841" s="70"/>
      <c r="AK841" s="69">
        <v>45932</v>
      </c>
      <c r="AL841" s="47" t="s">
        <v>158</v>
      </c>
      <c r="AM841" s="47" t="s">
        <v>1147</v>
      </c>
      <c r="AN841" s="6"/>
      <c r="AO841" s="6"/>
      <c r="AP841" s="6"/>
      <c r="AQ841" s="6"/>
      <c r="AR841" s="6"/>
      <c r="AS841" s="6"/>
      <c r="AT841" s="6"/>
      <c r="AU841" s="47"/>
      <c r="AV841" s="6"/>
      <c r="AW841" s="47"/>
      <c r="AX841" s="6"/>
      <c r="AY841" s="73"/>
      <c r="AZ841" s="6"/>
      <c r="BA841" s="6"/>
      <c r="BB841" s="6"/>
      <c r="BC841" s="7"/>
      <c r="BD841" s="6"/>
    </row>
    <row r="842" spans="1:56" ht="15.6" x14ac:dyDescent="0.3">
      <c r="A842" s="46" t="s">
        <v>5933</v>
      </c>
      <c r="B842" s="47"/>
      <c r="C842" s="64" t="s">
        <v>5934</v>
      </c>
      <c r="D842" s="46" t="s">
        <v>5933</v>
      </c>
      <c r="E842" s="10"/>
      <c r="F842" s="10"/>
      <c r="G842" s="151"/>
      <c r="H842" s="47"/>
      <c r="I842" s="47" t="s">
        <v>5407</v>
      </c>
      <c r="J842" s="66">
        <f ca="1">INT(DATEDIF(I842,'[1]Bieu 1a'!$J$2,"d")/365)</f>
        <v>28</v>
      </c>
      <c r="K842" s="47" t="s">
        <v>5935</v>
      </c>
      <c r="L842" s="47" t="s">
        <v>5936</v>
      </c>
      <c r="M842" s="56" t="s">
        <v>532</v>
      </c>
      <c r="N842" s="95"/>
      <c r="O842" s="96"/>
      <c r="P842" s="6"/>
      <c r="Q842" s="6"/>
      <c r="R842" s="6"/>
      <c r="S842" s="6"/>
      <c r="T842" s="6"/>
      <c r="U842" s="47"/>
      <c r="V842" s="153" t="s">
        <v>5937</v>
      </c>
      <c r="W842" s="147">
        <v>45047</v>
      </c>
      <c r="X842" s="97"/>
      <c r="Y842" s="97"/>
      <c r="Z842" s="97"/>
      <c r="AA842" s="68">
        <f>VLOOKUP(A842,'[1]DANH SÁCH'!$B$8:$AD$841,12,0)</f>
        <v>0</v>
      </c>
      <c r="AB842" s="47"/>
      <c r="AC842" s="47" t="s">
        <v>5781</v>
      </c>
      <c r="AD842" s="6"/>
      <c r="AE842" s="69" t="str">
        <f>VLOOKUP(A842,'[1]DANH SÁCH'!$B$8:$AD$841,13,0)</f>
        <v>Viên chức</v>
      </c>
      <c r="AF842" s="97"/>
      <c r="AG842" s="6"/>
      <c r="AH842" s="45" t="e">
        <v>#N/A</v>
      </c>
      <c r="AI842" s="42" t="e">
        <v>#N/A</v>
      </c>
      <c r="AJ842" s="70"/>
      <c r="AK842" s="69" t="e">
        <v>#N/A</v>
      </c>
      <c r="AL842" s="47" t="s">
        <v>3813</v>
      </c>
      <c r="AM842" s="47" t="s">
        <v>3813</v>
      </c>
      <c r="AN842" s="6"/>
      <c r="AO842" s="6"/>
      <c r="AP842" s="6"/>
      <c r="AQ842" s="6"/>
      <c r="AR842" s="6"/>
      <c r="AS842" s="6"/>
      <c r="AT842" s="6"/>
      <c r="AU842" s="47"/>
      <c r="AV842" s="6"/>
      <c r="AW842" s="47"/>
      <c r="AX842" s="6"/>
      <c r="AY842" s="73"/>
      <c r="AZ842" s="6"/>
      <c r="BA842" s="6"/>
      <c r="BB842" s="6"/>
      <c r="BC842" s="7"/>
      <c r="BD842" s="6"/>
    </row>
    <row r="843" spans="1:56" ht="15.6" x14ac:dyDescent="0.3">
      <c r="A843" s="46" t="s">
        <v>5938</v>
      </c>
      <c r="B843" s="47"/>
      <c r="C843" s="64" t="s">
        <v>5939</v>
      </c>
      <c r="D843" s="46" t="s">
        <v>5938</v>
      </c>
      <c r="E843" s="10"/>
      <c r="F843" s="10"/>
      <c r="G843" s="151"/>
      <c r="H843" s="47"/>
      <c r="I843" s="47" t="s">
        <v>5940</v>
      </c>
      <c r="J843" s="66">
        <f ca="1">INT(DATEDIF(I843,'[1]Bieu 1a'!$J$2,"d")/365)</f>
        <v>30</v>
      </c>
      <c r="K843" s="47" t="s">
        <v>5941</v>
      </c>
      <c r="L843" s="47" t="s">
        <v>5942</v>
      </c>
      <c r="M843" s="56" t="s">
        <v>532</v>
      </c>
      <c r="N843" s="95"/>
      <c r="O843" s="96"/>
      <c r="P843" s="6"/>
      <c r="Q843" s="6"/>
      <c r="R843" s="6"/>
      <c r="S843" s="6"/>
      <c r="T843" s="6"/>
      <c r="U843" s="47"/>
      <c r="V843" s="153" t="s">
        <v>5943</v>
      </c>
      <c r="W843" s="147">
        <v>45810</v>
      </c>
      <c r="X843" s="97"/>
      <c r="Y843" s="97"/>
      <c r="Z843" s="97"/>
      <c r="AA843" s="68">
        <f>VLOOKUP(A843,'[1]DANH SÁCH'!$B$8:$AD$841,12,0)</f>
        <v>0</v>
      </c>
      <c r="AB843" s="47"/>
      <c r="AC843" s="47" t="s">
        <v>5781</v>
      </c>
      <c r="AD843" s="6"/>
      <c r="AE843" s="69" t="str">
        <f>VLOOKUP(A843,'[1]DANH SÁCH'!$B$8:$AD$841,13,0)</f>
        <v>Viên chức</v>
      </c>
      <c r="AF843" s="97"/>
      <c r="AG843" s="6"/>
      <c r="AH843" s="45" t="s">
        <v>5324</v>
      </c>
      <c r="AI843" s="42" t="s">
        <v>5535</v>
      </c>
      <c r="AJ843" s="70"/>
      <c r="AK843" s="69">
        <v>46059</v>
      </c>
      <c r="AL843" s="47" t="s">
        <v>158</v>
      </c>
      <c r="AM843" s="47" t="s">
        <v>1147</v>
      </c>
      <c r="AN843" s="6"/>
      <c r="AO843" s="6"/>
      <c r="AP843" s="6"/>
      <c r="AQ843" s="6"/>
      <c r="AR843" s="6"/>
      <c r="AS843" s="6"/>
      <c r="AT843" s="6"/>
      <c r="AU843" s="47"/>
      <c r="AV843" s="6"/>
      <c r="AW843" s="47"/>
      <c r="AX843" s="6"/>
      <c r="AY843" s="73"/>
      <c r="AZ843" s="6"/>
      <c r="BA843" s="6"/>
      <c r="BB843" s="6"/>
      <c r="BC843" s="7"/>
      <c r="BD843" s="6"/>
    </row>
    <row r="844" spans="1:56" ht="15.6" x14ac:dyDescent="0.3">
      <c r="A844" s="46" t="s">
        <v>5944</v>
      </c>
      <c r="B844" s="47"/>
      <c r="C844" s="64" t="s">
        <v>5945</v>
      </c>
      <c r="D844" s="46" t="s">
        <v>5944</v>
      </c>
      <c r="E844" s="10"/>
      <c r="F844" s="10"/>
      <c r="G844" s="151"/>
      <c r="H844" s="47"/>
      <c r="I844" s="47" t="s">
        <v>5946</v>
      </c>
      <c r="J844" s="66">
        <f ca="1">INT(DATEDIF(I844,'[1]Bieu 1a'!$J$2,"d")/365)</f>
        <v>29</v>
      </c>
      <c r="K844" s="47" t="s">
        <v>5947</v>
      </c>
      <c r="L844" s="47" t="s">
        <v>5948</v>
      </c>
      <c r="M844" s="56" t="s">
        <v>532</v>
      </c>
      <c r="N844" s="95"/>
      <c r="O844" s="96"/>
      <c r="P844" s="6"/>
      <c r="Q844" s="6"/>
      <c r="R844" s="6"/>
      <c r="S844" s="6"/>
      <c r="T844" s="6"/>
      <c r="U844" s="47"/>
      <c r="V844" s="153" t="s">
        <v>5949</v>
      </c>
      <c r="W844" s="147">
        <v>45339</v>
      </c>
      <c r="X844" s="97"/>
      <c r="Y844" s="97"/>
      <c r="Z844" s="97"/>
      <c r="AA844" s="68">
        <f>VLOOKUP(A844,'[1]DANH SÁCH'!$B$8:$AD$841,12,0)</f>
        <v>0</v>
      </c>
      <c r="AB844" s="47"/>
      <c r="AC844" s="47" t="s">
        <v>5760</v>
      </c>
      <c r="AD844" s="6"/>
      <c r="AE844" s="69" t="str">
        <f>VLOOKUP(A844,'[1]DANH SÁCH'!$B$8:$AD$841,13,0)</f>
        <v>Viên chức</v>
      </c>
      <c r="AF844" s="97"/>
      <c r="AG844" s="6"/>
      <c r="AH844" s="45" t="s">
        <v>5324</v>
      </c>
      <c r="AI844" s="42" t="s">
        <v>5579</v>
      </c>
      <c r="AJ844" s="70"/>
      <c r="AK844" s="69">
        <v>45978</v>
      </c>
      <c r="AL844" s="47" t="s">
        <v>158</v>
      </c>
      <c r="AM844" s="47" t="s">
        <v>1147</v>
      </c>
      <c r="AN844" s="6"/>
      <c r="AO844" s="6"/>
      <c r="AP844" s="6"/>
      <c r="AQ844" s="6"/>
      <c r="AR844" s="6"/>
      <c r="AS844" s="6"/>
      <c r="AT844" s="6"/>
      <c r="AU844" s="47"/>
      <c r="AV844" s="6"/>
      <c r="AW844" s="47"/>
      <c r="AX844" s="6"/>
      <c r="AY844" s="73"/>
      <c r="AZ844" s="6"/>
      <c r="BA844" s="6"/>
      <c r="BB844" s="6"/>
      <c r="BC844" s="7"/>
      <c r="BD844" s="6"/>
    </row>
    <row r="845" spans="1:56" ht="15.6" x14ac:dyDescent="0.3">
      <c r="A845" s="46" t="s">
        <v>5950</v>
      </c>
      <c r="B845" s="47"/>
      <c r="C845" s="64" t="s">
        <v>5951</v>
      </c>
      <c r="D845" s="46" t="s">
        <v>5950</v>
      </c>
      <c r="E845" s="10"/>
      <c r="F845" s="10"/>
      <c r="G845" s="151"/>
      <c r="H845" s="47"/>
      <c r="I845" s="47" t="s">
        <v>5952</v>
      </c>
      <c r="J845" s="66">
        <f ca="1">INT(DATEDIF(I845,'[1]Bieu 1a'!$J$2,"d")/365)</f>
        <v>30</v>
      </c>
      <c r="K845" s="47" t="s">
        <v>5953</v>
      </c>
      <c r="L845" s="47" t="s">
        <v>5954</v>
      </c>
      <c r="M845" s="56" t="s">
        <v>532</v>
      </c>
      <c r="N845" s="95"/>
      <c r="O845" s="96"/>
      <c r="P845" s="6"/>
      <c r="Q845" s="6"/>
      <c r="R845" s="6"/>
      <c r="S845" s="6"/>
      <c r="T845" s="6"/>
      <c r="U845" s="47"/>
      <c r="V845" s="153" t="s">
        <v>5955</v>
      </c>
      <c r="W845" s="147">
        <v>45691</v>
      </c>
      <c r="X845" s="97"/>
      <c r="Y845" s="97"/>
      <c r="Z845" s="97"/>
      <c r="AA845" s="68">
        <f>VLOOKUP(A845,'[1]DANH SÁCH'!$B$8:$AD$841,12,0)</f>
        <v>0</v>
      </c>
      <c r="AB845" s="47"/>
      <c r="AC845" s="47" t="s">
        <v>1803</v>
      </c>
      <c r="AD845" s="6"/>
      <c r="AE845" s="69" t="str">
        <f>VLOOKUP(A845,'[1]DANH SÁCH'!$B$8:$AD$841,13,0)</f>
        <v>Viên chức</v>
      </c>
      <c r="AF845" s="97"/>
      <c r="AG845" s="6"/>
      <c r="AH845" s="45" t="e">
        <v>#N/A</v>
      </c>
      <c r="AI845" s="42" t="e">
        <v>#N/A</v>
      </c>
      <c r="AJ845" s="70"/>
      <c r="AK845" s="69" t="e">
        <v>#N/A</v>
      </c>
      <c r="AL845" s="47" t="s">
        <v>3813</v>
      </c>
      <c r="AM845" s="47" t="s">
        <v>3813</v>
      </c>
      <c r="AN845" s="6"/>
      <c r="AO845" s="6"/>
      <c r="AP845" s="6"/>
      <c r="AQ845" s="6"/>
      <c r="AR845" s="6"/>
      <c r="AS845" s="6"/>
      <c r="AT845" s="6"/>
      <c r="AU845" s="47"/>
      <c r="AV845" s="6"/>
      <c r="AW845" s="47"/>
      <c r="AX845" s="6"/>
      <c r="AY845" s="73"/>
      <c r="AZ845" s="6"/>
      <c r="BA845" s="6"/>
      <c r="BB845" s="6"/>
      <c r="BC845" s="7"/>
      <c r="BD845" s="6"/>
    </row>
    <row r="846" spans="1:56" ht="15.6" x14ac:dyDescent="0.3">
      <c r="A846" s="46" t="s">
        <v>5956</v>
      </c>
      <c r="B846" s="47"/>
      <c r="C846" s="64" t="s">
        <v>5957</v>
      </c>
      <c r="D846" s="46" t="s">
        <v>5956</v>
      </c>
      <c r="E846" s="10"/>
      <c r="F846" s="10"/>
      <c r="G846" s="151"/>
      <c r="H846" s="47"/>
      <c r="I846" s="47" t="s">
        <v>5958</v>
      </c>
      <c r="J846" s="66">
        <f ca="1">INT(DATEDIF(I846,'[1]Bieu 1a'!$J$2,"d")/365)</f>
        <v>31</v>
      </c>
      <c r="K846" s="47" t="s">
        <v>5959</v>
      </c>
      <c r="L846" s="47" t="s">
        <v>5960</v>
      </c>
      <c r="M846" s="56" t="s">
        <v>532</v>
      </c>
      <c r="N846" s="95"/>
      <c r="O846" s="96"/>
      <c r="P846" s="6"/>
      <c r="Q846" s="6"/>
      <c r="R846" s="6"/>
      <c r="S846" s="6"/>
      <c r="T846" s="6"/>
      <c r="U846" s="47"/>
      <c r="V846" s="153" t="s">
        <v>5961</v>
      </c>
      <c r="W846" s="147">
        <v>45783</v>
      </c>
      <c r="X846" s="97"/>
      <c r="Y846" s="97"/>
      <c r="Z846" s="97"/>
      <c r="AA846" s="68">
        <f>VLOOKUP(A846,'[1]DANH SÁCH'!$B$8:$AD$841,12,0)</f>
        <v>0</v>
      </c>
      <c r="AB846" s="47"/>
      <c r="AC846" s="47" t="s">
        <v>1803</v>
      </c>
      <c r="AD846" s="6"/>
      <c r="AE846" s="69" t="str">
        <f>VLOOKUP(A846,'[1]DANH SÁCH'!$B$8:$AD$841,13,0)</f>
        <v>Viên chức</v>
      </c>
      <c r="AF846" s="97"/>
      <c r="AG846" s="6"/>
      <c r="AH846" s="45" t="s">
        <v>5284</v>
      </c>
      <c r="AI846" s="42">
        <v>1</v>
      </c>
      <c r="AJ846" s="70"/>
      <c r="AK846" s="69">
        <v>45783</v>
      </c>
      <c r="AL846" s="47" t="s">
        <v>80</v>
      </c>
      <c r="AM846" s="47" t="s">
        <v>5746</v>
      </c>
      <c r="AN846" s="6"/>
      <c r="AO846" s="6"/>
      <c r="AP846" s="6"/>
      <c r="AQ846" s="6"/>
      <c r="AR846" s="6"/>
      <c r="AS846" s="6"/>
      <c r="AT846" s="6"/>
      <c r="AU846" s="47"/>
      <c r="AV846" s="6"/>
      <c r="AW846" s="47"/>
      <c r="AX846" s="6"/>
      <c r="AY846" s="73"/>
      <c r="AZ846" s="6"/>
      <c r="BA846" s="6"/>
      <c r="BB846" s="6"/>
      <c r="BC846" s="7"/>
      <c r="BD846" s="6"/>
    </row>
    <row r="847" spans="1:56" ht="15.6" x14ac:dyDescent="0.3">
      <c r="A847" s="46" t="s">
        <v>5962</v>
      </c>
      <c r="B847" s="47"/>
      <c r="C847" s="64" t="s">
        <v>5963</v>
      </c>
      <c r="D847" s="46" t="s">
        <v>5962</v>
      </c>
      <c r="E847" s="10"/>
      <c r="F847" s="10"/>
      <c r="G847" s="151"/>
      <c r="H847" s="47"/>
      <c r="I847" s="47" t="s">
        <v>1621</v>
      </c>
      <c r="J847" s="66">
        <f ca="1">INT(DATEDIF(I847,'[1]Bieu 1a'!$J$2,"d")/365)</f>
        <v>24</v>
      </c>
      <c r="K847" s="47" t="s">
        <v>5964</v>
      </c>
      <c r="L847" s="47" t="s">
        <v>5965</v>
      </c>
      <c r="M847" s="56" t="s">
        <v>532</v>
      </c>
      <c r="N847" s="95"/>
      <c r="O847" s="96"/>
      <c r="P847" s="6"/>
      <c r="Q847" s="6"/>
      <c r="R847" s="6"/>
      <c r="S847" s="6"/>
      <c r="T847" s="6"/>
      <c r="U847" s="47"/>
      <c r="V847" s="153" t="s">
        <v>5966</v>
      </c>
      <c r="W847" s="147">
        <v>45783</v>
      </c>
      <c r="X847" s="97"/>
      <c r="Y847" s="97"/>
      <c r="Z847" s="97"/>
      <c r="AA847" s="68">
        <f>VLOOKUP(A847,'[1]DANH SÁCH'!$B$8:$AD$841,12,0)</f>
        <v>0</v>
      </c>
      <c r="AB847" s="47"/>
      <c r="AC847" s="47" t="s">
        <v>1803</v>
      </c>
      <c r="AD847" s="6"/>
      <c r="AE847" s="69" t="str">
        <f>VLOOKUP(A847,'[1]DANH SÁCH'!$B$8:$AD$841,13,0)</f>
        <v>Viên chức</v>
      </c>
      <c r="AF847" s="97"/>
      <c r="AG847" s="6"/>
      <c r="AH847" s="45" t="s">
        <v>5324</v>
      </c>
      <c r="AI847" s="42" t="s">
        <v>5535</v>
      </c>
      <c r="AJ847" s="70"/>
      <c r="AK847" s="69">
        <v>46059</v>
      </c>
      <c r="AL847" s="47" t="s">
        <v>158</v>
      </c>
      <c r="AM847" s="47" t="s">
        <v>1147</v>
      </c>
      <c r="AN847" s="6"/>
      <c r="AO847" s="6"/>
      <c r="AP847" s="6"/>
      <c r="AQ847" s="6"/>
      <c r="AR847" s="6"/>
      <c r="AS847" s="6"/>
      <c r="AT847" s="6"/>
      <c r="AU847" s="47"/>
      <c r="AV847" s="6"/>
      <c r="AW847" s="47"/>
      <c r="AX847" s="6"/>
      <c r="AY847" s="73"/>
      <c r="AZ847" s="6"/>
      <c r="BA847" s="6"/>
      <c r="BB847" s="6"/>
      <c r="BC847" s="7"/>
      <c r="BD847" s="6"/>
    </row>
    <row r="848" spans="1:56" ht="15.6" x14ac:dyDescent="0.3">
      <c r="A848" s="46" t="s">
        <v>5967</v>
      </c>
      <c r="B848" s="47"/>
      <c r="C848" s="64" t="s">
        <v>5968</v>
      </c>
      <c r="D848" s="46" t="s">
        <v>5967</v>
      </c>
      <c r="E848" s="10"/>
      <c r="F848" s="10"/>
      <c r="G848" s="151"/>
      <c r="H848" s="47"/>
      <c r="I848" s="47" t="s">
        <v>5969</v>
      </c>
      <c r="J848" s="66">
        <f ca="1">INT(DATEDIF(I848,'[1]Bieu 1a'!$J$2,"d")/365)</f>
        <v>27</v>
      </c>
      <c r="K848" s="47" t="s">
        <v>5970</v>
      </c>
      <c r="L848" s="47" t="s">
        <v>5971</v>
      </c>
      <c r="M848" s="56" t="s">
        <v>532</v>
      </c>
      <c r="N848" s="95"/>
      <c r="O848" s="96"/>
      <c r="P848" s="6"/>
      <c r="Q848" s="6"/>
      <c r="R848" s="6"/>
      <c r="S848" s="6"/>
      <c r="T848" s="6"/>
      <c r="U848" s="47"/>
      <c r="V848" s="153" t="s">
        <v>5972</v>
      </c>
      <c r="W848" s="147">
        <v>45673</v>
      </c>
      <c r="X848" s="97"/>
      <c r="Y848" s="97"/>
      <c r="Z848" s="97"/>
      <c r="AA848" s="68">
        <f>VLOOKUP(A848,'[1]DANH SÁCH'!$B$8:$AD$841,12,0)</f>
        <v>0</v>
      </c>
      <c r="AB848" s="47"/>
      <c r="AC848" s="47" t="s">
        <v>5868</v>
      </c>
      <c r="AD848" s="6"/>
      <c r="AE848" s="69" t="str">
        <f>VLOOKUP(A848,'[1]DANH SÁCH'!$B$8:$AD$841,13,0)</f>
        <v>Viên chức</v>
      </c>
      <c r="AF848" s="97"/>
      <c r="AG848" s="6"/>
      <c r="AH848" s="45" t="s">
        <v>5324</v>
      </c>
      <c r="AI848" s="42">
        <v>1</v>
      </c>
      <c r="AJ848" s="70"/>
      <c r="AK848" s="69">
        <v>45932</v>
      </c>
      <c r="AL848" s="47" t="s">
        <v>158</v>
      </c>
      <c r="AM848" s="47" t="s">
        <v>5868</v>
      </c>
      <c r="AN848" s="6"/>
      <c r="AO848" s="6"/>
      <c r="AP848" s="6"/>
      <c r="AQ848" s="6"/>
      <c r="AR848" s="6"/>
      <c r="AS848" s="6"/>
      <c r="AT848" s="6"/>
      <c r="AU848" s="47"/>
      <c r="AV848" s="6"/>
      <c r="AW848" s="47"/>
      <c r="AX848" s="6"/>
      <c r="AY848" s="73"/>
      <c r="AZ848" s="6"/>
      <c r="BA848" s="6"/>
      <c r="BB848" s="6"/>
      <c r="BC848" s="7"/>
      <c r="BD848" s="6"/>
    </row>
    <row r="849" spans="1:56" ht="20.399999999999999" x14ac:dyDescent="0.3">
      <c r="A849" s="46" t="s">
        <v>5973</v>
      </c>
      <c r="B849" s="47"/>
      <c r="C849" s="64" t="s">
        <v>5974</v>
      </c>
      <c r="D849" s="46" t="s">
        <v>5973</v>
      </c>
      <c r="E849" s="10"/>
      <c r="F849" s="10"/>
      <c r="G849" s="151"/>
      <c r="H849" s="47"/>
      <c r="I849" s="47" t="s">
        <v>5975</v>
      </c>
      <c r="J849" s="66">
        <f ca="1">INT(DATEDIF(I849,'[1]Bieu 1a'!$J$2,"d")/365)</f>
        <v>25</v>
      </c>
      <c r="K849" s="47" t="s">
        <v>5976</v>
      </c>
      <c r="L849" s="47" t="s">
        <v>5977</v>
      </c>
      <c r="M849" s="56" t="s">
        <v>532</v>
      </c>
      <c r="N849" s="95"/>
      <c r="O849" s="96"/>
      <c r="P849" s="6"/>
      <c r="Q849" s="6"/>
      <c r="R849" s="6"/>
      <c r="S849" s="6"/>
      <c r="T849" s="6"/>
      <c r="U849" s="47"/>
      <c r="V849" s="153" t="s">
        <v>5978</v>
      </c>
      <c r="W849" s="147">
        <v>45783</v>
      </c>
      <c r="X849" s="97"/>
      <c r="Y849" s="97"/>
      <c r="Z849" s="97"/>
      <c r="AA849" s="68">
        <f>VLOOKUP(A849,'[1]DANH SÁCH'!$B$8:$AD$841,12,0)</f>
        <v>0</v>
      </c>
      <c r="AB849" s="47"/>
      <c r="AC849" s="47" t="s">
        <v>5979</v>
      </c>
      <c r="AD849" s="6"/>
      <c r="AE849" s="69" t="str">
        <f>VLOOKUP(A849,'[1]DANH SÁCH'!$B$8:$AD$841,13,0)</f>
        <v>HĐ có thời hạn</v>
      </c>
      <c r="AF849" s="97"/>
      <c r="AG849" s="6"/>
      <c r="AH849" s="45" t="s">
        <v>5284</v>
      </c>
      <c r="AI849" s="42" t="s">
        <v>5535</v>
      </c>
      <c r="AJ849" s="70"/>
      <c r="AK849" s="69">
        <v>46148</v>
      </c>
      <c r="AL849" s="47" t="s">
        <v>80</v>
      </c>
      <c r="AM849" s="47" t="s">
        <v>5980</v>
      </c>
      <c r="AN849" s="6"/>
      <c r="AO849" s="6"/>
      <c r="AP849" s="6"/>
      <c r="AQ849" s="6"/>
      <c r="AR849" s="6"/>
      <c r="AS849" s="6"/>
      <c r="AT849" s="6"/>
      <c r="AU849" s="47"/>
      <c r="AV849" s="6"/>
      <c r="AW849" s="47"/>
      <c r="AX849" s="6"/>
      <c r="AY849" s="73"/>
      <c r="AZ849" s="6"/>
      <c r="BA849" s="6"/>
      <c r="BB849" s="6"/>
      <c r="BC849" s="7"/>
      <c r="BD849" s="6"/>
    </row>
    <row r="850" spans="1:56" ht="20.399999999999999" x14ac:dyDescent="0.3">
      <c r="A850" s="46" t="s">
        <v>5981</v>
      </c>
      <c r="B850" s="47"/>
      <c r="C850" s="64" t="s">
        <v>5982</v>
      </c>
      <c r="D850" s="46" t="s">
        <v>5981</v>
      </c>
      <c r="E850" s="10"/>
      <c r="F850" s="10"/>
      <c r="G850" s="151"/>
      <c r="H850" s="65">
        <v>35397</v>
      </c>
      <c r="I850" s="47"/>
      <c r="J850" s="66">
        <f ca="1">INT(DATEDIF(H850,'[1]Bieu 1a'!$J$2,"d")/365)</f>
        <v>29</v>
      </c>
      <c r="K850" s="47" t="s">
        <v>5983</v>
      </c>
      <c r="L850" s="47" t="s">
        <v>5984</v>
      </c>
      <c r="M850" s="56" t="s">
        <v>532</v>
      </c>
      <c r="N850" s="95"/>
      <c r="O850" s="96"/>
      <c r="P850" s="6"/>
      <c r="Q850" s="6"/>
      <c r="R850" s="6"/>
      <c r="S850" s="6"/>
      <c r="T850" s="6"/>
      <c r="U850" s="47"/>
      <c r="V850" s="153" t="s">
        <v>5451</v>
      </c>
      <c r="W850" s="147">
        <v>45698</v>
      </c>
      <c r="X850" s="97"/>
      <c r="Y850" s="97"/>
      <c r="Z850" s="97"/>
      <c r="AA850" s="68">
        <f>VLOOKUP(A850,'[1]DANH SÁCH'!$B$8:$AD$841,12,0)</f>
        <v>0</v>
      </c>
      <c r="AB850" s="47"/>
      <c r="AC850" s="47" t="s">
        <v>2799</v>
      </c>
      <c r="AD850" s="6"/>
      <c r="AE850" s="69" t="str">
        <f>VLOOKUP(A850,'[1]DANH SÁCH'!$B$8:$AD$841,13,0)</f>
        <v>HĐ có thời hạn</v>
      </c>
      <c r="AF850" s="97"/>
      <c r="AG850" s="6"/>
      <c r="AH850" s="45" t="s">
        <v>5284</v>
      </c>
      <c r="AI850" s="42">
        <v>1</v>
      </c>
      <c r="AJ850" s="70"/>
      <c r="AK850" s="69">
        <v>45698</v>
      </c>
      <c r="AL850" s="47" t="s">
        <v>80</v>
      </c>
      <c r="AM850" s="47" t="s">
        <v>5985</v>
      </c>
      <c r="AN850" s="6"/>
      <c r="AO850" s="6"/>
      <c r="AP850" s="6"/>
      <c r="AQ850" s="6"/>
      <c r="AR850" s="6"/>
      <c r="AS850" s="6"/>
      <c r="AT850" s="6"/>
      <c r="AU850" s="47"/>
      <c r="AV850" s="6"/>
      <c r="AW850" s="47"/>
      <c r="AX850" s="6"/>
      <c r="AY850" s="73"/>
      <c r="AZ850" s="6"/>
      <c r="BA850" s="6"/>
      <c r="BB850" s="6"/>
      <c r="BC850" s="7"/>
      <c r="BD850" s="6"/>
    </row>
    <row r="851" spans="1:56" ht="15.6" x14ac:dyDescent="0.3">
      <c r="A851" s="46" t="s">
        <v>5986</v>
      </c>
      <c r="B851" s="47"/>
      <c r="C851" s="64" t="s">
        <v>5987</v>
      </c>
      <c r="D851" s="46" t="s">
        <v>5986</v>
      </c>
      <c r="E851" s="10"/>
      <c r="F851" s="10"/>
      <c r="G851" s="151"/>
      <c r="H851" s="47" t="s">
        <v>5988</v>
      </c>
      <c r="I851" s="47"/>
      <c r="J851" s="66">
        <f ca="1">INT(DATEDIF(H851,'[1]Bieu 1a'!$J$2,"d")/365)</f>
        <v>23</v>
      </c>
      <c r="K851" s="47" t="s">
        <v>5989</v>
      </c>
      <c r="L851" s="47" t="s">
        <v>5990</v>
      </c>
      <c r="M851" s="56" t="s">
        <v>532</v>
      </c>
      <c r="N851" s="95"/>
      <c r="O851" s="96"/>
      <c r="P851" s="6"/>
      <c r="Q851" s="6"/>
      <c r="R851" s="6"/>
      <c r="S851" s="6"/>
      <c r="T851" s="6"/>
      <c r="U851" s="47"/>
      <c r="V851" s="153" t="s">
        <v>5991</v>
      </c>
      <c r="W851" s="147">
        <v>45783</v>
      </c>
      <c r="X851" s="97"/>
      <c r="Y851" s="97"/>
      <c r="Z851" s="97"/>
      <c r="AA851" s="68" t="e">
        <f>VLOOKUP(A851,'[1]DANH SÁCH'!$B$8:$AD$841,12,0)</f>
        <v>#N/A</v>
      </c>
      <c r="AB851" s="47"/>
      <c r="AC851" s="47" t="s">
        <v>2799</v>
      </c>
      <c r="AD851" s="6"/>
      <c r="AE851" s="69" t="e">
        <f>VLOOKUP(A851,'[1]DANH SÁCH'!$B$8:$AD$841,13,0)</f>
        <v>#N/A</v>
      </c>
      <c r="AF851" s="97"/>
      <c r="AG851" s="6"/>
      <c r="AH851" s="45" t="s">
        <v>5324</v>
      </c>
      <c r="AI851" s="42" t="s">
        <v>5535</v>
      </c>
      <c r="AJ851" s="70"/>
      <c r="AK851" s="69">
        <v>46059</v>
      </c>
      <c r="AL851" s="47" t="s">
        <v>158</v>
      </c>
      <c r="AM851" s="47" t="s">
        <v>5992</v>
      </c>
      <c r="AN851" s="6"/>
      <c r="AO851" s="6"/>
      <c r="AP851" s="6"/>
      <c r="AQ851" s="6"/>
      <c r="AR851" s="6"/>
      <c r="AS851" s="6"/>
      <c r="AT851" s="6"/>
      <c r="AU851" s="47"/>
      <c r="AV851" s="6"/>
      <c r="AW851" s="47"/>
      <c r="AX851" s="6"/>
      <c r="AY851" s="73"/>
      <c r="AZ851" s="6"/>
      <c r="BA851" s="6"/>
      <c r="BB851" s="6"/>
      <c r="BC851" s="7"/>
      <c r="BD851" s="6"/>
    </row>
    <row r="852" spans="1:56" ht="15.6" x14ac:dyDescent="0.3">
      <c r="A852" s="46" t="s">
        <v>5993</v>
      </c>
      <c r="B852" s="47"/>
      <c r="C852" s="64" t="s">
        <v>5994</v>
      </c>
      <c r="D852" s="46" t="s">
        <v>5993</v>
      </c>
      <c r="E852" s="10"/>
      <c r="F852" s="10"/>
      <c r="G852" s="151"/>
      <c r="H852" s="47"/>
      <c r="I852" s="47" t="s">
        <v>5995</v>
      </c>
      <c r="J852" s="66">
        <f ca="1">INT(DATEDIF(I852,'[1]Bieu 1a'!$J$2,"d")/365)</f>
        <v>24</v>
      </c>
      <c r="K852" s="47" t="s">
        <v>5996</v>
      </c>
      <c r="L852" s="47" t="s">
        <v>5997</v>
      </c>
      <c r="M852" s="56" t="s">
        <v>532</v>
      </c>
      <c r="N852" s="95"/>
      <c r="O852" s="96"/>
      <c r="P852" s="6"/>
      <c r="Q852" s="6"/>
      <c r="R852" s="6"/>
      <c r="S852" s="6"/>
      <c r="T852" s="6"/>
      <c r="U852" s="47"/>
      <c r="V852" s="153" t="s">
        <v>5998</v>
      </c>
      <c r="W852" s="147">
        <v>45810</v>
      </c>
      <c r="X852" s="97"/>
      <c r="Y852" s="97"/>
      <c r="Z852" s="97"/>
      <c r="AA852" s="68">
        <f>VLOOKUP(A852,'[1]DANH SÁCH'!$B$8:$AD$841,12,0)</f>
        <v>0</v>
      </c>
      <c r="AB852" s="47"/>
      <c r="AC852" s="47" t="s">
        <v>5655</v>
      </c>
      <c r="AD852" s="6"/>
      <c r="AE852" s="69" t="str">
        <f>VLOOKUP(A852,'[1]DANH SÁCH'!$B$8:$AD$841,13,0)</f>
        <v>Viên chức</v>
      </c>
      <c r="AF852" s="97"/>
      <c r="AG852" s="6"/>
      <c r="AH852" s="45" t="s">
        <v>5284</v>
      </c>
      <c r="AI852" s="42" t="s">
        <v>5535</v>
      </c>
      <c r="AJ852" s="70"/>
      <c r="AK852" s="69">
        <v>46148</v>
      </c>
      <c r="AL852" s="47" t="s">
        <v>80</v>
      </c>
      <c r="AM852" s="47" t="s">
        <v>1215</v>
      </c>
      <c r="AN852" s="6"/>
      <c r="AO852" s="6"/>
      <c r="AP852" s="6"/>
      <c r="AQ852" s="6"/>
      <c r="AR852" s="6"/>
      <c r="AS852" s="6"/>
      <c r="AT852" s="6"/>
      <c r="AU852" s="47"/>
      <c r="AV852" s="6"/>
      <c r="AW852" s="47"/>
      <c r="AX852" s="6"/>
      <c r="AY852" s="73"/>
      <c r="AZ852" s="6"/>
      <c r="BA852" s="6"/>
      <c r="BB852" s="6"/>
      <c r="BC852" s="7"/>
      <c r="BD852" s="6"/>
    </row>
    <row r="853" spans="1:56" ht="20.399999999999999" x14ac:dyDescent="0.3">
      <c r="A853" s="46" t="s">
        <v>5999</v>
      </c>
      <c r="B853" s="47"/>
      <c r="C853" s="64" t="s">
        <v>6000</v>
      </c>
      <c r="D853" s="46" t="s">
        <v>5999</v>
      </c>
      <c r="E853" s="10"/>
      <c r="F853" s="10"/>
      <c r="G853" s="151"/>
      <c r="H853" s="47"/>
      <c r="I853" s="47" t="s">
        <v>6001</v>
      </c>
      <c r="J853" s="66">
        <f ca="1">INT(DATEDIF(I853,'[1]Bieu 1a'!$J$2,"d")/365)</f>
        <v>40</v>
      </c>
      <c r="K853" s="47" t="s">
        <v>6002</v>
      </c>
      <c r="L853" s="47" t="s">
        <v>5849</v>
      </c>
      <c r="M853" s="56" t="s">
        <v>532</v>
      </c>
      <c r="N853" s="95"/>
      <c r="O853" s="96"/>
      <c r="P853" s="6"/>
      <c r="Q853" s="6"/>
      <c r="R853" s="6"/>
      <c r="S853" s="6"/>
      <c r="T853" s="6"/>
      <c r="U853" s="47"/>
      <c r="V853" s="153" t="s">
        <v>6003</v>
      </c>
      <c r="W853" s="147">
        <v>45664</v>
      </c>
      <c r="X853" s="97"/>
      <c r="Y853" s="97"/>
      <c r="Z853" s="97"/>
      <c r="AA853" s="68">
        <f>VLOOKUP(A853,'[1]DANH SÁCH'!$B$8:$AD$841,12,0)</f>
        <v>0</v>
      </c>
      <c r="AB853" s="47"/>
      <c r="AC853" s="47" t="s">
        <v>5655</v>
      </c>
      <c r="AD853" s="6"/>
      <c r="AE853" s="69" t="str">
        <f>VLOOKUP(A853,'[1]DANH SÁCH'!$B$8:$AD$841,13,0)</f>
        <v>HĐ có thời hạn</v>
      </c>
      <c r="AF853" s="97"/>
      <c r="AG853" s="6"/>
      <c r="AH853" s="45" t="e">
        <v>#N/A</v>
      </c>
      <c r="AI853" s="42" t="e">
        <v>#N/A</v>
      </c>
      <c r="AJ853" s="70"/>
      <c r="AK853" s="69" t="e">
        <v>#N/A</v>
      </c>
      <c r="AL853" s="47"/>
      <c r="AM853" s="47" t="s">
        <v>5657</v>
      </c>
      <c r="AN853" s="6"/>
      <c r="AO853" s="6"/>
      <c r="AP853" s="6"/>
      <c r="AQ853" s="6"/>
      <c r="AR853" s="6"/>
      <c r="AS853" s="6"/>
      <c r="AT853" s="6"/>
      <c r="AU853" s="6"/>
      <c r="AV853" s="6"/>
      <c r="AW853" s="47"/>
      <c r="AX853" s="6"/>
      <c r="AY853" s="73"/>
      <c r="AZ853" s="6"/>
      <c r="BA853" s="6"/>
      <c r="BB853" s="6"/>
      <c r="BC853" s="7"/>
      <c r="BD853" s="6"/>
    </row>
    <row r="854" spans="1:56" ht="20.399999999999999" x14ac:dyDescent="0.3">
      <c r="A854" s="46" t="s">
        <v>6004</v>
      </c>
      <c r="B854" s="47"/>
      <c r="C854" s="64" t="s">
        <v>6005</v>
      </c>
      <c r="D854" s="46" t="s">
        <v>6004</v>
      </c>
      <c r="E854" s="10"/>
      <c r="F854" s="10"/>
      <c r="G854" s="151"/>
      <c r="H854" s="47"/>
      <c r="I854" s="47" t="s">
        <v>6006</v>
      </c>
      <c r="J854" s="66">
        <f ca="1">INT(DATEDIF(I854,'[1]Bieu 1a'!$J$2,"d")/365)</f>
        <v>35</v>
      </c>
      <c r="K854" s="47" t="s">
        <v>6007</v>
      </c>
      <c r="L854" s="47" t="s">
        <v>5824</v>
      </c>
      <c r="M854" s="56" t="s">
        <v>532</v>
      </c>
      <c r="N854" s="95"/>
      <c r="O854" s="96"/>
      <c r="P854" s="6"/>
      <c r="Q854" s="6"/>
      <c r="R854" s="6"/>
      <c r="S854" s="6"/>
      <c r="T854" s="6"/>
      <c r="U854" s="47"/>
      <c r="V854" s="153" t="s">
        <v>6008</v>
      </c>
      <c r="W854" s="147">
        <v>45748</v>
      </c>
      <c r="X854" s="97"/>
      <c r="Y854" s="97"/>
      <c r="Z854" s="97"/>
      <c r="AA854" s="68">
        <f>VLOOKUP(A854,'[1]DANH SÁCH'!$B$8:$AD$841,12,0)</f>
        <v>0</v>
      </c>
      <c r="AB854" s="47"/>
      <c r="AC854" s="47" t="s">
        <v>5655</v>
      </c>
      <c r="AD854" s="6"/>
      <c r="AE854" s="69" t="str">
        <f>VLOOKUP(A854,'[1]DANH SÁCH'!$B$8:$AD$841,13,0)</f>
        <v>HĐ có thời hạn</v>
      </c>
      <c r="AF854" s="97"/>
      <c r="AG854" s="6"/>
      <c r="AH854" s="45" t="s">
        <v>5656</v>
      </c>
      <c r="AI854" s="42">
        <v>4</v>
      </c>
      <c r="AJ854" s="70"/>
      <c r="AK854" s="69">
        <v>45748</v>
      </c>
      <c r="AL854" s="47"/>
      <c r="AM854" s="47" t="s">
        <v>5657</v>
      </c>
      <c r="AN854" s="6"/>
      <c r="AO854" s="6"/>
      <c r="AP854" s="6"/>
      <c r="AQ854" s="6"/>
      <c r="AR854" s="6"/>
      <c r="AS854" s="6"/>
      <c r="AT854" s="6"/>
      <c r="AU854" s="6"/>
      <c r="AV854" s="6"/>
      <c r="AW854" s="47"/>
      <c r="AX854" s="6"/>
      <c r="AY854" s="73"/>
      <c r="AZ854" s="6"/>
      <c r="BA854" s="6"/>
      <c r="BB854" s="6"/>
      <c r="BC854" s="7"/>
      <c r="BD854" s="6"/>
    </row>
    <row r="855" spans="1:56" ht="20.399999999999999" x14ac:dyDescent="0.3">
      <c r="A855" s="46" t="s">
        <v>6009</v>
      </c>
      <c r="B855" s="47"/>
      <c r="C855" s="64" t="s">
        <v>6010</v>
      </c>
      <c r="D855" s="46" t="s">
        <v>6009</v>
      </c>
      <c r="E855" s="10"/>
      <c r="F855" s="10"/>
      <c r="G855" s="151"/>
      <c r="H855" s="47" t="s">
        <v>6011</v>
      </c>
      <c r="I855" s="47"/>
      <c r="J855" s="66">
        <f ca="1">INT(DATEDIF(H855,'[1]Bieu 1a'!$J$2,"d")/365)</f>
        <v>56</v>
      </c>
      <c r="K855" s="47" t="s">
        <v>6012</v>
      </c>
      <c r="L855" s="47" t="s">
        <v>6013</v>
      </c>
      <c r="M855" s="56" t="s">
        <v>532</v>
      </c>
      <c r="N855" s="95"/>
      <c r="O855" s="96"/>
      <c r="P855" s="6"/>
      <c r="Q855" s="6"/>
      <c r="R855" s="6"/>
      <c r="S855" s="6"/>
      <c r="T855" s="6"/>
      <c r="U855" s="47"/>
      <c r="V855" s="153" t="s">
        <v>6014</v>
      </c>
      <c r="W855" s="147">
        <v>45748</v>
      </c>
      <c r="X855" s="97"/>
      <c r="Y855" s="97"/>
      <c r="Z855" s="97"/>
      <c r="AA855" s="47"/>
      <c r="AB855" s="47"/>
      <c r="AC855" s="47" t="s">
        <v>5664</v>
      </c>
      <c r="AD855" s="6"/>
      <c r="AE855" s="69" t="str">
        <f>VLOOKUP(A855,'[1]DANH SÁCH'!$B$8:$AD$841,13,0)</f>
        <v>HĐ có thời hạn</v>
      </c>
      <c r="AF855" s="97"/>
      <c r="AG855" s="6"/>
      <c r="AH855" s="45" t="e">
        <v>#N/A</v>
      </c>
      <c r="AI855" s="42" t="e">
        <v>#N/A</v>
      </c>
      <c r="AJ855" s="70"/>
      <c r="AK855" s="69" t="e">
        <v>#N/A</v>
      </c>
      <c r="AL855" s="47"/>
      <c r="AM855" s="47" t="s">
        <v>5692</v>
      </c>
      <c r="AN855" s="6"/>
      <c r="AO855" s="6"/>
      <c r="AP855" s="6"/>
      <c r="AQ855" s="6"/>
      <c r="AR855" s="6"/>
      <c r="AS855" s="6"/>
      <c r="AT855" s="6"/>
      <c r="AU855" s="6"/>
      <c r="AV855" s="6"/>
      <c r="AW855" s="47"/>
      <c r="AX855" s="6"/>
      <c r="AY855" s="73"/>
      <c r="AZ855" s="6"/>
      <c r="BA855" s="6"/>
      <c r="BB855" s="6"/>
      <c r="BC855" s="7"/>
      <c r="BD855" s="6"/>
    </row>
  </sheetData>
  <mergeCells count="4">
    <mergeCell ref="G2:G3"/>
    <mergeCell ref="K2:M2"/>
    <mergeCell ref="O2:Q2"/>
    <mergeCell ref="R2:U2"/>
  </mergeCells>
  <conditionalFormatting sqref="P774">
    <cfRule type="cellIs" dxfId="11" priority="1" operator="between">
      <formula>TODAY()</formula>
      <formula>TODAY()+30</formula>
    </cfRule>
  </conditionalFormatting>
  <conditionalFormatting sqref="W756 M789:M796">
    <cfRule type="cellIs" dxfId="10" priority="2" operator="between">
      <formula>TODAY()</formula>
      <formula>TODAY()+30</formula>
    </cfRule>
  </conditionalFormatting>
  <conditionalFormatting sqref="W756">
    <cfRule type="cellIs" dxfId="9" priority="3" operator="between">
      <formula>TODAY()</formula>
      <formula>TODAY()+16</formula>
    </cfRule>
    <cfRule type="cellIs" dxfId="8" priority="4" operator="between">
      <formula>TODAY()</formula>
      <formula>TODAY()+30</formula>
    </cfRule>
  </conditionalFormatting>
  <conditionalFormatting sqref="W756:W762">
    <cfRule type="cellIs" dxfId="7" priority="5" operator="between">
      <formula>TODAY()</formula>
      <formula>TODAY()+16</formula>
    </cfRule>
    <cfRule type="cellIs" dxfId="6" priority="6" operator="between">
      <formula>TODAY()</formula>
      <formula>TODAY()+30</formula>
    </cfRule>
  </conditionalFormatting>
  <conditionalFormatting sqref="AY491 AY777:AY781">
    <cfRule type="cellIs" dxfId="5" priority="7" operator="between">
      <formula>TODAY()</formula>
      <formula>TODAY()+16</formula>
    </cfRule>
    <cfRule type="cellIs" dxfId="4" priority="8" operator="between">
      <formula>TODAY()</formula>
      <formula>TODAY()+30</formula>
    </cfRule>
  </conditionalFormatting>
  <conditionalFormatting sqref="AY785:AY788">
    <cfRule type="cellIs" dxfId="3" priority="9" operator="between">
      <formula>TODAY()</formula>
      <formula>TODAY()+16</formula>
    </cfRule>
    <cfRule type="cellIs" dxfId="2" priority="10" operator="between">
      <formula>TODAY()</formula>
      <formula>TODAY()+30</formula>
    </cfRule>
    <cfRule type="cellIs" dxfId="1" priority="11" operator="between">
      <formula>TODAY()</formula>
      <formula>TODAY()+16</formula>
    </cfRule>
    <cfRule type="cellIs" dxfId="0" priority="12" operator="between">
      <formula>TODAY()</formula>
      <formula>TODAY()+30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Nguyễn</dc:creator>
  <cp:lastModifiedBy>An Nguyễn</cp:lastModifiedBy>
  <dcterms:created xsi:type="dcterms:W3CDTF">2026-08-02T04:06:15Z</dcterms:created>
  <dcterms:modified xsi:type="dcterms:W3CDTF">2026-08-02T04:07:35Z</dcterms:modified>
</cp:coreProperties>
</file>